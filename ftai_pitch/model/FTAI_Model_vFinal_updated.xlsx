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1Y Valuation" sheetId="3" state="visible" r:id="rId3"/>
    <sheet xmlns:r="http://schemas.openxmlformats.org/officeDocument/2006/relationships" name="Diligence" sheetId="4" state="visible" r:id="rId4"/>
    <sheet xmlns:r="http://schemas.openxmlformats.org/officeDocument/2006/relationships" name="Operating Model" sheetId="5" state="visible" r:id="rId5"/>
    <sheet xmlns:r="http://schemas.openxmlformats.org/officeDocument/2006/relationships" name="WACC Calculation" sheetId="6" state="visible" r:id="rId6"/>
    <sheet xmlns:r="http://schemas.openxmlformats.org/officeDocument/2006/relationships" name="RPM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Data" sheetId="9" state="visible" r:id="rId9"/>
    <sheet xmlns:r="http://schemas.openxmlformats.org/officeDocument/2006/relationships" name="CFM56 Data" sheetId="10" state="visible" r:id="rId10"/>
    <sheet xmlns:r="http://schemas.openxmlformats.org/officeDocument/2006/relationships" name="SV Analysis" sheetId="11" state="visible" r:id="rId11"/>
    <sheet xmlns:r="http://schemas.openxmlformats.org/officeDocument/2006/relationships" name="Pricing Data" sheetId="12" state="visible" r:id="rId12"/>
    <sheet xmlns:r="http://schemas.openxmlformats.org/officeDocument/2006/relationships" name="Power outlook" sheetId="13" state="visible" r:id="rId13"/>
    <sheet xmlns:r="http://schemas.openxmlformats.org/officeDocument/2006/relationships" name="Power Market Assumptions" sheetId="14" state="visible" r:id="rId14"/>
    <sheet xmlns:r="http://schemas.openxmlformats.org/officeDocument/2006/relationships" name="Regional model" sheetId="15" state="visible" r:id="rId15"/>
    <sheet xmlns:r="http://schemas.openxmlformats.org/officeDocument/2006/relationships" name="Power agreements" sheetId="16" state="visible" r:id="rId16"/>
    <sheet xmlns:r="http://schemas.openxmlformats.org/officeDocument/2006/relationships" name="Capex plans" sheetId="17" state="visible" r:id="rId17"/>
    <sheet xmlns:r="http://schemas.openxmlformats.org/officeDocument/2006/relationships" name="History" sheetId="18" state="visible" r:id="rId18"/>
    <sheet xmlns:r="http://schemas.openxmlformats.org/officeDocument/2006/relationships" name="NERC source" sheetId="19" state="visible" r:id="rId19"/>
  </sheets>
  <definedNames/>
  <calcPr calcId="191028" fullCalcOnLoad="1"/>
</workbook>
</file>

<file path=xl/styles.xml><?xml version="1.0" encoding="utf-8"?>
<styleSheet xmlns="http://schemas.openxmlformats.org/spreadsheetml/2006/main">
  <numFmts count="14">
    <numFmt numFmtId="164" formatCode="0.0%"/>
    <numFmt numFmtId="165" formatCode="yyyy\-mm\-dd"/>
    <numFmt numFmtId="166" formatCode="#,##0.0_);[Red]\(#,##0.0\)"/>
    <numFmt numFmtId="167" formatCode="_(&quot;$&quot;* #,##0.00_);_(&quot;$&quot;* \(#,##0.00\);_(&quot;$&quot;* &quot;-&quot;??_);_(@_)"/>
    <numFmt numFmtId="168" formatCode="0.000"/>
    <numFmt numFmtId="169" formatCode="#,##0.0"/>
    <numFmt numFmtId="170" formatCode="0.0&quot;x&quot;"/>
    <numFmt numFmtId="171" formatCode="#,##0_);\(#,##0\);&quot;-&quot;_)"/>
    <numFmt numFmtId="172" formatCode="0.00%;\(0.00%\);&quot;-&quot;"/>
    <numFmt numFmtId="173" formatCode="0.0%;\(0.0%\);&quot;-&quot;"/>
    <numFmt numFmtId="174" formatCode="#,##0.00_);\(#,##0.00\);&quot;-&quot;_)"/>
    <numFmt numFmtId="175" formatCode="#,##0.0_);\(#,##0.0\);&quot;-&quot;_)"/>
    <numFmt numFmtId="176" formatCode="0.0"/>
    <numFmt numFmtId="177" formatCode="0.00&quot;x&quot;"/>
  </numFmts>
  <fonts count="29">
    <font>
      <name val="Calibri"/>
      <family val="2"/>
      <color theme="1"/>
      <sz val="11"/>
      <scheme val="minor"/>
    </font>
    <font>
      <name val="Garamond"/>
      <family val="1"/>
      <color theme="1"/>
      <sz val="11"/>
    </font>
    <font>
      <name val="Garamond"/>
      <family val="1"/>
      <b val="1"/>
      <color theme="0"/>
      <sz val="11"/>
    </font>
    <font>
      <name val="Garamond"/>
      <family val="1"/>
      <b val="1"/>
      <color theme="1"/>
      <sz val="11"/>
    </font>
    <font>
      <name val="Garamond"/>
      <family val="1"/>
      <color theme="4"/>
      <sz val="11"/>
    </font>
    <font>
      <name val="Garamond"/>
      <family val="1"/>
      <color rgb="FF0000FF"/>
      <sz val="11"/>
    </font>
    <font>
      <name val="Garamond"/>
      <family val="1"/>
      <sz val="11"/>
    </font>
    <font>
      <name val="Garamond"/>
      <family val="1"/>
      <b val="1"/>
      <sz val="14"/>
    </font>
    <font>
      <name val="Garamond"/>
      <family val="1"/>
      <b val="1"/>
      <sz val="11"/>
    </font>
    <font>
      <name val="Garamond"/>
      <family val="1"/>
      <b val="1"/>
      <color rgb="FFFFFFFF"/>
      <sz val="11"/>
    </font>
    <font>
      <name val="Garamond"/>
      <family val="1"/>
      <color rgb="FF008000"/>
      <sz val="11"/>
    </font>
    <font>
      <name val="Garamond"/>
      <family val="1"/>
      <color rgb="FF000000"/>
      <sz val="11"/>
    </font>
    <font>
      <name val="Garamond"/>
      <family val="1"/>
      <b val="1"/>
      <color rgb="FF000000"/>
      <sz val="14"/>
    </font>
    <font>
      <name val="Garamond"/>
      <family val="1"/>
      <b val="1"/>
      <color rgb="FF000000"/>
      <sz val="11"/>
    </font>
    <font>
      <name val="Garamond"/>
      <family val="1"/>
      <b val="1"/>
      <color rgb="FF0000FF"/>
      <sz val="11"/>
    </font>
    <font>
      <name val="Garamond"/>
      <b val="1"/>
      <color rgb="FF000000"/>
      <sz val="14"/>
    </font>
    <font>
      <name val="Garamond"/>
      <b val="1"/>
      <color rgb="FF000000"/>
      <sz val="11"/>
    </font>
    <font>
      <name val="Garamond"/>
      <i val="1"/>
      <color rgb="FF000000"/>
      <sz val="10"/>
    </font>
    <font>
      <name val="Garamond"/>
      <b val="1"/>
      <color rgb="FF002060"/>
      <sz val="11"/>
    </font>
    <font>
      <name val="Garamond"/>
      <b val="1"/>
      <color rgb="FFFFFFFF"/>
      <sz val="11"/>
    </font>
    <font>
      <name val="Garamond"/>
      <color rgb="FF000000"/>
      <sz val="11"/>
    </font>
    <font>
      <name val="Garamond"/>
      <color rgb="FF0000FF"/>
      <sz val="11"/>
    </font>
    <font>
      <name val="Garamond"/>
      <color rgb="FF008000"/>
      <sz val="11"/>
    </font>
    <font>
      <name val="Garamond"/>
      <b val="1"/>
      <color rgb="FF0000FF"/>
      <sz val="11"/>
    </font>
    <font>
      <name val="Garamond"/>
      <i val="1"/>
      <color rgb="FF000000"/>
      <sz val="9"/>
    </font>
    <font>
      <name val="Garamond"/>
      <color rgb="FF000000"/>
      <sz val="10"/>
    </font>
    <font>
      <name val="Garamond"/>
      <color rgb="FF0000FF"/>
      <sz val="10"/>
    </font>
    <font>
      <name val="Garamond"/>
      <color rgb="FF008000"/>
      <sz val="10"/>
    </font>
    <font>
      <name val="Garamond"/>
      <b val="1"/>
      <color rgb="FF000000"/>
      <sz val="10"/>
    </font>
  </fonts>
  <fills count="1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theme="6" tint="0.7999511703848384"/>
        <bgColor indexed="65"/>
      </patternFill>
    </fill>
    <fill>
      <patternFill patternType="solid">
        <fgColor theme="2" tint="-0.0999786370433668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top style="thin">
        <color rgb="FF000000"/>
      </top>
    </border>
  </borders>
  <cellStyleXfs count="1">
    <xf numFmtId="0" fontId="0" fillId="0" borderId="0"/>
  </cellStyleXfs>
  <cellXfs count="27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1" fillId="3" borderId="0" applyAlignment="1" pivotButton="0" quotePrefix="0" xfId="0">
      <alignment horizontal="left" indent="1"/>
    </xf>
    <xf numFmtId="0" fontId="1" fillId="3" borderId="0" pivotButton="0" quotePrefix="0" xfId="0"/>
    <xf numFmtId="0" fontId="1" fillId="3" borderId="0" applyAlignment="1" pivotButton="0" quotePrefix="0" xfId="0">
      <alignment horizontal="left" indent="2"/>
    </xf>
    <xf numFmtId="0" fontId="1" fillId="4" borderId="0" pivotButton="0" quotePrefix="0" xfId="0"/>
    <xf numFmtId="0" fontId="3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5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3" fontId="4" fillId="0" borderId="0" pivotButton="0" quotePrefix="0" xfId="0"/>
    <xf numFmtId="10" fontId="6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3" fontId="6" fillId="0" borderId="0" pivotButton="0" quotePrefix="0" xfId="0"/>
    <xf numFmtId="164" fontId="1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" fontId="6" fillId="0" borderId="0" pivotButton="0" quotePrefix="0" xfId="0"/>
    <xf numFmtId="165" fontId="5" fillId="0" borderId="0" pivotButton="0" quotePrefix="0" xfId="0"/>
    <xf numFmtId="2" fontId="6" fillId="0" borderId="0" pivotButton="0" quotePrefix="0" xfId="0"/>
    <xf numFmtId="1" fontId="5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3" fontId="10" fillId="0" borderId="0" pivotButton="0" quotePrefix="0" xfId="0"/>
    <xf numFmtId="3" fontId="8" fillId="0" borderId="0" pivotButton="0" quotePrefix="0" xfId="0"/>
    <xf numFmtId="10" fontId="8" fillId="0" borderId="0" pivotButton="0" quotePrefix="0" xfId="0"/>
    <xf numFmtId="0" fontId="11" fillId="0" borderId="0" pivotButton="0" quotePrefix="0" xfId="0"/>
    <xf numFmtId="166" fontId="11" fillId="0" borderId="0" pivotButton="0" quotePrefix="0" xfId="0"/>
    <xf numFmtId="0" fontId="13" fillId="0" borderId="0" pivotButton="0" quotePrefix="0" xfId="0"/>
    <xf numFmtId="166" fontId="13" fillId="0" borderId="2" pivotButton="0" quotePrefix="0" xfId="0"/>
    <xf numFmtId="0" fontId="11" fillId="7" borderId="0" pivotButton="0" quotePrefix="0" xfId="0"/>
    <xf numFmtId="0" fontId="2" fillId="2" borderId="0" applyAlignment="1" pivotButton="0" quotePrefix="0" xfId="0">
      <alignment horizontal="right"/>
    </xf>
    <xf numFmtId="164" fontId="11" fillId="0" borderId="0" pivotButton="0" quotePrefix="0" xfId="0"/>
    <xf numFmtId="167" fontId="11" fillId="0" borderId="0" pivotButton="0" quotePrefix="0" xfId="0"/>
    <xf numFmtId="2" fontId="11" fillId="0" borderId="0" pivotButton="0" quotePrefix="0" xfId="0"/>
    <xf numFmtId="168" fontId="11" fillId="0" borderId="0" pivotButton="0" quotePrefix="0" xfId="0"/>
    <xf numFmtId="166" fontId="11" fillId="0" borderId="2" pivotButton="0" quotePrefix="0" xfId="0"/>
    <xf numFmtId="0" fontId="13" fillId="0" borderId="2" pivotButton="0" quotePrefix="0" xfId="0"/>
    <xf numFmtId="167" fontId="13" fillId="0" borderId="2" pivotButton="0" quotePrefix="0" xfId="0"/>
    <xf numFmtId="169" fontId="11" fillId="0" borderId="0" pivotButton="0" quotePrefix="0" xfId="0"/>
    <xf numFmtId="164" fontId="13" fillId="0" borderId="4" pivotButton="0" quotePrefix="0" xfId="0"/>
    <xf numFmtId="170" fontId="11" fillId="0" borderId="0" pivotButton="0" quotePrefix="0" xfId="0"/>
    <xf numFmtId="170" fontId="13" fillId="0" borderId="0" pivotButton="0" quotePrefix="0" xfId="0"/>
    <xf numFmtId="0" fontId="12" fillId="0" borderId="0" pivotButton="0" quotePrefix="0" xfId="0"/>
    <xf numFmtId="10" fontId="11" fillId="0" borderId="0" pivotButton="0" quotePrefix="0" xfId="0"/>
    <xf numFmtId="166" fontId="14" fillId="0" borderId="2" pivotButton="0" quotePrefix="0" xfId="0"/>
    <xf numFmtId="0" fontId="13" fillId="0" borderId="3" pivotButton="0" quotePrefix="0" xfId="0"/>
    <xf numFmtId="166" fontId="13" fillId="0" borderId="3" pivotButton="0" quotePrefix="0" xfId="0"/>
    <xf numFmtId="164" fontId="13" fillId="0" borderId="2" pivotButton="0" quotePrefix="0" xfId="0"/>
    <xf numFmtId="170" fontId="13" fillId="0" borderId="2" pivotButton="0" quotePrefix="0" xfId="0"/>
    <xf numFmtId="0" fontId="0" fillId="0" borderId="2" pivotButton="0" quotePrefix="0" xfId="0"/>
    <xf numFmtId="164" fontId="13" fillId="0" borderId="0" pivotButton="0" quotePrefix="0" xfId="0"/>
    <xf numFmtId="171" fontId="4" fillId="0" borderId="0" pivotButton="0" quotePrefix="0" xfId="0"/>
    <xf numFmtId="171" fontId="1" fillId="0" borderId="0" pivotButton="0" quotePrefix="0" xfId="0"/>
    <xf numFmtId="172" fontId="4" fillId="0" borderId="0" pivotButton="0" quotePrefix="0" xfId="0"/>
    <xf numFmtId="172" fontId="1" fillId="0" borderId="0" pivotButton="0" quotePrefix="0" xfId="0"/>
    <xf numFmtId="169" fontId="4" fillId="0" borderId="0" pivotButton="0" quotePrefix="0" xfId="0"/>
    <xf numFmtId="169" fontId="1" fillId="0" borderId="0" pivotButton="0" quotePrefix="0" xfId="0"/>
    <xf numFmtId="173" fontId="4" fillId="0" borderId="0" pivotButton="0" quotePrefix="0" xfId="0"/>
    <xf numFmtId="173" fontId="1" fillId="3" borderId="0" pivotButton="0" quotePrefix="0" xfId="0"/>
    <xf numFmtId="173" fontId="1" fillId="0" borderId="0" pivotButton="0" quotePrefix="0" xfId="0"/>
    <xf numFmtId="174" fontId="1" fillId="0" borderId="0" pivotButton="0" quotePrefix="0" xfId="0"/>
    <xf numFmtId="175" fontId="4" fillId="0" borderId="0" pivotButton="0" quotePrefix="0" xfId="0"/>
    <xf numFmtId="175" fontId="1" fillId="0" borderId="0" pivotButton="0" quotePrefix="0" xfId="0"/>
    <xf numFmtId="171" fontId="4" fillId="3" borderId="0" pivotButton="0" quotePrefix="0" xfId="0"/>
    <xf numFmtId="171" fontId="1" fillId="3" borderId="0" pivotButton="0" quotePrefix="0" xfId="0"/>
    <xf numFmtId="3" fontId="1" fillId="0" borderId="0" pivotButton="0" quotePrefix="0" xfId="0"/>
    <xf numFmtId="174" fontId="1" fillId="3" borderId="0" pivotButton="0" quotePrefix="0" xfId="0"/>
    <xf numFmtId="175" fontId="3" fillId="0" borderId="0" pivotButton="0" quotePrefix="0" xfId="0"/>
    <xf numFmtId="173" fontId="11" fillId="0" borderId="1" pivotButton="0" quotePrefix="0" xfId="0"/>
    <xf numFmtId="172" fontId="11" fillId="0" borderId="1" pivotButton="0" quotePrefix="0" xfId="0"/>
    <xf numFmtId="172" fontId="11" fillId="0" borderId="0" pivotButton="0" quotePrefix="0" xfId="0"/>
    <xf numFmtId="171" fontId="11" fillId="0" borderId="1" pivotButton="0" quotePrefix="0" xfId="0"/>
    <xf numFmtId="173" fontId="11" fillId="0" borderId="0" pivotButton="0" quotePrefix="0" xfId="0"/>
    <xf numFmtId="175" fontId="11" fillId="0" borderId="1" pivotButton="0" quotePrefix="0" xfId="0"/>
    <xf numFmtId="171" fontId="11" fillId="0" borderId="0" pivotButton="0" quotePrefix="0" xfId="0"/>
    <xf numFmtId="0" fontId="1" fillId="6" borderId="0" pivotButton="0" quotePrefix="0" xfId="0"/>
    <xf numFmtId="1" fontId="2" fillId="6" borderId="0" applyAlignment="1" pivotButton="0" quotePrefix="0" xfId="0">
      <alignment horizontal="right"/>
    </xf>
    <xf numFmtId="0" fontId="3" fillId="8" borderId="0" pivotButton="0" quotePrefix="0" xfId="0"/>
    <xf numFmtId="0" fontId="1" fillId="8" borderId="0" pivotButton="0" quotePrefix="0" xfId="0"/>
    <xf numFmtId="169" fontId="3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69" fontId="1" fillId="0" borderId="0" applyAlignment="1" pivotButton="0" quotePrefix="0" xfId="0">
      <alignment horizontal="right"/>
    </xf>
    <xf numFmtId="2" fontId="1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0" fontId="3" fillId="9" borderId="0" pivotButton="0" quotePrefix="0" xfId="0"/>
    <xf numFmtId="0" fontId="1" fillId="9" borderId="0" applyAlignment="1" pivotButton="0" quotePrefix="0" xfId="0">
      <alignment wrapText="1"/>
    </xf>
    <xf numFmtId="0" fontId="1" fillId="9" borderId="0" pivotButton="0" quotePrefix="0" xfId="0"/>
    <xf numFmtId="164" fontId="1" fillId="0" borderId="0" applyAlignment="1" pivotButton="0" quotePrefix="0" xfId="0">
      <alignment horizontal="right"/>
    </xf>
    <xf numFmtId="1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4" fontId="11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3" fillId="10" borderId="10" pivotButton="0" quotePrefix="0" xfId="0"/>
    <xf numFmtId="0" fontId="13" fillId="10" borderId="8" pivotButton="0" quotePrefix="0" xfId="0"/>
    <xf numFmtId="0" fontId="0" fillId="10" borderId="9" pivotButton="0" quotePrefix="0" xfId="0"/>
    <xf numFmtId="167" fontId="10" fillId="0" borderId="0" pivotButton="0" quotePrefix="0" xfId="0"/>
    <xf numFmtId="169" fontId="10" fillId="0" borderId="0" pivotButton="0" quotePrefix="0" xfId="0"/>
    <xf numFmtId="166" fontId="10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6" fillId="7" borderId="5" pivotButton="0" quotePrefix="0" xfId="0"/>
    <xf numFmtId="167" fontId="9" fillId="6" borderId="5" applyAlignment="1" pivotButton="0" quotePrefix="0" xfId="0">
      <alignment horizontal="center" vertical="center"/>
    </xf>
    <xf numFmtId="164" fontId="5" fillId="0" borderId="6" pivotButton="0" quotePrefix="0" xfId="0"/>
    <xf numFmtId="2" fontId="10" fillId="0" borderId="0" pivotButton="0" quotePrefix="0" xfId="0"/>
    <xf numFmtId="2" fontId="5" fillId="0" borderId="0" pivotButton="0" quotePrefix="0" xfId="0"/>
    <xf numFmtId="170" fontId="5" fillId="0" borderId="0" pivotButton="0" quotePrefix="0" xfId="0"/>
    <xf numFmtId="166" fontId="5" fillId="0" borderId="0" pivotButton="0" quotePrefix="0" xfId="0"/>
    <xf numFmtId="170" fontId="5" fillId="0" borderId="6" pivotButton="0" quotePrefix="0" xfId="0"/>
    <xf numFmtId="169" fontId="5" fillId="0" borderId="0" pivotButton="0" quotePrefix="0" xfId="0"/>
    <xf numFmtId="167" fontId="5" fillId="0" borderId="0" pivotButton="0" quotePrefix="0" xfId="0"/>
    <xf numFmtId="164" fontId="5" fillId="7" borderId="0" pivotButton="0" quotePrefix="0" xfId="0"/>
    <xf numFmtId="10" fontId="10" fillId="0" borderId="0" pivotButton="0" quotePrefix="0" xfId="0"/>
    <xf numFmtId="172" fontId="10" fillId="0" borderId="0" pivotButton="0" quotePrefix="0" xfId="0"/>
    <xf numFmtId="171" fontId="10" fillId="0" borderId="0" pivotButton="0" quotePrefix="0" xfId="0"/>
    <xf numFmtId="173" fontId="10" fillId="0" borderId="0" pivotButton="0" quotePrefix="0" xfId="0"/>
    <xf numFmtId="173" fontId="10" fillId="3" borderId="0" pivotButton="0" quotePrefix="0" xfId="0"/>
    <xf numFmtId="174" fontId="10" fillId="0" borderId="0" pivotButton="0" quotePrefix="0" xfId="0"/>
    <xf numFmtId="171" fontId="10" fillId="3" borderId="0" pivotButton="0" quotePrefix="0" xfId="0"/>
    <xf numFmtId="174" fontId="10" fillId="3" borderId="0" pivotButton="0" quotePrefix="0" xfId="0"/>
    <xf numFmtId="175" fontId="10" fillId="0" borderId="0" pivotButton="0" quotePrefix="0" xfId="0"/>
    <xf numFmtId="0" fontId="13" fillId="5" borderId="0" pivotButton="0" quotePrefix="0" xfId="0"/>
    <xf numFmtId="0" fontId="11" fillId="0" borderId="2" pivotButton="0" quotePrefix="0" xfId="0"/>
    <xf numFmtId="0" fontId="1" fillId="0" borderId="2" applyAlignment="1" pivotButton="0" quotePrefix="0" xfId="0">
      <alignment wrapText="1"/>
    </xf>
    <xf numFmtId="173" fontId="11" fillId="0" borderId="2" pivotButton="0" quotePrefix="0" xfId="0"/>
    <xf numFmtId="0" fontId="11" fillId="0" borderId="1" pivotButton="0" quotePrefix="0" xfId="0"/>
    <xf numFmtId="172" fontId="11" fillId="0" borderId="2" pivotButton="0" quotePrefix="0" xfId="0"/>
    <xf numFmtId="3" fontId="11" fillId="0" borderId="0" pivotButton="0" quotePrefix="0" xfId="0"/>
    <xf numFmtId="171" fontId="11" fillId="0" borderId="2" pivotButton="0" quotePrefix="0" xfId="0"/>
    <xf numFmtId="175" fontId="11" fillId="0" borderId="0" pivotButton="0" quotePrefix="0" xfId="0"/>
    <xf numFmtId="175" fontId="11" fillId="0" borderId="2" pivotButton="0" quotePrefix="0" xfId="0"/>
    <xf numFmtId="0" fontId="8" fillId="9" borderId="0" pivotButton="0" quotePrefix="0" xfId="0"/>
    <xf numFmtId="0" fontId="0" fillId="9" borderId="0" pivotButton="0" quotePrefix="0" xfId="0"/>
    <xf numFmtId="0" fontId="9" fillId="6" borderId="0" applyAlignment="1" pivotButton="0" quotePrefix="0" xfId="0">
      <alignment horizontal="left"/>
    </xf>
    <xf numFmtId="0" fontId="9" fillId="6" borderId="0" applyAlignment="1" pivotButton="0" quotePrefix="0" xfId="0">
      <alignment horizontal="right"/>
    </xf>
    <xf numFmtId="164" fontId="6" fillId="0" borderId="0" pivotButton="0" quotePrefix="0" xfId="0"/>
    <xf numFmtId="1" fontId="0" fillId="0" borderId="5" applyAlignment="1" pivotButton="0" quotePrefix="0" xfId="0">
      <alignment horizontal="right"/>
    </xf>
    <xf numFmtId="0" fontId="1" fillId="0" borderId="2" pivotButton="0" quotePrefix="0" xfId="0"/>
    <xf numFmtId="164" fontId="5" fillId="0" borderId="2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" fontId="5" fillId="0" borderId="2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  <xf numFmtId="167" fontId="10" fillId="0" borderId="0" pivotButton="0" quotePrefix="0" xfId="0"/>
    <xf numFmtId="169" fontId="10" fillId="0" borderId="0" pivotButton="0" quotePrefix="0" xfId="0"/>
    <xf numFmtId="166" fontId="11" fillId="0" borderId="0" pivotButton="0" quotePrefix="0" xfId="0"/>
    <xf numFmtId="166" fontId="10" fillId="0" borderId="0" pivotButton="0" quotePrefix="0" xfId="0"/>
    <xf numFmtId="166" fontId="13" fillId="0" borderId="2" pivotButton="0" quotePrefix="0" xfId="0"/>
    <xf numFmtId="0" fontId="16" fillId="0" borderId="0" pivotButton="0" quotePrefix="0" xfId="0"/>
    <xf numFmtId="0" fontId="20" fillId="0" borderId="0" pivotButton="0" quotePrefix="0" xfId="0"/>
    <xf numFmtId="167" fontId="22" fillId="0" borderId="0" pivotButton="0" quotePrefix="0" xfId="0"/>
    <xf numFmtId="164" fontId="22" fillId="0" borderId="0" pivotButton="0" quotePrefix="0" xfId="0"/>
    <xf numFmtId="170" fontId="22" fillId="0" borderId="0" pivotButton="0" quotePrefix="0" xfId="0"/>
    <xf numFmtId="167" fontId="9" fillId="6" borderId="5" applyAlignment="1" pivotButton="0" quotePrefix="0" xfId="0">
      <alignment horizontal="center" vertical="center"/>
    </xf>
    <xf numFmtId="167" fontId="11" fillId="0" borderId="0" pivotButton="0" quotePrefix="0" xfId="0"/>
    <xf numFmtId="170" fontId="5" fillId="0" borderId="0" pivotButton="0" quotePrefix="0" xfId="0"/>
    <xf numFmtId="168" fontId="11" fillId="0" borderId="0" pivotButton="0" quotePrefix="0" xfId="0"/>
    <xf numFmtId="166" fontId="11" fillId="0" borderId="2" pivotButton="0" quotePrefix="0" xfId="0"/>
    <xf numFmtId="166" fontId="5" fillId="0" borderId="0" pivotButton="0" quotePrefix="0" xfId="0"/>
    <xf numFmtId="170" fontId="5" fillId="0" borderId="6" pivotButton="0" quotePrefix="0" xfId="0"/>
    <xf numFmtId="169" fontId="5" fillId="0" borderId="0" pivotButton="0" quotePrefix="0" xfId="0"/>
    <xf numFmtId="167" fontId="13" fillId="0" borderId="2" pivotButton="0" quotePrefix="0" xfId="0"/>
    <xf numFmtId="169" fontId="11" fillId="0" borderId="0" pivotButton="0" quotePrefix="0" xfId="0"/>
    <xf numFmtId="167" fontId="5" fillId="0" borderId="0" pivotButton="0" quotePrefix="0" xfId="0"/>
    <xf numFmtId="170" fontId="11" fillId="0" borderId="0" pivotButton="0" quotePrefix="0" xfId="0"/>
    <xf numFmtId="170" fontId="13" fillId="0" borderId="2" pivotButton="0" quotePrefix="0" xfId="0"/>
    <xf numFmtId="170" fontId="13" fillId="0" borderId="0" pivotButton="0" quotePrefix="0" xfId="0"/>
    <xf numFmtId="0" fontId="15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11" borderId="0" applyAlignment="1" pivotButton="0" quotePrefix="0" xfId="0">
      <alignment horizontal="center"/>
    </xf>
    <xf numFmtId="170" fontId="21" fillId="7" borderId="0" pivotButton="0" quotePrefix="0" xfId="0"/>
    <xf numFmtId="170" fontId="20" fillId="0" borderId="0" pivotButton="0" quotePrefix="0" xfId="0"/>
    <xf numFmtId="166" fontId="21" fillId="0" borderId="0" pivotButton="0" quotePrefix="0" xfId="0"/>
    <xf numFmtId="167" fontId="21" fillId="0" borderId="0" pivotButton="0" quotePrefix="0" xfId="0"/>
    <xf numFmtId="164" fontId="21" fillId="0" borderId="0" pivotButton="0" quotePrefix="0" xfId="0"/>
    <xf numFmtId="167" fontId="16" fillId="0" borderId="0" pivotButton="0" quotePrefix="0" xfId="0"/>
    <xf numFmtId="164" fontId="20" fillId="0" borderId="0" pivotButton="0" quotePrefix="0" xfId="0"/>
    <xf numFmtId="170" fontId="16" fillId="0" borderId="0" pivotButton="0" quotePrefix="0" xfId="0"/>
    <xf numFmtId="166" fontId="22" fillId="0" borderId="0" pivotButton="0" quotePrefix="0" xfId="0"/>
    <xf numFmtId="166" fontId="20" fillId="0" borderId="0" pivotButton="0" quotePrefix="0" xfId="0"/>
    <xf numFmtId="167" fontId="20" fillId="0" borderId="0" pivotButton="0" quotePrefix="0" xfId="0"/>
    <xf numFmtId="0" fontId="16" fillId="0" borderId="11" pivotButton="0" quotePrefix="0" xfId="0"/>
    <xf numFmtId="166" fontId="16" fillId="0" borderId="11" pivotButton="0" quotePrefix="0" xfId="0"/>
    <xf numFmtId="170" fontId="16" fillId="0" borderId="11" pivotButton="0" quotePrefix="0" xfId="0"/>
    <xf numFmtId="167" fontId="16" fillId="0" borderId="11" pivotButton="0" quotePrefix="0" xfId="0"/>
    <xf numFmtId="0" fontId="24" fillId="0" borderId="0" applyAlignment="1" pivotButton="0" quotePrefix="0" xfId="0">
      <alignment vertical="top" wrapText="1"/>
    </xf>
    <xf numFmtId="0" fontId="0" fillId="0" borderId="11" pivotButton="0" quotePrefix="0" xfId="0"/>
    <xf numFmtId="167" fontId="16" fillId="12" borderId="11" pivotButton="0" quotePrefix="0" xfId="0"/>
    <xf numFmtId="164" fontId="16" fillId="12" borderId="0" pivotButton="0" quotePrefix="0" xfId="0"/>
    <xf numFmtId="170" fontId="19" fillId="11" borderId="0" applyAlignment="1" pivotButton="0" quotePrefix="0" xfId="0">
      <alignment horizontal="center"/>
    </xf>
    <xf numFmtId="170" fontId="23" fillId="0" borderId="0" applyAlignment="1" pivotButton="0" quotePrefix="0" xfId="0">
      <alignment horizontal="center"/>
    </xf>
    <xf numFmtId="1" fontId="21" fillId="0" borderId="0" applyAlignment="1" pivotButton="0" quotePrefix="0" xfId="0">
      <alignment horizontal="center"/>
    </xf>
    <xf numFmtId="1" fontId="16" fillId="0" borderId="0" applyAlignment="1" pivotButton="0" quotePrefix="0" xfId="0">
      <alignment horizontal="center"/>
    </xf>
    <xf numFmtId="0" fontId="25" fillId="0" borderId="0" pivotButton="0" quotePrefix="0" xfId="0"/>
    <xf numFmtId="0" fontId="21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25" fillId="0" borderId="0" applyAlignment="1" pivotButton="0" quotePrefix="0" xfId="0">
      <alignment vertical="top" wrapText="1"/>
    </xf>
    <xf numFmtId="0" fontId="28" fillId="0" borderId="0" pivotButton="0" quotePrefix="0" xfId="0"/>
    <xf numFmtId="0" fontId="24" fillId="0" borderId="0" pivotButton="0" quotePrefix="0" xfId="0"/>
    <xf numFmtId="166" fontId="14" fillId="0" borderId="2" pivotButton="0" quotePrefix="0" xfId="0"/>
    <xf numFmtId="166" fontId="13" fillId="0" borderId="3" pivotButton="0" quotePrefix="0" xfId="0"/>
    <xf numFmtId="171" fontId="4" fillId="0" borderId="0" pivotButton="0" quotePrefix="0" xfId="0"/>
    <xf numFmtId="171" fontId="1" fillId="0" borderId="0" pivotButton="0" quotePrefix="0" xfId="0"/>
    <xf numFmtId="172" fontId="4" fillId="0" borderId="0" pivotButton="0" quotePrefix="0" xfId="0"/>
    <xf numFmtId="172" fontId="10" fillId="0" borderId="0" pivotButton="0" quotePrefix="0" xfId="0"/>
    <xf numFmtId="172" fontId="1" fillId="0" borderId="0" pivotButton="0" quotePrefix="0" xfId="0"/>
    <xf numFmtId="169" fontId="4" fillId="0" borderId="0" pivotButton="0" quotePrefix="0" xfId="0"/>
    <xf numFmtId="169" fontId="1" fillId="0" borderId="0" pivotButton="0" quotePrefix="0" xfId="0"/>
    <xf numFmtId="171" fontId="10" fillId="0" borderId="0" pivotButton="0" quotePrefix="0" xfId="0"/>
    <xf numFmtId="173" fontId="4" fillId="0" borderId="0" pivotButton="0" quotePrefix="0" xfId="0"/>
    <xf numFmtId="173" fontId="10" fillId="0" borderId="0" pivotButton="0" quotePrefix="0" xfId="0"/>
    <xf numFmtId="173" fontId="1" fillId="3" borderId="0" pivotButton="0" quotePrefix="0" xfId="0"/>
    <xf numFmtId="173" fontId="10" fillId="3" borderId="0" pivotButton="0" quotePrefix="0" xfId="0"/>
    <xf numFmtId="173" fontId="1" fillId="0" borderId="0" pivotButton="0" quotePrefix="0" xfId="0"/>
    <xf numFmtId="174" fontId="1" fillId="0" borderId="0" pivotButton="0" quotePrefix="0" xfId="0"/>
    <xf numFmtId="175" fontId="4" fillId="0" borderId="0" pivotButton="0" quotePrefix="0" xfId="0"/>
    <xf numFmtId="175" fontId="1" fillId="0" borderId="0" pivotButton="0" quotePrefix="0" xfId="0"/>
    <xf numFmtId="174" fontId="10" fillId="0" borderId="0" pivotButton="0" quotePrefix="0" xfId="0"/>
    <xf numFmtId="171" fontId="4" fillId="3" borderId="0" pivotButton="0" quotePrefix="0" xfId="0"/>
    <xf numFmtId="171" fontId="10" fillId="3" borderId="0" pivotButton="0" quotePrefix="0" xfId="0"/>
    <xf numFmtId="171" fontId="1" fillId="3" borderId="0" pivotButton="0" quotePrefix="0" xfId="0"/>
    <xf numFmtId="174" fontId="1" fillId="3" borderId="0" pivotButton="0" quotePrefix="0" xfId="0"/>
    <xf numFmtId="174" fontId="10" fillId="3" borderId="0" pivotButton="0" quotePrefix="0" xfId="0"/>
    <xf numFmtId="175" fontId="10" fillId="0" borderId="0" pivotButton="0" quotePrefix="0" xfId="0"/>
    <xf numFmtId="175" fontId="3" fillId="0" borderId="0" pivotButton="0" quotePrefix="0" xfId="0"/>
    <xf numFmtId="173" fontId="11" fillId="0" borderId="0" pivotButton="0" quotePrefix="0" xfId="0"/>
    <xf numFmtId="173" fontId="11" fillId="0" borderId="2" pivotButton="0" quotePrefix="0" xfId="0"/>
    <xf numFmtId="173" fontId="11" fillId="0" borderId="1" pivotButton="0" quotePrefix="0" xfId="0"/>
    <xf numFmtId="172" fontId="11" fillId="0" borderId="0" pivotButton="0" quotePrefix="0" xfId="0"/>
    <xf numFmtId="172" fontId="11" fillId="0" borderId="2" pivotButton="0" quotePrefix="0" xfId="0"/>
    <xf numFmtId="172" fontId="11" fillId="0" borderId="1" pivotButton="0" quotePrefix="0" xfId="0"/>
    <xf numFmtId="171" fontId="11" fillId="0" borderId="0" pivotButton="0" quotePrefix="0" xfId="0"/>
    <xf numFmtId="171" fontId="11" fillId="0" borderId="2" pivotButton="0" quotePrefix="0" xfId="0"/>
    <xf numFmtId="171" fontId="11" fillId="0" borderId="1" pivotButton="0" quotePrefix="0" xfId="0"/>
    <xf numFmtId="175" fontId="11" fillId="0" borderId="0" pivotButton="0" quotePrefix="0" xfId="0"/>
    <xf numFmtId="175" fontId="11" fillId="0" borderId="2" pivotButton="0" quotePrefix="0" xfId="0"/>
    <xf numFmtId="175" fontId="11" fillId="0" borderId="1" pivotButton="0" quotePrefix="0" xfId="0"/>
    <xf numFmtId="165" fontId="5" fillId="0" borderId="0" pivotButton="0" quotePrefix="0" xfId="0"/>
    <xf numFmtId="169" fontId="3" fillId="0" borderId="0" applyAlignment="1" pivotButton="0" quotePrefix="0" xfId="0">
      <alignment horizontal="right"/>
    </xf>
    <xf numFmtId="169" fontId="1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69" fontId="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69" fontId="4" fillId="0" borderId="0" applyAlignment="1" pivotButton="0" quotePrefix="0" xfId="0">
      <alignment horizontal="right"/>
    </xf>
    <xf numFmtId="168" fontId="5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12</row>
      <rowOff>0</rowOff>
    </from>
    <to>
      <col>7</col>
      <colOff>520700</colOff>
      <row>25</row>
      <rowOff>63500</rowOff>
    </to>
    <pic>
      <nvPicPr>
        <cNvPr id="2" name="dimg_7SLJatzOK4LZ5NoP4Lqg0Qk_45" descr="FTAI Aviation | LinkedI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156200" y="2286000"/>
          <a:ext cx="2540000" cy="2540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:C33"/>
  <sheetViews>
    <sheetView showGridLines="0" workbookViewId="0">
      <selection activeCell="N8" sqref="N8"/>
    </sheetView>
  </sheetViews>
  <sheetFormatPr baseColWidth="8" defaultColWidth="8.85546875" defaultRowHeight="15"/>
  <cols>
    <col width="32" customWidth="1" min="2" max="2"/>
    <col width="18" customWidth="1" min="3" max="3"/>
  </cols>
  <sheetData>
    <row r="11">
      <c r="B11" s="13" t="inlineStr">
        <is>
          <t>Company Information</t>
        </is>
      </c>
      <c r="C11" s="13" t="n"/>
    </row>
    <row r="12">
      <c r="B12" s="41" t="inlineStr">
        <is>
          <t>Company Name</t>
        </is>
      </c>
      <c r="C12" s="41" t="inlineStr">
        <is>
          <t>FTAI Aviation</t>
        </is>
      </c>
    </row>
    <row r="13">
      <c r="B13" s="41" t="inlineStr">
        <is>
          <t>Ticker</t>
        </is>
      </c>
      <c r="C13" s="41" t="inlineStr">
        <is>
          <t>NASDAQ: FTAI</t>
        </is>
      </c>
    </row>
    <row r="15">
      <c r="B15" s="41" t="inlineStr">
        <is>
          <t>Share price (10.2.26)</t>
        </is>
      </c>
      <c r="C15" s="166">
        <f>DCF!K18</f>
        <v/>
      </c>
    </row>
    <row r="16">
      <c r="B16" s="41" t="inlineStr">
        <is>
          <t>Diluted shares outstanding (mm)</t>
        </is>
      </c>
      <c r="C16" s="167">
        <f>DCF!K16</f>
        <v/>
      </c>
    </row>
    <row r="17">
      <c r="B17" s="41" t="inlineStr">
        <is>
          <t>Market Capitalization ($mm)</t>
        </is>
      </c>
      <c r="C17" s="168">
        <f>C15*C16</f>
        <v/>
      </c>
    </row>
    <row r="18">
      <c r="B18" s="41" t="inlineStr">
        <is>
          <t>(-) Cash &amp; Equivalents ($mm)</t>
        </is>
      </c>
      <c r="C18" s="169">
        <f>DCF!K14*-1</f>
        <v/>
      </c>
    </row>
    <row r="19">
      <c r="B19" s="41" t="inlineStr">
        <is>
          <t>(+) Total Debt ($mm)</t>
        </is>
      </c>
      <c r="C19" s="169">
        <f>DCF!K12*-1</f>
        <v/>
      </c>
    </row>
    <row r="20">
      <c r="B20" s="41" t="inlineStr">
        <is>
          <t>(+) Preferred Equity ($mm)</t>
        </is>
      </c>
      <c r="C20" s="169">
        <f>DCF!K13*-1</f>
        <v/>
      </c>
    </row>
    <row r="21">
      <c r="B21" s="43" t="inlineStr">
        <is>
          <t>Enterprise Value ($mm)</t>
        </is>
      </c>
      <c r="C21" s="170">
        <f>SUM(C17:C20)</f>
        <v/>
      </c>
    </row>
    <row r="23">
      <c r="B23" s="43" t="inlineStr">
        <is>
          <t>Key</t>
        </is>
      </c>
    </row>
    <row r="24">
      <c r="B24" s="41" t="inlineStr">
        <is>
          <t>Hardcodes</t>
        </is>
      </c>
      <c r="C24" s="118" t="inlineStr">
        <is>
          <t>BLUE</t>
        </is>
      </c>
    </row>
    <row r="25">
      <c r="B25" s="41" t="inlineStr">
        <is>
          <t>Calculations</t>
        </is>
      </c>
      <c r="C25" s="41" t="inlineStr">
        <is>
          <t>BLACK</t>
        </is>
      </c>
    </row>
    <row r="26">
      <c r="B26" s="41" t="inlineStr">
        <is>
          <t>Linked</t>
        </is>
      </c>
      <c r="C26" s="119" t="inlineStr">
        <is>
          <t>GREEN</t>
        </is>
      </c>
    </row>
    <row r="27">
      <c r="B27" s="41" t="inlineStr">
        <is>
          <t>Key assumption / fill in</t>
        </is>
      </c>
      <c r="C27" s="45" t="inlineStr">
        <is>
          <t>YELLOW</t>
        </is>
      </c>
    </row>
    <row r="29">
      <c r="B29" s="171" t="inlineStr">
        <is>
          <t>1-Year Valuation (Oct-27)</t>
        </is>
      </c>
    </row>
    <row r="30">
      <c r="B30" s="172" t="inlineStr">
        <is>
          <t>1-year target (active case)</t>
        </is>
      </c>
      <c r="C30" s="173">
        <f>'1Y Valuation'!F24</f>
        <v/>
      </c>
    </row>
    <row r="31">
      <c r="B31" s="172" t="inlineStr">
        <is>
          <t>Return</t>
        </is>
      </c>
      <c r="C31" s="174">
        <f>'1Y Valuation'!F26</f>
        <v/>
      </c>
    </row>
    <row r="32">
      <c r="B32" s="172" t="inlineStr">
        <is>
          <t>Probability-weighted target</t>
        </is>
      </c>
      <c r="C32" s="173">
        <f>'1Y Valuation'!J11</f>
        <v/>
      </c>
    </row>
    <row r="33">
      <c r="B33" s="172" t="inlineStr">
        <is>
          <t>Reward / risk</t>
        </is>
      </c>
      <c r="C33" s="175">
        <f>'1Y Valuation'!J13</f>
        <v/>
      </c>
    </row>
  </sheetData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U31"/>
  <sheetViews>
    <sheetView showGridLines="0" tabSelected="1" workbookViewId="0">
      <selection activeCell="C3" sqref="C3"/>
    </sheetView>
  </sheetViews>
  <sheetFormatPr baseColWidth="8" defaultColWidth="8.85546875" defaultRowHeight="15"/>
  <cols>
    <col width="3.140625" customWidth="1" min="1" max="1"/>
    <col width="30" customWidth="1" min="2" max="2"/>
    <col width="18.7109375" customWidth="1" min="3" max="3"/>
    <col width="16" customWidth="1" min="4" max="4"/>
    <col width="14.140625" customWidth="1" min="5" max="5"/>
    <col width="12" customWidth="1" min="6" max="8"/>
    <col width="3" customWidth="1" min="9" max="9"/>
    <col width="26" customWidth="1" min="10" max="10"/>
    <col width="13" customWidth="1" min="11" max="11"/>
    <col width="3" customWidth="1" min="12" max="12"/>
    <col width="26" customWidth="1" min="13" max="13"/>
    <col width="13" customWidth="1" min="14" max="14"/>
    <col width="0.42578125" customWidth="1" min="15" max="15"/>
    <col width="28.140625" customWidth="1" min="16" max="16"/>
    <col width="11" customWidth="1" min="17" max="21"/>
  </cols>
  <sheetData>
    <row r="2">
      <c r="B2" s="36" t="inlineStr">
        <is>
          <t>Case Selector</t>
        </is>
      </c>
    </row>
    <row r="3">
      <c r="B3" s="36" t="inlineStr">
        <is>
          <t>Toggle</t>
        </is>
      </c>
      <c r="C3" s="120" t="inlineStr">
        <is>
          <t>Base</t>
        </is>
      </c>
      <c r="P3" s="2" t="inlineStr">
        <is>
          <t>Sensitivity: Implied Share Price</t>
        </is>
      </c>
    </row>
    <row r="4">
      <c r="Q4" s="43" t="inlineStr">
        <is>
          <t>Terminal Growth Rate</t>
        </is>
      </c>
    </row>
    <row r="5">
      <c r="B5" s="46" t="n"/>
      <c r="C5" s="46" t="inlineStr">
        <is>
          <t>2026E</t>
        </is>
      </c>
      <c r="D5" s="46" t="inlineStr">
        <is>
          <t>2027E</t>
        </is>
      </c>
      <c r="E5" s="46" t="inlineStr">
        <is>
          <t>2028E</t>
        </is>
      </c>
      <c r="F5" s="46" t="inlineStr">
        <is>
          <t>2029E</t>
        </is>
      </c>
      <c r="G5" s="46" t="inlineStr">
        <is>
          <t>2030E</t>
        </is>
      </c>
      <c r="H5" s="46" t="inlineStr">
        <is>
          <t>2031E</t>
        </is>
      </c>
      <c r="J5" s="2" t="inlineStr">
        <is>
          <t>Perpetuity Growth Method</t>
        </is>
      </c>
      <c r="K5" s="2" t="n"/>
      <c r="M5" s="2" t="inlineStr">
        <is>
          <t>Exit Multiple Method</t>
        </is>
      </c>
      <c r="N5" s="2" t="n"/>
      <c r="P5" s="176">
        <f>K17</f>
        <v/>
      </c>
      <c r="Q5" s="122" t="n">
        <v>0.02</v>
      </c>
      <c r="R5" s="122" t="n">
        <v>0.025</v>
      </c>
      <c r="S5" s="122" t="n">
        <v>0.03</v>
      </c>
      <c r="T5" s="122" t="n">
        <v>0.035</v>
      </c>
      <c r="U5" s="122" t="n">
        <v>0.04</v>
      </c>
    </row>
    <row r="6">
      <c r="B6" s="13" t="inlineStr">
        <is>
          <t>Present Value Bridge</t>
        </is>
      </c>
      <c r="C6" s="13" t="n"/>
      <c r="D6" s="13" t="n"/>
      <c r="E6" s="13" t="n"/>
      <c r="F6" s="13" t="n"/>
      <c r="G6" s="13" t="n"/>
      <c r="H6" s="13" t="n"/>
      <c r="J6" s="41" t="inlineStr">
        <is>
          <t>WACC</t>
        </is>
      </c>
      <c r="K6" s="29">
        <f>'WACC Calculation'!B20</f>
        <v/>
      </c>
      <c r="M6" s="41" t="inlineStr">
        <is>
          <t>WACC</t>
        </is>
      </c>
      <c r="N6" s="47">
        <f>K6</f>
        <v/>
      </c>
      <c r="P6" s="110">
        <f>ROUND($K$6*200,0)/200+(-0.01)</f>
        <v/>
      </c>
      <c r="Q6" s="177">
        <f>(SUMPRODUCT($C$9:$H$9/(1+$P6)^$C$10:$H$10)+('Operating Model'!$I$29*(1+Q$5)-Q$5*'Operating Model'!$I$58)/($P6-Q$5)/(1+$P6)^$H$10+$K$12+$K$13+$K$14)/$K$16</f>
        <v/>
      </c>
      <c r="R6" s="177">
        <f>(SUMPRODUCT($C$9:$H$9/(1+$P6)^$C$10:$H$10)+('Operating Model'!$I$29*(1+R$5)-R$5*'Operating Model'!$I$58)/($P6-R$5)/(1+$P6)^$H$10+$K$12+$K$13+$K$14)/$K$16</f>
        <v/>
      </c>
      <c r="S6" s="177">
        <f>(SUMPRODUCT($C$9:$H$9/(1+$P6)^$C$10:$H$10)+('Operating Model'!$I$29*(1+S$5)-S$5*'Operating Model'!$I$58)/($P6-S$5)/(1+$P6)^$H$10+$K$12+$K$13+$K$14)/$K$16</f>
        <v/>
      </c>
      <c r="T6" s="177">
        <f>(SUMPRODUCT($C$9:$H$9/(1+$P6)^$C$10:$H$10)+('Operating Model'!$I$29*(1+T$5)-T$5*'Operating Model'!$I$58)/($P6-T$5)/(1+$P6)^$H$10+$K$12+$K$13+$K$14)/$K$16</f>
        <v/>
      </c>
      <c r="U6" s="177">
        <f>(SUMPRODUCT($C$9:$H$9/(1+$P6)^$C$10:$H$10)+('Operating Model'!$I$29*(1+U$5)-U$5*'Operating Model'!$I$58)/($P6-U$5)/(1+$P6)^$H$10+$K$12+$K$13+$K$14)/$K$16</f>
        <v/>
      </c>
    </row>
    <row r="7">
      <c r="B7" s="41" t="inlineStr">
        <is>
          <t>UFCF</t>
        </is>
      </c>
      <c r="C7" s="169">
        <f>'Operating Model'!D69</f>
        <v/>
      </c>
      <c r="D7" s="169">
        <f>'Operating Model'!E69</f>
        <v/>
      </c>
      <c r="E7" s="169">
        <f>'Operating Model'!F69</f>
        <v/>
      </c>
      <c r="F7" s="169">
        <f>'Operating Model'!G69</f>
        <v/>
      </c>
      <c r="G7" s="169">
        <f>'Operating Model'!H69</f>
        <v/>
      </c>
      <c r="H7" s="169">
        <f>'Operating Model'!I69</f>
        <v/>
      </c>
      <c r="J7" s="41" t="inlineStr">
        <is>
          <t>PV of Projected UFCF</t>
        </is>
      </c>
      <c r="K7" s="168">
        <f>SUM(C12:H12)</f>
        <v/>
      </c>
      <c r="M7" s="41" t="inlineStr">
        <is>
          <t>PV of Projected UFCF</t>
        </is>
      </c>
      <c r="N7" s="168">
        <f>K7</f>
        <v/>
      </c>
      <c r="P7" s="110">
        <f>ROUND($K$6*200,0)/200+(-0.005)</f>
        <v/>
      </c>
      <c r="Q7" s="177">
        <f>(SUMPRODUCT($C$9:$H$9/(1+$P7)^$C$10:$H$10)+('Operating Model'!$I$29*(1+Q$5)-Q$5*'Operating Model'!$I$58)/($P7-Q$5)/(1+$P7)^$H$10+$K$12+$K$13+$K$14)/$K$16</f>
        <v/>
      </c>
      <c r="R7" s="177">
        <f>(SUMPRODUCT($C$9:$H$9/(1+$P7)^$C$10:$H$10)+('Operating Model'!$I$29*(1+R$5)-R$5*'Operating Model'!$I$58)/($P7-R$5)/(1+$P7)^$H$10+$K$12+$K$13+$K$14)/$K$16</f>
        <v/>
      </c>
      <c r="S7" s="177">
        <f>(SUMPRODUCT($C$9:$H$9/(1+$P7)^$C$10:$H$10)+('Operating Model'!$I$29*(1+S$5)-S$5*'Operating Model'!$I$58)/($P7-S$5)/(1+$P7)^$H$10+$K$12+$K$13+$K$14)/$K$16</f>
        <v/>
      </c>
      <c r="T7" s="177">
        <f>(SUMPRODUCT($C$9:$H$9/(1+$P7)^$C$10:$H$10)+('Operating Model'!$I$29*(1+T$5)-T$5*'Operating Model'!$I$58)/($P7-T$5)/(1+$P7)^$H$10+$K$12+$K$13+$K$14)/$K$16</f>
        <v/>
      </c>
      <c r="U7" s="177">
        <f>(SUMPRODUCT($C$9:$H$9/(1+$P7)^$C$10:$H$10)+('Operating Model'!$I$29*(1+U$5)-U$5*'Operating Model'!$I$58)/($P7-U$5)/(1+$P7)^$H$10+$K$12+$K$13+$K$14)/$K$16</f>
        <v/>
      </c>
    </row>
    <row r="8">
      <c r="B8" s="41" t="inlineStr">
        <is>
          <t>Year Fraction</t>
        </is>
      </c>
      <c r="C8" s="123">
        <f>$K$21</f>
        <v/>
      </c>
      <c r="D8" s="124" t="n">
        <v>1</v>
      </c>
      <c r="E8" s="124" t="n">
        <v>1</v>
      </c>
      <c r="F8" s="124" t="n">
        <v>1</v>
      </c>
      <c r="G8" s="124" t="n">
        <v>1</v>
      </c>
      <c r="H8" s="124" t="n">
        <v>1</v>
      </c>
      <c r="J8" s="41" t="inlineStr">
        <is>
          <t>Terminal Growth Rate</t>
        </is>
      </c>
      <c r="K8" s="26" t="n">
        <v>0.03</v>
      </c>
      <c r="M8" s="41" t="inlineStr">
        <is>
          <t>Final Year Adj. EBITDA</t>
        </is>
      </c>
      <c r="N8" s="168">
        <f>H14</f>
        <v/>
      </c>
      <c r="O8" s="43" t="inlineStr">
        <is>
          <t>WACC</t>
        </is>
      </c>
      <c r="P8" s="110">
        <f>ROUND($K$6*200,0)/200+(0)</f>
        <v/>
      </c>
      <c r="Q8" s="177">
        <f>(SUMPRODUCT($C$9:$H$9/(1+$P8)^$C$10:$H$10)+('Operating Model'!$I$29*(1+Q$5)-Q$5*'Operating Model'!$I$58)/($P8-Q$5)/(1+$P8)^$H$10+$K$12+$K$13+$K$14)/$K$16</f>
        <v/>
      </c>
      <c r="R8" s="177">
        <f>(SUMPRODUCT($C$9:$H$9/(1+$P8)^$C$10:$H$10)+('Operating Model'!$I$29*(1+R$5)-R$5*'Operating Model'!$I$58)/($P8-R$5)/(1+$P8)^$H$10+$K$12+$K$13+$K$14)/$K$16</f>
        <v/>
      </c>
      <c r="S8" s="177">
        <f>(SUMPRODUCT($C$9:$H$9/(1+$P8)^$C$10:$H$10)+('Operating Model'!$I$29*(1+S$5)-S$5*'Operating Model'!$I$58)/($P8-S$5)/(1+$P8)^$H$10+$K$12+$K$13+$K$14)/$K$16</f>
        <v/>
      </c>
      <c r="T8" s="177">
        <f>(SUMPRODUCT($C$9:$H$9/(1+$P8)^$C$10:$H$10)+('Operating Model'!$I$29*(1+T$5)-T$5*'Operating Model'!$I$58)/($P8-T$5)/(1+$P8)^$H$10+$K$12+$K$13+$K$14)/$K$16</f>
        <v/>
      </c>
      <c r="U8" s="177">
        <f>(SUMPRODUCT($C$9:$H$9/(1+$P8)^$C$10:$H$10)+('Operating Model'!$I$29*(1+U$5)-U$5*'Operating Model'!$I$58)/($P8-U$5)/(1+$P8)^$H$10+$K$12+$K$13+$K$14)/$K$16</f>
        <v/>
      </c>
    </row>
    <row r="9">
      <c r="B9" s="41" t="inlineStr">
        <is>
          <t>UFCF in Period</t>
        </is>
      </c>
      <c r="C9" s="168">
        <f>C7*C8</f>
        <v/>
      </c>
      <c r="D9" s="168">
        <f>D7*D8</f>
        <v/>
      </c>
      <c r="E9" s="168">
        <f>E7*E8</f>
        <v/>
      </c>
      <c r="F9" s="168">
        <f>F7*F8</f>
        <v/>
      </c>
      <c r="G9" s="168">
        <f>G7*G8</f>
        <v/>
      </c>
      <c r="H9" s="168">
        <f>H7*H8</f>
        <v/>
      </c>
      <c r="J9" s="41" t="inlineStr">
        <is>
          <t>Terminal Value</t>
        </is>
      </c>
      <c r="K9" s="168">
        <f>K22/(K6-K8)</f>
        <v/>
      </c>
      <c r="M9" s="41" t="inlineStr">
        <is>
          <t>Exit Multiple (EV / EBITDA)</t>
        </is>
      </c>
      <c r="N9" s="178" t="n">
        <v>13</v>
      </c>
      <c r="P9" s="110">
        <f>ROUND($K$6*200,0)/200+(0.005)</f>
        <v/>
      </c>
      <c r="Q9" s="177">
        <f>(SUMPRODUCT($C$9:$H$9/(1+$P9)^$C$10:$H$10)+('Operating Model'!$I$29*(1+Q$5)-Q$5*'Operating Model'!$I$58)/($P9-Q$5)/(1+$P9)^$H$10+$K$12+$K$13+$K$14)/$K$16</f>
        <v/>
      </c>
      <c r="R9" s="177">
        <f>(SUMPRODUCT($C$9:$H$9/(1+$P9)^$C$10:$H$10)+('Operating Model'!$I$29*(1+R$5)-R$5*'Operating Model'!$I$58)/($P9-R$5)/(1+$P9)^$H$10+$K$12+$K$13+$K$14)/$K$16</f>
        <v/>
      </c>
      <c r="S9" s="177">
        <f>(SUMPRODUCT($C$9:$H$9/(1+$P9)^$C$10:$H$10)+('Operating Model'!$I$29*(1+S$5)-S$5*'Operating Model'!$I$58)/($P9-S$5)/(1+$P9)^$H$10+$K$12+$K$13+$K$14)/$K$16</f>
        <v/>
      </c>
      <c r="T9" s="177">
        <f>(SUMPRODUCT($C$9:$H$9/(1+$P9)^$C$10:$H$10)+('Operating Model'!$I$29*(1+T$5)-T$5*'Operating Model'!$I$58)/($P9-T$5)/(1+$P9)^$H$10+$K$12+$K$13+$K$14)/$K$16</f>
        <v/>
      </c>
      <c r="U9" s="177">
        <f>(SUMPRODUCT($C$9:$H$9/(1+$P9)^$C$10:$H$10)+('Operating Model'!$I$29*(1+U$5)-U$5*'Operating Model'!$I$58)/($P9-U$5)/(1+$P9)^$H$10+$K$12+$K$13+$K$14)/$K$16</f>
        <v/>
      </c>
    </row>
    <row r="10">
      <c r="B10" s="41" t="inlineStr">
        <is>
          <t>Discount Period (mid-year)</t>
        </is>
      </c>
      <c r="C10" s="49">
        <f>C8/2</f>
        <v/>
      </c>
      <c r="D10" s="49">
        <f>SUM($C$8:C8)+D8/2</f>
        <v/>
      </c>
      <c r="E10" s="49">
        <f>SUM($C$8:D8)+E8/2</f>
        <v/>
      </c>
      <c r="F10" s="49">
        <f>SUM($C$8:E8)+F8/2</f>
        <v/>
      </c>
      <c r="G10" s="49">
        <f>SUM($C$8:F8)+G8/2</f>
        <v/>
      </c>
      <c r="H10" s="49">
        <f>SUM($C$8:G8)+H8/2</f>
        <v/>
      </c>
      <c r="J10" s="41" t="inlineStr">
        <is>
          <t>PV of TV (mid-year)</t>
        </is>
      </c>
      <c r="K10" s="168">
        <f>K9/(1+K6)^H10</f>
        <v/>
      </c>
      <c r="M10" s="41" t="inlineStr">
        <is>
          <t>Terminal Value</t>
        </is>
      </c>
      <c r="N10" s="168">
        <f>N8*N9</f>
        <v/>
      </c>
      <c r="P10" s="110">
        <f>ROUND($K$6*200,0)/200+(0.01)</f>
        <v/>
      </c>
      <c r="Q10" s="177">
        <f>(SUMPRODUCT($C$9:$H$9/(1+$P10)^$C$10:$H$10)+('Operating Model'!$I$29*(1+Q$5)-Q$5*'Operating Model'!$I$58)/($P10-Q$5)/(1+$P10)^$H$10+$K$12+$K$13+$K$14)/$K$16</f>
        <v/>
      </c>
      <c r="R10" s="177">
        <f>(SUMPRODUCT($C$9:$H$9/(1+$P10)^$C$10:$H$10)+('Operating Model'!$I$29*(1+R$5)-R$5*'Operating Model'!$I$58)/($P10-R$5)/(1+$P10)^$H$10+$K$12+$K$13+$K$14)/$K$16</f>
        <v/>
      </c>
      <c r="S10" s="177">
        <f>(SUMPRODUCT($C$9:$H$9/(1+$P10)^$C$10:$H$10)+('Operating Model'!$I$29*(1+S$5)-S$5*'Operating Model'!$I$58)/($P10-S$5)/(1+$P10)^$H$10+$K$12+$K$13+$K$14)/$K$16</f>
        <v/>
      </c>
      <c r="T10" s="177">
        <f>(SUMPRODUCT($C$9:$H$9/(1+$P10)^$C$10:$H$10)+('Operating Model'!$I$29*(1+T$5)-T$5*'Operating Model'!$I$58)/($P10-T$5)/(1+$P10)^$H$10+$K$12+$K$13+$K$14)/$K$16</f>
        <v/>
      </c>
      <c r="U10" s="177">
        <f>(SUMPRODUCT($C$9:$H$9/(1+$P10)^$C$10:$H$10)+('Operating Model'!$I$29*(1+U$5)-U$5*'Operating Model'!$I$58)/($P10-U$5)/(1+$P10)^$H$10+$K$12+$K$13+$K$14)/$K$16</f>
        <v/>
      </c>
    </row>
    <row r="11">
      <c r="B11" s="41" t="inlineStr">
        <is>
          <t>Discount Factor</t>
        </is>
      </c>
      <c r="C11" s="179">
        <f>1/(1+$K$6)^C10</f>
        <v/>
      </c>
      <c r="D11" s="179">
        <f>1/(1+$K$6)^D10</f>
        <v/>
      </c>
      <c r="E11" s="179">
        <f>1/(1+$K$6)^E10</f>
        <v/>
      </c>
      <c r="F11" s="179">
        <f>1/(1+$K$6)^F10</f>
        <v/>
      </c>
      <c r="G11" s="179">
        <f>1/(1+$K$6)^G10</f>
        <v/>
      </c>
      <c r="H11" s="179">
        <f>1/(1+$K$6)^H10</f>
        <v/>
      </c>
      <c r="J11" s="41" t="inlineStr">
        <is>
          <t>Enterprise Value</t>
        </is>
      </c>
      <c r="K11" s="180">
        <f>K7+K10</f>
        <v/>
      </c>
      <c r="M11" s="41" t="inlineStr">
        <is>
          <t>PV of TV</t>
        </is>
      </c>
      <c r="N11" s="168">
        <f>N10/(1+K6)^(H10+H8/2)</f>
        <v/>
      </c>
      <c r="P11" s="110">
        <f>ROUND($K$6*200,0)/200+(0.015)</f>
        <v/>
      </c>
      <c r="Q11" s="177">
        <f>(SUMPRODUCT($C$9:$H$9/(1+$P11)^$C$10:$H$10)+('Operating Model'!$I$29*(1+Q$5)-Q$5*'Operating Model'!$I$58)/($P11-Q$5)/(1+$P11)^$H$10+$K$12+$K$13+$K$14)/$K$16</f>
        <v/>
      </c>
      <c r="R11" s="177">
        <f>(SUMPRODUCT($C$9:$H$9/(1+$P11)^$C$10:$H$10)+('Operating Model'!$I$29*(1+R$5)-R$5*'Operating Model'!$I$58)/($P11-R$5)/(1+$P11)^$H$10+$K$12+$K$13+$K$14)/$K$16</f>
        <v/>
      </c>
      <c r="S11" s="177">
        <f>(SUMPRODUCT($C$9:$H$9/(1+$P11)^$C$10:$H$10)+('Operating Model'!$I$29*(1+S$5)-S$5*'Operating Model'!$I$58)/($P11-S$5)/(1+$P11)^$H$10+$K$12+$K$13+$K$14)/$K$16</f>
        <v/>
      </c>
      <c r="T11" s="177">
        <f>(SUMPRODUCT($C$9:$H$9/(1+$P11)^$C$10:$H$10)+('Operating Model'!$I$29*(1+T$5)-T$5*'Operating Model'!$I$58)/($P11-T$5)/(1+$P11)^$H$10+$K$12+$K$13+$K$14)/$K$16</f>
        <v/>
      </c>
      <c r="U11" s="177">
        <f>(SUMPRODUCT($C$9:$H$9/(1+$P11)^$C$10:$H$10)+('Operating Model'!$I$29*(1+U$5)-U$5*'Operating Model'!$I$58)/($P11-U$5)/(1+$P11)^$H$10+$K$12+$K$13+$K$14)/$K$16</f>
        <v/>
      </c>
    </row>
    <row r="12">
      <c r="B12" s="52" t="inlineStr">
        <is>
          <t>PV of UFCF</t>
        </is>
      </c>
      <c r="C12" s="170">
        <f>C9*C11</f>
        <v/>
      </c>
      <c r="D12" s="170">
        <f>D9*D11</f>
        <v/>
      </c>
      <c r="E12" s="170">
        <f>E9*E11</f>
        <v/>
      </c>
      <c r="F12" s="170">
        <f>F9*F11</f>
        <v/>
      </c>
      <c r="G12" s="170">
        <f>G9*G11</f>
        <v/>
      </c>
      <c r="H12" s="170">
        <f>H9*H11</f>
        <v/>
      </c>
      <c r="J12" s="41" t="inlineStr">
        <is>
          <t>(-) Debt</t>
        </is>
      </c>
      <c r="K12" s="181" t="n">
        <v>-3453.32</v>
      </c>
      <c r="M12" s="41" t="inlineStr">
        <is>
          <t>Enterprise Value</t>
        </is>
      </c>
      <c r="N12" s="180">
        <f>N7+N11</f>
        <v/>
      </c>
      <c r="P12" s="111" t="n"/>
    </row>
    <row r="13">
      <c r="J13" s="41" t="inlineStr">
        <is>
          <t>(-) Preferred Equity</t>
        </is>
      </c>
      <c r="K13" s="181" t="n">
        <v>-65</v>
      </c>
      <c r="M13" s="41" t="inlineStr">
        <is>
          <t>(-) Debt</t>
        </is>
      </c>
      <c r="N13" s="168">
        <f>K12</f>
        <v/>
      </c>
      <c r="P13" s="111" t="n"/>
      <c r="Q13" s="43" t="inlineStr">
        <is>
          <t>Exit Multiple (EV / EBITDA)</t>
        </is>
      </c>
    </row>
    <row r="14">
      <c r="B14" s="41" t="inlineStr">
        <is>
          <t>Adj. EBITDA</t>
        </is>
      </c>
      <c r="C14" s="169">
        <f>'Operating Model'!D18</f>
        <v/>
      </c>
      <c r="D14" s="169">
        <f>'Operating Model'!E18</f>
        <v/>
      </c>
      <c r="E14" s="169">
        <f>'Operating Model'!F18</f>
        <v/>
      </c>
      <c r="F14" s="169">
        <f>'Operating Model'!G18</f>
        <v/>
      </c>
      <c r="G14" s="169">
        <f>'Operating Model'!H18</f>
        <v/>
      </c>
      <c r="H14" s="169">
        <f>'Operating Model'!I18</f>
        <v/>
      </c>
      <c r="J14" s="41" t="inlineStr">
        <is>
          <t>(+) Cash</t>
        </is>
      </c>
      <c r="K14" s="181" t="n">
        <v>337.195</v>
      </c>
      <c r="M14" s="41" t="inlineStr">
        <is>
          <t>(-) Preferred Equity</t>
        </is>
      </c>
      <c r="N14" s="168">
        <f>K13</f>
        <v/>
      </c>
      <c r="P14" s="176">
        <f>N18</f>
        <v/>
      </c>
      <c r="Q14" s="182" t="n">
        <v>11</v>
      </c>
      <c r="R14" s="182" t="n">
        <v>12</v>
      </c>
      <c r="S14" s="182" t="n">
        <v>13</v>
      </c>
      <c r="T14" s="182" t="n">
        <v>14</v>
      </c>
      <c r="U14" s="182" t="n">
        <v>15</v>
      </c>
    </row>
    <row r="15">
      <c r="J15" s="41" t="inlineStr">
        <is>
          <t>Equity Value</t>
        </is>
      </c>
      <c r="K15" s="180">
        <f>K11+K12+K13+K14</f>
        <v/>
      </c>
      <c r="M15" s="41" t="inlineStr">
        <is>
          <t>(+) Cash</t>
        </is>
      </c>
      <c r="N15" s="168">
        <f>K14</f>
        <v/>
      </c>
      <c r="P15" s="110">
        <f>P6</f>
        <v/>
      </c>
      <c r="Q15" s="177">
        <f>(SUMPRODUCT($C$9:$H$9/(1+$P15)^$C$10:$H$10)+$H$14*Q$14/(1+$P15)^($H$10+$H$8/2)+$K$12+$K$13+$K$14)/$K$16</f>
        <v/>
      </c>
      <c r="R15" s="177">
        <f>(SUMPRODUCT($C$9:$H$9/(1+$P15)^$C$10:$H$10)+$H$14*R$14/(1+$P15)^($H$10+$H$8/2)+$K$12+$K$13+$K$14)/$K$16</f>
        <v/>
      </c>
      <c r="S15" s="177">
        <f>(SUMPRODUCT($C$9:$H$9/(1+$P15)^$C$10:$H$10)+$H$14*S$14/(1+$P15)^($H$10+$H$8/2)+$K$12+$K$13+$K$14)/$K$16</f>
        <v/>
      </c>
      <c r="T15" s="177">
        <f>(SUMPRODUCT($C$9:$H$9/(1+$P15)^$C$10:$H$10)+$H$14*T$14/(1+$P15)^($H$10+$H$8/2)+$K$12+$K$13+$K$14)/$K$16</f>
        <v/>
      </c>
      <c r="U15" s="177">
        <f>(SUMPRODUCT($C$9:$H$9/(1+$P15)^$C$10:$H$10)+$H$14*U$14/(1+$P15)^($H$10+$H$8/2)+$K$12+$K$13+$K$14)/$K$16</f>
        <v/>
      </c>
    </row>
    <row r="16">
      <c r="J16" s="41" t="inlineStr">
        <is>
          <t>Diluted Shares (mm)</t>
        </is>
      </c>
      <c r="K16" s="183" t="n">
        <v>104.044</v>
      </c>
      <c r="M16" s="41" t="inlineStr">
        <is>
          <t>Equity Value</t>
        </is>
      </c>
      <c r="N16" s="180">
        <f>N12+N13+N14+N15</f>
        <v/>
      </c>
      <c r="P16" s="110">
        <f>P7</f>
        <v/>
      </c>
      <c r="Q16" s="177">
        <f>(SUMPRODUCT($C$9:$H$9/(1+$P16)^$C$10:$H$10)+$H$14*Q$14/(1+$P16)^($H$10+$H$8/2)+$K$12+$K$13+$K$14)/$K$16</f>
        <v/>
      </c>
      <c r="R16" s="177">
        <f>(SUMPRODUCT($C$9:$H$9/(1+$P16)^$C$10:$H$10)+$H$14*R$14/(1+$P16)^($H$10+$H$8/2)+$K$12+$K$13+$K$14)/$K$16</f>
        <v/>
      </c>
      <c r="S16" s="177">
        <f>(SUMPRODUCT($C$9:$H$9/(1+$P16)^$C$10:$H$10)+$H$14*S$14/(1+$P16)^($H$10+$H$8/2)+$K$12+$K$13+$K$14)/$K$16</f>
        <v/>
      </c>
      <c r="T16" s="177">
        <f>(SUMPRODUCT($C$9:$H$9/(1+$P16)^$C$10:$H$10)+$H$14*T$14/(1+$P16)^($H$10+$H$8/2)+$K$12+$K$13+$K$14)/$K$16</f>
        <v/>
      </c>
      <c r="U16" s="177">
        <f>(SUMPRODUCT($C$9:$H$9/(1+$P16)^$C$10:$H$10)+$H$14*U$14/(1+$P16)^($H$10+$H$8/2)+$K$12+$K$13+$K$14)/$K$16</f>
        <v/>
      </c>
    </row>
    <row r="17">
      <c r="B17" s="2" t="inlineStr">
        <is>
          <t>Sum of the Parts (FY27E)</t>
        </is>
      </c>
      <c r="C17" s="2" t="inlineStr">
        <is>
          <t>FY27E EBITDA</t>
        </is>
      </c>
      <c r="D17" s="2" t="inlineStr">
        <is>
          <t>EV / EBITDA</t>
        </is>
      </c>
      <c r="E17" s="2" t="inlineStr">
        <is>
          <t>EV ($mm)</t>
        </is>
      </c>
      <c r="F17" s="2" t="inlineStr">
        <is>
          <t>$ / Share</t>
        </is>
      </c>
      <c r="J17" s="43" t="inlineStr">
        <is>
          <t>Implied Share Price</t>
        </is>
      </c>
      <c r="K17" s="184">
        <f>K15/K16</f>
        <v/>
      </c>
      <c r="M17" s="41" t="inlineStr">
        <is>
          <t>Diluted Shares (mm)</t>
        </is>
      </c>
      <c r="N17" s="185">
        <f>K16</f>
        <v/>
      </c>
      <c r="O17" s="43" t="inlineStr">
        <is>
          <t>WACC</t>
        </is>
      </c>
      <c r="P17" s="110">
        <f>P8</f>
        <v/>
      </c>
      <c r="Q17" s="177">
        <f>(SUMPRODUCT($C$9:$H$9/(1+$P17)^$C$10:$H$10)+$H$14*Q$14/(1+$P17)^($H$10+$H$8/2)+$K$12+$K$13+$K$14)/$K$16</f>
        <v/>
      </c>
      <c r="R17" s="177">
        <f>(SUMPRODUCT($C$9:$H$9/(1+$P17)^$C$10:$H$10)+$H$14*R$14/(1+$P17)^($H$10+$H$8/2)+$K$12+$K$13+$K$14)/$K$16</f>
        <v/>
      </c>
      <c r="S17" s="177">
        <f>(SUMPRODUCT($C$9:$H$9/(1+$P17)^$C$10:$H$10)+$H$14*S$14/(1+$P17)^($H$10+$H$8/2)+$K$12+$K$13+$K$14)/$K$16</f>
        <v/>
      </c>
      <c r="T17" s="177">
        <f>(SUMPRODUCT($C$9:$H$9/(1+$P17)^$C$10:$H$10)+$H$14*T$14/(1+$P17)^($H$10+$H$8/2)+$K$12+$K$13+$K$14)/$K$16</f>
        <v/>
      </c>
      <c r="U17" s="177">
        <f>(SUMPRODUCT($C$9:$H$9/(1+$P17)^$C$10:$H$10)+$H$14*U$14/(1+$P17)^($H$10+$H$8/2)+$K$12+$K$13+$K$14)/$K$16</f>
        <v/>
      </c>
    </row>
    <row r="18">
      <c r="B18" s="41" t="inlineStr">
        <is>
          <t>Aerospace Products</t>
        </is>
      </c>
      <c r="C18" s="169">
        <f>'Operating Model'!E14</f>
        <v/>
      </c>
      <c r="D18" s="178" t="n">
        <v>16</v>
      </c>
      <c r="E18" s="168">
        <f>C18*D18</f>
        <v/>
      </c>
      <c r="F18" s="177">
        <f>E18/$K$16</f>
        <v/>
      </c>
      <c r="J18" s="41" t="inlineStr">
        <is>
          <t>Current Price</t>
        </is>
      </c>
      <c r="K18" s="186" t="n">
        <v>167.03</v>
      </c>
      <c r="M18" s="43" t="inlineStr">
        <is>
          <t>Implied Share Price</t>
        </is>
      </c>
      <c r="N18" s="184">
        <f>N16/N17</f>
        <v/>
      </c>
      <c r="P18" s="110">
        <f>P9</f>
        <v/>
      </c>
      <c r="Q18" s="177">
        <f>(SUMPRODUCT($C$9:$H$9/(1+$P18)^$C$10:$H$10)+$H$14*Q$14/(1+$P18)^($H$10+$H$8/2)+$K$12+$K$13+$K$14)/$K$16</f>
        <v/>
      </c>
      <c r="R18" s="177">
        <f>(SUMPRODUCT($C$9:$H$9/(1+$P18)^$C$10:$H$10)+$H$14*R$14/(1+$P18)^($H$10+$H$8/2)+$K$12+$K$13+$K$14)/$K$16</f>
        <v/>
      </c>
      <c r="S18" s="177">
        <f>(SUMPRODUCT($C$9:$H$9/(1+$P18)^$C$10:$H$10)+$H$14*S$14/(1+$P18)^($H$10+$H$8/2)+$K$12+$K$13+$K$14)/$K$16</f>
        <v/>
      </c>
      <c r="T18" s="177">
        <f>(SUMPRODUCT($C$9:$H$9/(1+$P18)^$C$10:$H$10)+$H$14*T$14/(1+$P18)^($H$10+$H$8/2)+$K$12+$K$13+$K$14)/$K$16</f>
        <v/>
      </c>
      <c r="U18" s="177">
        <f>(SUMPRODUCT($C$9:$H$9/(1+$P18)^$C$10:$H$10)+$H$14*U$14/(1+$P18)^($H$10+$H$8/2)+$K$12+$K$13+$K$14)/$K$16</f>
        <v/>
      </c>
    </row>
    <row r="19">
      <c r="B19" s="41" t="inlineStr">
        <is>
          <t>FTAI Power</t>
        </is>
      </c>
      <c r="C19" s="169">
        <f>'Operating Model'!E15</f>
        <v/>
      </c>
      <c r="D19" s="178" t="n">
        <v>12</v>
      </c>
      <c r="E19" s="168">
        <f>C19*D19</f>
        <v/>
      </c>
      <c r="F19" s="177">
        <f>E19/$K$16</f>
        <v/>
      </c>
      <c r="J19" s="43" t="inlineStr">
        <is>
          <t>% Upside</t>
        </is>
      </c>
      <c r="K19" s="55">
        <f>(K17-K18)/K18</f>
        <v/>
      </c>
      <c r="M19" s="41" t="inlineStr">
        <is>
          <t>Current Price</t>
        </is>
      </c>
      <c r="N19" s="177">
        <f>K18</f>
        <v/>
      </c>
      <c r="P19" s="110">
        <f>P10</f>
        <v/>
      </c>
      <c r="Q19" s="177">
        <f>(SUMPRODUCT($C$9:$H$9/(1+$P19)^$C$10:$H$10)+$H$14*Q$14/(1+$P19)^($H$10+$H$8/2)+$K$12+$K$13+$K$14)/$K$16</f>
        <v/>
      </c>
      <c r="R19" s="177">
        <f>(SUMPRODUCT($C$9:$H$9/(1+$P19)^$C$10:$H$10)+$H$14*R$14/(1+$P19)^($H$10+$H$8/2)+$K$12+$K$13+$K$14)/$K$16</f>
        <v/>
      </c>
      <c r="S19" s="177">
        <f>(SUMPRODUCT($C$9:$H$9/(1+$P19)^$C$10:$H$10)+$H$14*S$14/(1+$P19)^($H$10+$H$8/2)+$K$12+$K$13+$K$14)/$K$16</f>
        <v/>
      </c>
      <c r="T19" s="177">
        <f>(SUMPRODUCT($C$9:$H$9/(1+$P19)^$C$10:$H$10)+$H$14*T$14/(1+$P19)^($H$10+$H$8/2)+$K$12+$K$13+$K$14)/$K$16</f>
        <v/>
      </c>
      <c r="U19" s="177">
        <f>(SUMPRODUCT($C$9:$H$9/(1+$P19)^$C$10:$H$10)+$H$14*U$14/(1+$P19)^($H$10+$H$8/2)+$K$12+$K$13+$K$14)/$K$16</f>
        <v/>
      </c>
    </row>
    <row r="20">
      <c r="B20" s="41" t="inlineStr">
        <is>
          <t>Aviation Leasing + SCI</t>
        </is>
      </c>
      <c r="C20" s="169">
        <f>'Operating Model'!E16</f>
        <v/>
      </c>
      <c r="D20" s="178" t="n">
        <v>9</v>
      </c>
      <c r="E20" s="168">
        <f>C20*D20</f>
        <v/>
      </c>
      <c r="F20" s="177">
        <f>E20/$K$16</f>
        <v/>
      </c>
      <c r="M20" s="43" t="inlineStr">
        <is>
          <t>% Upside</t>
        </is>
      </c>
      <c r="N20" s="55">
        <f>(N18-N19)/N19</f>
        <v/>
      </c>
      <c r="P20" s="110">
        <f>P11</f>
        <v/>
      </c>
      <c r="Q20" s="177">
        <f>(SUMPRODUCT($C$9:$H$9/(1+$P20)^$C$10:$H$10)+$H$14*Q$14/(1+$P20)^($H$10+$H$8/2)+$K$12+$K$13+$K$14)/$K$16</f>
        <v/>
      </c>
      <c r="R20" s="177">
        <f>(SUMPRODUCT($C$9:$H$9/(1+$P20)^$C$10:$H$10)+$H$14*R$14/(1+$P20)^($H$10+$H$8/2)+$K$12+$K$13+$K$14)/$K$16</f>
        <v/>
      </c>
      <c r="S20" s="177">
        <f>(SUMPRODUCT($C$9:$H$9/(1+$P20)^$C$10:$H$10)+$H$14*S$14/(1+$P20)^($H$10+$H$8/2)+$K$12+$K$13+$K$14)/$K$16</f>
        <v/>
      </c>
      <c r="T20" s="177">
        <f>(SUMPRODUCT($C$9:$H$9/(1+$P20)^$C$10:$H$10)+$H$14*T$14/(1+$P20)^($H$10+$H$8/2)+$K$12+$K$13+$K$14)/$K$16</f>
        <v/>
      </c>
      <c r="U20" s="177">
        <f>(SUMPRODUCT($C$9:$H$9/(1+$P20)^$C$10:$H$10)+$H$14*U$14/(1+$P20)^($H$10+$H$8/2)+$K$12+$K$13+$K$14)/$K$16</f>
        <v/>
      </c>
    </row>
    <row r="21">
      <c r="B21" s="41" t="inlineStr">
        <is>
          <t>Corporate &amp; Eliminations</t>
        </is>
      </c>
      <c r="C21" s="169">
        <f>'Operating Model'!E17</f>
        <v/>
      </c>
      <c r="D21" s="187">
        <f>SUMPRODUCT(C18:C20,D18:D20)/SUM(C18:C20)</f>
        <v/>
      </c>
      <c r="E21" s="168">
        <f>C21*D21</f>
        <v/>
      </c>
      <c r="F21" s="177">
        <f>E21/$K$16</f>
        <v/>
      </c>
      <c r="J21" s="41" t="inlineStr">
        <is>
          <t>Stub Year Fraction (FY26)</t>
        </is>
      </c>
      <c r="K21" s="124" t="n">
        <v>0.5</v>
      </c>
    </row>
    <row r="22">
      <c r="B22" s="52" t="inlineStr">
        <is>
          <t>Enterprise Value</t>
        </is>
      </c>
      <c r="C22" s="170">
        <f>SUM(C18:C21)</f>
        <v/>
      </c>
      <c r="D22" s="188">
        <f>E22/C22</f>
        <v/>
      </c>
      <c r="E22" s="170">
        <f>SUM(E18:E21)</f>
        <v/>
      </c>
      <c r="F22" s="184">
        <f>E22/$K$16</f>
        <v/>
      </c>
      <c r="J22" s="41" t="inlineStr">
        <is>
          <t>Normalized Terminal UFCF</t>
        </is>
      </c>
      <c r="K22" s="169">
        <f>'Operating Model'!I29*(1+K8)-K8*'Operating Model'!I58</f>
        <v/>
      </c>
      <c r="M22" s="41" t="inlineStr">
        <is>
          <t>Implied Terminal Growth</t>
        </is>
      </c>
      <c r="N22" s="47">
        <f>(N10/(1+K6)^0.5*K6-'Operating Model'!I29)/(N10/(1+K6)^0.5+'Operating Model'!I29-'Operating Model'!I58)</f>
        <v/>
      </c>
    </row>
    <row r="23">
      <c r="B23" s="41" t="inlineStr">
        <is>
          <t>(-) Net Debt (YE27E)</t>
        </is>
      </c>
      <c r="E23" s="169">
        <f>-'Operating Model'!E79</f>
        <v/>
      </c>
      <c r="F23" s="177">
        <f>E23/$K$16</f>
        <v/>
      </c>
      <c r="M23" s="41" t="inlineStr">
        <is>
          <t>Implied Exit Multiple (Perpetuity)</t>
        </is>
      </c>
      <c r="N23" s="187">
        <f>K9*(1+K6)^0.5/H14</f>
        <v/>
      </c>
    </row>
    <row r="24">
      <c r="B24" s="41" t="inlineStr">
        <is>
          <t>(-) Preferred Equity</t>
        </is>
      </c>
      <c r="E24" s="168">
        <f>K13</f>
        <v/>
      </c>
      <c r="F24" s="177">
        <f>E24/$K$16</f>
        <v/>
      </c>
    </row>
    <row r="25">
      <c r="B25" s="52" t="inlineStr">
        <is>
          <t>Equity Value</t>
        </is>
      </c>
      <c r="C25" s="65" t="n"/>
      <c r="D25" s="65" t="n"/>
      <c r="E25" s="170">
        <f>E22+E23+E24</f>
        <v/>
      </c>
      <c r="F25" s="184">
        <f>E25/$K$16</f>
        <v/>
      </c>
      <c r="J25" s="43" t="inlineStr">
        <is>
          <t>R/R</t>
        </is>
      </c>
      <c r="M25" s="2" t="inlineStr">
        <is>
          <t>Blended Valuation</t>
        </is>
      </c>
      <c r="N25" s="2" t="n"/>
    </row>
    <row r="26" ht="15.75" customHeight="1" thickBot="1">
      <c r="B26" s="41" t="inlineStr">
        <is>
          <t>Current Price</t>
        </is>
      </c>
      <c r="F26" s="177">
        <f>K18</f>
        <v/>
      </c>
      <c r="J26" s="41" t="inlineStr">
        <is>
          <t>Reward (Bull blended % upside)</t>
        </is>
      </c>
      <c r="K26" s="130" t="n">
        <v>1.319</v>
      </c>
      <c r="M26" s="41" t="inlineStr">
        <is>
          <t>Perpetuity Growth Method</t>
        </is>
      </c>
      <c r="N26" s="177">
        <f>K17</f>
        <v/>
      </c>
    </row>
    <row r="27" ht="15.75" customHeight="1" thickBot="1">
      <c r="B27" s="113" t="inlineStr">
        <is>
          <t>SOTP % Upside</t>
        </is>
      </c>
      <c r="C27" s="114" t="n"/>
      <c r="D27" s="114" t="n"/>
      <c r="E27" s="114" t="n"/>
      <c r="F27" s="112">
        <f>F25/F26-1</f>
        <v/>
      </c>
      <c r="J27" s="41" t="inlineStr">
        <is>
          <t>Risk (Bear blended % downside)</t>
        </is>
      </c>
      <c r="K27" s="130" t="n">
        <v>-0.386</v>
      </c>
      <c r="M27" s="41" t="inlineStr">
        <is>
          <t>Exit Multiple Method</t>
        </is>
      </c>
      <c r="N27" s="177">
        <f>N18</f>
        <v/>
      </c>
    </row>
    <row r="28">
      <c r="J28" s="43" t="inlineStr">
        <is>
          <t>R/R Skew</t>
        </is>
      </c>
      <c r="K28" s="189">
        <f>IFERROR(K26/(-1*K27),0)</f>
        <v/>
      </c>
      <c r="M28" s="41" t="inlineStr">
        <is>
          <t>Weight on Perpetuity Method</t>
        </is>
      </c>
      <c r="N28" s="26" t="n">
        <v>0.5</v>
      </c>
    </row>
    <row r="29">
      <c r="B29" s="41" t="inlineStr">
        <is>
          <t>SOTP Price ex-Power</t>
        </is>
      </c>
      <c r="F29" s="177">
        <f>(E25-E19)/$K$16</f>
        <v/>
      </c>
      <c r="M29" s="43" t="inlineStr">
        <is>
          <t>Blended Share Price</t>
        </is>
      </c>
      <c r="N29" s="184">
        <f>N26*N28+N27*(1-N28)</f>
        <v/>
      </c>
    </row>
    <row r="30">
      <c r="B30" s="41" t="inlineStr">
        <is>
          <t>SOTP % Upside ex-Power</t>
        </is>
      </c>
      <c r="F30" s="47">
        <f>F29/F26-1</f>
        <v/>
      </c>
      <c r="M30" s="41" t="inlineStr">
        <is>
          <t>Current Price</t>
        </is>
      </c>
      <c r="N30" s="177">
        <f>K18</f>
        <v/>
      </c>
    </row>
    <row r="31">
      <c r="M31" s="43" t="inlineStr">
        <is>
          <t>Blended % Upside</t>
        </is>
      </c>
      <c r="N31" s="55">
        <f>N29/N30-1</f>
        <v/>
      </c>
    </row>
  </sheetData>
  <conditionalFormatting sqref="Q6:U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U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C3" showDropDown="0" showInputMessage="1" showErrorMessage="1" allowBlank="1" type="list">
      <formula1>"Bear,Base,Bull"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B1" s="190" t="inlineStr">
        <is>
          <t>FTAI Aviation</t>
        </is>
      </c>
    </row>
    <row r="2">
      <c r="B2" s="171" t="inlineStr">
        <is>
          <t>1-Year Valuation (target date Oct-27) – matches the pitch deck</t>
        </is>
      </c>
    </row>
    <row r="3">
      <c r="B3" s="191" t="inlineStr">
        <is>
          <t>Case follows DCF!C3. NTM = Q4'27–Q3'28 ≈ ¼ FY27E + ¾ FY28E; net debt interpolated YE26E → YE27E. $ in millions except per share.</t>
        </is>
      </c>
    </row>
    <row r="5">
      <c r="B5" s="192" t="inlineStr">
        <is>
          <t>Case-specific multiples (EV / NTM EBITDA)</t>
        </is>
      </c>
      <c r="H5" s="192" t="inlineStr">
        <is>
          <t>Case outputs (pasted values from the case toggle)</t>
        </is>
      </c>
    </row>
    <row r="6">
      <c r="B6" s="193" t="inlineStr">
        <is>
          <t>Segment</t>
        </is>
      </c>
      <c r="C6" s="193" t="inlineStr">
        <is>
          <t>Bear</t>
        </is>
      </c>
      <c r="D6" s="193" t="inlineStr">
        <is>
          <t>Base</t>
        </is>
      </c>
      <c r="E6" s="193" t="inlineStr">
        <is>
          <t>Bull</t>
        </is>
      </c>
      <c r="F6" s="193" t="inlineStr">
        <is>
          <t>Active</t>
        </is>
      </c>
      <c r="H6" s="193" t="inlineStr"/>
      <c r="I6" s="193" t="inlineStr">
        <is>
          <t>Bear</t>
        </is>
      </c>
      <c r="J6" s="193" t="inlineStr">
        <is>
          <t>Base</t>
        </is>
      </c>
      <c r="K6" s="193" t="inlineStr">
        <is>
          <t>Bull</t>
        </is>
      </c>
    </row>
    <row r="7">
      <c r="B7" s="172" t="inlineStr">
        <is>
          <t>Aerospace Products</t>
        </is>
      </c>
      <c r="C7" s="194" t="n">
        <v>10</v>
      </c>
      <c r="D7" s="194" t="n">
        <v>14</v>
      </c>
      <c r="E7" s="194" t="n">
        <v>16</v>
      </c>
      <c r="F7" s="195">
        <f>CHOOSE(MATCH(DCF!$C$3,{"Bear","Base","Bull"},0),C7,D7,E7)</f>
        <v/>
      </c>
      <c r="H7" s="172" t="inlineStr">
        <is>
          <t>NTM adj. EBITDA ($M)</t>
        </is>
      </c>
      <c r="I7" s="196" t="n">
        <v>1562.1</v>
      </c>
      <c r="J7" s="196" t="n">
        <v>2843.4</v>
      </c>
      <c r="K7" s="196" t="n">
        <v>3402</v>
      </c>
    </row>
    <row r="8">
      <c r="B8" s="172" t="inlineStr">
        <is>
          <t>FTAI Power</t>
        </is>
      </c>
      <c r="C8" s="194" t="n">
        <v>8</v>
      </c>
      <c r="D8" s="194" t="n">
        <v>10</v>
      </c>
      <c r="E8" s="194" t="n">
        <v>12</v>
      </c>
      <c r="F8" s="195">
        <f>CHOOSE(MATCH(DCF!$C$3,{"Bear","Base","Bull"},0),C8,D8,E8)</f>
        <v/>
      </c>
      <c r="H8" s="172" t="inlineStr">
        <is>
          <t>1-year target ($ / share)</t>
        </is>
      </c>
      <c r="I8" s="197" t="n">
        <v>113.52</v>
      </c>
      <c r="J8" s="197" t="n">
        <v>309.32</v>
      </c>
      <c r="K8" s="197" t="n">
        <v>429.94</v>
      </c>
    </row>
    <row r="9">
      <c r="B9" s="172" t="inlineStr">
        <is>
          <t>Aviation Leasing + SCI</t>
        </is>
      </c>
      <c r="C9" s="194" t="n">
        <v>8</v>
      </c>
      <c r="D9" s="194" t="n">
        <v>9</v>
      </c>
      <c r="E9" s="194" t="n">
        <v>9</v>
      </c>
      <c r="F9" s="195">
        <f>CHOOSE(MATCH(DCF!$C$3,{"Bear","Base","Bull"},0),C9,D9,E9)</f>
        <v/>
      </c>
      <c r="H9" s="172" t="inlineStr">
        <is>
          <t>Return vs. $167.03</t>
        </is>
      </c>
      <c r="I9" s="198" t="n">
        <v>-0.32</v>
      </c>
      <c r="J9" s="198" t="n">
        <v>0.852</v>
      </c>
      <c r="K9" s="198" t="n">
        <v>1.574</v>
      </c>
    </row>
    <row r="10">
      <c r="H10" s="172" t="inlineStr">
        <is>
          <t>Probability</t>
        </is>
      </c>
      <c r="I10" s="198" t="n">
        <v>0.2</v>
      </c>
      <c r="J10" s="198" t="n">
        <v>0.6</v>
      </c>
      <c r="K10" s="198" t="n">
        <v>0.2</v>
      </c>
    </row>
    <row r="11">
      <c r="B11" s="192" t="inlineStr">
        <is>
          <t>NTM weights</t>
        </is>
      </c>
      <c r="H11" s="171" t="inlineStr">
        <is>
          <t>Probability-weighted target</t>
        </is>
      </c>
      <c r="J11" s="199">
        <f>SUMPRODUCT(I8:K8,I10:K10)</f>
        <v/>
      </c>
    </row>
    <row r="12">
      <c r="B12" s="172" t="inlineStr">
        <is>
          <t>Weight on FY27E</t>
        </is>
      </c>
      <c r="C12" s="198" t="n">
        <v>0.25</v>
      </c>
      <c r="H12" s="172" t="inlineStr">
        <is>
          <t>Probability-weighted return</t>
        </is>
      </c>
      <c r="J12" s="200">
        <f>J11/F25-1</f>
        <v/>
      </c>
    </row>
    <row r="13">
      <c r="B13" s="172" t="inlineStr">
        <is>
          <t>Weight on FY28E</t>
        </is>
      </c>
      <c r="C13" s="200">
        <f>1-C12</f>
        <v/>
      </c>
      <c r="H13" s="171" t="inlineStr">
        <is>
          <t>Reward / risk (bull up / bear down)</t>
        </is>
      </c>
      <c r="J13" s="201">
        <f>K9/-I9</f>
        <v/>
      </c>
    </row>
    <row r="15">
      <c r="B15" s="192" t="inlineStr">
        <is>
          <t>Sum of the parts at Oct-27 (active case)</t>
        </is>
      </c>
      <c r="H15" s="192" t="inlineStr">
        <is>
          <t>Value bridge by thesis (base multiples)</t>
        </is>
      </c>
    </row>
    <row r="16">
      <c r="B16" s="193" t="inlineStr">
        <is>
          <t>Segment</t>
        </is>
      </c>
      <c r="C16" s="193" t="inlineStr">
        <is>
          <t>NTM EBITDA</t>
        </is>
      </c>
      <c r="D16" s="193" t="inlineStr">
        <is>
          <t>EV / EBITDA</t>
        </is>
      </c>
      <c r="E16" s="193" t="inlineStr">
        <is>
          <t>EV</t>
        </is>
      </c>
      <c r="F16" s="193" t="inlineStr">
        <is>
          <t>$ / share</t>
        </is>
      </c>
      <c r="H16" s="193" t="inlineStr">
        <is>
          <t>Step</t>
        </is>
      </c>
      <c r="I16" s="193" t="inlineStr">
        <is>
          <t>$ / share</t>
        </is>
      </c>
      <c r="J16" s="193" t="inlineStr">
        <is>
          <t>Cumulative</t>
        </is>
      </c>
    </row>
    <row r="17">
      <c r="B17" s="172" t="inlineStr">
        <is>
          <t>Aerospace Products</t>
        </is>
      </c>
      <c r="C17" s="202">
        <f>$C$12*'Operating Model'!E14+$C$13*'Operating Model'!F14</f>
        <v/>
      </c>
      <c r="D17" s="195">
        <f>F7</f>
        <v/>
      </c>
      <c r="E17" s="203">
        <f>C17*D17</f>
        <v/>
      </c>
      <c r="F17" s="204">
        <f>E17/DCF!$K$16</f>
        <v/>
      </c>
      <c r="H17" s="172" t="inlineStr">
        <is>
          <t>Bear-case outcomes (≈ today's $167)</t>
        </is>
      </c>
      <c r="I17" s="197" t="n">
        <v>161.2</v>
      </c>
      <c r="J17" s="204">
        <f>SUM($I$17:I17)</f>
        <v/>
      </c>
    </row>
    <row r="18">
      <c r="B18" s="172" t="inlineStr">
        <is>
          <t>FTAI Power</t>
        </is>
      </c>
      <c r="C18" s="202">
        <f>$C$12*'Operating Model'!E15+$C$13*'Operating Model'!F15</f>
        <v/>
      </c>
      <c r="D18" s="195">
        <f>F8</f>
        <v/>
      </c>
      <c r="E18" s="203">
        <f>C18*D18</f>
        <v/>
      </c>
      <c r="F18" s="204">
        <f>E18/DCF!$K$16</f>
        <v/>
      </c>
      <c r="H18" s="172" t="inlineStr">
        <is>
          <t>+ Thesis I: margins (margin, PMA, pass-through, escalator, inventory)</t>
        </is>
      </c>
      <c r="I18" s="197" t="n">
        <v>22.3</v>
      </c>
      <c r="J18" s="204">
        <f>SUM($I$17:I18)</f>
        <v/>
      </c>
    </row>
    <row r="19">
      <c r="B19" s="172" t="inlineStr">
        <is>
          <t>Aviation Leasing + SCI</t>
        </is>
      </c>
      <c r="C19" s="202">
        <f>$C$12*'Operating Model'!E16+$C$13*'Operating Model'!F16</f>
        <v/>
      </c>
      <c r="D19" s="195">
        <f>F9</f>
        <v/>
      </c>
      <c r="E19" s="203">
        <f>C19*D19</f>
        <v/>
      </c>
      <c r="F19" s="204">
        <f>E19/DCF!$K$16</f>
        <v/>
      </c>
      <c r="H19" s="172" t="inlineStr">
        <is>
          <t>+ Thesis II: share (retirements, SV rates, share, SCI fleet, leasing)</t>
        </is>
      </c>
      <c r="I19" s="197" t="n">
        <v>62.4</v>
      </c>
      <c r="J19" s="204">
        <f>SUM($I$17:I19)</f>
        <v/>
      </c>
    </row>
    <row r="20">
      <c r="B20" s="172" t="inlineStr">
        <is>
          <t>Corporate &amp; eliminations (at blended multiple)</t>
        </is>
      </c>
      <c r="C20" s="202">
        <f>$C$12*'Operating Model'!E17+$C$13*'Operating Model'!F17</f>
        <v/>
      </c>
      <c r="D20" s="195">
        <f>SUM(E17:E19)/SUM(C17:C19)</f>
        <v/>
      </c>
      <c r="E20" s="203">
        <f>C20*D20</f>
        <v/>
      </c>
      <c r="F20" s="204">
        <f>E20/DCF!$K$16</f>
        <v/>
      </c>
      <c r="H20" s="172" t="inlineStr">
        <is>
          <t>+ Thesis III: Power (units, JV share, margin)</t>
        </is>
      </c>
      <c r="I20" s="197" t="n">
        <v>63.4</v>
      </c>
      <c r="J20" s="204">
        <f>SUM($I$17:I20)</f>
        <v/>
      </c>
    </row>
    <row r="21">
      <c r="B21" s="205" t="inlineStr">
        <is>
          <t>Enterprise value</t>
        </is>
      </c>
      <c r="C21" s="206">
        <f>SUM(C17:C20)</f>
        <v/>
      </c>
      <c r="D21" s="207">
        <f>E21/C21</f>
        <v/>
      </c>
      <c r="E21" s="206">
        <f>SUM(E17:E20)</f>
        <v/>
      </c>
      <c r="F21" s="208">
        <f>E21/DCF!$K$16</f>
        <v/>
      </c>
      <c r="H21" s="171" t="inlineStr">
        <is>
          <t>Base-case 1-year target</t>
        </is>
      </c>
      <c r="J21" s="199">
        <f>J20</f>
        <v/>
      </c>
    </row>
    <row r="22">
      <c r="B22" s="172" t="inlineStr">
        <is>
          <t>(–) Net debt (Sep-27E)</t>
        </is>
      </c>
      <c r="E22" s="202">
        <f>-($C$12*'Operating Model'!D79+$C$13*'Operating Model'!E79)</f>
        <v/>
      </c>
      <c r="F22" s="204">
        <f>E22/DCF!$K$16</f>
        <v/>
      </c>
      <c r="H22" s="209" t="inlineStr">
        <is>
          <t>Method: starting from the Bear case, each thesis's Assumptions bear rows were set to base values in order (I → II → III) and the SOTP re-run at base multiples. Order-dependent; values pasted.</t>
        </is>
      </c>
    </row>
    <row r="23">
      <c r="B23" s="172" t="inlineStr">
        <is>
          <t>(–) Preferred equity</t>
        </is>
      </c>
      <c r="E23" s="202">
        <f>DCF!K13</f>
        <v/>
      </c>
      <c r="F23" s="204">
        <f>E23/DCF!$K$16</f>
        <v/>
      </c>
    </row>
    <row r="24">
      <c r="B24" s="205" t="inlineStr">
        <is>
          <t>1-year target (equity value / share)</t>
        </is>
      </c>
      <c r="C24" s="210" t="n"/>
      <c r="D24" s="210" t="n"/>
      <c r="E24" s="206">
        <f>SUM(E21:E23)</f>
        <v/>
      </c>
      <c r="F24" s="211">
        <f>E24/DCF!$K$16</f>
        <v/>
      </c>
    </row>
    <row r="25">
      <c r="B25" s="172" t="inlineStr">
        <is>
          <t>Current price</t>
        </is>
      </c>
      <c r="F25" s="173">
        <f>DCF!K18</f>
        <v/>
      </c>
    </row>
    <row r="26">
      <c r="B26" s="171" t="inlineStr">
        <is>
          <t>Return</t>
        </is>
      </c>
      <c r="F26" s="212">
        <f>F24/F25-1</f>
        <v/>
      </c>
    </row>
    <row r="28">
      <c r="B28" s="192" t="inlineStr">
        <is>
          <t>Cross-checks (active case)</t>
        </is>
      </c>
    </row>
    <row r="29">
      <c r="B29" s="172" t="inlineStr">
        <is>
          <t>EV / NTM EBITDA today (NTM ≈ ¼ FY26E + ¾ FY27E)</t>
        </is>
      </c>
      <c r="F29" s="195">
        <f>Cover!C21/($C$12*'Operating Model'!D18+$C$13*'Operating Model'!E18)</f>
        <v/>
      </c>
    </row>
    <row r="30">
      <c r="B30" s="172" t="inlineStr">
        <is>
          <t>EV / NTM EBITDA at target</t>
        </is>
      </c>
      <c r="F30" s="195">
        <f>D21</f>
        <v/>
      </c>
    </row>
    <row r="31">
      <c r="B31" s="172" t="inlineStr">
        <is>
          <t>Target ex-Power (Power multiple = 0)</t>
        </is>
      </c>
      <c r="F31" s="204">
        <f>((E17+E19)*(1+C20/SUM(C17:C19))+E22+E23)/DCF!$K$16</f>
        <v/>
      </c>
    </row>
    <row r="32">
      <c r="B32" s="172" t="inlineStr">
        <is>
          <t>Aerospace multiple implied by today's price</t>
        </is>
      </c>
      <c r="F32" s="195">
        <f>((F25*DCF!$K$16-E22-E23)/(1+C20/SUM(C17:C19))-E18-E19)/C17</f>
        <v/>
      </c>
    </row>
    <row r="33">
      <c r="B33" s="172" t="inlineStr">
        <is>
          <t>$ / share per 1x of Aerospace multiple</t>
        </is>
      </c>
      <c r="F33" s="204">
        <f>C17*(1+C20/SUM(C17:C19))/DCF!$K$16</f>
        <v/>
      </c>
    </row>
    <row r="34">
      <c r="B34" s="172" t="inlineStr">
        <is>
          <t>Blended DCF rolled forward 1 year (– dividends)</t>
        </is>
      </c>
      <c r="F34" s="204">
        <f>DCF!N29*(1+'WACC Calculation'!B19)-C35</f>
        <v/>
      </c>
    </row>
    <row r="35">
      <c r="B35" s="172" t="inlineStr">
        <is>
          <t>Dividends next 12 months ($ / share)</t>
        </is>
      </c>
      <c r="C35" s="197" t="n">
        <v>2</v>
      </c>
    </row>
    <row r="37">
      <c r="B37" s="192" t="inlineStr">
        <is>
          <t>Sensitivity: 1-year target, Aerospace × Power multiple (active case)</t>
        </is>
      </c>
    </row>
    <row r="38">
      <c r="B38" s="193" t="inlineStr">
        <is>
          <t>Aero \ Power</t>
        </is>
      </c>
      <c r="C38" s="213" t="n">
        <v>6</v>
      </c>
      <c r="D38" s="213" t="n">
        <v>8</v>
      </c>
      <c r="E38" s="213" t="n">
        <v>10</v>
      </c>
      <c r="F38" s="213" t="n">
        <v>12</v>
      </c>
    </row>
    <row r="39">
      <c r="B39" s="214" t="n">
        <v>10</v>
      </c>
      <c r="C39" s="204">
        <f>(($B39*$C$17+C$38*$C$18+$D$19*$C$19)*(1+$C$20/SUM($C$17:$C$19))+$E$22+$E$23)/DCF!$K$16</f>
        <v/>
      </c>
      <c r="D39" s="204">
        <f>(($B39*$C$17+D$38*$C$18+$D$19*$C$19)*(1+$C$20/SUM($C$17:$C$19))+$E$22+$E$23)/DCF!$K$16</f>
        <v/>
      </c>
      <c r="E39" s="204">
        <f>(($B39*$C$17+E$38*$C$18+$D$19*$C$19)*(1+$C$20/SUM($C$17:$C$19))+$E$22+$E$23)/DCF!$K$16</f>
        <v/>
      </c>
      <c r="F39" s="204">
        <f>(($B39*$C$17+F$38*$C$18+$D$19*$C$19)*(1+$C$20/SUM($C$17:$C$19))+$E$22+$E$23)/DCF!$K$16</f>
        <v/>
      </c>
    </row>
    <row r="40">
      <c r="B40" s="214" t="n">
        <v>12</v>
      </c>
      <c r="C40" s="204">
        <f>(($B40*$C$17+C$38*$C$18+$D$19*$C$19)*(1+$C$20/SUM($C$17:$C$19))+$E$22+$E$23)/DCF!$K$16</f>
        <v/>
      </c>
      <c r="D40" s="204">
        <f>(($B40*$C$17+D$38*$C$18+$D$19*$C$19)*(1+$C$20/SUM($C$17:$C$19))+$E$22+$E$23)/DCF!$K$16</f>
        <v/>
      </c>
      <c r="E40" s="204">
        <f>(($B40*$C$17+E$38*$C$18+$D$19*$C$19)*(1+$C$20/SUM($C$17:$C$19))+$E$22+$E$23)/DCF!$K$16</f>
        <v/>
      </c>
      <c r="F40" s="204">
        <f>(($B40*$C$17+F$38*$C$18+$D$19*$C$19)*(1+$C$20/SUM($C$17:$C$19))+$E$22+$E$23)/DCF!$K$16</f>
        <v/>
      </c>
    </row>
    <row r="41">
      <c r="B41" s="214" t="n">
        <v>14</v>
      </c>
      <c r="C41" s="204">
        <f>(($B41*$C$17+C$38*$C$18+$D$19*$C$19)*(1+$C$20/SUM($C$17:$C$19))+$E$22+$E$23)/DCF!$K$16</f>
        <v/>
      </c>
      <c r="D41" s="204">
        <f>(($B41*$C$17+D$38*$C$18+$D$19*$C$19)*(1+$C$20/SUM($C$17:$C$19))+$E$22+$E$23)/DCF!$K$16</f>
        <v/>
      </c>
      <c r="E41" s="204">
        <f>(($B41*$C$17+E$38*$C$18+$D$19*$C$19)*(1+$C$20/SUM($C$17:$C$19))+$E$22+$E$23)/DCF!$K$16</f>
        <v/>
      </c>
      <c r="F41" s="204">
        <f>(($B41*$C$17+F$38*$C$18+$D$19*$C$19)*(1+$C$20/SUM($C$17:$C$19))+$E$22+$E$23)/DCF!$K$16</f>
        <v/>
      </c>
    </row>
    <row r="42">
      <c r="B42" s="214" t="n">
        <v>16</v>
      </c>
      <c r="C42" s="204">
        <f>(($B42*$C$17+C$38*$C$18+$D$19*$C$19)*(1+$C$20/SUM($C$17:$C$19))+$E$22+$E$23)/DCF!$K$16</f>
        <v/>
      </c>
      <c r="D42" s="204">
        <f>(($B42*$C$17+D$38*$C$18+$D$19*$C$19)*(1+$C$20/SUM($C$17:$C$19))+$E$22+$E$23)/DCF!$K$16</f>
        <v/>
      </c>
      <c r="E42" s="204">
        <f>(($B42*$C$17+E$38*$C$18+$D$19*$C$19)*(1+$C$20/SUM($C$17:$C$19))+$E$22+$E$23)/DCF!$K$16</f>
        <v/>
      </c>
      <c r="F42" s="204">
        <f>(($B42*$C$17+F$38*$C$18+$D$19*$C$19)*(1+$C$20/SUM($C$17:$C$19))+$E$22+$E$23)/DCF!$K$16</f>
        <v/>
      </c>
    </row>
  </sheetData>
  <mergeCells count="1">
    <mergeCell ref="H22:L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2" customWidth="1" min="4" max="4"/>
    <col width="14" customWidth="1" min="5" max="5"/>
    <col width="16" customWidth="1" min="6" max="6"/>
    <col width="60" customWidth="1" min="7" max="7"/>
    <col width="3" customWidth="1" min="8" max="8"/>
  </cols>
  <sheetData>
    <row r="1">
      <c r="B1" s="190" t="inlineStr">
        <is>
          <t>FTAI Aviation</t>
        </is>
      </c>
    </row>
    <row r="2">
      <c r="B2" s="171" t="inlineStr">
        <is>
          <t>Diligence summary behind the Thesis II assumptions (search-based, Oct-26; counts are a floor)</t>
        </is>
      </c>
    </row>
    <row r="4">
      <c r="B4" s="192" t="inlineStr">
        <is>
          <t>1. CFM56 Outsourcing Flip Tracker – 14 tier-1 engine shops</t>
        </is>
      </c>
    </row>
    <row r="5">
      <c r="B5" s="193" t="inlineStr">
        <is>
          <t>Shop type</t>
        </is>
      </c>
      <c r="C5" s="193" t="inlineStr">
        <is>
          <t>Reviewed</t>
        </is>
      </c>
      <c r="D5" s="193" t="inlineStr">
        <is>
          <t>Add LEAP</t>
        </is>
      </c>
      <c r="E5" s="193" t="inlineStr">
        <is>
          <t>Pull back CFM56</t>
        </is>
      </c>
      <c r="F5" s="193" t="inlineStr">
        <is>
          <t>Win outside CFM56</t>
        </is>
      </c>
    </row>
    <row r="6">
      <c r="B6" s="172" t="inlineStr">
        <is>
          <t>Airline-owned</t>
        </is>
      </c>
      <c r="C6" s="215" t="n">
        <v>8</v>
      </c>
      <c r="D6" s="215" t="n">
        <v>8</v>
      </c>
      <c r="E6" s="215" t="n">
        <v>1</v>
      </c>
      <c r="F6" s="215" t="n">
        <v>3</v>
      </c>
    </row>
    <row r="7">
      <c r="B7" s="172" t="inlineStr">
        <is>
          <t>OEM network</t>
        </is>
      </c>
      <c r="C7" s="215" t="n">
        <v>2</v>
      </c>
      <c r="D7" s="215" t="n">
        <v>2</v>
      </c>
      <c r="E7" s="215" t="n">
        <v>1</v>
      </c>
      <c r="F7" s="215" t="n">
        <v>2</v>
      </c>
    </row>
    <row r="8">
      <c r="B8" s="172" t="inlineStr">
        <is>
          <t>Independent</t>
        </is>
      </c>
      <c r="C8" s="215" t="n">
        <v>4</v>
      </c>
      <c r="D8" s="215" t="n">
        <v>4</v>
      </c>
      <c r="E8" s="215" t="n">
        <v>0</v>
      </c>
      <c r="F8" s="215" t="n">
        <v>4</v>
      </c>
    </row>
    <row r="9">
      <c r="B9" s="171" t="inlineStr">
        <is>
          <t>Total</t>
        </is>
      </c>
      <c r="C9" s="216">
        <f>SUM(C6:C8)</f>
        <v/>
      </c>
      <c r="D9" s="216">
        <f>SUM(D6:D8)</f>
        <v/>
      </c>
      <c r="E9" s="216">
        <f>SUM(E6:E8)</f>
        <v/>
      </c>
      <c r="F9" s="216">
        <f>SUM(F6:F8)</f>
        <v/>
      </c>
    </row>
    <row r="10">
      <c r="B10" s="217" t="inlineStr">
        <is>
          <t>• OEMs: all new sites LEAP-only; CFM gives up Ryanair CFM56 labor from 2029 (keeps parts).</t>
        </is>
      </c>
    </row>
    <row r="11">
      <c r="B11" s="217" t="inlineStr">
        <is>
          <t>• First airline flip: Lufthansa Group sends own CFM56 to FL Technics (Oct-26). EVA Air → MTU (May-26); United → FTAI CFM56-7B MRE (Oct-26).</t>
        </is>
      </c>
    </row>
    <row r="12">
      <c r="B12" s="217" t="inlineStr">
        <is>
          <t>• Counter: Korean Air keeps CFM56, outsources LEAP; independents also add CFM56 (overflow is real but contested).</t>
        </is>
      </c>
    </row>
    <row r="14">
      <c r="B14" s="192" t="inlineStr">
        <is>
          <t>2. Test Cell Tracker – 18 engine test cells</t>
        </is>
      </c>
    </row>
    <row r="15">
      <c r="B15" s="193" t="inlineStr">
        <is>
          <t>Category</t>
        </is>
      </c>
      <c r="C15" s="193" t="inlineStr">
        <is>
          <t>Cells</t>
        </is>
      </c>
    </row>
    <row r="16">
      <c r="B16" s="172" t="inlineStr">
        <is>
          <t>Existing cells adapted to test LEAP (incl. 1 likely)</t>
        </is>
      </c>
      <c r="C16" s="218" t="n">
        <v>9</v>
      </c>
    </row>
    <row r="17">
      <c r="B17" s="172" t="inlineStr">
        <is>
          <t>…still testing CFM56, where disclosed</t>
        </is>
      </c>
      <c r="C17" s="218" t="inlineStr">
        <is>
          <t>4 of 4</t>
        </is>
      </c>
    </row>
    <row r="18">
      <c r="B18" s="172" t="inlineStr">
        <is>
          <t>…dropped CFM56</t>
        </is>
      </c>
      <c r="C18" s="218" t="n">
        <v>0</v>
      </c>
    </row>
    <row r="19">
      <c r="B19" s="172" t="inlineStr">
        <is>
          <t>New cells built for LEAP</t>
        </is>
      </c>
      <c r="C19" s="218" t="n">
        <v>7</v>
      </c>
    </row>
    <row r="20">
      <c r="B20" s="172" t="inlineStr">
        <is>
          <t>New cell built first for CFM56 (Willis Lease + GEM)</t>
        </is>
      </c>
      <c r="C20" s="218" t="n">
        <v>1</v>
      </c>
    </row>
    <row r="21">
      <c r="B21" s="172" t="inlineStr">
        <is>
          <t>Unknown (LHT Hamburg, StandardAero)</t>
        </is>
      </c>
      <c r="C21" s="218" t="n">
        <v>2</v>
      </c>
    </row>
    <row r="22">
      <c r="B22" s="217" t="inlineStr">
        <is>
          <t>• 'Ongoing shortage of testing capacity' – Willis Lease; 'Europe-wide testing capacity constraints' – SR Technics. LEAP shares cells; no cell dropped CFM56.</t>
        </is>
      </c>
    </row>
    <row r="24">
      <c r="B24" s="192" t="inlineStr">
        <is>
          <t>3. Retirements, fuel and OEM capacity – evidence vs. model inputs</t>
        </is>
      </c>
    </row>
    <row r="25">
      <c r="B25" s="193" t="inlineStr">
        <is>
          <t>Evidence</t>
        </is>
      </c>
      <c r="C25" s="193" t="inlineStr">
        <is>
          <t>Value</t>
        </is>
      </c>
      <c r="D25" s="193" t="inlineStr"/>
      <c r="E25" s="193" t="inlineStr">
        <is>
          <t>Model input</t>
        </is>
      </c>
      <c r="F25" s="193" t="inlineStr">
        <is>
          <t>Model value</t>
        </is>
      </c>
      <c r="G25" s="193" t="inlineStr">
        <is>
          <t>Read-across</t>
        </is>
      </c>
    </row>
    <row r="26">
      <c r="B26" s="217" t="inlineStr">
        <is>
          <t>GE 2026 CFM56 retirements (actual, Sep-26)</t>
        </is>
      </c>
      <c r="C26" s="219" t="inlineStr">
        <is>
          <t>1.5–2.0%</t>
        </is>
      </c>
      <c r="E26" s="217" t="inlineStr">
        <is>
          <t>FY26 retirement -7B / -5B</t>
        </is>
      </c>
      <c r="F26" s="220">
        <f>TEXT(Assumptions!F10,"0.0%")&amp;" / "&amp;TEXT(Assumptions!F15,"0.0%")</f>
        <v/>
      </c>
      <c r="G26" s="221" t="inlineStr">
        <is>
          <t>Consistent – base retained</t>
        </is>
      </c>
    </row>
    <row r="27">
      <c r="B27" s="217" t="inlineStr">
        <is>
          <t>GE view of 2027 retirements</t>
        </is>
      </c>
      <c r="C27" s="219" t="inlineStr">
        <is>
          <t>~3%</t>
        </is>
      </c>
      <c r="E27" s="217" t="inlineStr">
        <is>
          <t>FY27 retirement -7B / -5B</t>
        </is>
      </c>
      <c r="F27" s="220">
        <f>TEXT(Assumptions!K10,"0.0%")&amp;" / "&amp;TEXT(Assumptions!K15,"0.0%")</f>
        <v/>
      </c>
      <c r="G27" s="221" t="inlineStr">
        <is>
          <t>Base ~2.2% blended is below GE's ~3%; GE has cut its view four times. Bear (2.5% / 4.0%) covers GE's number</t>
        </is>
      </c>
    </row>
    <row r="28">
      <c r="B28" s="217" t="inlineStr">
        <is>
          <t>GE CFM56 shop visits 2026 / 2027</t>
        </is>
      </c>
      <c r="C28" s="219" t="inlineStr">
        <is>
          <t>~2,400 / ~2,400</t>
        </is>
      </c>
      <c r="E28" s="217" t="inlineStr">
        <is>
          <t>Total shop visits FY26 / FY27</t>
        </is>
      </c>
      <c r="F28" s="220">
        <f>TEXT(RPM!L26,"#,##0")&amp;" / "&amp;TEXT(RPM!Q26,"#,##0")</f>
        <v/>
      </c>
      <c r="G28" s="221" t="inlineStr">
        <is>
          <t>Consistent – base retained</t>
        </is>
      </c>
    </row>
    <row r="29">
      <c r="B29" s="217" t="inlineStr">
        <is>
          <t>Jet fuel peak (IATA, 3-Apr-26) / 15-Sep-26</t>
        </is>
      </c>
      <c r="C29" s="219" t="inlineStr">
        <is>
          <t>$209 / $198 bbl</t>
        </is>
      </c>
      <c r="E29" s="217" t="inlineStr">
        <is>
          <t>Retirement rates</t>
        </is>
      </c>
      <c r="F29" s="217" t="inlineStr">
        <is>
          <t>No change</t>
        </is>
      </c>
      <c r="G29" s="221" t="inlineStr">
        <is>
          <t>Parked CFM56s down since March; 2022 analog shows no retirement spike</t>
        </is>
      </c>
    </row>
    <row r="30">
      <c r="B30" s="217" t="inlineStr">
        <is>
          <t>FTAI 2026 module guide</t>
        </is>
      </c>
      <c r="C30" s="219" t="inlineStr">
        <is>
          <t>1,200</t>
        </is>
      </c>
      <c r="E30" s="217" t="inlineStr">
        <is>
          <t>FTAI modules FY26E</t>
        </is>
      </c>
      <c r="F30" s="220">
        <f>TEXT(RPM!L42,"#,##0")</f>
        <v/>
      </c>
      <c r="G30" s="221" t="inlineStr">
        <is>
          <t>Consistent – base retained</t>
        </is>
      </c>
    </row>
    <row r="31">
      <c r="B31" s="217" t="inlineStr">
        <is>
          <t>Mgmt share of CFM56 market (Q2'26)</t>
        </is>
      </c>
      <c r="C31" s="219" t="inlineStr">
        <is>
          <t>14%</t>
        </is>
      </c>
      <c r="E31" s="217" t="inlineStr">
        <is>
          <t>3rd-party share FY27E (base)</t>
        </is>
      </c>
      <c r="F31" s="220">
        <f>TEXT(Assumptions!K46,"0.0%")</f>
        <v/>
      </c>
      <c r="G31" s="221" t="inlineStr">
        <is>
          <t>Tracker shows OEM / airline work moving to independents; base ramp retained, bull 25%</t>
        </is>
      </c>
    </row>
    <row r="32">
      <c r="B32" s="217" t="inlineStr">
        <is>
          <t>GE LEAP internal shop visits (Q2'26)</t>
        </is>
      </c>
      <c r="C32" s="219" t="inlineStr">
        <is>
          <t>+50% y/y</t>
        </is>
      </c>
      <c r="E32" s="217" t="inlineStr">
        <is>
          <t>—</t>
        </is>
      </c>
      <c r="F32" s="217" t="inlineStr">
        <is>
          <t>—</t>
        </is>
      </c>
      <c r="G32" s="221" t="inlineStr">
        <is>
          <t>OEM growth capacity going to LEAP</t>
        </is>
      </c>
    </row>
    <row r="33">
      <c r="B33" s="217" t="inlineStr">
        <is>
          <t>OEM share of LEAP vs. CFM56 shop visits</t>
        </is>
      </c>
      <c r="C33" s="219" t="inlineStr">
        <is>
          <t>~85% vs. ~1/3</t>
        </is>
      </c>
      <c r="E33" s="217" t="inlineStr">
        <is>
          <t>—</t>
        </is>
      </c>
      <c r="F33" s="217" t="inlineStr">
        <is>
          <t>—</t>
        </is>
      </c>
      <c r="G33" s="221" t="inlineStr">
        <is>
          <t>Two-thirds of CFM56 work already with independents</t>
        </is>
      </c>
    </row>
    <row r="35">
      <c r="B35" s="222" t="inlineStr">
        <is>
          <t>Conclusion: the new diligence confirms the base-case Thesis II inputs; no driver changes were needed. Valuation updated to the 1-year framework on '1Y Valuation'.</t>
        </is>
      </c>
    </row>
    <row r="36">
      <c r="B36" s="223" t="inlineStr">
        <is>
          <t>Sources: Flip Tracker and Test Cell Tracker workbooks (Oct-26); GE Aerospace (Q2'26, MS Laguna Sep-26, Reuters Jul-26); IATA / Platts; Safran H1'26; CFM; FTAI Q2'26.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5546875" defaultRowHeight="15"/>
  <cols>
    <col width="3.7109375" customWidth="1" min="1" max="1"/>
    <col width="46" customWidth="1" min="2" max="2"/>
    <col width="11.42578125" customWidth="1" min="3" max="9"/>
  </cols>
  <sheetData>
    <row r="1" ht="18.75" customHeight="1">
      <c r="B1" s="58" t="inlineStr">
        <is>
          <t>FTAI Aviation</t>
        </is>
      </c>
    </row>
    <row r="2" ht="18.75" customHeight="1">
      <c r="B2" s="58" t="inlineStr">
        <is>
          <t>Operating Model &amp; Cash Flow Build</t>
        </is>
      </c>
    </row>
    <row r="3">
      <c r="B3" s="41" t="inlineStr">
        <is>
          <t>Amounts in $ millions, except share data</t>
        </is>
      </c>
    </row>
    <row r="4">
      <c r="B4" s="41" t="inlineStr">
        <is>
          <t>Fiscal year ends December 31st</t>
        </is>
      </c>
    </row>
    <row r="6">
      <c r="B6" s="46" t="n"/>
      <c r="C6" s="46" t="inlineStr">
        <is>
          <t>FY25A</t>
        </is>
      </c>
      <c r="D6" s="46" t="inlineStr">
        <is>
          <t>FY26E</t>
        </is>
      </c>
      <c r="E6" s="46" t="inlineStr">
        <is>
          <t>FY27E</t>
        </is>
      </c>
      <c r="F6" s="46" t="inlineStr">
        <is>
          <t>FY28E</t>
        </is>
      </c>
      <c r="G6" s="46" t="inlineStr">
        <is>
          <t>FY29E</t>
        </is>
      </c>
      <c r="H6" s="46" t="inlineStr">
        <is>
          <t>FY30E</t>
        </is>
      </c>
      <c r="I6" s="46" t="inlineStr">
        <is>
          <t>FY31E</t>
        </is>
      </c>
    </row>
    <row r="7">
      <c r="A7" s="31" t="inlineStr">
        <is>
          <t>x</t>
        </is>
      </c>
      <c r="B7" s="13" t="inlineStr">
        <is>
          <t>Operating Build</t>
        </is>
      </c>
      <c r="C7" s="13" t="n"/>
      <c r="D7" s="13" t="n"/>
      <c r="E7" s="13" t="n"/>
      <c r="F7" s="13" t="n"/>
      <c r="G7" s="13" t="n"/>
      <c r="H7" s="13" t="n"/>
      <c r="I7" s="13" t="n"/>
    </row>
    <row r="8">
      <c r="B8" s="41" t="inlineStr">
        <is>
          <t>Aerospace Products Revenue</t>
        </is>
      </c>
      <c r="C8" s="169">
        <f>RPM!G82</f>
        <v/>
      </c>
      <c r="D8" s="169">
        <f>RPM!L82</f>
        <v/>
      </c>
      <c r="E8" s="169">
        <f>RPM!Q82</f>
        <v/>
      </c>
      <c r="F8" s="169">
        <f>RPM!R82</f>
        <v/>
      </c>
      <c r="G8" s="169">
        <f>RPM!S82</f>
        <v/>
      </c>
      <c r="H8" s="169">
        <f>RPM!T82</f>
        <v/>
      </c>
      <c r="I8" s="169">
        <f>RPM!U82</f>
        <v/>
      </c>
    </row>
    <row r="9">
      <c r="B9" s="41" t="inlineStr">
        <is>
          <t>FTAI Power Revenue</t>
        </is>
      </c>
      <c r="C9" s="169">
        <f>RPM!G83</f>
        <v/>
      </c>
      <c r="D9" s="169">
        <f>RPM!L83</f>
        <v/>
      </c>
      <c r="E9" s="169">
        <f>RPM!Q83</f>
        <v/>
      </c>
      <c r="F9" s="169">
        <f>RPM!R83</f>
        <v/>
      </c>
      <c r="G9" s="169">
        <f>RPM!S83</f>
        <v/>
      </c>
      <c r="H9" s="169">
        <f>RPM!T83</f>
        <v/>
      </c>
      <c r="I9" s="169">
        <f>RPM!U83</f>
        <v/>
      </c>
    </row>
    <row r="10">
      <c r="B10" s="41" t="inlineStr">
        <is>
          <t>Aviation Leasing + SCI Revenue</t>
        </is>
      </c>
      <c r="C10" s="169">
        <f>RPM!G84</f>
        <v/>
      </c>
      <c r="D10" s="169">
        <f>RPM!L84</f>
        <v/>
      </c>
      <c r="E10" s="169">
        <f>RPM!Q84</f>
        <v/>
      </c>
      <c r="F10" s="169">
        <f>RPM!R84</f>
        <v/>
      </c>
      <c r="G10" s="169">
        <f>RPM!S84</f>
        <v/>
      </c>
      <c r="H10" s="169">
        <f>RPM!T84</f>
        <v/>
      </c>
      <c r="I10" s="169">
        <f>RPM!U84</f>
        <v/>
      </c>
    </row>
    <row r="11">
      <c r="B11" s="52" t="inlineStr">
        <is>
          <t>Total Revenue</t>
        </is>
      </c>
      <c r="C11" s="170">
        <f>SUM(C8:C10)</f>
        <v/>
      </c>
      <c r="D11" s="170">
        <f>SUM(D8:D10)</f>
        <v/>
      </c>
      <c r="E11" s="170">
        <f>SUM(E8:E10)</f>
        <v/>
      </c>
      <c r="F11" s="170">
        <f>SUM(F8:F10)</f>
        <v/>
      </c>
      <c r="G11" s="170">
        <f>SUM(G8:G10)</f>
        <v/>
      </c>
      <c r="H11" s="170">
        <f>SUM(H8:H10)</f>
        <v/>
      </c>
      <c r="I11" s="170">
        <f>SUM(I8:I10)</f>
        <v/>
      </c>
    </row>
    <row r="12">
      <c r="B12" s="41" t="inlineStr">
        <is>
          <t xml:space="preserve">   YoY Growth</t>
        </is>
      </c>
      <c r="D12" s="47">
        <f>D11/C11-1</f>
        <v/>
      </c>
      <c r="E12" s="47">
        <f>E11/D11-1</f>
        <v/>
      </c>
      <c r="F12" s="47">
        <f>F11/E11-1</f>
        <v/>
      </c>
      <c r="G12" s="47">
        <f>G11/F11-1</f>
        <v/>
      </c>
      <c r="H12" s="47">
        <f>H11/G11-1</f>
        <v/>
      </c>
      <c r="I12" s="47">
        <f>I11/H11-1</f>
        <v/>
      </c>
    </row>
    <row r="14">
      <c r="B14" s="41" t="inlineStr">
        <is>
          <t>Aerospace Products Adj. EBITDA</t>
        </is>
      </c>
      <c r="C14" s="169">
        <f>RPM!G89</f>
        <v/>
      </c>
      <c r="D14" s="169">
        <f>RPM!L89</f>
        <v/>
      </c>
      <c r="E14" s="169">
        <f>RPM!Q89</f>
        <v/>
      </c>
      <c r="F14" s="169">
        <f>RPM!R89</f>
        <v/>
      </c>
      <c r="G14" s="169">
        <f>RPM!S89</f>
        <v/>
      </c>
      <c r="H14" s="169">
        <f>RPM!T89</f>
        <v/>
      </c>
      <c r="I14" s="169">
        <f>RPM!U89</f>
        <v/>
      </c>
    </row>
    <row r="15">
      <c r="B15" s="41" t="inlineStr">
        <is>
          <t>FTAI Power Adj. EBITDA</t>
        </is>
      </c>
      <c r="C15" s="169">
        <f>RPM!G90</f>
        <v/>
      </c>
      <c r="D15" s="169">
        <f>RPM!L90</f>
        <v/>
      </c>
      <c r="E15" s="169">
        <f>RPM!Q90</f>
        <v/>
      </c>
      <c r="F15" s="169">
        <f>RPM!R90</f>
        <v/>
      </c>
      <c r="G15" s="169">
        <f>RPM!S90</f>
        <v/>
      </c>
      <c r="H15" s="169">
        <f>RPM!T90</f>
        <v/>
      </c>
      <c r="I15" s="169">
        <f>RPM!U90</f>
        <v/>
      </c>
    </row>
    <row r="16">
      <c r="B16" s="41" t="inlineStr">
        <is>
          <t>Aviation Leasing + SCI Adj. EBITDA</t>
        </is>
      </c>
      <c r="C16" s="169">
        <f>RPM!G91</f>
        <v/>
      </c>
      <c r="D16" s="169">
        <f>RPM!L91</f>
        <v/>
      </c>
      <c r="E16" s="169">
        <f>RPM!Q91</f>
        <v/>
      </c>
      <c r="F16" s="169">
        <f>RPM!R91</f>
        <v/>
      </c>
      <c r="G16" s="169">
        <f>RPM!S91</f>
        <v/>
      </c>
      <c r="H16" s="169">
        <f>RPM!T91</f>
        <v/>
      </c>
      <c r="I16" s="169">
        <f>RPM!U91</f>
        <v/>
      </c>
    </row>
    <row r="17">
      <c r="B17" s="41" t="inlineStr">
        <is>
          <t>Corporate &amp; Eliminations</t>
        </is>
      </c>
      <c r="C17" s="169">
        <f>RPM!G92</f>
        <v/>
      </c>
      <c r="D17" s="169">
        <f>RPM!L92</f>
        <v/>
      </c>
      <c r="E17" s="169">
        <f>RPM!Q92</f>
        <v/>
      </c>
      <c r="F17" s="169">
        <f>RPM!R92</f>
        <v/>
      </c>
      <c r="G17" s="169">
        <f>RPM!S92</f>
        <v/>
      </c>
      <c r="H17" s="169">
        <f>RPM!T92</f>
        <v/>
      </c>
      <c r="I17" s="169">
        <f>RPM!U92</f>
        <v/>
      </c>
    </row>
    <row r="18">
      <c r="B18" s="52" t="inlineStr">
        <is>
          <t>Total Adj. EBITDA</t>
        </is>
      </c>
      <c r="C18" s="170">
        <f>SUM(C14:C17)</f>
        <v/>
      </c>
      <c r="D18" s="170">
        <f>SUM(D14:D17)</f>
        <v/>
      </c>
      <c r="E18" s="170">
        <f>SUM(E14:E17)</f>
        <v/>
      </c>
      <c r="F18" s="170">
        <f>SUM(F14:F17)</f>
        <v/>
      </c>
      <c r="G18" s="170">
        <f>SUM(G14:G17)</f>
        <v/>
      </c>
      <c r="H18" s="170">
        <f>SUM(H14:H17)</f>
        <v/>
      </c>
      <c r="I18" s="170">
        <f>SUM(I14:I17)</f>
        <v/>
      </c>
    </row>
    <row r="19">
      <c r="B19" s="41" t="inlineStr">
        <is>
          <t xml:space="preserve">   Adj. EBITDA Margin</t>
        </is>
      </c>
      <c r="C19" s="47">
        <f>IFERROR(C18/C11,0)</f>
        <v/>
      </c>
      <c r="D19" s="47">
        <f>IFERROR(D18/D11,0)</f>
        <v/>
      </c>
      <c r="E19" s="47">
        <f>IFERROR(E18/E11,0)</f>
        <v/>
      </c>
      <c r="F19" s="47">
        <f>IFERROR(F18/F11,0)</f>
        <v/>
      </c>
      <c r="G19" s="47">
        <f>IFERROR(G18/G11,0)</f>
        <v/>
      </c>
      <c r="H19" s="47">
        <f>IFERROR(H18/H11,0)</f>
        <v/>
      </c>
      <c r="I19" s="47">
        <f>IFERROR(I18/I11,0)</f>
        <v/>
      </c>
    </row>
    <row r="20">
      <c r="B20" s="41" t="inlineStr">
        <is>
          <t>(-) Non-cash Adj. EBITDA Items (SCI share, elims, other)</t>
        </is>
      </c>
      <c r="C20" s="181" t="n">
        <v>-230.7</v>
      </c>
      <c r="D20" s="169">
        <f>-D18*Assumptions!F140</f>
        <v/>
      </c>
      <c r="E20" s="169">
        <f>-E18*Assumptions!K140</f>
        <v/>
      </c>
      <c r="F20" s="169">
        <f>-F18*Assumptions!L140</f>
        <v/>
      </c>
      <c r="G20" s="169">
        <f>-G18*Assumptions!M140</f>
        <v/>
      </c>
      <c r="H20" s="169">
        <f>-H18*Assumptions!N140</f>
        <v/>
      </c>
      <c r="I20" s="169">
        <f>-I18*Assumptions!O140</f>
        <v/>
      </c>
    </row>
    <row r="21">
      <c r="B21" s="41" t="inlineStr">
        <is>
          <t>(-) D&amp;A</t>
        </is>
      </c>
      <c r="C21" s="168">
        <f>-C40</f>
        <v/>
      </c>
      <c r="D21" s="168">
        <f>-D40</f>
        <v/>
      </c>
      <c r="E21" s="168">
        <f>-E40</f>
        <v/>
      </c>
      <c r="F21" s="168">
        <f>-F40</f>
        <v/>
      </c>
      <c r="G21" s="168">
        <f>-G40</f>
        <v/>
      </c>
      <c r="H21" s="168">
        <f>-H40</f>
        <v/>
      </c>
      <c r="I21" s="168">
        <f>-I40</f>
        <v/>
      </c>
    </row>
    <row r="22">
      <c r="B22" s="41" t="inlineStr">
        <is>
          <t>(-) SBC</t>
        </is>
      </c>
      <c r="C22" s="168">
        <f>-C45</f>
        <v/>
      </c>
      <c r="D22" s="168">
        <f>-D45</f>
        <v/>
      </c>
      <c r="E22" s="168">
        <f>-E45</f>
        <v/>
      </c>
      <c r="F22" s="168">
        <f>-F45</f>
        <v/>
      </c>
      <c r="G22" s="168">
        <f>-G45</f>
        <v/>
      </c>
      <c r="H22" s="168">
        <f>-H45</f>
        <v/>
      </c>
      <c r="I22" s="168">
        <f>-I45</f>
        <v/>
      </c>
    </row>
    <row r="23">
      <c r="B23" s="52" t="inlineStr">
        <is>
          <t>EBIT</t>
        </is>
      </c>
      <c r="C23" s="170">
        <f>C18+C20+C21+C22</f>
        <v/>
      </c>
      <c r="D23" s="170">
        <f>D18+D20+D21+D22</f>
        <v/>
      </c>
      <c r="E23" s="170">
        <f>E18+E20+E21+E22</f>
        <v/>
      </c>
      <c r="F23" s="170">
        <f>F18+F20+F21+F22</f>
        <v/>
      </c>
      <c r="G23" s="170">
        <f>G18+G20+G21+G22</f>
        <v/>
      </c>
      <c r="H23" s="170">
        <f>H18+H20+H21+H22</f>
        <v/>
      </c>
      <c r="I23" s="170">
        <f>I18+I20+I21+I22</f>
        <v/>
      </c>
    </row>
    <row r="24">
      <c r="B24" s="41" t="inlineStr">
        <is>
          <t xml:space="preserve">   EBIT Margin</t>
        </is>
      </c>
      <c r="C24" s="47">
        <f>IFERROR(C23/C11,0)</f>
        <v/>
      </c>
      <c r="D24" s="47">
        <f>IFERROR(D23/D11,0)</f>
        <v/>
      </c>
      <c r="E24" s="47">
        <f>IFERROR(E23/E11,0)</f>
        <v/>
      </c>
      <c r="F24" s="47">
        <f>IFERROR(F23/F11,0)</f>
        <v/>
      </c>
      <c r="G24" s="47">
        <f>IFERROR(G23/G11,0)</f>
        <v/>
      </c>
      <c r="H24" s="47">
        <f>IFERROR(H23/H11,0)</f>
        <v/>
      </c>
      <c r="I24" s="47">
        <f>IFERROR(I23/I11,0)</f>
        <v/>
      </c>
    </row>
    <row r="26">
      <c r="B26" s="41" t="inlineStr">
        <is>
          <t>Taxes</t>
        </is>
      </c>
      <c r="D26" s="168">
        <f>MAX(0,D23)*D27</f>
        <v/>
      </c>
      <c r="E26" s="168">
        <f>MAX(0,E23)*E27</f>
        <v/>
      </c>
      <c r="F26" s="168">
        <f>MAX(0,F23)*F27</f>
        <v/>
      </c>
      <c r="G26" s="168">
        <f>MAX(0,G23)*G27</f>
        <v/>
      </c>
      <c r="H26" s="168">
        <f>MAX(0,H23)*H27</f>
        <v/>
      </c>
      <c r="I26" s="168">
        <f>MAX(0,I23)*I27</f>
        <v/>
      </c>
    </row>
    <row r="27">
      <c r="B27" s="41" t="inlineStr">
        <is>
          <t xml:space="preserve">   Tax Rate</t>
        </is>
      </c>
      <c r="D27" s="29">
        <f>Assumptions!F119</f>
        <v/>
      </c>
      <c r="E27" s="29">
        <f>Assumptions!K119</f>
        <v/>
      </c>
      <c r="F27" s="29">
        <f>Assumptions!L119</f>
        <v/>
      </c>
      <c r="G27" s="29">
        <f>Assumptions!M119</f>
        <v/>
      </c>
      <c r="H27" s="29">
        <f>Assumptions!N119</f>
        <v/>
      </c>
      <c r="I27" s="29">
        <f>Assumptions!O119</f>
        <v/>
      </c>
    </row>
    <row r="29">
      <c r="B29" s="52" t="inlineStr">
        <is>
          <t>NOPAT</t>
        </is>
      </c>
      <c r="D29" s="170">
        <f>D23-D26</f>
        <v/>
      </c>
      <c r="E29" s="170">
        <f>E23-E26</f>
        <v/>
      </c>
      <c r="F29" s="170">
        <f>F23-F26</f>
        <v/>
      </c>
      <c r="G29" s="170">
        <f>G23-G26</f>
        <v/>
      </c>
      <c r="H29" s="170">
        <f>H23-H26</f>
        <v/>
      </c>
      <c r="I29" s="170">
        <f>I23-I26</f>
        <v/>
      </c>
    </row>
    <row r="31">
      <c r="B31" s="43" t="inlineStr">
        <is>
          <t>Cash Flow Reconciliation</t>
        </is>
      </c>
    </row>
    <row r="32">
      <c r="A32" s="31" t="inlineStr">
        <is>
          <t>x</t>
        </is>
      </c>
      <c r="B32" s="13" t="inlineStr">
        <is>
          <t>Leasing Equipment &amp; PP&amp;E Schedule</t>
        </is>
      </c>
      <c r="C32" s="13" t="n"/>
      <c r="D32" s="13" t="n"/>
      <c r="E32" s="13" t="n"/>
      <c r="F32" s="13" t="n"/>
      <c r="G32" s="13" t="n"/>
      <c r="H32" s="13" t="n"/>
      <c r="I32" s="13" t="n"/>
    </row>
    <row r="33">
      <c r="B33" s="41" t="inlineStr">
        <is>
          <t>Beginning Leasing Equipment &amp; PP&amp;E</t>
        </is>
      </c>
      <c r="D33" s="168">
        <f>C39</f>
        <v/>
      </c>
      <c r="E33" s="168">
        <f>D39</f>
        <v/>
      </c>
      <c r="F33" s="168">
        <f>E39</f>
        <v/>
      </c>
      <c r="G33" s="168">
        <f>F39</f>
        <v/>
      </c>
      <c r="H33" s="168">
        <f>G39</f>
        <v/>
      </c>
      <c r="I33" s="168">
        <f>H39</f>
        <v/>
      </c>
    </row>
    <row r="34">
      <c r="B34" s="41" t="inlineStr">
        <is>
          <t>(+) Acquisition of Leasing Equipment</t>
        </is>
      </c>
      <c r="C34" s="181" t="n">
        <v>658.8</v>
      </c>
      <c r="D34" s="169">
        <f>Assumptions!F111</f>
        <v/>
      </c>
      <c r="E34" s="169">
        <f>Assumptions!K111</f>
        <v/>
      </c>
      <c r="F34" s="169">
        <f>Assumptions!L111</f>
        <v/>
      </c>
      <c r="G34" s="169">
        <f>Assumptions!M111</f>
        <v/>
      </c>
      <c r="H34" s="169">
        <f>Assumptions!N111</f>
        <v/>
      </c>
      <c r="I34" s="169">
        <f>Assumptions!O111</f>
        <v/>
      </c>
    </row>
    <row r="35">
      <c r="B35" s="41" t="inlineStr">
        <is>
          <t>(+) PP&amp;E CapEx</t>
        </is>
      </c>
      <c r="C35" s="181" t="n">
        <v>27.712</v>
      </c>
      <c r="D35" s="169">
        <f>D36*D11+D9*Assumptions!F115</f>
        <v/>
      </c>
      <c r="E35" s="169">
        <f>E36*E11+E9*Assumptions!K115</f>
        <v/>
      </c>
      <c r="F35" s="169">
        <f>F36*F11+F9*Assumptions!L115</f>
        <v/>
      </c>
      <c r="G35" s="169">
        <f>G36*G11+G9*Assumptions!M115</f>
        <v/>
      </c>
      <c r="H35" s="169">
        <f>H36*H11+H9*Assumptions!N115</f>
        <v/>
      </c>
      <c r="I35" s="169">
        <f>I36*I11+I9*Assumptions!O115</f>
        <v/>
      </c>
    </row>
    <row r="36">
      <c r="B36" s="41" t="inlineStr">
        <is>
          <t xml:space="preserve">   % of Sales</t>
        </is>
      </c>
      <c r="C36" s="59">
        <f>C35/C11</f>
        <v/>
      </c>
      <c r="D36" s="131">
        <f>Assumptions!F109</f>
        <v/>
      </c>
      <c r="E36" s="131">
        <f>Assumptions!K109</f>
        <v/>
      </c>
      <c r="F36" s="131">
        <f>Assumptions!L109</f>
        <v/>
      </c>
      <c r="G36" s="131">
        <f>Assumptions!M109</f>
        <v/>
      </c>
      <c r="H36" s="131">
        <f>Assumptions!N109</f>
        <v/>
      </c>
      <c r="I36" s="131">
        <f>Assumptions!O109</f>
        <v/>
      </c>
    </row>
    <row r="37">
      <c r="B37" s="41" t="inlineStr">
        <is>
          <t>(-) Sale of Leasing Equipment (at book)</t>
        </is>
      </c>
      <c r="C37" s="181" t="n">
        <v>-1712.5</v>
      </c>
      <c r="D37" s="169">
        <f>-Assumptions!F113</f>
        <v/>
      </c>
      <c r="E37" s="169">
        <f>-Assumptions!K113</f>
        <v/>
      </c>
      <c r="F37" s="169">
        <f>-Assumptions!L113</f>
        <v/>
      </c>
      <c r="G37" s="169">
        <f>-Assumptions!M113</f>
        <v/>
      </c>
      <c r="H37" s="169">
        <f>-Assumptions!N113</f>
        <v/>
      </c>
      <c r="I37" s="169">
        <f>-Assumptions!O113</f>
        <v/>
      </c>
    </row>
    <row r="38">
      <c r="B38" s="41" t="inlineStr">
        <is>
          <t>(-) Depreciation &amp; Amortization</t>
        </is>
      </c>
      <c r="C38" s="181" t="n">
        <v>-225.797</v>
      </c>
      <c r="D38" s="169">
        <f>-Assumptions!F107</f>
        <v/>
      </c>
      <c r="E38" s="169">
        <f>-Assumptions!K107</f>
        <v/>
      </c>
      <c r="F38" s="169">
        <f>-Assumptions!L107</f>
        <v/>
      </c>
      <c r="G38" s="169">
        <f>-Assumptions!M107</f>
        <v/>
      </c>
      <c r="H38" s="169">
        <f>-Assumptions!N107</f>
        <v/>
      </c>
      <c r="I38" s="169">
        <f>-Assumptions!O107</f>
        <v/>
      </c>
    </row>
    <row r="39">
      <c r="B39" s="52" t="inlineStr">
        <is>
          <t>Ending Leasing Equipment &amp; PP&amp;E</t>
        </is>
      </c>
      <c r="C39" s="224" t="n">
        <v>1665.872</v>
      </c>
      <c r="D39" s="170">
        <f>D33+D34+D35+D37+D38</f>
        <v/>
      </c>
      <c r="E39" s="170">
        <f>E33+E34+E35+E37+E38</f>
        <v/>
      </c>
      <c r="F39" s="170">
        <f>F33+F34+F35+F37+F38</f>
        <v/>
      </c>
      <c r="G39" s="170">
        <f>G33+G34+G35+G37+G38</f>
        <v/>
      </c>
      <c r="H39" s="170">
        <f>H33+H34+H35+H37+H38</f>
        <v/>
      </c>
      <c r="I39" s="170">
        <f>I33+I34+I35+I37+I38</f>
        <v/>
      </c>
    </row>
    <row r="40">
      <c r="B40" s="41" t="inlineStr">
        <is>
          <t>Total D&amp;A</t>
        </is>
      </c>
      <c r="C40" s="168">
        <f>-C38</f>
        <v/>
      </c>
      <c r="D40" s="168">
        <f>-D38</f>
        <v/>
      </c>
      <c r="E40" s="168">
        <f>-E38</f>
        <v/>
      </c>
      <c r="F40" s="168">
        <f>-F38</f>
        <v/>
      </c>
      <c r="G40" s="168">
        <f>-G38</f>
        <v/>
      </c>
      <c r="H40" s="168">
        <f>-H38</f>
        <v/>
      </c>
      <c r="I40" s="168">
        <f>-I38</f>
        <v/>
      </c>
    </row>
    <row r="41">
      <c r="B41" s="41" t="inlineStr">
        <is>
          <t>Total CapEx</t>
        </is>
      </c>
      <c r="C41" s="168">
        <f>C34+C35</f>
        <v/>
      </c>
      <c r="D41" s="168">
        <f>D34+D35</f>
        <v/>
      </c>
      <c r="E41" s="168">
        <f>E34+E35</f>
        <v/>
      </c>
      <c r="F41" s="168">
        <f>F34+F35</f>
        <v/>
      </c>
      <c r="G41" s="168">
        <f>G34+G35</f>
        <v/>
      </c>
      <c r="H41" s="168">
        <f>H34+H35</f>
        <v/>
      </c>
      <c r="I41" s="168">
        <f>I34+I35</f>
        <v/>
      </c>
    </row>
    <row r="43">
      <c r="B43" s="43" t="inlineStr">
        <is>
          <t>Non-Cash Adjustments</t>
        </is>
      </c>
    </row>
    <row r="44">
      <c r="B44" s="41" t="inlineStr">
        <is>
          <t>(+) D&amp;A</t>
        </is>
      </c>
      <c r="C44" s="168">
        <f>C40</f>
        <v/>
      </c>
      <c r="D44" s="168">
        <f>D40</f>
        <v/>
      </c>
      <c r="E44" s="168">
        <f>E40</f>
        <v/>
      </c>
      <c r="F44" s="168">
        <f>F40</f>
        <v/>
      </c>
      <c r="G44" s="168">
        <f>G40</f>
        <v/>
      </c>
      <c r="H44" s="168">
        <f>H40</f>
        <v/>
      </c>
      <c r="I44" s="168">
        <f>I40</f>
        <v/>
      </c>
    </row>
    <row r="45">
      <c r="B45" s="41" t="inlineStr">
        <is>
          <t>(+) SBC</t>
        </is>
      </c>
      <c r="C45" s="181" t="n">
        <v>21.733</v>
      </c>
      <c r="D45" s="168">
        <f>D46*D11</f>
        <v/>
      </c>
      <c r="E45" s="168">
        <f>E46*E11</f>
        <v/>
      </c>
      <c r="F45" s="168">
        <f>F46*F11</f>
        <v/>
      </c>
      <c r="G45" s="168">
        <f>G46*G11</f>
        <v/>
      </c>
      <c r="H45" s="168">
        <f>H46*H11</f>
        <v/>
      </c>
      <c r="I45" s="168">
        <f>I46*I11</f>
        <v/>
      </c>
    </row>
    <row r="46">
      <c r="B46" s="41" t="inlineStr">
        <is>
          <t xml:space="preserve">   % of Sales</t>
        </is>
      </c>
      <c r="C46" s="59">
        <f>C45/C11</f>
        <v/>
      </c>
      <c r="D46" s="131">
        <f>Assumptions!F117</f>
        <v/>
      </c>
      <c r="E46" s="131">
        <f>Assumptions!K117</f>
        <v/>
      </c>
      <c r="F46" s="131">
        <f>Assumptions!L117</f>
        <v/>
      </c>
      <c r="G46" s="131">
        <f>Assumptions!M117</f>
        <v/>
      </c>
      <c r="H46" s="131">
        <f>Assumptions!N117</f>
        <v/>
      </c>
      <c r="I46" s="131">
        <f>Assumptions!O117</f>
        <v/>
      </c>
    </row>
    <row r="47">
      <c r="B47" s="52" t="inlineStr">
        <is>
          <t>Total Adjustments</t>
        </is>
      </c>
      <c r="C47" s="170">
        <f>C44+C45</f>
        <v/>
      </c>
      <c r="D47" s="170">
        <f>D44+D45</f>
        <v/>
      </c>
      <c r="E47" s="170">
        <f>E44+E45</f>
        <v/>
      </c>
      <c r="F47" s="170">
        <f>F44+F45</f>
        <v/>
      </c>
      <c r="G47" s="170">
        <f>G44+G45</f>
        <v/>
      </c>
      <c r="H47" s="170">
        <f>H44+H45</f>
        <v/>
      </c>
      <c r="I47" s="170">
        <f>I44+I45</f>
        <v/>
      </c>
    </row>
    <row r="49">
      <c r="A49" s="31" t="inlineStr">
        <is>
          <t>x</t>
        </is>
      </c>
      <c r="B49" s="13" t="inlineStr">
        <is>
          <t>Working Capital Schedule</t>
        </is>
      </c>
      <c r="C49" s="13" t="n"/>
      <c r="D49" s="13" t="n"/>
      <c r="E49" s="13" t="n"/>
      <c r="F49" s="13" t="n"/>
      <c r="G49" s="13" t="n"/>
      <c r="H49" s="13" t="n"/>
      <c r="I49" s="13" t="n"/>
    </row>
    <row r="50">
      <c r="B50" s="41" t="inlineStr">
        <is>
          <t>Accounts Receivable</t>
        </is>
      </c>
      <c r="C50" s="181" t="n">
        <v>209.907</v>
      </c>
      <c r="D50" s="168">
        <f>D51*D11</f>
        <v/>
      </c>
      <c r="E50" s="168">
        <f>E51*E11</f>
        <v/>
      </c>
      <c r="F50" s="168">
        <f>F51*F11</f>
        <v/>
      </c>
      <c r="G50" s="168">
        <f>G51*G11</f>
        <v/>
      </c>
      <c r="H50" s="168">
        <f>H51*H11</f>
        <v/>
      </c>
      <c r="I50" s="168">
        <f>I51*I11</f>
        <v/>
      </c>
    </row>
    <row r="51">
      <c r="B51" s="41" t="inlineStr">
        <is>
          <t xml:space="preserve">   % of Sales</t>
        </is>
      </c>
      <c r="C51" s="47">
        <f>C50/C11</f>
        <v/>
      </c>
      <c r="D51" s="29">
        <f>Assumptions!F126</f>
        <v/>
      </c>
      <c r="E51" s="29">
        <f>Assumptions!K126</f>
        <v/>
      </c>
      <c r="F51" s="29">
        <f>Assumptions!L126</f>
        <v/>
      </c>
      <c r="G51" s="29">
        <f>Assumptions!M126</f>
        <v/>
      </c>
      <c r="H51" s="29">
        <f>Assumptions!N126</f>
        <v/>
      </c>
      <c r="I51" s="29">
        <f>Assumptions!O126</f>
        <v/>
      </c>
    </row>
    <row r="52">
      <c r="B52" s="41" t="inlineStr">
        <is>
          <t>Inventory</t>
        </is>
      </c>
      <c r="C52" s="181" t="n">
        <v>1193.773</v>
      </c>
      <c r="D52" s="168">
        <f>D53*D8</f>
        <v/>
      </c>
      <c r="E52" s="168">
        <f>E53*E8</f>
        <v/>
      </c>
      <c r="F52" s="168">
        <f>F53*F8</f>
        <v/>
      </c>
      <c r="G52" s="168">
        <f>G53*G8</f>
        <v/>
      </c>
      <c r="H52" s="168">
        <f>H53*H8</f>
        <v/>
      </c>
      <c r="I52" s="168">
        <f>I53*I8</f>
        <v/>
      </c>
    </row>
    <row r="53">
      <c r="B53" s="41" t="inlineStr">
        <is>
          <t xml:space="preserve">   % of Aerospace Products Revenue</t>
        </is>
      </c>
      <c r="C53" s="47">
        <f>C52/C8</f>
        <v/>
      </c>
      <c r="D53" s="29">
        <f>Assumptions!F121</f>
        <v/>
      </c>
      <c r="E53" s="29">
        <f>Assumptions!K121</f>
        <v/>
      </c>
      <c r="F53" s="29">
        <f>Assumptions!L121</f>
        <v/>
      </c>
      <c r="G53" s="29">
        <f>Assumptions!M121</f>
        <v/>
      </c>
      <c r="H53" s="29">
        <f>Assumptions!N121</f>
        <v/>
      </c>
      <c r="I53" s="29">
        <f>Assumptions!O121</f>
        <v/>
      </c>
    </row>
    <row r="54">
      <c r="B54" s="41" t="inlineStr">
        <is>
          <t>Other Operating Assets, net</t>
        </is>
      </c>
      <c r="C54" s="181" t="n">
        <v>383.8</v>
      </c>
      <c r="D54" s="168">
        <f>D55*D11</f>
        <v/>
      </c>
      <c r="E54" s="168">
        <f>E55*E11</f>
        <v/>
      </c>
      <c r="F54" s="168">
        <f>F55*F11</f>
        <v/>
      </c>
      <c r="G54" s="168">
        <f>G55*G11</f>
        <v/>
      </c>
      <c r="H54" s="168">
        <f>H55*H11</f>
        <v/>
      </c>
      <c r="I54" s="168">
        <f>I55*I11</f>
        <v/>
      </c>
    </row>
    <row r="55">
      <c r="B55" s="41" t="inlineStr">
        <is>
          <t xml:space="preserve">   % of Sales</t>
        </is>
      </c>
      <c r="C55" s="47">
        <f>C54/C11</f>
        <v/>
      </c>
      <c r="D55" s="29">
        <f>Assumptions!F130</f>
        <v/>
      </c>
      <c r="E55" s="29">
        <f>Assumptions!K130</f>
        <v/>
      </c>
      <c r="F55" s="29">
        <f>Assumptions!L130</f>
        <v/>
      </c>
      <c r="G55" s="29">
        <f>Assumptions!M130</f>
        <v/>
      </c>
      <c r="H55" s="29">
        <f>Assumptions!N130</f>
        <v/>
      </c>
      <c r="I55" s="29">
        <f>Assumptions!O130</f>
        <v/>
      </c>
    </row>
    <row r="56">
      <c r="B56" s="41" t="inlineStr">
        <is>
          <t>AP &amp; Accrued Liabilities</t>
        </is>
      </c>
      <c r="C56" s="181" t="n">
        <v>298.233</v>
      </c>
      <c r="D56" s="168">
        <f>D57*D11</f>
        <v/>
      </c>
      <c r="E56" s="168">
        <f>E57*E11</f>
        <v/>
      </c>
      <c r="F56" s="168">
        <f>F57*F11</f>
        <v/>
      </c>
      <c r="G56" s="168">
        <f>G57*G11</f>
        <v/>
      </c>
      <c r="H56" s="168">
        <f>H57*H11</f>
        <v/>
      </c>
      <c r="I56" s="168">
        <f>I57*I11</f>
        <v/>
      </c>
    </row>
    <row r="57">
      <c r="B57" s="41" t="inlineStr">
        <is>
          <t xml:space="preserve">   % of Sales</t>
        </is>
      </c>
      <c r="C57" s="47">
        <f>C56/C11</f>
        <v/>
      </c>
      <c r="D57" s="29">
        <f>Assumptions!F128</f>
        <v/>
      </c>
      <c r="E57" s="29">
        <f>Assumptions!K128</f>
        <v/>
      </c>
      <c r="F57" s="29">
        <f>Assumptions!L128</f>
        <v/>
      </c>
      <c r="G57" s="29">
        <f>Assumptions!M128</f>
        <v/>
      </c>
      <c r="H57" s="29">
        <f>Assumptions!N128</f>
        <v/>
      </c>
      <c r="I57" s="29">
        <f>Assumptions!O128</f>
        <v/>
      </c>
    </row>
    <row r="58">
      <c r="B58" s="52" t="inlineStr">
        <is>
          <t>Net Working Capital</t>
        </is>
      </c>
      <c r="C58" s="170">
        <f>C50+C52+C54-C56</f>
        <v/>
      </c>
      <c r="D58" s="170">
        <f>D50+D52+D54-D56</f>
        <v/>
      </c>
      <c r="E58" s="170">
        <f>E50+E52+E54-E56</f>
        <v/>
      </c>
      <c r="F58" s="170">
        <f>F50+F52+F54-F56</f>
        <v/>
      </c>
      <c r="G58" s="170">
        <f>G50+G52+G54-G56</f>
        <v/>
      </c>
      <c r="H58" s="170">
        <f>H50+H52+H54-H56</f>
        <v/>
      </c>
      <c r="I58" s="170">
        <f>I50+I52+I54-I56</f>
        <v/>
      </c>
    </row>
    <row r="59">
      <c r="B59" s="41" t="inlineStr">
        <is>
          <t>Change in NWC</t>
        </is>
      </c>
      <c r="D59" s="168">
        <f>D58-C58</f>
        <v/>
      </c>
      <c r="E59" s="168">
        <f>E58-D58</f>
        <v/>
      </c>
      <c r="F59" s="168">
        <f>F58-E58</f>
        <v/>
      </c>
      <c r="G59" s="168">
        <f>G58-F58</f>
        <v/>
      </c>
      <c r="H59" s="168">
        <f>H58-G58</f>
        <v/>
      </c>
      <c r="I59" s="168">
        <f>I58-H58</f>
        <v/>
      </c>
    </row>
    <row r="61">
      <c r="A61" s="31" t="inlineStr">
        <is>
          <t>x</t>
        </is>
      </c>
      <c r="B61" s="13" t="inlineStr">
        <is>
          <t>Unlevered Free Cash Flow</t>
        </is>
      </c>
      <c r="C61" s="13" t="n"/>
      <c r="D61" s="13" t="n"/>
      <c r="E61" s="13" t="n"/>
      <c r="F61" s="13" t="n"/>
      <c r="G61" s="13" t="n"/>
      <c r="H61" s="13" t="n"/>
      <c r="I61" s="13" t="n"/>
    </row>
    <row r="62">
      <c r="B62" s="41" t="inlineStr">
        <is>
          <t>NOPAT</t>
        </is>
      </c>
      <c r="D62" s="168">
        <f>D29</f>
        <v/>
      </c>
      <c r="E62" s="168">
        <f>E29</f>
        <v/>
      </c>
      <c r="F62" s="168">
        <f>F29</f>
        <v/>
      </c>
      <c r="G62" s="168">
        <f>G29</f>
        <v/>
      </c>
      <c r="H62" s="168">
        <f>H29</f>
        <v/>
      </c>
      <c r="I62" s="168">
        <f>I29</f>
        <v/>
      </c>
    </row>
    <row r="63">
      <c r="B63" s="41" t="inlineStr">
        <is>
          <t>(+) Total Non-Cash Adjustments</t>
        </is>
      </c>
      <c r="D63" s="168">
        <f>D47</f>
        <v/>
      </c>
      <c r="E63" s="168">
        <f>E47</f>
        <v/>
      </c>
      <c r="F63" s="168">
        <f>F47</f>
        <v/>
      </c>
      <c r="G63" s="168">
        <f>G47</f>
        <v/>
      </c>
      <c r="H63" s="168">
        <f>H47</f>
        <v/>
      </c>
      <c r="I63" s="168">
        <f>I47</f>
        <v/>
      </c>
    </row>
    <row r="64">
      <c r="B64" s="41" t="inlineStr">
        <is>
          <t>(-) Change in Net Working Capital</t>
        </is>
      </c>
      <c r="D64" s="168">
        <f>-D59</f>
        <v/>
      </c>
      <c r="E64" s="168">
        <f>-E59</f>
        <v/>
      </c>
      <c r="F64" s="168">
        <f>-F59</f>
        <v/>
      </c>
      <c r="G64" s="168">
        <f>-G59</f>
        <v/>
      </c>
      <c r="H64" s="168">
        <f>-H59</f>
        <v/>
      </c>
      <c r="I64" s="168">
        <f>-I59</f>
        <v/>
      </c>
    </row>
    <row r="65">
      <c r="B65" s="41" t="inlineStr">
        <is>
          <t>(-) Capital Expenditures</t>
        </is>
      </c>
      <c r="D65" s="168">
        <f>-D41</f>
        <v/>
      </c>
      <c r="E65" s="168">
        <f>-E41</f>
        <v/>
      </c>
      <c r="F65" s="168">
        <f>-F41</f>
        <v/>
      </c>
      <c r="G65" s="168">
        <f>-G41</f>
        <v/>
      </c>
      <c r="H65" s="168">
        <f>-H41</f>
        <v/>
      </c>
      <c r="I65" s="168">
        <f>-I41</f>
        <v/>
      </c>
    </row>
    <row r="66">
      <c r="B66" s="41" t="inlineStr">
        <is>
          <t>(+) Proceeds from Sale of Leasing Equipment</t>
        </is>
      </c>
      <c r="D66" s="168">
        <f>-D37</f>
        <v/>
      </c>
      <c r="E66" s="168">
        <f>-E37</f>
        <v/>
      </c>
      <c r="F66" s="168">
        <f>-F37</f>
        <v/>
      </c>
      <c r="G66" s="168">
        <f>-G37</f>
        <v/>
      </c>
      <c r="H66" s="168">
        <f>-H37</f>
        <v/>
      </c>
      <c r="I66" s="168">
        <f>-I37</f>
        <v/>
      </c>
    </row>
    <row r="67">
      <c r="B67" s="41" t="inlineStr">
        <is>
          <t>(-) Investment in SCI / Unconsolidated Entities</t>
        </is>
      </c>
      <c r="C67" s="181" t="n">
        <v>-301.4</v>
      </c>
      <c r="D67" s="169">
        <f>-Assumptions!F132*Assumptions!F32/Assumptions!F34</f>
        <v/>
      </c>
      <c r="E67" s="169">
        <f>-Assumptions!K132*Assumptions!K32/Assumptions!K34</f>
        <v/>
      </c>
      <c r="F67" s="169">
        <f>-Assumptions!L132*Assumptions!L32/Assumptions!L34</f>
        <v/>
      </c>
      <c r="G67" s="169">
        <f>-Assumptions!M132*Assumptions!M32/Assumptions!M34</f>
        <v/>
      </c>
      <c r="H67" s="169">
        <f>-Assumptions!N132*Assumptions!N32/Assumptions!N34</f>
        <v/>
      </c>
      <c r="I67" s="169">
        <f>-Assumptions!O132*Assumptions!O32/Assumptions!O34</f>
        <v/>
      </c>
    </row>
    <row r="68">
      <c r="B68" s="41" t="inlineStr">
        <is>
          <t>(+) SCI Distributions to FTAI</t>
        </is>
      </c>
      <c r="D68" s="169">
        <f>Assumptions!F142*Assumptions!F32/Assumptions!F34</f>
        <v/>
      </c>
      <c r="E68" s="169">
        <f>Assumptions!K142*Assumptions!K32/Assumptions!K34</f>
        <v/>
      </c>
      <c r="F68" s="169">
        <f>Assumptions!L142*Assumptions!L32/Assumptions!L34</f>
        <v/>
      </c>
      <c r="G68" s="169">
        <f>Assumptions!M142*Assumptions!M32/Assumptions!M34</f>
        <v/>
      </c>
      <c r="H68" s="169">
        <f>Assumptions!N142*Assumptions!N32/Assumptions!N34</f>
        <v/>
      </c>
      <c r="I68" s="169">
        <f>Assumptions!O142*Assumptions!O32/Assumptions!O34</f>
        <v/>
      </c>
    </row>
    <row r="69">
      <c r="B69" s="61" t="inlineStr">
        <is>
          <t>UFCF</t>
        </is>
      </c>
      <c r="D69" s="225">
        <f>SUM(D62:D68)</f>
        <v/>
      </c>
      <c r="E69" s="225">
        <f>SUM(E62:E68)</f>
        <v/>
      </c>
      <c r="F69" s="225">
        <f>SUM(F62:F68)</f>
        <v/>
      </c>
      <c r="G69" s="225">
        <f>SUM(G62:G68)</f>
        <v/>
      </c>
      <c r="H69" s="225">
        <f>SUM(H62:H68)</f>
        <v/>
      </c>
      <c r="I69" s="225">
        <f>SUM(I62:I68)</f>
        <v/>
      </c>
    </row>
    <row r="70">
      <c r="B70" s="41" t="inlineStr">
        <is>
          <t xml:space="preserve">   UFCF Conversion (% of Adj. EBITDA)</t>
        </is>
      </c>
      <c r="D70" s="47">
        <f>IFERROR(D69/D18,0)</f>
        <v/>
      </c>
      <c r="E70" s="47">
        <f>IFERROR(E69/E18,0)</f>
        <v/>
      </c>
      <c r="F70" s="47">
        <f>IFERROR(F69/F18,0)</f>
        <v/>
      </c>
      <c r="G70" s="47">
        <f>IFERROR(G69/G18,0)</f>
        <v/>
      </c>
      <c r="H70" s="47">
        <f>IFERROR(H69/H18,0)</f>
        <v/>
      </c>
      <c r="I70" s="47">
        <f>IFERROR(I69/I18,0)</f>
        <v/>
      </c>
    </row>
    <row r="71">
      <c r="A71" s="31" t="inlineStr">
        <is>
          <t>x</t>
        </is>
      </c>
      <c r="B71" s="13" t="inlineStr">
        <is>
          <t>Levered Cash Flow &amp; Net Debt</t>
        </is>
      </c>
      <c r="C71" s="13" t="n"/>
      <c r="D71" s="13" t="n"/>
      <c r="E71" s="13" t="n"/>
      <c r="F71" s="13" t="n"/>
      <c r="G71" s="13" t="n"/>
      <c r="H71" s="13" t="n"/>
      <c r="I71" s="13" t="n"/>
    </row>
    <row r="72">
      <c r="B72" s="41" t="inlineStr">
        <is>
          <t>UFCF</t>
        </is>
      </c>
      <c r="D72" s="168">
        <f>D69</f>
        <v/>
      </c>
      <c r="E72" s="168">
        <f>E69</f>
        <v/>
      </c>
      <c r="F72" s="168">
        <f>F69</f>
        <v/>
      </c>
      <c r="G72" s="168">
        <f>G69</f>
        <v/>
      </c>
      <c r="H72" s="168">
        <f>H69</f>
        <v/>
      </c>
      <c r="I72" s="168">
        <f>I69</f>
        <v/>
      </c>
    </row>
    <row r="73">
      <c r="B73" s="41" t="inlineStr">
        <is>
          <t>(-) After-tax Interest Expense</t>
        </is>
      </c>
      <c r="D73" s="169">
        <f>-Assumptions!F134*(1-D27)</f>
        <v/>
      </c>
      <c r="E73" s="169">
        <f>-Assumptions!K134*(1-E27)</f>
        <v/>
      </c>
      <c r="F73" s="169">
        <f>-Assumptions!L134*(1-F27)</f>
        <v/>
      </c>
      <c r="G73" s="169">
        <f>-Assumptions!M134*(1-G27)</f>
        <v/>
      </c>
      <c r="H73" s="169">
        <f>-Assumptions!N134*(1-H27)</f>
        <v/>
      </c>
      <c r="I73" s="169">
        <f>-Assumptions!O134*(1-I27)</f>
        <v/>
      </c>
    </row>
    <row r="74">
      <c r="B74" s="41" t="inlineStr">
        <is>
          <t>(-) Common Dividends</t>
        </is>
      </c>
      <c r="D74" s="169">
        <f>-Assumptions!F136</f>
        <v/>
      </c>
      <c r="E74" s="169">
        <f>-Assumptions!K136</f>
        <v/>
      </c>
      <c r="F74" s="169">
        <f>-Assumptions!L136</f>
        <v/>
      </c>
      <c r="G74" s="169">
        <f>-Assumptions!M136</f>
        <v/>
      </c>
      <c r="H74" s="169">
        <f>-Assumptions!N136</f>
        <v/>
      </c>
      <c r="I74" s="169">
        <f>-Assumptions!O136</f>
        <v/>
      </c>
    </row>
    <row r="75">
      <c r="B75" s="41" t="inlineStr">
        <is>
          <t>(-) Preferred Dividends</t>
        </is>
      </c>
      <c r="D75" s="169">
        <f>-Assumptions!F138</f>
        <v/>
      </c>
      <c r="E75" s="169">
        <f>-Assumptions!K138</f>
        <v/>
      </c>
      <c r="F75" s="169">
        <f>-Assumptions!L138</f>
        <v/>
      </c>
      <c r="G75" s="169">
        <f>-Assumptions!M138</f>
        <v/>
      </c>
      <c r="H75" s="169">
        <f>-Assumptions!N138</f>
        <v/>
      </c>
      <c r="I75" s="169">
        <f>-Assumptions!O138</f>
        <v/>
      </c>
    </row>
    <row r="76">
      <c r="B76" s="52" t="inlineStr">
        <is>
          <t>Change in Cash</t>
        </is>
      </c>
      <c r="D76" s="170">
        <f>SUM(D72:D75)</f>
        <v/>
      </c>
      <c r="E76" s="170">
        <f>SUM(E72:E75)</f>
        <v/>
      </c>
      <c r="F76" s="170">
        <f>SUM(F72:F75)</f>
        <v/>
      </c>
      <c r="G76" s="170">
        <f>SUM(G72:G75)</f>
        <v/>
      </c>
      <c r="H76" s="170">
        <f>SUM(H72:H75)</f>
        <v/>
      </c>
      <c r="I76" s="170">
        <f>SUM(I72:I75)</f>
        <v/>
      </c>
    </row>
    <row r="77">
      <c r="B77" s="41" t="inlineStr">
        <is>
          <t>Cash &amp; Equivalents (EoP)</t>
        </is>
      </c>
      <c r="C77" s="181" t="n">
        <v>300.476</v>
      </c>
      <c r="D77" s="168">
        <f>C77+D76</f>
        <v/>
      </c>
      <c r="E77" s="168">
        <f>D77+E76</f>
        <v/>
      </c>
      <c r="F77" s="168">
        <f>E77+F76</f>
        <v/>
      </c>
      <c r="G77" s="168">
        <f>F77+G76</f>
        <v/>
      </c>
      <c r="H77" s="168">
        <f>G77+H76</f>
        <v/>
      </c>
      <c r="I77" s="168">
        <f>H77+I76</f>
        <v/>
      </c>
    </row>
    <row r="78">
      <c r="B78" s="41" t="inlineStr">
        <is>
          <t>Total Debt (EoP)</t>
        </is>
      </c>
      <c r="C78" s="181" t="n">
        <v>3448.891</v>
      </c>
      <c r="D78" s="168">
        <f>C78</f>
        <v/>
      </c>
      <c r="E78" s="168">
        <f>D78</f>
        <v/>
      </c>
      <c r="F78" s="168">
        <f>E78</f>
        <v/>
      </c>
      <c r="G78" s="168">
        <f>F78</f>
        <v/>
      </c>
      <c r="H78" s="168">
        <f>G78</f>
        <v/>
      </c>
      <c r="I78" s="168">
        <f>H78</f>
        <v/>
      </c>
    </row>
    <row r="79">
      <c r="B79" s="52" t="inlineStr">
        <is>
          <t>Net Debt</t>
        </is>
      </c>
      <c r="C79" s="170">
        <f>C78-C77</f>
        <v/>
      </c>
      <c r="D79" s="170">
        <f>D78-D77</f>
        <v/>
      </c>
      <c r="E79" s="170">
        <f>E78-E77</f>
        <v/>
      </c>
      <c r="F79" s="170">
        <f>F78-F77</f>
        <v/>
      </c>
      <c r="G79" s="170">
        <f>G78-G77</f>
        <v/>
      </c>
      <c r="H79" s="170">
        <f>H78-H77</f>
        <v/>
      </c>
      <c r="I79" s="170">
        <f>I78-I77</f>
        <v/>
      </c>
    </row>
    <row r="80">
      <c r="B80" s="41" t="inlineStr">
        <is>
          <t xml:space="preserve">   Net Debt / Adj. EBITDA</t>
        </is>
      </c>
      <c r="C80" s="187">
        <f>IFERROR(C79/C18,0)</f>
        <v/>
      </c>
      <c r="D80" s="187">
        <f>IFERROR(D79/D18,0)</f>
        <v/>
      </c>
      <c r="E80" s="187">
        <f>IFERROR(E79/E18,0)</f>
        <v/>
      </c>
      <c r="F80" s="187">
        <f>IFERROR(F79/F18,0)</f>
        <v/>
      </c>
      <c r="G80" s="187">
        <f>IFERROR(G79/G18,0)</f>
        <v/>
      </c>
      <c r="H80" s="187">
        <f>IFERROR(H79/H18,0)</f>
        <v/>
      </c>
      <c r="I80" s="187">
        <f>IFERROR(I79/I18,0)</f>
        <v/>
      </c>
    </row>
    <row r="82">
      <c r="A82" s="31" t="inlineStr">
        <is>
          <t>x</t>
        </is>
      </c>
      <c r="B82" s="13" t="inlineStr">
        <is>
          <t>Jefferies Comparison (8/2/26)</t>
        </is>
      </c>
      <c r="C82" s="13" t="n"/>
      <c r="D82" s="13" t="n"/>
      <c r="E82" s="13" t="n"/>
      <c r="F82" s="13" t="n"/>
      <c r="G82" s="13" t="n"/>
      <c r="H82" s="13" t="n"/>
      <c r="I82" s="13" t="n"/>
    </row>
    <row r="83">
      <c r="B83" s="41" t="inlineStr">
        <is>
          <t>Jefferies Total Revenue</t>
        </is>
      </c>
      <c r="D83" s="181" t="n">
        <v>3907.6</v>
      </c>
      <c r="E83" s="181" t="n">
        <v>6126.6</v>
      </c>
      <c r="F83" s="181" t="n">
        <v>8415.6</v>
      </c>
    </row>
    <row r="84">
      <c r="B84" s="41" t="inlineStr">
        <is>
          <t xml:space="preserve">   Model vs. Jefferies</t>
        </is>
      </c>
      <c r="D84" s="168">
        <f>D11-D83</f>
        <v/>
      </c>
      <c r="E84" s="168">
        <f>E11-E83</f>
        <v/>
      </c>
      <c r="F84" s="168">
        <f>F11-F83</f>
        <v/>
      </c>
    </row>
    <row r="85">
      <c r="B85" s="41" t="inlineStr">
        <is>
          <t>Jefferies Total Adj. EBITDA</t>
        </is>
      </c>
      <c r="D85" s="181" t="n">
        <v>1289.3</v>
      </c>
      <c r="E85" s="181" t="n">
        <v>2098.5</v>
      </c>
      <c r="F85" s="181" t="n">
        <v>3022.6</v>
      </c>
    </row>
    <row r="86">
      <c r="B86" s="41" t="inlineStr">
        <is>
          <t xml:space="preserve">   Model vs. Jefferies</t>
        </is>
      </c>
      <c r="D86" s="168">
        <f>D18-D85</f>
        <v/>
      </c>
      <c r="E86" s="168">
        <f>E18-E85</f>
        <v/>
      </c>
      <c r="F86" s="168">
        <f>F18-F85</f>
        <v/>
      </c>
    </row>
    <row r="87">
      <c r="B87" s="41" t="inlineStr">
        <is>
          <t>Jefferies D&amp;A</t>
        </is>
      </c>
      <c r="D87" s="181" t="n">
        <v>196.2</v>
      </c>
      <c r="E87" s="181" t="n">
        <v>191</v>
      </c>
      <c r="F87" s="181" t="n">
        <v>180.2</v>
      </c>
    </row>
    <row r="88">
      <c r="B88" s="41" t="inlineStr">
        <is>
          <t xml:space="preserve">   Model vs. Jefferies</t>
        </is>
      </c>
      <c r="D88" s="168">
        <f>D40-D87</f>
        <v/>
      </c>
      <c r="E88" s="168">
        <f>E40-E87</f>
        <v/>
      </c>
      <c r="F88" s="168">
        <f>F40-F87</f>
        <v/>
      </c>
    </row>
    <row r="89">
      <c r="B89" s="41" t="inlineStr">
        <is>
          <t>Jefferies Total CapEx (Leasing + PP&amp;E)</t>
        </is>
      </c>
      <c r="D89" s="181" t="n">
        <v>229.5</v>
      </c>
      <c r="E89" s="181" t="n">
        <v>155.3</v>
      </c>
      <c r="F89" s="181" t="n">
        <v>171</v>
      </c>
    </row>
    <row r="90">
      <c r="B90" s="41" t="inlineStr">
        <is>
          <t xml:space="preserve">   Model vs. Jefferies</t>
        </is>
      </c>
      <c r="D90" s="168">
        <f>D41-D89</f>
        <v/>
      </c>
      <c r="E90" s="168">
        <f>E41-E89</f>
        <v/>
      </c>
      <c r="F90" s="168">
        <f>F41-F89</f>
        <v/>
      </c>
    </row>
    <row r="91">
      <c r="B91" s="41" t="inlineStr">
        <is>
          <t>Jefferies Change in Working Capital (cash)</t>
        </is>
      </c>
      <c r="D91" s="181" t="n">
        <v>-386.3</v>
      </c>
      <c r="E91" s="181" t="n">
        <v>-256.4</v>
      </c>
      <c r="F91" s="181" t="n">
        <v>-157</v>
      </c>
    </row>
    <row r="92">
      <c r="B92" s="41" t="inlineStr">
        <is>
          <t xml:space="preserve">   Model vs. Jefferies</t>
        </is>
      </c>
      <c r="D92" s="168">
        <f>-D59-D91</f>
        <v/>
      </c>
      <c r="E92" s="168">
        <f>-E59-E91</f>
        <v/>
      </c>
      <c r="F92" s="168">
        <f>-F59-F91</f>
        <v/>
      </c>
    </row>
    <row r="93">
      <c r="B93" s="41" t="inlineStr">
        <is>
          <t>Jefferies Inventory</t>
        </is>
      </c>
      <c r="D93" s="181" t="n">
        <v>1484.9</v>
      </c>
      <c r="E93" s="181" t="n">
        <v>1654.2</v>
      </c>
      <c r="F93" s="181" t="n">
        <v>1767.3</v>
      </c>
    </row>
    <row r="94">
      <c r="B94" s="41" t="inlineStr">
        <is>
          <t xml:space="preserve">   Model vs. Jefferies</t>
        </is>
      </c>
      <c r="D94" s="168">
        <f>D52-D93</f>
        <v/>
      </c>
      <c r="E94" s="168">
        <f>E52-E93</f>
        <v/>
      </c>
      <c r="F94" s="168">
        <f>F52-F93</f>
        <v/>
      </c>
    </row>
    <row r="95">
      <c r="B95" s="41" t="inlineStr">
        <is>
          <t>Jefferies AP &amp; Accrued Liabilities</t>
        </is>
      </c>
      <c r="D95" s="181" t="n">
        <v>351.7</v>
      </c>
      <c r="E95" s="181" t="n">
        <v>398.2</v>
      </c>
      <c r="F95" s="181" t="n">
        <v>462.9</v>
      </c>
    </row>
    <row r="96">
      <c r="B96" s="41" t="inlineStr">
        <is>
          <t xml:space="preserve">   Model vs. Jefferies</t>
        </is>
      </c>
      <c r="D96" s="168">
        <f>D56-D95</f>
        <v/>
      </c>
      <c r="E96" s="168">
        <f>E56-E95</f>
        <v/>
      </c>
      <c r="F96" s="168">
        <f>F56-F95</f>
        <v/>
      </c>
    </row>
    <row r="97">
      <c r="B97" s="41" t="inlineStr">
        <is>
          <t>Jefferies Cash &amp; Equivalents (EoP)</t>
        </is>
      </c>
      <c r="D97" s="181" t="n">
        <v>291</v>
      </c>
      <c r="E97" s="181" t="n">
        <v>859.9</v>
      </c>
      <c r="F97" s="181" t="n">
        <v>1933</v>
      </c>
    </row>
    <row r="98">
      <c r="B98" s="41" t="inlineStr">
        <is>
          <t xml:space="preserve">   Model vs. Jefferies</t>
        </is>
      </c>
      <c r="D98" s="168">
        <f>D77-D97</f>
        <v/>
      </c>
      <c r="E98" s="168">
        <f>E77-E97</f>
        <v/>
      </c>
      <c r="F98" s="168">
        <f>F77-F97</f>
        <v/>
      </c>
    </row>
    <row r="99">
      <c r="B99" s="41" t="inlineStr">
        <is>
          <t>Jefferies UFCF (CFO + CFI + after-tax interest)</t>
        </is>
      </c>
      <c r="D99" s="181" t="n">
        <v>403.1</v>
      </c>
      <c r="E99" s="181" t="n">
        <v>978</v>
      </c>
      <c r="F99" s="181" t="n">
        <v>1503.8</v>
      </c>
    </row>
    <row r="100">
      <c r="B100" s="41" t="inlineStr">
        <is>
          <t xml:space="preserve">   Model vs. Jefferies</t>
        </is>
      </c>
      <c r="D100" s="168">
        <f>D69-D99</f>
        <v/>
      </c>
      <c r="E100" s="168">
        <f>E69-E99</f>
        <v/>
      </c>
      <c r="F100" s="168">
        <f>F69-F99</f>
        <v/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ColWidth="8.85546875" defaultRowHeight="15"/>
  <cols>
    <col width="34" customWidth="1" min="1" max="1"/>
    <col width="14" customWidth="1" min="2" max="2"/>
    <col width="60" customWidth="1" min="4" max="4"/>
  </cols>
  <sheetData>
    <row r="1" ht="18.75" customHeight="1">
      <c r="A1" s="58" t="inlineStr">
        <is>
          <t>WACC Calculation</t>
        </is>
      </c>
    </row>
    <row r="3">
      <c r="A3" s="41" t="inlineStr">
        <is>
          <t>Total Market Capitalization ($mm)</t>
        </is>
      </c>
      <c r="B3" s="169">
        <f>DCF!K18*DCF!K16</f>
        <v/>
      </c>
    </row>
    <row r="4">
      <c r="A4" s="41" t="inlineStr">
        <is>
          <t>Total Debt ($mm)</t>
        </is>
      </c>
      <c r="B4" s="169">
        <f>-DCF!K12</f>
        <v/>
      </c>
    </row>
    <row r="6">
      <c r="A6" s="41" t="inlineStr">
        <is>
          <t>Weight of Equity</t>
        </is>
      </c>
      <c r="B6" s="47">
        <f>B3/(B3+B4)</f>
        <v/>
      </c>
    </row>
    <row r="7">
      <c r="A7" s="41" t="inlineStr">
        <is>
          <t>Weight of Debt</t>
        </is>
      </c>
      <c r="B7" s="47">
        <f>B4/(B3+B4)</f>
        <v/>
      </c>
    </row>
    <row r="8">
      <c r="A8" s="41" t="inlineStr">
        <is>
          <t>Total Weight</t>
        </is>
      </c>
      <c r="B8" s="47">
        <f>B6+B7</f>
        <v/>
      </c>
    </row>
    <row r="10">
      <c r="A10" s="41" t="inlineStr">
        <is>
          <t>Pretax Cost of Debt</t>
        </is>
      </c>
      <c r="B10" s="26" t="n">
        <v>0.07199999999999999</v>
      </c>
    </row>
    <row r="11">
      <c r="A11" s="41" t="inlineStr">
        <is>
          <t>Tax Rate</t>
        </is>
      </c>
      <c r="B11" s="29">
        <f>Assumptions!F119</f>
        <v/>
      </c>
    </row>
    <row r="12">
      <c r="A12" s="41" t="inlineStr">
        <is>
          <t>After-tax Cost of Debt</t>
        </is>
      </c>
      <c r="B12" s="47">
        <f>B10*(1-B11)</f>
        <v/>
      </c>
    </row>
    <row r="14">
      <c r="A14" s="41" t="inlineStr">
        <is>
          <t>Risk Free Rate</t>
        </is>
      </c>
      <c r="B14" s="26" t="n">
        <v>0.042</v>
      </c>
    </row>
    <row r="15">
      <c r="A15" s="41" t="inlineStr">
        <is>
          <t>Market Risk Premium</t>
        </is>
      </c>
      <c r="B15" s="26" t="n">
        <v>0.045</v>
      </c>
    </row>
    <row r="16">
      <c r="A16" s="41" t="inlineStr">
        <is>
          <t>Return on Market</t>
        </is>
      </c>
      <c r="B16" s="47">
        <f>B14+B15</f>
        <v/>
      </c>
    </row>
    <row r="17">
      <c r="A17" s="41" t="inlineStr">
        <is>
          <t>Raw Beta (5Y monthly)</t>
        </is>
      </c>
      <c r="B17" s="124" t="n">
        <v>1.51</v>
      </c>
    </row>
    <row r="18">
      <c r="A18" s="41" t="inlineStr">
        <is>
          <t>Adjusted Beta (Bloomberg: 0.67 x raw + 0.33)</t>
        </is>
      </c>
      <c r="B18" s="49">
        <f>0.67*B17+0.33</f>
        <v/>
      </c>
    </row>
    <row r="19">
      <c r="A19" s="43" t="inlineStr">
        <is>
          <t>Cost of Equity</t>
        </is>
      </c>
      <c r="B19" s="66">
        <f>B14+B18*B15</f>
        <v/>
      </c>
    </row>
    <row r="20">
      <c r="A20" s="43" t="inlineStr">
        <is>
          <t>WACC</t>
        </is>
      </c>
      <c r="B20" s="63">
        <f>B19*B6+B12*B7</f>
        <v/>
      </c>
      <c r="D20" s="41" t="inlineStr">
        <is>
          <t>CAPM with Bloomberg-adjusted beta; blue inputs - refresh from Bloomberg</t>
        </is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U94"/>
  <sheetViews>
    <sheetView showGridLines="0" topLeftCell="A51" workbookViewId="0">
      <pane xSplit="2" topLeftCell="G1" activePane="topRight" state="frozen"/>
      <selection pane="topRight" activeCell="A89" sqref="A89"/>
    </sheetView>
  </sheetViews>
  <sheetFormatPr baseColWidth="8" defaultColWidth="8.85546875" defaultRowHeight="15"/>
  <cols>
    <col width="2.7109375" customWidth="1" min="1" max="1"/>
    <col width="35.7109375" customWidth="1" min="2" max="2"/>
    <col hidden="1" outlineLevel="1" width="9.140625" customWidth="1" min="3" max="6"/>
    <col collapsed="1" width="8.85546875" customWidth="1" min="7" max="7"/>
    <col hidden="1" outlineLevel="1" width="9.140625" customWidth="1" min="8" max="11"/>
    <col collapsed="1" width="8.85546875" customWidth="1" min="12" max="12"/>
    <col hidden="1" outlineLevel="1" width="9.140625" customWidth="1" min="13" max="16"/>
    <col collapsed="1" width="8.85546875" customWidth="1" min="17" max="17"/>
  </cols>
  <sheetData>
    <row r="1">
      <c r="B1" s="3" t="inlineStr">
        <is>
          <t>FTAI Aviation</t>
        </is>
      </c>
    </row>
    <row r="2">
      <c r="B2" s="3" t="inlineStr">
        <is>
          <t>Revenue Build</t>
        </is>
      </c>
    </row>
    <row r="3">
      <c r="B3" s="3" t="inlineStr">
        <is>
          <t>(in million $)</t>
        </is>
      </c>
    </row>
    <row r="5">
      <c r="B5" s="1" t="n"/>
      <c r="C5" s="2" t="inlineStr">
        <is>
          <t>Q1-25</t>
        </is>
      </c>
      <c r="D5" s="2" t="inlineStr">
        <is>
          <t>Q2-25</t>
        </is>
      </c>
      <c r="E5" s="2" t="inlineStr">
        <is>
          <t>Q3-25</t>
        </is>
      </c>
      <c r="F5" s="2" t="inlineStr">
        <is>
          <t>Q4-25</t>
        </is>
      </c>
      <c r="G5" s="2" t="inlineStr">
        <is>
          <t>FY25</t>
        </is>
      </c>
      <c r="H5" s="2" t="inlineStr">
        <is>
          <t>Q1-26</t>
        </is>
      </c>
      <c r="I5" s="2" t="inlineStr">
        <is>
          <t>Q2-26</t>
        </is>
      </c>
      <c r="J5" s="2" t="inlineStr">
        <is>
          <t>Q3-26</t>
        </is>
      </c>
      <c r="K5" s="2" t="inlineStr">
        <is>
          <t>Q4-26</t>
        </is>
      </c>
      <c r="L5" s="2" t="inlineStr">
        <is>
          <t>FY26</t>
        </is>
      </c>
      <c r="M5" s="2" t="inlineStr">
        <is>
          <t>Q1-27</t>
        </is>
      </c>
      <c r="N5" s="2" t="inlineStr">
        <is>
          <t>Q2-27</t>
        </is>
      </c>
      <c r="O5" s="2" t="inlineStr">
        <is>
          <t>Q3-27</t>
        </is>
      </c>
      <c r="P5" s="2" t="inlineStr">
        <is>
          <t>Q4-27</t>
        </is>
      </c>
      <c r="Q5" s="2" t="inlineStr">
        <is>
          <t>FY27</t>
        </is>
      </c>
      <c r="R5" s="2" t="inlineStr">
        <is>
          <t>FY28</t>
        </is>
      </c>
      <c r="S5" s="2" t="inlineStr">
        <is>
          <t>FY29</t>
        </is>
      </c>
      <c r="T5" s="2" t="inlineStr">
        <is>
          <t>FY30</t>
        </is>
      </c>
      <c r="U5" s="2" t="inlineStr">
        <is>
          <t>FY31</t>
        </is>
      </c>
    </row>
    <row r="6">
      <c r="B6" s="13" t="inlineStr">
        <is>
          <t>Aerospace Products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</row>
    <row r="7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</row>
    <row r="8">
      <c r="A8" t="inlineStr">
        <is>
          <t>x</t>
        </is>
      </c>
      <c r="B8" s="4" t="inlineStr">
        <is>
          <t>CFM56 Fleet &amp; Shop Demand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B9" s="3" t="inlineStr">
        <is>
          <t>CFM56-7B (737MG)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B10" s="5" t="inlineStr">
        <is>
          <t>BoP Engine Fleet</t>
        </is>
      </c>
      <c r="C10" s="226" t="n">
        <v>13984</v>
      </c>
      <c r="D10" s="226" t="n">
        <v>13940</v>
      </c>
      <c r="E10" s="226" t="n">
        <v>13896</v>
      </c>
      <c r="F10" s="226" t="n">
        <v>13853</v>
      </c>
      <c r="G10" s="226" t="n">
        <v>13984</v>
      </c>
      <c r="H10" s="226" t="n">
        <v>13809</v>
      </c>
      <c r="I10" s="226" t="n">
        <v>13810</v>
      </c>
      <c r="J10" s="227">
        <f>I13</f>
        <v/>
      </c>
      <c r="K10" s="227">
        <f>J13</f>
        <v/>
      </c>
      <c r="L10" s="227">
        <f>H10</f>
        <v/>
      </c>
      <c r="M10" s="227">
        <f>K13</f>
        <v/>
      </c>
      <c r="N10" s="227">
        <f>M13</f>
        <v/>
      </c>
      <c r="O10" s="227">
        <f>N13</f>
        <v/>
      </c>
      <c r="P10" s="227">
        <f>O13</f>
        <v/>
      </c>
      <c r="Q10" s="227">
        <f>M10</f>
        <v/>
      </c>
      <c r="R10" s="227">
        <f>P13</f>
        <v/>
      </c>
      <c r="S10" s="227">
        <f>R13</f>
        <v/>
      </c>
      <c r="T10" s="227">
        <f>S13</f>
        <v/>
      </c>
      <c r="U10" s="227">
        <f>T13</f>
        <v/>
      </c>
    </row>
    <row r="11">
      <c r="B11" s="6" t="inlineStr">
        <is>
          <t>Retirement Rate</t>
        </is>
      </c>
      <c r="C11" s="228" t="n">
        <v>0.0031</v>
      </c>
      <c r="D11" s="228" t="n">
        <v>0.0031</v>
      </c>
      <c r="E11" s="228" t="n">
        <v>0.0031</v>
      </c>
      <c r="F11" s="228" t="n">
        <v>0.0031</v>
      </c>
      <c r="G11" s="228" t="n">
        <v>0.0125</v>
      </c>
      <c r="H11" s="228" t="n">
        <v>0.0038</v>
      </c>
      <c r="I11" s="228" t="n">
        <v>0.0038</v>
      </c>
      <c r="J11" s="229">
        <f>Assumptions!D8</f>
        <v/>
      </c>
      <c r="K11" s="229">
        <f>Assumptions!E8</f>
        <v/>
      </c>
      <c r="L11" s="230">
        <f>IFERROR(L12/L10,0)</f>
        <v/>
      </c>
      <c r="M11" s="229">
        <f>Assumptions!G8</f>
        <v/>
      </c>
      <c r="N11" s="229">
        <f>Assumptions!H8</f>
        <v/>
      </c>
      <c r="O11" s="229">
        <f>Assumptions!I8</f>
        <v/>
      </c>
      <c r="P11" s="229">
        <f>Assumptions!J8</f>
        <v/>
      </c>
      <c r="Q11" s="230">
        <f>IFERROR(Q12/Q10,0)</f>
        <v/>
      </c>
      <c r="R11" s="229">
        <f>Assumptions!L8</f>
        <v/>
      </c>
      <c r="S11" s="229">
        <f>Assumptions!M8</f>
        <v/>
      </c>
      <c r="T11" s="229">
        <f>Assumptions!N8</f>
        <v/>
      </c>
      <c r="U11" s="229">
        <f>Assumptions!O8</f>
        <v/>
      </c>
    </row>
    <row r="12">
      <c r="B12" s="5" t="inlineStr">
        <is>
          <t>Retired Engines</t>
        </is>
      </c>
      <c r="C12" s="226" t="n">
        <v>44</v>
      </c>
      <c r="D12" s="226" t="n">
        <v>44</v>
      </c>
      <c r="E12" s="226" t="n">
        <v>44</v>
      </c>
      <c r="F12" s="226" t="n">
        <v>43</v>
      </c>
      <c r="G12" s="226" t="n">
        <v>175</v>
      </c>
      <c r="H12" s="226" t="n">
        <v>52</v>
      </c>
      <c r="I12" s="226" t="n">
        <v>52</v>
      </c>
      <c r="J12" s="227">
        <f>J10*J11</f>
        <v/>
      </c>
      <c r="K12" s="227">
        <f>K10*K11</f>
        <v/>
      </c>
      <c r="L12" s="227">
        <f>SUM(H12:K12)</f>
        <v/>
      </c>
      <c r="M12" s="227">
        <f>M10*M11</f>
        <v/>
      </c>
      <c r="N12" s="227">
        <f>N10*N11</f>
        <v/>
      </c>
      <c r="O12" s="227">
        <f>O10*O11</f>
        <v/>
      </c>
      <c r="P12" s="227">
        <f>P10*P11</f>
        <v/>
      </c>
      <c r="Q12" s="227">
        <f>SUM(M12:P12)</f>
        <v/>
      </c>
      <c r="R12" s="227">
        <f>R10*R11</f>
        <v/>
      </c>
      <c r="S12" s="227">
        <f>S10*S11</f>
        <v/>
      </c>
      <c r="T12" s="227">
        <f>T10*T11</f>
        <v/>
      </c>
      <c r="U12" s="227">
        <f>U10*U11</f>
        <v/>
      </c>
    </row>
    <row r="13">
      <c r="B13" s="5" t="inlineStr">
        <is>
          <t>EoP Engine Fleet</t>
        </is>
      </c>
      <c r="C13" s="226" t="n">
        <v>13940</v>
      </c>
      <c r="D13" s="226" t="n">
        <v>13896</v>
      </c>
      <c r="E13" s="226" t="n">
        <v>13853</v>
      </c>
      <c r="F13" s="226" t="n">
        <v>13809</v>
      </c>
      <c r="G13" s="226" t="n">
        <v>13809</v>
      </c>
      <c r="H13" s="226" t="n">
        <v>13757</v>
      </c>
      <c r="I13" s="226" t="n">
        <v>13758</v>
      </c>
      <c r="J13" s="227">
        <f>J10-J12</f>
        <v/>
      </c>
      <c r="K13" s="227">
        <f>K10-K12</f>
        <v/>
      </c>
      <c r="L13" s="227">
        <f>K13</f>
        <v/>
      </c>
      <c r="M13" s="227">
        <f>M10-M12</f>
        <v/>
      </c>
      <c r="N13" s="227">
        <f>N10-N12</f>
        <v/>
      </c>
      <c r="O13" s="227">
        <f>O10-O12</f>
        <v/>
      </c>
      <c r="P13" s="227">
        <f>P10-P12</f>
        <v/>
      </c>
      <c r="Q13" s="227">
        <f>P13</f>
        <v/>
      </c>
      <c r="R13" s="227">
        <f>R10-R12</f>
        <v/>
      </c>
      <c r="S13" s="227">
        <f>S10-S12</f>
        <v/>
      </c>
      <c r="T13" s="227">
        <f>T10-T12</f>
        <v/>
      </c>
      <c r="U13" s="227">
        <f>U10-U12</f>
        <v/>
      </c>
    </row>
    <row r="14">
      <c r="B14" s="6" t="inlineStr">
        <is>
          <t>Shop Visit Rate</t>
        </is>
      </c>
      <c r="C14" s="228" t="n">
        <v>0.0261</v>
      </c>
      <c r="D14" s="228" t="n">
        <v>0.0262</v>
      </c>
      <c r="E14" s="228" t="n">
        <v>0.0263</v>
      </c>
      <c r="F14" s="228" t="n">
        <v>0.0264</v>
      </c>
      <c r="G14" s="228" t="n">
        <v>0.1055</v>
      </c>
      <c r="H14" s="228" t="n">
        <v>0.027</v>
      </c>
      <c r="I14" s="228" t="n">
        <v>0.027</v>
      </c>
      <c r="J14" s="229">
        <f>Assumptions!D18</f>
        <v/>
      </c>
      <c r="K14" s="229">
        <f>Assumptions!E18</f>
        <v/>
      </c>
      <c r="L14" s="230">
        <f>SUM(H14:K14)</f>
        <v/>
      </c>
      <c r="M14" s="229">
        <f>Assumptions!G18</f>
        <v/>
      </c>
      <c r="N14" s="229">
        <f>Assumptions!H18</f>
        <v/>
      </c>
      <c r="O14" s="229">
        <f>Assumptions!I18</f>
        <v/>
      </c>
      <c r="P14" s="229">
        <f>Assumptions!J18</f>
        <v/>
      </c>
      <c r="Q14" s="230">
        <f>SUM(M14:P14)</f>
        <v/>
      </c>
      <c r="R14" s="229">
        <f>Assumptions!L18</f>
        <v/>
      </c>
      <c r="S14" s="229">
        <f>Assumptions!M18</f>
        <v/>
      </c>
      <c r="T14" s="229">
        <f>Assumptions!N18</f>
        <v/>
      </c>
      <c r="U14" s="229">
        <f>Assumptions!O18</f>
        <v/>
      </c>
    </row>
    <row r="15">
      <c r="B15" s="5" t="inlineStr">
        <is>
          <t>Shop Visits</t>
        </is>
      </c>
      <c r="C15" s="226" t="n">
        <v>364</v>
      </c>
      <c r="D15" s="226" t="n">
        <v>364</v>
      </c>
      <c r="E15" s="226" t="n">
        <v>364</v>
      </c>
      <c r="F15" s="226" t="n">
        <v>364</v>
      </c>
      <c r="G15" s="226" t="n">
        <v>1457</v>
      </c>
      <c r="H15" s="226" t="n">
        <v>372</v>
      </c>
      <c r="I15" s="226" t="n">
        <v>372</v>
      </c>
      <c r="J15" s="227">
        <f>J14*J13</f>
        <v/>
      </c>
      <c r="K15" s="227">
        <f>K14*K13</f>
        <v/>
      </c>
      <c r="L15" s="227">
        <f>SUM(H15:K15)</f>
        <v/>
      </c>
      <c r="M15" s="227">
        <f>M14*M13</f>
        <v/>
      </c>
      <c r="N15" s="227">
        <f>N14*N13</f>
        <v/>
      </c>
      <c r="O15" s="227">
        <f>O14*O13</f>
        <v/>
      </c>
      <c r="P15" s="227">
        <f>P14*P13</f>
        <v/>
      </c>
      <c r="Q15" s="227">
        <f>SUM(M15:P15)</f>
        <v/>
      </c>
      <c r="R15" s="227">
        <f>R14*R13</f>
        <v/>
      </c>
      <c r="S15" s="227">
        <f>S14*S13</f>
        <v/>
      </c>
      <c r="T15" s="227">
        <f>T14*T13</f>
        <v/>
      </c>
      <c r="U15" s="227">
        <f>U14*U13</f>
        <v/>
      </c>
    </row>
    <row r="16">
      <c r="B16" s="3" t="n"/>
      <c r="C16" s="14" t="n"/>
      <c r="D16" s="14" t="n"/>
      <c r="E16" s="14" t="n"/>
      <c r="F16" s="14" t="n"/>
      <c r="G16" s="14" t="n"/>
      <c r="H16" s="14" t="n"/>
      <c r="I16" s="14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B17" s="4" t="inlineStr">
        <is>
          <t>CFM56-5B (A320ceo)</t>
        </is>
      </c>
      <c r="C17" s="14" t="n"/>
      <c r="D17" s="14" t="n"/>
      <c r="E17" s="14" t="n"/>
      <c r="F17" s="14" t="n"/>
      <c r="G17" s="14" t="n"/>
      <c r="H17" s="14" t="n"/>
      <c r="I17" s="14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</row>
    <row r="18">
      <c r="B18" s="5" t="inlineStr">
        <is>
          <t>BoP Engine Fleet</t>
        </is>
      </c>
      <c r="C18" s="226" t="n">
        <v>9016</v>
      </c>
      <c r="D18" s="226" t="n">
        <v>8988</v>
      </c>
      <c r="E18" s="226" t="n">
        <v>8959</v>
      </c>
      <c r="F18" s="226" t="n">
        <v>8931</v>
      </c>
      <c r="G18" s="226" t="n">
        <v>9016</v>
      </c>
      <c r="H18" s="226" t="n">
        <v>8903</v>
      </c>
      <c r="I18" s="226" t="n">
        <v>8893</v>
      </c>
      <c r="J18" s="227">
        <f>I21</f>
        <v/>
      </c>
      <c r="K18" s="227">
        <f>J21</f>
        <v/>
      </c>
      <c r="L18" s="227">
        <f>H18</f>
        <v/>
      </c>
      <c r="M18" s="227">
        <f>K21</f>
        <v/>
      </c>
      <c r="N18" s="227">
        <f>M21</f>
        <v/>
      </c>
      <c r="O18" s="227">
        <f>N21</f>
        <v/>
      </c>
      <c r="P18" s="227">
        <f>O21</f>
        <v/>
      </c>
      <c r="Q18" s="227">
        <f>M18</f>
        <v/>
      </c>
      <c r="R18" s="227">
        <f>P21</f>
        <v/>
      </c>
      <c r="S18" s="227">
        <f>R21</f>
        <v/>
      </c>
      <c r="T18" s="227">
        <f>S21</f>
        <v/>
      </c>
      <c r="U18" s="227">
        <f>T21</f>
        <v/>
      </c>
    </row>
    <row r="19">
      <c r="B19" s="6" t="inlineStr">
        <is>
          <t>Retirement Rate</t>
        </is>
      </c>
      <c r="C19" s="228" t="n">
        <v>0.0031</v>
      </c>
      <c r="D19" s="228" t="n">
        <v>0.0031</v>
      </c>
      <c r="E19" s="228" t="n">
        <v>0.0031</v>
      </c>
      <c r="F19" s="228" t="n">
        <v>0.0031</v>
      </c>
      <c r="G19" s="228" t="n">
        <v>0.0125</v>
      </c>
      <c r="H19" s="228" t="n">
        <v>0.005</v>
      </c>
      <c r="I19" s="228" t="n">
        <v>0.005</v>
      </c>
      <c r="J19" s="229">
        <f>Assumptions!D13</f>
        <v/>
      </c>
      <c r="K19" s="229">
        <f>Assumptions!E13</f>
        <v/>
      </c>
      <c r="L19" s="230">
        <f>IFERROR(L20/L18,0)</f>
        <v/>
      </c>
      <c r="M19" s="229">
        <f>Assumptions!G13</f>
        <v/>
      </c>
      <c r="N19" s="229">
        <f>Assumptions!H13</f>
        <v/>
      </c>
      <c r="O19" s="229">
        <f>Assumptions!I13</f>
        <v/>
      </c>
      <c r="P19" s="229">
        <f>Assumptions!J13</f>
        <v/>
      </c>
      <c r="Q19" s="230">
        <f>IFERROR(Q20/Q18,0)</f>
        <v/>
      </c>
      <c r="R19" s="229">
        <f>Assumptions!L13</f>
        <v/>
      </c>
      <c r="S19" s="229">
        <f>Assumptions!M13</f>
        <v/>
      </c>
      <c r="T19" s="229">
        <f>Assumptions!N13</f>
        <v/>
      </c>
      <c r="U19" s="229">
        <f>Assumptions!O13</f>
        <v/>
      </c>
    </row>
    <row r="20">
      <c r="B20" s="5" t="inlineStr">
        <is>
          <t>Retired Engines</t>
        </is>
      </c>
      <c r="C20" s="226" t="n">
        <v>28</v>
      </c>
      <c r="D20" s="226" t="n">
        <v>28</v>
      </c>
      <c r="E20" s="226" t="n">
        <v>28</v>
      </c>
      <c r="F20" s="226" t="n">
        <v>28</v>
      </c>
      <c r="G20" s="226" t="n">
        <v>113</v>
      </c>
      <c r="H20" s="226" t="n">
        <v>45</v>
      </c>
      <c r="I20" s="226" t="n">
        <v>45</v>
      </c>
      <c r="J20" s="227">
        <f>J19*J18</f>
        <v/>
      </c>
      <c r="K20" s="227">
        <f>K19*K18</f>
        <v/>
      </c>
      <c r="L20" s="227">
        <f>SUM(H20:K20)</f>
        <v/>
      </c>
      <c r="M20" s="227">
        <f>M19*M18</f>
        <v/>
      </c>
      <c r="N20" s="227">
        <f>N19*N18</f>
        <v/>
      </c>
      <c r="O20" s="227">
        <f>O19*O18</f>
        <v/>
      </c>
      <c r="P20" s="227">
        <f>P19*P18</f>
        <v/>
      </c>
      <c r="Q20" s="227">
        <f>SUM(M20:P20)</f>
        <v/>
      </c>
      <c r="R20" s="227">
        <f>R19*R18</f>
        <v/>
      </c>
      <c r="S20" s="227">
        <f>S19*S18</f>
        <v/>
      </c>
      <c r="T20" s="227">
        <f>T19*T18</f>
        <v/>
      </c>
      <c r="U20" s="227">
        <f>U19*U18</f>
        <v/>
      </c>
    </row>
    <row r="21">
      <c r="B21" s="5" t="inlineStr">
        <is>
          <t>EoP Engine Fleet</t>
        </is>
      </c>
      <c r="C21" s="226" t="n">
        <v>8988</v>
      </c>
      <c r="D21" s="226" t="n">
        <v>8959</v>
      </c>
      <c r="E21" s="226" t="n">
        <v>8931</v>
      </c>
      <c r="F21" s="226" t="n">
        <v>8903</v>
      </c>
      <c r="G21" s="226" t="n">
        <v>8903</v>
      </c>
      <c r="H21" s="226" t="n">
        <v>8858</v>
      </c>
      <c r="I21" s="226" t="n">
        <v>8848</v>
      </c>
      <c r="J21" s="227">
        <f>J18-J20</f>
        <v/>
      </c>
      <c r="K21" s="227">
        <f>K18-K20</f>
        <v/>
      </c>
      <c r="L21" s="227">
        <f>K21</f>
        <v/>
      </c>
      <c r="M21" s="227">
        <f>M18-M20</f>
        <v/>
      </c>
      <c r="N21" s="227">
        <f>N18-N20</f>
        <v/>
      </c>
      <c r="O21" s="227">
        <f>O18-O20</f>
        <v/>
      </c>
      <c r="P21" s="227">
        <f>P18-P20</f>
        <v/>
      </c>
      <c r="Q21" s="227">
        <f>P21</f>
        <v/>
      </c>
      <c r="R21" s="227">
        <f>R18-R20</f>
        <v/>
      </c>
      <c r="S21" s="227">
        <f>S18-S20</f>
        <v/>
      </c>
      <c r="T21" s="227">
        <f>T18-T20</f>
        <v/>
      </c>
      <c r="U21" s="227">
        <f>U18-U20</f>
        <v/>
      </c>
    </row>
    <row r="22">
      <c r="B22" s="6" t="inlineStr">
        <is>
          <t>Shop Visit Rate</t>
        </is>
      </c>
      <c r="C22" s="228" t="n">
        <v>0.0248</v>
      </c>
      <c r="D22" s="228" t="n">
        <v>0.0249</v>
      </c>
      <c r="E22" s="228" t="n">
        <v>0.025</v>
      </c>
      <c r="F22" s="228" t="n">
        <v>0.0251</v>
      </c>
      <c r="G22" s="228" t="n">
        <v>0.1003</v>
      </c>
      <c r="H22" s="228" t="n">
        <v>0.0257</v>
      </c>
      <c r="I22" s="228" t="n">
        <v>0.0258</v>
      </c>
      <c r="J22" s="229">
        <f>Assumptions!D23</f>
        <v/>
      </c>
      <c r="K22" s="229">
        <f>Assumptions!E23</f>
        <v/>
      </c>
      <c r="L22" s="230">
        <f>SUM(H22:K22)</f>
        <v/>
      </c>
      <c r="M22" s="229">
        <f>Assumptions!G23</f>
        <v/>
      </c>
      <c r="N22" s="229">
        <f>Assumptions!H23</f>
        <v/>
      </c>
      <c r="O22" s="229">
        <f>Assumptions!I23</f>
        <v/>
      </c>
      <c r="P22" s="229">
        <f>Assumptions!J23</f>
        <v/>
      </c>
      <c r="Q22" s="230">
        <f>SUM(M22:P22)</f>
        <v/>
      </c>
      <c r="R22" s="229">
        <f>Assumptions!L23</f>
        <v/>
      </c>
      <c r="S22" s="229">
        <f>Assumptions!M23</f>
        <v/>
      </c>
      <c r="T22" s="229">
        <f>Assumptions!N23</f>
        <v/>
      </c>
      <c r="U22" s="229">
        <f>Assumptions!O23</f>
        <v/>
      </c>
    </row>
    <row r="23">
      <c r="B23" s="5" t="inlineStr">
        <is>
          <t>Shop Visits</t>
        </is>
      </c>
      <c r="C23" s="226" t="n">
        <v>223</v>
      </c>
      <c r="D23" s="226" t="n">
        <v>223</v>
      </c>
      <c r="E23" s="226" t="n">
        <v>223</v>
      </c>
      <c r="F23" s="226" t="n">
        <v>223</v>
      </c>
      <c r="G23" s="226" t="n">
        <v>893</v>
      </c>
      <c r="H23" s="226" t="n">
        <v>228</v>
      </c>
      <c r="I23" s="226" t="n">
        <v>228</v>
      </c>
      <c r="J23" s="227">
        <f>J21*J22</f>
        <v/>
      </c>
      <c r="K23" s="227">
        <f>K21*K22</f>
        <v/>
      </c>
      <c r="L23" s="227">
        <f>SUM(H23:K23)</f>
        <v/>
      </c>
      <c r="M23" s="227">
        <f>M21*M22</f>
        <v/>
      </c>
      <c r="N23" s="227">
        <f>N21*N22</f>
        <v/>
      </c>
      <c r="O23" s="227">
        <f>O21*O22</f>
        <v/>
      </c>
      <c r="P23" s="227">
        <f>P21*P22</f>
        <v/>
      </c>
      <c r="Q23" s="227">
        <f>SUM(M23:P23)</f>
        <v/>
      </c>
      <c r="R23" s="227">
        <f>R21*R22</f>
        <v/>
      </c>
      <c r="S23" s="227">
        <f>S21*S22</f>
        <v/>
      </c>
      <c r="T23" s="227">
        <f>T21*T22</f>
        <v/>
      </c>
      <c r="U23" s="227">
        <f>U21*U22</f>
        <v/>
      </c>
    </row>
    <row r="24">
      <c r="B24" s="3" t="n"/>
      <c r="C24" s="14" t="n"/>
      <c r="D24" s="14" t="n"/>
      <c r="E24" s="14" t="n"/>
      <c r="F24" s="14" t="n"/>
      <c r="G24" s="14" t="n"/>
      <c r="H24" s="14" t="n"/>
      <c r="I24" s="14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B25" s="4" t="inlineStr">
        <is>
          <t>Total EoP CFM56 Fleet</t>
        </is>
      </c>
      <c r="C25" s="226" t="n">
        <v>22928</v>
      </c>
      <c r="D25" s="226" t="n">
        <v>22856</v>
      </c>
      <c r="E25" s="226" t="n">
        <v>22784</v>
      </c>
      <c r="F25" s="226" t="n">
        <v>22713</v>
      </c>
      <c r="G25" s="226" t="n">
        <v>22713</v>
      </c>
      <c r="H25" s="226" t="n">
        <v>22616</v>
      </c>
      <c r="I25" s="226" t="n">
        <v>22606</v>
      </c>
      <c r="J25" s="227">
        <f>J13+J21</f>
        <v/>
      </c>
      <c r="K25" s="227">
        <f>K13+K21</f>
        <v/>
      </c>
      <c r="L25" s="227">
        <f>L13+L21</f>
        <v/>
      </c>
      <c r="M25" s="227">
        <f>M13+M21</f>
        <v/>
      </c>
      <c r="N25" s="227">
        <f>N13+N21</f>
        <v/>
      </c>
      <c r="O25" s="227">
        <f>O13+O21</f>
        <v/>
      </c>
      <c r="P25" s="227">
        <f>P13+P21</f>
        <v/>
      </c>
      <c r="Q25" s="227">
        <f>Q13+Q21</f>
        <v/>
      </c>
      <c r="R25" s="227">
        <f>R13+R21</f>
        <v/>
      </c>
      <c r="S25" s="227">
        <f>S13+S21</f>
        <v/>
      </c>
      <c r="T25" s="227">
        <f>T13+T21</f>
        <v/>
      </c>
      <c r="U25" s="227">
        <f>U13+U21</f>
        <v/>
      </c>
    </row>
    <row r="26">
      <c r="B26" s="5" t="inlineStr">
        <is>
          <t>Total Shop Visits</t>
        </is>
      </c>
      <c r="C26" s="226" t="n">
        <v>588</v>
      </c>
      <c r="D26" s="226" t="n">
        <v>588</v>
      </c>
      <c r="E26" s="226" t="n">
        <v>588</v>
      </c>
      <c r="F26" s="226" t="n">
        <v>588</v>
      </c>
      <c r="G26" s="226" t="n">
        <v>2350</v>
      </c>
      <c r="H26" s="226" t="n">
        <v>600</v>
      </c>
      <c r="I26" s="226" t="n">
        <v>600</v>
      </c>
      <c r="J26" s="227">
        <f>J23+J15</f>
        <v/>
      </c>
      <c r="K26" s="227">
        <f>K23+K15</f>
        <v/>
      </c>
      <c r="L26" s="227">
        <f>SUM(H26:K26)</f>
        <v/>
      </c>
      <c r="M26" s="227">
        <f>M23+M15</f>
        <v/>
      </c>
      <c r="N26" s="227">
        <f>N23+N15</f>
        <v/>
      </c>
      <c r="O26" s="227">
        <f>O23+O15</f>
        <v/>
      </c>
      <c r="P26" s="227">
        <f>P23+P15</f>
        <v/>
      </c>
      <c r="Q26" s="227">
        <f>SUM(M26:P26)</f>
        <v/>
      </c>
      <c r="R26" s="227">
        <f>R23+R15</f>
        <v/>
      </c>
      <c r="S26" s="227">
        <f>S23+S15</f>
        <v/>
      </c>
      <c r="T26" s="227">
        <f>T23+T15</f>
        <v/>
      </c>
      <c r="U26" s="227">
        <f>U23+U15</f>
        <v/>
      </c>
    </row>
    <row r="27">
      <c r="B27" s="5" t="inlineStr">
        <is>
          <t>Modules per Shop Visit</t>
        </is>
      </c>
      <c r="C27" s="231" t="n">
        <v>3</v>
      </c>
      <c r="D27" s="231" t="n">
        <v>3</v>
      </c>
      <c r="E27" s="231" t="n">
        <v>3</v>
      </c>
      <c r="F27" s="231" t="n">
        <v>3</v>
      </c>
      <c r="G27" s="231" t="n">
        <v>3</v>
      </c>
      <c r="H27" s="231" t="n">
        <v>3</v>
      </c>
      <c r="I27" s="231" t="n">
        <v>3</v>
      </c>
      <c r="J27" s="167">
        <f>Assumptions!D28</f>
        <v/>
      </c>
      <c r="K27" s="167">
        <f>Assumptions!E28</f>
        <v/>
      </c>
      <c r="L27" s="232">
        <f>IFERROR(L28/L26,0)</f>
        <v/>
      </c>
      <c r="M27" s="167">
        <f>Assumptions!G28</f>
        <v/>
      </c>
      <c r="N27" s="167">
        <f>Assumptions!H28</f>
        <v/>
      </c>
      <c r="O27" s="167">
        <f>Assumptions!I28</f>
        <v/>
      </c>
      <c r="P27" s="167">
        <f>Assumptions!J28</f>
        <v/>
      </c>
      <c r="Q27" s="232">
        <f>IFERROR(Q28/Q26,0)</f>
        <v/>
      </c>
      <c r="R27" s="167">
        <f>Assumptions!L28</f>
        <v/>
      </c>
      <c r="S27" s="167">
        <f>Assumptions!M28</f>
        <v/>
      </c>
      <c r="T27" s="167">
        <f>Assumptions!N28</f>
        <v/>
      </c>
      <c r="U27" s="167">
        <f>Assumptions!O28</f>
        <v/>
      </c>
    </row>
    <row r="28">
      <c r="B28" s="7" t="inlineStr">
        <is>
          <t>Total Module Demand</t>
        </is>
      </c>
      <c r="C28" s="226" t="n">
        <v>1763</v>
      </c>
      <c r="D28" s="226" t="n">
        <v>1763</v>
      </c>
      <c r="E28" s="226" t="n">
        <v>1763</v>
      </c>
      <c r="F28" s="226" t="n">
        <v>1763</v>
      </c>
      <c r="G28" s="226" t="n">
        <v>7050</v>
      </c>
      <c r="H28" s="226" t="n">
        <v>1800</v>
      </c>
      <c r="I28" s="226" t="n">
        <v>1800</v>
      </c>
      <c r="J28" s="227">
        <f>J26*J27</f>
        <v/>
      </c>
      <c r="K28" s="227">
        <f>K26*K27</f>
        <v/>
      </c>
      <c r="L28" s="227">
        <f>SUM(H28:K28)</f>
        <v/>
      </c>
      <c r="M28" s="227">
        <f>M26*M27</f>
        <v/>
      </c>
      <c r="N28" s="227">
        <f>N26*N27</f>
        <v/>
      </c>
      <c r="O28" s="227">
        <f>O26*O27</f>
        <v/>
      </c>
      <c r="P28" s="227">
        <f>P26*P27</f>
        <v/>
      </c>
      <c r="Q28" s="227">
        <f>SUM(M28:P28)</f>
        <v/>
      </c>
      <c r="R28" s="227">
        <f>R26*R27</f>
        <v/>
      </c>
      <c r="S28" s="227">
        <f>S26*S27</f>
        <v/>
      </c>
      <c r="T28" s="227">
        <f>T26*T27</f>
        <v/>
      </c>
      <c r="U28" s="227">
        <f>U26*U27</f>
        <v/>
      </c>
    </row>
    <row r="29">
      <c r="B29" s="3" t="n"/>
      <c r="C29" s="14" t="n"/>
      <c r="D29" s="14" t="n"/>
      <c r="E29" s="14" t="n"/>
      <c r="F29" s="14" t="n"/>
      <c r="G29" s="14" t="n"/>
      <c r="H29" s="14" t="n"/>
      <c r="I29" s="14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>
      <c r="A30" t="inlineStr">
        <is>
          <t>x</t>
        </is>
      </c>
      <c r="B30" s="4" t="inlineStr">
        <is>
          <t>SCI MRE Share</t>
        </is>
      </c>
      <c r="C30" s="14" t="n"/>
      <c r="D30" s="14" t="n"/>
      <c r="E30" s="14" t="n"/>
      <c r="F30" s="14" t="n"/>
      <c r="G30" s="14" t="n"/>
      <c r="H30" s="14" t="n"/>
      <c r="I30" s="14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>
      <c r="B31" s="3" t="inlineStr">
        <is>
          <t>SCI Owned Aircraft (EoP)</t>
        </is>
      </c>
      <c r="C31" s="226" t="n">
        <v>4</v>
      </c>
      <c r="D31" s="226" t="n">
        <v>37</v>
      </c>
      <c r="E31" s="226" t="n">
        <v>101</v>
      </c>
      <c r="F31" s="226" t="n">
        <v>130</v>
      </c>
      <c r="G31" s="226" t="n">
        <v>130</v>
      </c>
      <c r="H31" s="226" t="n">
        <v>200</v>
      </c>
      <c r="I31" s="226" t="n">
        <v>276</v>
      </c>
      <c r="J31" s="233">
        <f>Assumptions!D32</f>
        <v/>
      </c>
      <c r="K31" s="233">
        <f>Assumptions!E32</f>
        <v/>
      </c>
      <c r="L31" s="227">
        <f>K31</f>
        <v/>
      </c>
      <c r="M31" s="233">
        <f>Assumptions!G32</f>
        <v/>
      </c>
      <c r="N31" s="233">
        <f>Assumptions!H32</f>
        <v/>
      </c>
      <c r="O31" s="233">
        <f>Assumptions!I32</f>
        <v/>
      </c>
      <c r="P31" s="233">
        <f>Assumptions!J32</f>
        <v/>
      </c>
      <c r="Q31" s="227">
        <f>P31</f>
        <v/>
      </c>
      <c r="R31" s="233">
        <f>Assumptions!L32</f>
        <v/>
      </c>
      <c r="S31" s="233">
        <f>Assumptions!M32</f>
        <v/>
      </c>
      <c r="T31" s="233">
        <f>Assumptions!N32</f>
        <v/>
      </c>
      <c r="U31" s="233">
        <f>Assumptions!O32</f>
        <v/>
      </c>
    </row>
    <row r="32">
      <c r="B32" s="5" t="inlineStr">
        <is>
          <t>Engines per Aircraft</t>
        </is>
      </c>
      <c r="C32" s="24" t="n">
        <v>2</v>
      </c>
      <c r="D32" s="24" t="n">
        <v>2</v>
      </c>
      <c r="E32" s="24" t="n">
        <v>2</v>
      </c>
      <c r="F32" s="24" t="n">
        <v>2</v>
      </c>
      <c r="G32" s="24" t="n">
        <v>2</v>
      </c>
      <c r="H32" s="24" t="n">
        <v>2</v>
      </c>
      <c r="I32" s="24" t="n">
        <v>2</v>
      </c>
      <c r="J32" s="38">
        <f>Assumptions!D37</f>
        <v/>
      </c>
      <c r="K32" s="38">
        <f>Assumptions!E37</f>
        <v/>
      </c>
      <c r="L32" s="38">
        <f>Assumptions!F37</f>
        <v/>
      </c>
      <c r="M32" s="38">
        <f>Assumptions!G37</f>
        <v/>
      </c>
      <c r="N32" s="38">
        <f>Assumptions!H37</f>
        <v/>
      </c>
      <c r="O32" s="38">
        <f>Assumptions!I37</f>
        <v/>
      </c>
      <c r="P32" s="38">
        <f>Assumptions!J37</f>
        <v/>
      </c>
      <c r="Q32" s="38">
        <f>Assumptions!K37</f>
        <v/>
      </c>
      <c r="R32" s="38">
        <f>Assumptions!L37</f>
        <v/>
      </c>
      <c r="S32" s="38">
        <f>Assumptions!M37</f>
        <v/>
      </c>
      <c r="T32" s="38">
        <f>Assumptions!N37</f>
        <v/>
      </c>
      <c r="U32" s="38">
        <f>Assumptions!O37</f>
        <v/>
      </c>
    </row>
    <row r="33">
      <c r="B33" s="6" t="inlineStr">
        <is>
          <t>SCI Shop Visit Rate</t>
        </is>
      </c>
      <c r="C33" s="234" t="n">
        <v>0.05</v>
      </c>
      <c r="D33" s="234" t="n">
        <v>0.05</v>
      </c>
      <c r="E33" s="234" t="n">
        <v>0.05</v>
      </c>
      <c r="F33" s="234" t="n">
        <v>0.05</v>
      </c>
      <c r="G33" s="234" t="n">
        <v>0.2</v>
      </c>
      <c r="H33" s="234" t="n">
        <v>0.05</v>
      </c>
      <c r="I33" s="234" t="n">
        <v>0.05</v>
      </c>
      <c r="J33" s="235">
        <f>Assumptions!D39</f>
        <v/>
      </c>
      <c r="K33" s="235">
        <f>Assumptions!E39</f>
        <v/>
      </c>
      <c r="L33" s="235">
        <f>Assumptions!F39</f>
        <v/>
      </c>
      <c r="M33" s="235">
        <f>Assumptions!G39</f>
        <v/>
      </c>
      <c r="N33" s="235">
        <f>Assumptions!H39</f>
        <v/>
      </c>
      <c r="O33" s="235">
        <f>Assumptions!I39</f>
        <v/>
      </c>
      <c r="P33" s="235">
        <f>Assumptions!J39</f>
        <v/>
      </c>
      <c r="Q33" s="235">
        <f>Assumptions!K39</f>
        <v/>
      </c>
      <c r="R33" s="235">
        <f>Assumptions!L39</f>
        <v/>
      </c>
      <c r="S33" s="235">
        <f>Assumptions!M39</f>
        <v/>
      </c>
      <c r="T33" s="235">
        <f>Assumptions!N39</f>
        <v/>
      </c>
      <c r="U33" s="235">
        <f>Assumptions!O39</f>
        <v/>
      </c>
    </row>
    <row r="34">
      <c r="B34" s="5" t="inlineStr">
        <is>
          <t>SCI Shop Visits</t>
        </is>
      </c>
      <c r="C34" s="226" t="n">
        <v>0</v>
      </c>
      <c r="D34" s="226" t="n">
        <v>4</v>
      </c>
      <c r="E34" s="226" t="n">
        <v>10</v>
      </c>
      <c r="F34" s="226" t="n">
        <v>13</v>
      </c>
      <c r="G34" s="226" t="n">
        <v>27</v>
      </c>
      <c r="H34" s="226" t="n">
        <v>20</v>
      </c>
      <c r="I34" s="226" t="n">
        <v>28</v>
      </c>
      <c r="J34" s="227">
        <f>J31*J32*J33</f>
        <v/>
      </c>
      <c r="K34" s="227">
        <f>K31*K32*K33</f>
        <v/>
      </c>
      <c r="L34" s="227">
        <f>SUM(H34:K34)</f>
        <v/>
      </c>
      <c r="M34" s="227">
        <f>M31*M32*M33</f>
        <v/>
      </c>
      <c r="N34" s="227">
        <f>N31*N32*N33</f>
        <v/>
      </c>
      <c r="O34" s="227">
        <f>O31*O32*O33</f>
        <v/>
      </c>
      <c r="P34" s="227">
        <f>P31*P32*P33</f>
        <v/>
      </c>
      <c r="Q34" s="227">
        <f>SUM(M34:P34)</f>
        <v/>
      </c>
      <c r="R34" s="227">
        <f>R31*R32*R33</f>
        <v/>
      </c>
      <c r="S34" s="227">
        <f>S31*S32*S33</f>
        <v/>
      </c>
      <c r="T34" s="227">
        <f>T31*T32*T33</f>
        <v/>
      </c>
      <c r="U34" s="227">
        <f>U31*U32*U33</f>
        <v/>
      </c>
    </row>
    <row r="35">
      <c r="B35" s="4" t="inlineStr">
        <is>
          <t>SCI Module Demand</t>
        </is>
      </c>
      <c r="C35" s="226" t="n">
        <v>1</v>
      </c>
      <c r="D35" s="226" t="n">
        <v>11</v>
      </c>
      <c r="E35" s="226" t="n">
        <v>30</v>
      </c>
      <c r="F35" s="226" t="n">
        <v>39</v>
      </c>
      <c r="G35" s="226" t="n">
        <v>82</v>
      </c>
      <c r="H35" s="226" t="n">
        <v>60</v>
      </c>
      <c r="I35" s="226" t="n">
        <v>83</v>
      </c>
      <c r="J35" s="227">
        <f>J34*J27</f>
        <v/>
      </c>
      <c r="K35" s="227">
        <f>K34*K27</f>
        <v/>
      </c>
      <c r="L35" s="227">
        <f>SUM(H35:K35)</f>
        <v/>
      </c>
      <c r="M35" s="227">
        <f>M34*M27</f>
        <v/>
      </c>
      <c r="N35" s="227">
        <f>N34*N27</f>
        <v/>
      </c>
      <c r="O35" s="227">
        <f>O34*O27</f>
        <v/>
      </c>
      <c r="P35" s="227">
        <f>P34*P27</f>
        <v/>
      </c>
      <c r="Q35" s="227">
        <f>SUM(M35:P35)</f>
        <v/>
      </c>
      <c r="R35" s="227">
        <f>R34*R27</f>
        <v/>
      </c>
      <c r="S35" s="227">
        <f>S34*S27</f>
        <v/>
      </c>
      <c r="T35" s="227">
        <f>T34*T27</f>
        <v/>
      </c>
      <c r="U35" s="227">
        <f>U34*U27</f>
        <v/>
      </c>
    </row>
    <row r="36">
      <c r="B36" s="3" t="n"/>
      <c r="C36" s="14" t="n"/>
      <c r="D36" s="14" t="n"/>
      <c r="E36" s="14" t="n"/>
      <c r="F36" s="14" t="n"/>
      <c r="G36" s="14" t="n"/>
      <c r="H36" s="14" t="n"/>
      <c r="I36" s="14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>
      <c r="A37" t="inlineStr">
        <is>
          <t>x</t>
        </is>
      </c>
      <c r="B37" s="4" t="inlineStr">
        <is>
          <t>MRO Demand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</row>
    <row r="38">
      <c r="B38" s="3" t="inlineStr">
        <is>
          <t>Module Demand</t>
        </is>
      </c>
      <c r="C38" s="227" t="n"/>
      <c r="D38" s="227" t="n"/>
      <c r="E38" s="227" t="n"/>
      <c r="F38" s="227" t="n"/>
      <c r="G38" s="227" t="n"/>
      <c r="H38" s="227" t="n"/>
      <c r="I38" s="227" t="n"/>
      <c r="J38" s="227">
        <f>J28</f>
        <v/>
      </c>
      <c r="K38" s="227">
        <f>K28</f>
        <v/>
      </c>
      <c r="L38" s="227">
        <f>L28</f>
        <v/>
      </c>
      <c r="M38" s="227">
        <f>M28</f>
        <v/>
      </c>
      <c r="N38" s="227">
        <f>N28</f>
        <v/>
      </c>
      <c r="O38" s="227">
        <f>O28</f>
        <v/>
      </c>
      <c r="P38" s="227">
        <f>P28</f>
        <v/>
      </c>
      <c r="Q38" s="227">
        <f>Q28</f>
        <v/>
      </c>
      <c r="R38" s="227">
        <f>R28</f>
        <v/>
      </c>
      <c r="S38" s="227">
        <f>S28</f>
        <v/>
      </c>
      <c r="T38" s="227">
        <f>T28</f>
        <v/>
      </c>
      <c r="U38" s="227">
        <f>U28</f>
        <v/>
      </c>
    </row>
    <row r="39">
      <c r="B39" s="9" t="inlineStr">
        <is>
          <t>FTAI Share of Module Demand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7">
        <f>Assumptions!D44</f>
        <v/>
      </c>
      <c r="K39" s="237">
        <f>Assumptions!E44</f>
        <v/>
      </c>
      <c r="L39" s="237">
        <f>Assumptions!F44</f>
        <v/>
      </c>
      <c r="M39" s="237">
        <f>Assumptions!G44</f>
        <v/>
      </c>
      <c r="N39" s="237">
        <f>Assumptions!H44</f>
        <v/>
      </c>
      <c r="O39" s="237">
        <f>Assumptions!I44</f>
        <v/>
      </c>
      <c r="P39" s="237">
        <f>Assumptions!J44</f>
        <v/>
      </c>
      <c r="Q39" s="237">
        <f>Assumptions!K44</f>
        <v/>
      </c>
      <c r="R39" s="237">
        <f>Assumptions!L44</f>
        <v/>
      </c>
      <c r="S39" s="237">
        <f>Assumptions!M44</f>
        <v/>
      </c>
      <c r="T39" s="237">
        <f>Assumptions!N44</f>
        <v/>
      </c>
      <c r="U39" s="237">
        <f>Assumptions!O44</f>
        <v/>
      </c>
    </row>
    <row r="40">
      <c r="B40" s="4" t="inlineStr">
        <is>
          <t>MRO Modules</t>
        </is>
      </c>
      <c r="C40" s="227" t="n"/>
      <c r="D40" s="227" t="n"/>
      <c r="E40" s="227" t="n"/>
      <c r="F40" s="227" t="n"/>
      <c r="G40" s="227" t="n"/>
      <c r="H40" s="227" t="n"/>
      <c r="I40" s="227" t="n"/>
      <c r="J40" s="227">
        <f>J38*J39</f>
        <v/>
      </c>
      <c r="K40" s="227">
        <f>K38*K39</f>
        <v/>
      </c>
      <c r="L40" s="227">
        <f>L38*L39</f>
        <v/>
      </c>
      <c r="M40" s="227">
        <f>M38*M39</f>
        <v/>
      </c>
      <c r="N40" s="227">
        <f>N38*N39</f>
        <v/>
      </c>
      <c r="O40" s="227">
        <f>O38*O39</f>
        <v/>
      </c>
      <c r="P40" s="227">
        <f>P38*P39</f>
        <v/>
      </c>
      <c r="Q40" s="227">
        <f>Q38*Q39</f>
        <v/>
      </c>
      <c r="R40" s="227">
        <f>R38*R39</f>
        <v/>
      </c>
      <c r="S40" s="227">
        <f>S38*S39</f>
        <v/>
      </c>
      <c r="T40" s="227">
        <f>T38*T39</f>
        <v/>
      </c>
      <c r="U40" s="227">
        <f>U38*U39</f>
        <v/>
      </c>
    </row>
    <row r="41"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</row>
    <row r="42">
      <c r="B42" s="4" t="inlineStr">
        <is>
          <t>FTAI Modules Produced</t>
        </is>
      </c>
      <c r="C42" s="226" t="n">
        <v>138</v>
      </c>
      <c r="D42" s="226" t="n">
        <v>184</v>
      </c>
      <c r="E42" s="226" t="n">
        <v>207</v>
      </c>
      <c r="F42" s="226" t="n">
        <v>228</v>
      </c>
      <c r="G42" s="227">
        <f>SUM(C42:F42)</f>
        <v/>
      </c>
      <c r="H42" s="226" t="n">
        <v>270</v>
      </c>
      <c r="I42" s="226" t="n">
        <v>296</v>
      </c>
      <c r="J42" s="227">
        <f>J40+J35</f>
        <v/>
      </c>
      <c r="K42" s="227">
        <f>K40+K35</f>
        <v/>
      </c>
      <c r="L42" s="227">
        <f>SUM(H42:K42)</f>
        <v/>
      </c>
      <c r="M42" s="227">
        <f>M40+M35</f>
        <v/>
      </c>
      <c r="N42" s="227">
        <f>N40+N35</f>
        <v/>
      </c>
      <c r="O42" s="227">
        <f>O40+O35</f>
        <v/>
      </c>
      <c r="P42" s="227">
        <f>P40+P35</f>
        <v/>
      </c>
      <c r="Q42" s="227">
        <f>SUM(M42:P42)</f>
        <v/>
      </c>
      <c r="R42" s="227">
        <f>R40+R35</f>
        <v/>
      </c>
      <c r="S42" s="227">
        <f>S40+S35</f>
        <v/>
      </c>
      <c r="T42" s="227">
        <f>T40+T35</f>
        <v/>
      </c>
      <c r="U42" s="227">
        <f>U40+U35</f>
        <v/>
      </c>
    </row>
    <row r="43">
      <c r="B43" s="3" t="inlineStr">
        <is>
          <t>y/y growth</t>
        </is>
      </c>
      <c r="C43" s="238" t="n"/>
      <c r="D43" s="238" t="n"/>
      <c r="E43" s="238" t="n"/>
      <c r="F43" s="238" t="n"/>
      <c r="G43" s="238" t="n"/>
      <c r="H43" s="238">
        <f>H42/C42-1</f>
        <v/>
      </c>
      <c r="I43" s="238">
        <f>I42/D42-1</f>
        <v/>
      </c>
      <c r="J43" s="238">
        <f>J42/E42-1</f>
        <v/>
      </c>
      <c r="K43" s="238">
        <f>K42/F42-1</f>
        <v/>
      </c>
      <c r="L43" s="238">
        <f>L42/G42-1</f>
        <v/>
      </c>
      <c r="M43" s="238">
        <f>M42/H42-1</f>
        <v/>
      </c>
      <c r="N43" s="238">
        <f>N42/I42-1</f>
        <v/>
      </c>
      <c r="O43" s="238">
        <f>O42/J42-1</f>
        <v/>
      </c>
      <c r="P43" s="238">
        <f>P42/K42-1</f>
        <v/>
      </c>
      <c r="Q43" s="238">
        <f>Q42/L42-1</f>
        <v/>
      </c>
      <c r="R43" s="238">
        <f>R42/Q42-1</f>
        <v/>
      </c>
      <c r="S43" s="238">
        <f>S42/R42-1</f>
        <v/>
      </c>
      <c r="T43" s="238">
        <f>T42/S42-1</f>
        <v/>
      </c>
      <c r="U43" s="238">
        <f>U42/T42-1</f>
        <v/>
      </c>
    </row>
    <row r="44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>
      <c r="A45" t="inlineStr">
        <is>
          <t>x</t>
        </is>
      </c>
      <c r="B45" s="4" t="inlineStr">
        <is>
          <t>Aerospace Products Revenue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>
      <c r="B46" s="5" t="inlineStr">
        <is>
          <t>CFM Annual Escalator</t>
        </is>
      </c>
      <c r="C46" s="238" t="n"/>
      <c r="D46" s="238" t="n"/>
      <c r="E46" s="238" t="n"/>
      <c r="F46" s="238" t="n"/>
      <c r="G46" s="238" t="n"/>
      <c r="H46" s="238" t="n"/>
      <c r="I46" s="238" t="n"/>
      <c r="J46" s="235">
        <f>Assumptions!D49</f>
        <v/>
      </c>
      <c r="K46" s="235">
        <f>Assumptions!E49</f>
        <v/>
      </c>
      <c r="L46" s="235">
        <f>Assumptions!F49</f>
        <v/>
      </c>
      <c r="M46" s="235">
        <f>Assumptions!G49</f>
        <v/>
      </c>
      <c r="N46" s="235">
        <f>Assumptions!H49</f>
        <v/>
      </c>
      <c r="O46" s="235">
        <f>Assumptions!I49</f>
        <v/>
      </c>
      <c r="P46" s="235">
        <f>Assumptions!J49</f>
        <v/>
      </c>
      <c r="Q46" s="235">
        <f>Assumptions!K49</f>
        <v/>
      </c>
      <c r="R46" s="235">
        <f>Assumptions!L49</f>
        <v/>
      </c>
      <c r="S46" s="235">
        <f>Assumptions!M49</f>
        <v/>
      </c>
      <c r="T46" s="235">
        <f>Assumptions!N49</f>
        <v/>
      </c>
      <c r="U46" s="235">
        <f>Assumptions!O49</f>
        <v/>
      </c>
    </row>
    <row r="47">
      <c r="B47" s="5" t="inlineStr">
        <is>
          <t>FTAI Pass-Through (% of OEM escalator)</t>
        </is>
      </c>
      <c r="C47" s="238" t="n"/>
      <c r="D47" s="238" t="n"/>
      <c r="E47" s="238" t="n"/>
      <c r="F47" s="238" t="n"/>
      <c r="G47" s="238" t="n"/>
      <c r="H47" s="238" t="n"/>
      <c r="I47" s="238" t="n"/>
      <c r="J47" s="235">
        <f>Assumptions!D54</f>
        <v/>
      </c>
      <c r="K47" s="235">
        <f>Assumptions!E54</f>
        <v/>
      </c>
      <c r="L47" s="238" t="n"/>
      <c r="M47" s="235">
        <f>Assumptions!G54</f>
        <v/>
      </c>
      <c r="N47" s="235">
        <f>Assumptions!H54</f>
        <v/>
      </c>
      <c r="O47" s="235">
        <f>Assumptions!I54</f>
        <v/>
      </c>
      <c r="P47" s="235">
        <f>Assumptions!J54</f>
        <v/>
      </c>
      <c r="Q47" s="238" t="n"/>
      <c r="R47" s="235">
        <f>Assumptions!L54</f>
        <v/>
      </c>
      <c r="S47" s="235">
        <f>Assumptions!M54</f>
        <v/>
      </c>
      <c r="T47" s="235">
        <f>Assumptions!N54</f>
        <v/>
      </c>
      <c r="U47" s="235">
        <f>Assumptions!O54</f>
        <v/>
      </c>
    </row>
    <row r="48">
      <c r="B48" s="5" t="inlineStr">
        <is>
          <t>Revenue per Module Growth</t>
        </is>
      </c>
      <c r="C48" s="238" t="n"/>
      <c r="D48" s="238" t="n"/>
      <c r="E48" s="238" t="n"/>
      <c r="F48" s="238" t="n"/>
      <c r="G48" s="238" t="n"/>
      <c r="H48" s="238" t="n"/>
      <c r="I48" s="238" t="n"/>
      <c r="J48" s="238">
        <f>J46*J47</f>
        <v/>
      </c>
      <c r="K48" s="238">
        <f>K46*K47</f>
        <v/>
      </c>
      <c r="L48" s="238" t="n"/>
      <c r="M48" s="238">
        <f>M46*M47</f>
        <v/>
      </c>
      <c r="N48" s="238">
        <f>N46*N47</f>
        <v/>
      </c>
      <c r="O48" s="238">
        <f>O46*O47</f>
        <v/>
      </c>
      <c r="P48" s="238">
        <f>P46*P47</f>
        <v/>
      </c>
      <c r="Q48" s="238" t="n"/>
      <c r="R48" s="238">
        <f>R46*R47</f>
        <v/>
      </c>
      <c r="S48" s="238">
        <f>S46*S47</f>
        <v/>
      </c>
      <c r="T48" s="238">
        <f>T46*T47</f>
        <v/>
      </c>
      <c r="U48" s="238">
        <f>U46*U47</f>
        <v/>
      </c>
    </row>
    <row r="49">
      <c r="B49" s="4" t="inlineStr">
        <is>
          <t>Revenue per Module ($mm)</t>
        </is>
      </c>
      <c r="C49" s="239">
        <f>C50/C42</f>
        <v/>
      </c>
      <c r="D49" s="239">
        <f>D50/D42</f>
        <v/>
      </c>
      <c r="E49" s="239">
        <f>E50/E42</f>
        <v/>
      </c>
      <c r="F49" s="239">
        <f>F50/F42</f>
        <v/>
      </c>
      <c r="G49" s="239">
        <f>G50/G42</f>
        <v/>
      </c>
      <c r="H49" s="239">
        <f>H50/H42</f>
        <v/>
      </c>
      <c r="I49" s="239">
        <f>I50/I42</f>
        <v/>
      </c>
      <c r="J49" s="239">
        <f>I49*(1+J48)</f>
        <v/>
      </c>
      <c r="K49" s="239">
        <f>J49*(1+K48)</f>
        <v/>
      </c>
      <c r="L49" s="239">
        <f>IFERROR(L50/L42,0)</f>
        <v/>
      </c>
      <c r="M49" s="239">
        <f>K49*(1+M48)</f>
        <v/>
      </c>
      <c r="N49" s="239">
        <f>M49*(1+N48)</f>
        <v/>
      </c>
      <c r="O49" s="239">
        <f>N49*(1+O48)</f>
        <v/>
      </c>
      <c r="P49" s="239">
        <f>O49*(1+P48)</f>
        <v/>
      </c>
      <c r="Q49" s="239">
        <f>IFERROR(Q50/Q42,0)</f>
        <v/>
      </c>
      <c r="R49" s="239">
        <f>Q49*(1+R48)</f>
        <v/>
      </c>
      <c r="S49" s="239">
        <f>R49*(1+S48)</f>
        <v/>
      </c>
      <c r="T49" s="239">
        <f>S49*(1+T48)</f>
        <v/>
      </c>
      <c r="U49" s="239">
        <f>T49*(1+U48)</f>
        <v/>
      </c>
    </row>
    <row r="50">
      <c r="B50" s="7" t="inlineStr">
        <is>
          <t>Total Aerospace Revenue</t>
        </is>
      </c>
      <c r="C50" s="240" t="n">
        <v>365.1</v>
      </c>
      <c r="D50" s="240" t="n">
        <v>490.3</v>
      </c>
      <c r="E50" s="240" t="n">
        <v>517.9</v>
      </c>
      <c r="F50" s="240" t="n">
        <v>563</v>
      </c>
      <c r="G50" s="241">
        <f>SUM(C50:F50)</f>
        <v/>
      </c>
      <c r="H50" s="240" t="n">
        <v>743.8</v>
      </c>
      <c r="I50" s="240" t="n">
        <v>875</v>
      </c>
      <c r="J50" s="241">
        <f>J49*J42</f>
        <v/>
      </c>
      <c r="K50" s="241">
        <f>K49*K42</f>
        <v/>
      </c>
      <c r="L50" s="241">
        <f>SUM(H50:K50)</f>
        <v/>
      </c>
      <c r="M50" s="241">
        <f>M49*M42</f>
        <v/>
      </c>
      <c r="N50" s="241">
        <f>N49*N42</f>
        <v/>
      </c>
      <c r="O50" s="241">
        <f>O49*O42</f>
        <v/>
      </c>
      <c r="P50" s="241">
        <f>P49*P42</f>
        <v/>
      </c>
      <c r="Q50" s="241">
        <f>SUM(M50:P50)</f>
        <v/>
      </c>
      <c r="R50" s="241">
        <f>R49*R42</f>
        <v/>
      </c>
      <c r="S50" s="241">
        <f>S49*S42</f>
        <v/>
      </c>
      <c r="T50" s="241">
        <f>T49*T42</f>
        <v/>
      </c>
      <c r="U50" s="241">
        <f>U49*U42</f>
        <v/>
      </c>
    </row>
    <row r="51">
      <c r="B51" s="5" t="inlineStr">
        <is>
          <t>y/y growth</t>
        </is>
      </c>
      <c r="C51" s="238" t="n"/>
      <c r="D51" s="238" t="n"/>
      <c r="E51" s="238" t="n"/>
      <c r="F51" s="238" t="n"/>
      <c r="G51" s="238" t="n"/>
      <c r="H51" s="238">
        <f>H50/C50-1</f>
        <v/>
      </c>
      <c r="I51" s="238">
        <f>I50/D50-1</f>
        <v/>
      </c>
      <c r="J51" s="238">
        <f>J50/E50-1</f>
        <v/>
      </c>
      <c r="K51" s="238">
        <f>K50/F50-1</f>
        <v/>
      </c>
      <c r="L51" s="238">
        <f>L50/G50-1</f>
        <v/>
      </c>
      <c r="M51" s="238">
        <f>M50/H50-1</f>
        <v/>
      </c>
      <c r="N51" s="238">
        <f>N50/I50-1</f>
        <v/>
      </c>
      <c r="O51" s="238">
        <f>O50/J50-1</f>
        <v/>
      </c>
      <c r="P51" s="238">
        <f>P50/K50-1</f>
        <v/>
      </c>
      <c r="Q51" s="238">
        <f>Q50/L50-1</f>
        <v/>
      </c>
      <c r="R51" s="238">
        <f>R50/Q50-1</f>
        <v/>
      </c>
      <c r="S51" s="238">
        <f>S50/R50-1</f>
        <v/>
      </c>
      <c r="T51" s="238">
        <f>T50/S50-1</f>
        <v/>
      </c>
      <c r="U51" s="238">
        <f>U50/T50-1</f>
        <v/>
      </c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>
      <c r="A53" t="inlineStr">
        <is>
          <t>x</t>
        </is>
      </c>
      <c r="B53" s="4" t="inlineStr">
        <is>
          <t>Profitability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</row>
    <row r="54">
      <c r="B54" s="9" t="inlineStr">
        <is>
          <t>Adj. EBITDA Margin (%)</t>
        </is>
      </c>
      <c r="C54" s="236">
        <f>C55/C50</f>
        <v/>
      </c>
      <c r="D54" s="236">
        <f>D55/D50</f>
        <v/>
      </c>
      <c r="E54" s="236">
        <f>E55/E50</f>
        <v/>
      </c>
      <c r="F54" s="236">
        <f>F55/F50</f>
        <v/>
      </c>
      <c r="G54" s="236">
        <f>G55/G50</f>
        <v/>
      </c>
      <c r="H54" s="236">
        <f>H55/H50</f>
        <v/>
      </c>
      <c r="I54" s="236">
        <f>I55/I50</f>
        <v/>
      </c>
      <c r="J54" s="237">
        <f>Assumptions!D61</f>
        <v/>
      </c>
      <c r="K54" s="237">
        <f>Assumptions!E61</f>
        <v/>
      </c>
      <c r="L54" s="236">
        <f>IFERROR(L55/L50,0)</f>
        <v/>
      </c>
      <c r="M54" s="237">
        <f>Assumptions!G61</f>
        <v/>
      </c>
      <c r="N54" s="237">
        <f>Assumptions!H61</f>
        <v/>
      </c>
      <c r="O54" s="237">
        <f>Assumptions!I61</f>
        <v/>
      </c>
      <c r="P54" s="237">
        <f>Assumptions!J61</f>
        <v/>
      </c>
      <c r="Q54" s="236">
        <f>IFERROR(Q55/Q50,0)</f>
        <v/>
      </c>
      <c r="R54" s="237">
        <f>Assumptions!L61</f>
        <v/>
      </c>
      <c r="S54" s="237">
        <f>Assumptions!M61</f>
        <v/>
      </c>
      <c r="T54" s="237">
        <f>Assumptions!N61</f>
        <v/>
      </c>
      <c r="U54" s="237">
        <f>Assumptions!O61</f>
        <v/>
      </c>
    </row>
    <row r="55">
      <c r="B55" s="5" t="inlineStr">
        <is>
          <t xml:space="preserve">Adj. EBITDA </t>
        </is>
      </c>
      <c r="C55" s="241">
        <f>C60-C59</f>
        <v/>
      </c>
      <c r="D55" s="241">
        <f>D60-D59</f>
        <v/>
      </c>
      <c r="E55" s="241">
        <f>E60-E59</f>
        <v/>
      </c>
      <c r="F55" s="241">
        <f>F60-F59</f>
        <v/>
      </c>
      <c r="G55" s="241">
        <f>G60-G59</f>
        <v/>
      </c>
      <c r="H55" s="241">
        <f>H60-H59</f>
        <v/>
      </c>
      <c r="I55" s="241">
        <f>I60-I59</f>
        <v/>
      </c>
      <c r="J55" s="241">
        <f>J54*J50</f>
        <v/>
      </c>
      <c r="K55" s="241">
        <f>K54*K50</f>
        <v/>
      </c>
      <c r="L55" s="241">
        <f>L60-L59</f>
        <v/>
      </c>
      <c r="M55" s="241">
        <f>M54*M50</f>
        <v/>
      </c>
      <c r="N55" s="241">
        <f>N54*N50</f>
        <v/>
      </c>
      <c r="O55" s="241">
        <f>O54*O50</f>
        <v/>
      </c>
      <c r="P55" s="241">
        <f>P54*P50</f>
        <v/>
      </c>
      <c r="Q55" s="241">
        <f>Q60-Q59</f>
        <v/>
      </c>
      <c r="R55" s="241">
        <f>R54*R50</f>
        <v/>
      </c>
      <c r="S55" s="241">
        <f>S54*S50</f>
        <v/>
      </c>
      <c r="T55" s="241">
        <f>T54*T50</f>
        <v/>
      </c>
      <c r="U55" s="241">
        <f>U54*U50</f>
        <v/>
      </c>
    </row>
    <row r="56">
      <c r="B56" s="11" t="inlineStr">
        <is>
          <t xml:space="preserve">PMA Penetration </t>
        </is>
      </c>
      <c r="C56" s="236" t="n"/>
      <c r="D56" s="236" t="n"/>
      <c r="E56" s="236" t="n"/>
      <c r="F56" s="236" t="n"/>
      <c r="G56" s="236" t="n"/>
      <c r="H56" s="236" t="n"/>
      <c r="I56" s="236" t="n"/>
      <c r="J56" s="237">
        <f>Assumptions!D66</f>
        <v/>
      </c>
      <c r="K56" s="237">
        <f>Assumptions!E66</f>
        <v/>
      </c>
      <c r="L56" s="236">
        <f>IFERROR(L57/L42,0)</f>
        <v/>
      </c>
      <c r="M56" s="237">
        <f>Assumptions!G66</f>
        <v/>
      </c>
      <c r="N56" s="237">
        <f>Assumptions!H66</f>
        <v/>
      </c>
      <c r="O56" s="237">
        <f>Assumptions!I66</f>
        <v/>
      </c>
      <c r="P56" s="237">
        <f>Assumptions!J66</f>
        <v/>
      </c>
      <c r="Q56" s="236">
        <f>IFERROR(Q57/Q42,0)</f>
        <v/>
      </c>
      <c r="R56" s="237">
        <f>Assumptions!L66</f>
        <v/>
      </c>
      <c r="S56" s="237">
        <f>Assumptions!M66</f>
        <v/>
      </c>
      <c r="T56" s="237">
        <f>Assumptions!N66</f>
        <v/>
      </c>
      <c r="U56" s="237">
        <f>Assumptions!O66</f>
        <v/>
      </c>
    </row>
    <row r="57">
      <c r="B57" s="6" t="inlineStr">
        <is>
          <t>PMA Modules</t>
        </is>
      </c>
      <c r="C57" s="226" t="n">
        <v>0</v>
      </c>
      <c r="D57" s="226" t="n">
        <v>0</v>
      </c>
      <c r="E57" s="226" t="n">
        <v>0</v>
      </c>
      <c r="F57" s="226" t="n">
        <v>0</v>
      </c>
      <c r="G57" s="226" t="n">
        <v>0</v>
      </c>
      <c r="H57" s="226" t="n">
        <v>0</v>
      </c>
      <c r="I57" s="226" t="n">
        <v>0</v>
      </c>
      <c r="J57" s="227">
        <f>J56*J42</f>
        <v/>
      </c>
      <c r="K57" s="227">
        <f>K56*K42</f>
        <v/>
      </c>
      <c r="L57" s="227">
        <f>SUM(H57:K57)</f>
        <v/>
      </c>
      <c r="M57" s="227">
        <f>M56*M42</f>
        <v/>
      </c>
      <c r="N57" s="227">
        <f>N56*N42</f>
        <v/>
      </c>
      <c r="O57" s="227">
        <f>O56*O42</f>
        <v/>
      </c>
      <c r="P57" s="227">
        <f>P56*P42</f>
        <v/>
      </c>
      <c r="Q57" s="227">
        <f>SUM(M57:P57)</f>
        <v/>
      </c>
      <c r="R57" s="227">
        <f>R56*R42</f>
        <v/>
      </c>
      <c r="S57" s="227">
        <f>S56*S42</f>
        <v/>
      </c>
      <c r="T57" s="227">
        <f>T56*T42</f>
        <v/>
      </c>
      <c r="U57" s="227">
        <f>U56*U42</f>
        <v/>
      </c>
    </row>
    <row r="58">
      <c r="B58" s="6" t="inlineStr">
        <is>
          <t>PMA EBITDA uplift per module ($mm)</t>
        </is>
      </c>
      <c r="C58" s="239" t="n"/>
      <c r="D58" s="239" t="n"/>
      <c r="E58" s="239" t="n"/>
      <c r="F58" s="239" t="n"/>
      <c r="G58" s="239" t="n"/>
      <c r="H58" s="239" t="n"/>
      <c r="I58" s="239" t="n"/>
      <c r="J58" s="242">
        <f>Assumptions!D71</f>
        <v/>
      </c>
      <c r="K58" s="242">
        <f>Assumptions!E71</f>
        <v/>
      </c>
      <c r="L58" s="242">
        <f>Assumptions!F71</f>
        <v/>
      </c>
      <c r="M58" s="242">
        <f>Assumptions!G71</f>
        <v/>
      </c>
      <c r="N58" s="242">
        <f>Assumptions!H71</f>
        <v/>
      </c>
      <c r="O58" s="242">
        <f>Assumptions!I71</f>
        <v/>
      </c>
      <c r="P58" s="242">
        <f>Assumptions!J71</f>
        <v/>
      </c>
      <c r="Q58" s="242">
        <f>Assumptions!K71</f>
        <v/>
      </c>
      <c r="R58" s="242">
        <f>Assumptions!L71</f>
        <v/>
      </c>
      <c r="S58" s="242">
        <f>Assumptions!M71</f>
        <v/>
      </c>
      <c r="T58" s="242">
        <f>Assumptions!N71</f>
        <v/>
      </c>
      <c r="U58" s="242">
        <f>Assumptions!O71</f>
        <v/>
      </c>
    </row>
    <row r="59">
      <c r="B59" s="6" t="inlineStr">
        <is>
          <t>PMA EBITDA uplift</t>
        </is>
      </c>
      <c r="C59" s="241">
        <f>C58*C57</f>
        <v/>
      </c>
      <c r="D59" s="241">
        <f>D58*D57</f>
        <v/>
      </c>
      <c r="E59" s="241">
        <f>E58*E57</f>
        <v/>
      </c>
      <c r="F59" s="241">
        <f>F58*F57</f>
        <v/>
      </c>
      <c r="G59" s="241">
        <f>G58*G57</f>
        <v/>
      </c>
      <c r="H59" s="241">
        <f>H58*H57</f>
        <v/>
      </c>
      <c r="I59" s="241">
        <f>I58*I57</f>
        <v/>
      </c>
      <c r="J59" s="241">
        <f>J58*J57</f>
        <v/>
      </c>
      <c r="K59" s="241">
        <f>K58*K57</f>
        <v/>
      </c>
      <c r="L59" s="241">
        <f>SUM(H59:K59)</f>
        <v/>
      </c>
      <c r="M59" s="241">
        <f>M58*M57</f>
        <v/>
      </c>
      <c r="N59" s="241">
        <f>N58*N57</f>
        <v/>
      </c>
      <c r="O59" s="241">
        <f>O58*O57</f>
        <v/>
      </c>
      <c r="P59" s="241">
        <f>P58*P57</f>
        <v/>
      </c>
      <c r="Q59" s="241">
        <f>SUM(M59:P59)</f>
        <v/>
      </c>
      <c r="R59" s="241">
        <f>R58*R57</f>
        <v/>
      </c>
      <c r="S59" s="241">
        <f>S58*S57</f>
        <v/>
      </c>
      <c r="T59" s="241">
        <f>T58*T57</f>
        <v/>
      </c>
      <c r="U59" s="241">
        <f>U58*U57</f>
        <v/>
      </c>
    </row>
    <row r="60">
      <c r="B60" s="8" t="inlineStr">
        <is>
          <t>Aerospace Products adj. EBITDA</t>
        </is>
      </c>
      <c r="C60" s="240" t="n">
        <v>130.9</v>
      </c>
      <c r="D60" s="240" t="n">
        <v>164.9</v>
      </c>
      <c r="E60" s="240" t="n">
        <v>180.4</v>
      </c>
      <c r="F60" s="240" t="n">
        <v>195</v>
      </c>
      <c r="G60" s="241">
        <f>SUM(C60:F60)</f>
        <v/>
      </c>
      <c r="H60" s="240" t="n">
        <v>222.6</v>
      </c>
      <c r="I60" s="240" t="n">
        <v>249.7</v>
      </c>
      <c r="J60" s="241">
        <f>J59+J55</f>
        <v/>
      </c>
      <c r="K60" s="241">
        <f>K59+K55</f>
        <v/>
      </c>
      <c r="L60" s="241">
        <f>SUM(H60:K60)</f>
        <v/>
      </c>
      <c r="M60" s="241">
        <f>M59+M55</f>
        <v/>
      </c>
      <c r="N60" s="241">
        <f>N59+N55</f>
        <v/>
      </c>
      <c r="O60" s="241">
        <f>O59+O55</f>
        <v/>
      </c>
      <c r="P60" s="241">
        <f>P59+P55</f>
        <v/>
      </c>
      <c r="Q60" s="241">
        <f>SUM(M60:P60)</f>
        <v/>
      </c>
      <c r="R60" s="241">
        <f>R59+R55</f>
        <v/>
      </c>
      <c r="S60" s="241">
        <f>S59+S55</f>
        <v/>
      </c>
      <c r="T60" s="241">
        <f>T59+T55</f>
        <v/>
      </c>
      <c r="U60" s="241">
        <f>U59+U55</f>
        <v/>
      </c>
    </row>
    <row r="61">
      <c r="B61" s="6" t="inlineStr">
        <is>
          <t>EBITDA margin (%)</t>
        </is>
      </c>
      <c r="C61" s="238" t="n"/>
      <c r="D61" s="238" t="n"/>
      <c r="E61" s="238" t="n"/>
      <c r="F61" s="238" t="n"/>
      <c r="G61" s="238" t="n"/>
      <c r="H61" s="238" t="n"/>
      <c r="I61" s="238" t="n"/>
      <c r="J61" s="238">
        <f>J60/J50</f>
        <v/>
      </c>
      <c r="K61" s="238">
        <f>K60/K50</f>
        <v/>
      </c>
      <c r="L61" s="238">
        <f>L60/L50</f>
        <v/>
      </c>
      <c r="M61" s="238">
        <f>M60/M50</f>
        <v/>
      </c>
      <c r="N61" s="238">
        <f>N60/N50</f>
        <v/>
      </c>
      <c r="O61" s="238">
        <f>O60/O50</f>
        <v/>
      </c>
      <c r="P61" s="238">
        <f>P60/P50</f>
        <v/>
      </c>
      <c r="Q61" s="238">
        <f>Q60/Q50</f>
        <v/>
      </c>
      <c r="R61" s="238">
        <f>R60/R50</f>
        <v/>
      </c>
      <c r="S61" s="238">
        <f>S60/S50</f>
        <v/>
      </c>
      <c r="T61" s="238">
        <f>T60/T50</f>
        <v/>
      </c>
      <c r="U61" s="238">
        <f>U60/U50</f>
        <v/>
      </c>
    </row>
    <row r="62">
      <c r="B62" s="6" t="inlineStr">
        <is>
          <t>y/y growth</t>
        </is>
      </c>
      <c r="C62" s="238" t="n"/>
      <c r="D62" s="238" t="n"/>
      <c r="E62" s="238" t="n"/>
      <c r="F62" s="238" t="n"/>
      <c r="G62" s="238" t="n"/>
      <c r="H62" s="238">
        <f>H60/C60-1</f>
        <v/>
      </c>
      <c r="I62" s="238">
        <f>I60/D60-1</f>
        <v/>
      </c>
      <c r="J62" s="238">
        <f>J60/E60-1</f>
        <v/>
      </c>
      <c r="K62" s="238">
        <f>K60/F60-1</f>
        <v/>
      </c>
      <c r="L62" s="238">
        <f>L60/G60-1</f>
        <v/>
      </c>
      <c r="M62" s="238">
        <f>M60/H60-1</f>
        <v/>
      </c>
      <c r="N62" s="238">
        <f>N60/I60-1</f>
        <v/>
      </c>
      <c r="O62" s="238">
        <f>O60/J60-1</f>
        <v/>
      </c>
      <c r="P62" s="238">
        <f>P60/K60-1</f>
        <v/>
      </c>
      <c r="Q62" s="238">
        <f>Q60/L60-1</f>
        <v/>
      </c>
      <c r="R62" s="238">
        <f>R60/Q60-1</f>
        <v/>
      </c>
      <c r="S62" s="238">
        <f>S60/R60-1</f>
        <v/>
      </c>
      <c r="T62" s="238">
        <f>T60/S60-1</f>
        <v/>
      </c>
      <c r="U62" s="238">
        <f>U60/T60-1</f>
        <v/>
      </c>
    </row>
    <row r="63">
      <c r="B63" s="8" t="inlineStr">
        <is>
          <t>EBITDA per Module ($mm)</t>
        </is>
      </c>
      <c r="C63" s="239">
        <f>IFERROR(C60/C42,0)</f>
        <v/>
      </c>
      <c r="D63" s="239">
        <f>IFERROR(D60/D42,0)</f>
        <v/>
      </c>
      <c r="E63" s="239">
        <f>IFERROR(E60/E42,0)</f>
        <v/>
      </c>
      <c r="F63" s="239">
        <f>IFERROR(F60/F42,0)</f>
        <v/>
      </c>
      <c r="G63" s="239">
        <f>IFERROR(G60/G42,0)</f>
        <v/>
      </c>
      <c r="H63" s="239">
        <f>IFERROR(H60/H42,0)</f>
        <v/>
      </c>
      <c r="I63" s="239">
        <f>IFERROR(I60/I42,0)</f>
        <v/>
      </c>
      <c r="J63" s="239">
        <f>IFERROR(J60/J42,0)</f>
        <v/>
      </c>
      <c r="K63" s="239">
        <f>IFERROR(K60/K42,0)</f>
        <v/>
      </c>
      <c r="L63" s="239">
        <f>IFERROR(L60/L42,0)</f>
        <v/>
      </c>
      <c r="M63" s="239">
        <f>IFERROR(M60/M42,0)</f>
        <v/>
      </c>
      <c r="N63" s="239">
        <f>IFERROR(N60/N42,0)</f>
        <v/>
      </c>
      <c r="O63" s="239">
        <f>IFERROR(O60/O42,0)</f>
        <v/>
      </c>
      <c r="P63" s="239">
        <f>IFERROR(P60/P42,0)</f>
        <v/>
      </c>
      <c r="Q63" s="239">
        <f>IFERROR(Q60/Q42,0)</f>
        <v/>
      </c>
      <c r="R63" s="239">
        <f>IFERROR(R60/R42,0)</f>
        <v/>
      </c>
      <c r="S63" s="239">
        <f>IFERROR(S60/S42,0)</f>
        <v/>
      </c>
      <c r="T63" s="239">
        <f>IFERROR(T60/T42,0)</f>
        <v/>
      </c>
      <c r="U63" s="239">
        <f>IFERROR(U60/U42,0)</f>
        <v/>
      </c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>
      <c r="B65" s="3" t="inlineStr">
        <is>
          <t>FTAI Power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</row>
    <row r="66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>
      <c r="A67" t="inlineStr">
        <is>
          <t>x</t>
        </is>
      </c>
      <c r="B67" s="4" t="inlineStr">
        <is>
          <t>Mod-1 Build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</row>
    <row r="68">
      <c r="B68" s="10" t="inlineStr">
        <is>
          <t>Units Delivered</t>
        </is>
      </c>
      <c r="C68" s="243" t="n">
        <v>0</v>
      </c>
      <c r="D68" s="243" t="n">
        <v>0</v>
      </c>
      <c r="E68" s="243" t="n">
        <v>0</v>
      </c>
      <c r="F68" s="243" t="n">
        <v>0</v>
      </c>
      <c r="G68" s="243" t="n">
        <v>0</v>
      </c>
      <c r="H68" s="243" t="n">
        <v>0</v>
      </c>
      <c r="I68" s="243" t="n">
        <v>0</v>
      </c>
      <c r="J68" s="244">
        <f>Assumptions!D75</f>
        <v/>
      </c>
      <c r="K68" s="244">
        <f>Assumptions!E75</f>
        <v/>
      </c>
      <c r="L68" s="245">
        <f>SUM(H68:K68)</f>
        <v/>
      </c>
      <c r="M68" s="244">
        <f>Assumptions!G75</f>
        <v/>
      </c>
      <c r="N68" s="244">
        <f>Assumptions!H75</f>
        <v/>
      </c>
      <c r="O68" s="244">
        <f>Assumptions!I75</f>
        <v/>
      </c>
      <c r="P68" s="244">
        <f>Assumptions!J75</f>
        <v/>
      </c>
      <c r="Q68" s="245">
        <f>SUM(M68:P68)</f>
        <v/>
      </c>
      <c r="R68" s="244">
        <f>Assumptions!L75</f>
        <v/>
      </c>
      <c r="S68" s="244">
        <f>Assumptions!M75</f>
        <v/>
      </c>
      <c r="T68" s="244">
        <f>Assumptions!N75</f>
        <v/>
      </c>
      <c r="U68" s="244">
        <f>Assumptions!O75</f>
        <v/>
      </c>
    </row>
    <row r="69">
      <c r="B69" s="5" t="inlineStr">
        <is>
          <t>MW per unit</t>
        </is>
      </c>
      <c r="C69" s="81" t="n"/>
      <c r="D69" s="81" t="n"/>
      <c r="E69" s="81" t="n"/>
      <c r="F69" s="81" t="n"/>
      <c r="G69" s="81" t="n"/>
      <c r="H69" s="81" t="n"/>
      <c r="I69" s="81" t="n"/>
      <c r="J69" s="38">
        <f>Assumptions!D80</f>
        <v/>
      </c>
      <c r="K69" s="38">
        <f>Assumptions!E80</f>
        <v/>
      </c>
      <c r="L69" s="38">
        <f>Assumptions!F80</f>
        <v/>
      </c>
      <c r="M69" s="38">
        <f>Assumptions!G80</f>
        <v/>
      </c>
      <c r="N69" s="38">
        <f>Assumptions!H80</f>
        <v/>
      </c>
      <c r="O69" s="38">
        <f>Assumptions!I80</f>
        <v/>
      </c>
      <c r="P69" s="38">
        <f>Assumptions!J80</f>
        <v/>
      </c>
      <c r="Q69" s="38">
        <f>Assumptions!K80</f>
        <v/>
      </c>
      <c r="R69" s="38">
        <f>Assumptions!L80</f>
        <v/>
      </c>
      <c r="S69" s="38">
        <f>Assumptions!M80</f>
        <v/>
      </c>
      <c r="T69" s="38">
        <f>Assumptions!N80</f>
        <v/>
      </c>
      <c r="U69" s="38">
        <f>Assumptions!O80</f>
        <v/>
      </c>
    </row>
    <row r="70">
      <c r="B70" s="3" t="inlineStr">
        <is>
          <t>MW delivered</t>
        </is>
      </c>
      <c r="C70" s="227">
        <f>C69*C68</f>
        <v/>
      </c>
      <c r="D70" s="227">
        <f>D69*D68</f>
        <v/>
      </c>
      <c r="E70" s="227">
        <f>E69*E68</f>
        <v/>
      </c>
      <c r="F70" s="227">
        <f>F69*F68</f>
        <v/>
      </c>
      <c r="G70" s="227">
        <f>G69*G68</f>
        <v/>
      </c>
      <c r="H70" s="227">
        <f>H69*H68</f>
        <v/>
      </c>
      <c r="I70" s="227">
        <f>I69*I68</f>
        <v/>
      </c>
      <c r="J70" s="227">
        <f>J69*J68</f>
        <v/>
      </c>
      <c r="K70" s="227">
        <f>K69*K68</f>
        <v/>
      </c>
      <c r="L70" s="227">
        <f>L69*L68</f>
        <v/>
      </c>
      <c r="M70" s="227">
        <f>M69*M68</f>
        <v/>
      </c>
      <c r="N70" s="227">
        <f>N69*N68</f>
        <v/>
      </c>
      <c r="O70" s="227">
        <f>O69*O68</f>
        <v/>
      </c>
      <c r="P70" s="227">
        <f>P69*P68</f>
        <v/>
      </c>
      <c r="Q70" s="227">
        <f>Q69*Q68</f>
        <v/>
      </c>
      <c r="R70" s="227">
        <f>R69*R68</f>
        <v/>
      </c>
      <c r="S70" s="227">
        <f>S69*S68</f>
        <v/>
      </c>
      <c r="T70" s="227">
        <f>T69*T68</f>
        <v/>
      </c>
      <c r="U70" s="227">
        <f>U69*U68</f>
        <v/>
      </c>
    </row>
    <row r="71">
      <c r="B71" s="10" t="inlineStr">
        <is>
          <t>$mm per MW</t>
        </is>
      </c>
      <c r="C71" s="246" t="n"/>
      <c r="D71" s="246" t="n"/>
      <c r="E71" s="246" t="n"/>
      <c r="F71" s="246" t="n"/>
      <c r="G71" s="246" t="n"/>
      <c r="H71" s="246" t="n"/>
      <c r="I71" s="246" t="n"/>
      <c r="J71" s="247">
        <f>Assumptions!D82</f>
        <v/>
      </c>
      <c r="K71" s="247">
        <f>Assumptions!E82</f>
        <v/>
      </c>
      <c r="L71" s="247">
        <f>Assumptions!F82</f>
        <v/>
      </c>
      <c r="M71" s="247">
        <f>Assumptions!G82</f>
        <v/>
      </c>
      <c r="N71" s="247">
        <f>Assumptions!H82</f>
        <v/>
      </c>
      <c r="O71" s="247">
        <f>Assumptions!I82</f>
        <v/>
      </c>
      <c r="P71" s="247">
        <f>Assumptions!J82</f>
        <v/>
      </c>
      <c r="Q71" s="247">
        <f>Assumptions!K82</f>
        <v/>
      </c>
      <c r="R71" s="247">
        <f>Assumptions!L82</f>
        <v/>
      </c>
      <c r="S71" s="247">
        <f>Assumptions!M82</f>
        <v/>
      </c>
      <c r="T71" s="247">
        <f>Assumptions!N82</f>
        <v/>
      </c>
      <c r="U71" s="247">
        <f>Assumptions!O82</f>
        <v/>
      </c>
    </row>
    <row r="72">
      <c r="B72" s="5" t="inlineStr">
        <is>
          <t>FTAI capture of JV</t>
        </is>
      </c>
      <c r="C72" s="238" t="n"/>
      <c r="D72" s="238" t="n"/>
      <c r="E72" s="238" t="n"/>
      <c r="F72" s="238" t="n"/>
      <c r="G72" s="238" t="n"/>
      <c r="H72" s="238" t="n"/>
      <c r="I72" s="238" t="n"/>
      <c r="J72" s="235">
        <f>Assumptions!D84</f>
        <v/>
      </c>
      <c r="K72" s="235">
        <f>Assumptions!E84</f>
        <v/>
      </c>
      <c r="L72" s="235">
        <f>Assumptions!F84</f>
        <v/>
      </c>
      <c r="M72" s="235">
        <f>Assumptions!G84</f>
        <v/>
      </c>
      <c r="N72" s="235">
        <f>Assumptions!H84</f>
        <v/>
      </c>
      <c r="O72" s="235">
        <f>Assumptions!I84</f>
        <v/>
      </c>
      <c r="P72" s="235">
        <f>Assumptions!J84</f>
        <v/>
      </c>
      <c r="Q72" s="235">
        <f>Assumptions!K84</f>
        <v/>
      </c>
      <c r="R72" s="235">
        <f>Assumptions!L84</f>
        <v/>
      </c>
      <c r="S72" s="235">
        <f>Assumptions!M84</f>
        <v/>
      </c>
      <c r="T72" s="235">
        <f>Assumptions!N84</f>
        <v/>
      </c>
      <c r="U72" s="235">
        <f>Assumptions!O84</f>
        <v/>
      </c>
    </row>
    <row r="73">
      <c r="B73" s="4" t="inlineStr">
        <is>
          <t>FTAI Power Revenue</t>
        </is>
      </c>
      <c r="C73" s="241">
        <f>C72*C70*C71</f>
        <v/>
      </c>
      <c r="D73" s="241">
        <f>D72*D70*D71</f>
        <v/>
      </c>
      <c r="E73" s="241">
        <f>E72*E70*E71</f>
        <v/>
      </c>
      <c r="F73" s="241">
        <f>F72*F70*F71</f>
        <v/>
      </c>
      <c r="G73" s="241">
        <f>G72*G70*G71</f>
        <v/>
      </c>
      <c r="H73" s="241">
        <f>H72*H70*H71</f>
        <v/>
      </c>
      <c r="I73" s="241">
        <f>I72*I70*I71</f>
        <v/>
      </c>
      <c r="J73" s="241">
        <f>J72*J70*J71</f>
        <v/>
      </c>
      <c r="K73" s="241">
        <f>K72*K70*K71</f>
        <v/>
      </c>
      <c r="L73" s="241">
        <f>L72*L70*L71</f>
        <v/>
      </c>
      <c r="M73" s="241">
        <f>M72*M70*M71</f>
        <v/>
      </c>
      <c r="N73" s="241">
        <f>N72*N70*N71</f>
        <v/>
      </c>
      <c r="O73" s="241">
        <f>O72*O70*O71</f>
        <v/>
      </c>
      <c r="P73" s="241">
        <f>P72*P70*P71</f>
        <v/>
      </c>
      <c r="Q73" s="241">
        <f>Q72*Q70*Q71</f>
        <v/>
      </c>
      <c r="R73" s="241">
        <f>R72*R70*R71</f>
        <v/>
      </c>
      <c r="S73" s="241">
        <f>S72*S70*S71</f>
        <v/>
      </c>
      <c r="T73" s="241">
        <f>T72*T70*T71</f>
        <v/>
      </c>
      <c r="U73" s="241">
        <f>U72*U70*U71</f>
        <v/>
      </c>
    </row>
    <row r="74">
      <c r="B74" s="9" t="inlineStr">
        <is>
          <t>EBITDA margin (%)</t>
        </is>
      </c>
      <c r="C74" s="236" t="n"/>
      <c r="D74" s="236" t="n"/>
      <c r="E74" s="236" t="n"/>
      <c r="F74" s="236" t="n"/>
      <c r="G74" s="236" t="n"/>
      <c r="H74" s="236" t="n"/>
      <c r="I74" s="236" t="n"/>
      <c r="J74" s="237">
        <f>Assumptions!D89</f>
        <v/>
      </c>
      <c r="K74" s="237">
        <f>Assumptions!E89</f>
        <v/>
      </c>
      <c r="L74" s="237">
        <f>Assumptions!F89</f>
        <v/>
      </c>
      <c r="M74" s="237">
        <f>Assumptions!G89</f>
        <v/>
      </c>
      <c r="N74" s="237">
        <f>Assumptions!H89</f>
        <v/>
      </c>
      <c r="O74" s="237">
        <f>Assumptions!I89</f>
        <v/>
      </c>
      <c r="P74" s="237">
        <f>Assumptions!J89</f>
        <v/>
      </c>
      <c r="Q74" s="237">
        <f>Assumptions!K89</f>
        <v/>
      </c>
      <c r="R74" s="237">
        <f>Assumptions!L89</f>
        <v/>
      </c>
      <c r="S74" s="237">
        <f>Assumptions!M89</f>
        <v/>
      </c>
      <c r="T74" s="237">
        <f>Assumptions!N89</f>
        <v/>
      </c>
      <c r="U74" s="237">
        <f>Assumptions!O89</f>
        <v/>
      </c>
    </row>
    <row r="75">
      <c r="B75" s="4" t="inlineStr">
        <is>
          <t>FTAI Adj. EBITDA</t>
        </is>
      </c>
      <c r="C75" s="241">
        <f>C73*C74</f>
        <v/>
      </c>
      <c r="D75" s="241">
        <f>D73*D74</f>
        <v/>
      </c>
      <c r="E75" s="241">
        <f>E73*E74</f>
        <v/>
      </c>
      <c r="F75" s="241">
        <f>F73*F74</f>
        <v/>
      </c>
      <c r="G75" s="241">
        <f>G73*G74</f>
        <v/>
      </c>
      <c r="H75" s="241">
        <f>H73*H74</f>
        <v/>
      </c>
      <c r="I75" s="241">
        <f>I73*I74</f>
        <v/>
      </c>
      <c r="J75" s="241">
        <f>J73*J74</f>
        <v/>
      </c>
      <c r="K75" s="241">
        <f>K73*K74</f>
        <v/>
      </c>
      <c r="L75" s="241">
        <f>L73*L74</f>
        <v/>
      </c>
      <c r="M75" s="241">
        <f>M73*M74</f>
        <v/>
      </c>
      <c r="N75" s="241">
        <f>N73*N74</f>
        <v/>
      </c>
      <c r="O75" s="241">
        <f>O73*O74</f>
        <v/>
      </c>
      <c r="P75" s="241">
        <f>P73*P74</f>
        <v/>
      </c>
      <c r="Q75" s="241">
        <f>Q73*Q74</f>
        <v/>
      </c>
      <c r="R75" s="241">
        <f>R73*R74</f>
        <v/>
      </c>
      <c r="S75" s="241">
        <f>S73*S74</f>
        <v/>
      </c>
      <c r="T75" s="241">
        <f>T73*T74</f>
        <v/>
      </c>
      <c r="U75" s="241">
        <f>U73*U74</f>
        <v/>
      </c>
    </row>
    <row r="76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>
      <c r="A77" t="inlineStr">
        <is>
          <t>x</t>
        </is>
      </c>
      <c r="B77" s="4" t="inlineStr">
        <is>
          <t>Aviation Leasing + SCI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</row>
    <row r="78">
      <c r="B78" s="3" t="inlineStr">
        <is>
          <t>Aviation Leasing Revenue</t>
        </is>
      </c>
      <c r="C78" s="240" t="n">
        <v>137</v>
      </c>
      <c r="D78" s="240" t="n">
        <v>186</v>
      </c>
      <c r="E78" s="240" t="n">
        <v>149.2</v>
      </c>
      <c r="F78" s="240" t="n">
        <v>99</v>
      </c>
      <c r="G78" s="241">
        <f>SUM(C78:F78)</f>
        <v/>
      </c>
      <c r="H78" s="240" t="n">
        <v>86.90000000000001</v>
      </c>
      <c r="I78" s="240" t="n">
        <v>78.09999999999999</v>
      </c>
      <c r="J78" s="248">
        <f>Assumptions!D96</f>
        <v/>
      </c>
      <c r="K78" s="248">
        <f>Assumptions!E96</f>
        <v/>
      </c>
      <c r="L78" s="241">
        <f>SUM(H78:K78)</f>
        <v/>
      </c>
      <c r="M78" s="248">
        <f>Assumptions!G96</f>
        <v/>
      </c>
      <c r="N78" s="248">
        <f>Assumptions!H96</f>
        <v/>
      </c>
      <c r="O78" s="248">
        <f>Assumptions!I96</f>
        <v/>
      </c>
      <c r="P78" s="248">
        <f>Assumptions!J96</f>
        <v/>
      </c>
      <c r="Q78" s="241">
        <f>SUM(M78:P78)</f>
        <v/>
      </c>
      <c r="R78" s="248">
        <f>Assumptions!L96</f>
        <v/>
      </c>
      <c r="S78" s="248">
        <f>Assumptions!M96</f>
        <v/>
      </c>
      <c r="T78" s="248">
        <f>Assumptions!N96</f>
        <v/>
      </c>
      <c r="U78" s="248">
        <f>Assumptions!O96</f>
        <v/>
      </c>
    </row>
    <row r="79">
      <c r="B79" s="3" t="inlineStr">
        <is>
          <t>Aviation Leasing + SCI EBITDA</t>
        </is>
      </c>
      <c r="C79" s="240" t="n">
        <v>162</v>
      </c>
      <c r="D79" s="240" t="n">
        <v>199.3</v>
      </c>
      <c r="E79" s="240" t="n">
        <v>134.4</v>
      </c>
      <c r="F79" s="240" t="n">
        <v>113.2</v>
      </c>
      <c r="G79" s="241">
        <f>SUM(C79:F79)</f>
        <v/>
      </c>
      <c r="H79" s="240" t="n">
        <v>153</v>
      </c>
      <c r="I79" s="240" t="n">
        <v>88.2</v>
      </c>
      <c r="J79" s="248">
        <f>Assumptions!D98</f>
        <v/>
      </c>
      <c r="K79" s="248">
        <f>Assumptions!E98</f>
        <v/>
      </c>
      <c r="L79" s="241">
        <f>SUM(H79:K79)</f>
        <v/>
      </c>
      <c r="M79" s="248">
        <f>Assumptions!G98</f>
        <v/>
      </c>
      <c r="N79" s="248">
        <f>Assumptions!H98</f>
        <v/>
      </c>
      <c r="O79" s="248">
        <f>Assumptions!I98</f>
        <v/>
      </c>
      <c r="P79" s="248">
        <f>Assumptions!J98</f>
        <v/>
      </c>
      <c r="Q79" s="241">
        <f>SUM(M79:P79)</f>
        <v/>
      </c>
      <c r="R79" s="248">
        <f>Assumptions!L98</f>
        <v/>
      </c>
      <c r="S79" s="248">
        <f>Assumptions!M98</f>
        <v/>
      </c>
      <c r="T79" s="248">
        <f>Assumptions!N98</f>
        <v/>
      </c>
      <c r="U79" s="248">
        <f>Assumptions!O98</f>
        <v/>
      </c>
    </row>
    <row r="80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>
      <c r="A81" t="inlineStr">
        <is>
          <t>x</t>
        </is>
      </c>
      <c r="B81" s="4" t="inlineStr">
        <is>
          <t>Consolidated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</row>
    <row r="82">
      <c r="B82" s="5" t="inlineStr">
        <is>
          <t>Aerospace Products Revenue</t>
        </is>
      </c>
      <c r="C82" s="241">
        <f>C50</f>
        <v/>
      </c>
      <c r="D82" s="241">
        <f>D50</f>
        <v/>
      </c>
      <c r="E82" s="241">
        <f>E50</f>
        <v/>
      </c>
      <c r="F82" s="241">
        <f>F50</f>
        <v/>
      </c>
      <c r="G82" s="241">
        <f>G50</f>
        <v/>
      </c>
      <c r="H82" s="241">
        <f>H50</f>
        <v/>
      </c>
      <c r="I82" s="241">
        <f>I50</f>
        <v/>
      </c>
      <c r="J82" s="241">
        <f>J50</f>
        <v/>
      </c>
      <c r="K82" s="241">
        <f>K50</f>
        <v/>
      </c>
      <c r="L82" s="241">
        <f>L50</f>
        <v/>
      </c>
      <c r="M82" s="241">
        <f>M50</f>
        <v/>
      </c>
      <c r="N82" s="241">
        <f>N50</f>
        <v/>
      </c>
      <c r="O82" s="241">
        <f>O50</f>
        <v/>
      </c>
      <c r="P82" s="241">
        <f>P50</f>
        <v/>
      </c>
      <c r="Q82" s="241">
        <f>Q50</f>
        <v/>
      </c>
      <c r="R82" s="241">
        <f>R50</f>
        <v/>
      </c>
      <c r="S82" s="241">
        <f>S50</f>
        <v/>
      </c>
      <c r="T82" s="241">
        <f>T50</f>
        <v/>
      </c>
      <c r="U82" s="241">
        <f>U50</f>
        <v/>
      </c>
    </row>
    <row r="83">
      <c r="B83" s="5" t="inlineStr">
        <is>
          <t>FTAI Power Revenue</t>
        </is>
      </c>
      <c r="C83" s="241">
        <f>C73</f>
        <v/>
      </c>
      <c r="D83" s="241">
        <f>D73</f>
        <v/>
      </c>
      <c r="E83" s="241">
        <f>E73</f>
        <v/>
      </c>
      <c r="F83" s="241">
        <f>F73</f>
        <v/>
      </c>
      <c r="G83" s="241">
        <f>G73</f>
        <v/>
      </c>
      <c r="H83" s="241">
        <f>H73</f>
        <v/>
      </c>
      <c r="I83" s="241">
        <f>I73</f>
        <v/>
      </c>
      <c r="J83" s="241">
        <f>J73</f>
        <v/>
      </c>
      <c r="K83" s="241">
        <f>K73</f>
        <v/>
      </c>
      <c r="L83" s="241">
        <f>L73</f>
        <v/>
      </c>
      <c r="M83" s="241">
        <f>M73</f>
        <v/>
      </c>
      <c r="N83" s="241">
        <f>N73</f>
        <v/>
      </c>
      <c r="O83" s="241">
        <f>O73</f>
        <v/>
      </c>
      <c r="P83" s="241">
        <f>P73</f>
        <v/>
      </c>
      <c r="Q83" s="241">
        <f>Q73</f>
        <v/>
      </c>
      <c r="R83" s="241">
        <f>R73</f>
        <v/>
      </c>
      <c r="S83" s="241">
        <f>S73</f>
        <v/>
      </c>
      <c r="T83" s="241">
        <f>T73</f>
        <v/>
      </c>
      <c r="U83" s="241">
        <f>U73</f>
        <v/>
      </c>
    </row>
    <row r="84">
      <c r="B84" s="5" t="inlineStr">
        <is>
          <t>Aviation + SCI Revenue</t>
        </is>
      </c>
      <c r="C84" s="241">
        <f>C78</f>
        <v/>
      </c>
      <c r="D84" s="241">
        <f>D78</f>
        <v/>
      </c>
      <c r="E84" s="241">
        <f>E78</f>
        <v/>
      </c>
      <c r="F84" s="241">
        <f>F78</f>
        <v/>
      </c>
      <c r="G84" s="241">
        <f>G78</f>
        <v/>
      </c>
      <c r="H84" s="241">
        <f>H78</f>
        <v/>
      </c>
      <c r="I84" s="241">
        <f>I78</f>
        <v/>
      </c>
      <c r="J84" s="241">
        <f>J78</f>
        <v/>
      </c>
      <c r="K84" s="241">
        <f>K78</f>
        <v/>
      </c>
      <c r="L84" s="241">
        <f>L78</f>
        <v/>
      </c>
      <c r="M84" s="241">
        <f>M78</f>
        <v/>
      </c>
      <c r="N84" s="241">
        <f>N78</f>
        <v/>
      </c>
      <c r="O84" s="241">
        <f>O78</f>
        <v/>
      </c>
      <c r="P84" s="241">
        <f>P78</f>
        <v/>
      </c>
      <c r="Q84" s="241">
        <f>Q78</f>
        <v/>
      </c>
      <c r="R84" s="241">
        <f>R78</f>
        <v/>
      </c>
      <c r="S84" s="241">
        <f>S78</f>
        <v/>
      </c>
      <c r="T84" s="241">
        <f>T78</f>
        <v/>
      </c>
      <c r="U84" s="241">
        <f>U78</f>
        <v/>
      </c>
    </row>
    <row r="85">
      <c r="B85" s="7" t="inlineStr">
        <is>
          <t>Total Revenue</t>
        </is>
      </c>
      <c r="C85" s="249">
        <f>SUM(C82:C84)</f>
        <v/>
      </c>
      <c r="D85" s="249">
        <f>SUM(D82:D84)</f>
        <v/>
      </c>
      <c r="E85" s="249">
        <f>SUM(E82:E84)</f>
        <v/>
      </c>
      <c r="F85" s="249">
        <f>SUM(F82:F84)</f>
        <v/>
      </c>
      <c r="G85" s="249">
        <f>SUM(G82:G84)</f>
        <v/>
      </c>
      <c r="H85" s="249">
        <f>SUM(H82:H84)</f>
        <v/>
      </c>
      <c r="I85" s="249">
        <f>SUM(I82:I84)</f>
        <v/>
      </c>
      <c r="J85" s="249">
        <f>SUM(J82:J84)</f>
        <v/>
      </c>
      <c r="K85" s="249">
        <f>SUM(K82:K84)</f>
        <v/>
      </c>
      <c r="L85" s="249">
        <f>SUM(L82:L84)</f>
        <v/>
      </c>
      <c r="M85" s="249">
        <f>SUM(M82:M84)</f>
        <v/>
      </c>
      <c r="N85" s="249">
        <f>SUM(N82:N84)</f>
        <v/>
      </c>
      <c r="O85" s="249">
        <f>SUM(O82:O84)</f>
        <v/>
      </c>
      <c r="P85" s="249">
        <f>SUM(P82:P84)</f>
        <v/>
      </c>
      <c r="Q85" s="249">
        <f>SUM(Q82:Q84)</f>
        <v/>
      </c>
      <c r="R85" s="249">
        <f>SUM(R82:R84)</f>
        <v/>
      </c>
      <c r="S85" s="249">
        <f>SUM(S82:S84)</f>
        <v/>
      </c>
      <c r="T85" s="249">
        <f>SUM(T82:T84)</f>
        <v/>
      </c>
      <c r="U85" s="249">
        <f>SUM(U82:U84)</f>
        <v/>
      </c>
    </row>
    <row r="86">
      <c r="B86" s="5" t="inlineStr">
        <is>
          <t>y/y growth</t>
        </is>
      </c>
      <c r="C86" s="238" t="n"/>
      <c r="D86" s="238" t="n"/>
      <c r="E86" s="238" t="n"/>
      <c r="F86" s="238" t="n"/>
      <c r="G86" s="238" t="n"/>
      <c r="H86" s="238">
        <f>H85/C85-1</f>
        <v/>
      </c>
      <c r="I86" s="238">
        <f>I85/D85-1</f>
        <v/>
      </c>
      <c r="J86" s="238">
        <f>J85/E85-1</f>
        <v/>
      </c>
      <c r="K86" s="238">
        <f>K85/F85-1</f>
        <v/>
      </c>
      <c r="L86" s="238">
        <f>L85/G85-1</f>
        <v/>
      </c>
      <c r="M86" s="238">
        <f>M85/H85-1</f>
        <v/>
      </c>
      <c r="N86" s="238">
        <f>N85/I85-1</f>
        <v/>
      </c>
      <c r="O86" s="238">
        <f>O85/J85-1</f>
        <v/>
      </c>
      <c r="P86" s="238">
        <f>P85/K85-1</f>
        <v/>
      </c>
      <c r="Q86" s="238">
        <f>Q85/L85-1</f>
        <v/>
      </c>
      <c r="R86" s="238">
        <f>R85/Q85-1</f>
        <v/>
      </c>
      <c r="S86" s="238">
        <f>S85/R85-1</f>
        <v/>
      </c>
      <c r="T86" s="238">
        <f>T85/S85-1</f>
        <v/>
      </c>
      <c r="U86" s="238">
        <f>U85/T85-1</f>
        <v/>
      </c>
    </row>
    <row r="87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</row>
    <row r="88">
      <c r="B88" s="4" t="inlineStr">
        <is>
          <t>Adj. EBITDA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>
      <c r="B89" s="5" t="inlineStr">
        <is>
          <t xml:space="preserve">Aerospace Products </t>
        </is>
      </c>
      <c r="C89" s="241">
        <f>C60</f>
        <v/>
      </c>
      <c r="D89" s="241">
        <f>D60</f>
        <v/>
      </c>
      <c r="E89" s="241">
        <f>E60</f>
        <v/>
      </c>
      <c r="F89" s="241">
        <f>F60</f>
        <v/>
      </c>
      <c r="G89" s="241">
        <f>G60</f>
        <v/>
      </c>
      <c r="H89" s="241">
        <f>H60</f>
        <v/>
      </c>
      <c r="I89" s="241">
        <f>I60</f>
        <v/>
      </c>
      <c r="J89" s="241">
        <f>J60</f>
        <v/>
      </c>
      <c r="K89" s="241">
        <f>K60</f>
        <v/>
      </c>
      <c r="L89" s="241">
        <f>L60</f>
        <v/>
      </c>
      <c r="M89" s="241">
        <f>M60</f>
        <v/>
      </c>
      <c r="N89" s="241">
        <f>N60</f>
        <v/>
      </c>
      <c r="O89" s="241">
        <f>O60</f>
        <v/>
      </c>
      <c r="P89" s="241">
        <f>P60</f>
        <v/>
      </c>
      <c r="Q89" s="241">
        <f>Q60</f>
        <v/>
      </c>
      <c r="R89" s="241">
        <f>R60</f>
        <v/>
      </c>
      <c r="S89" s="241">
        <f>S60</f>
        <v/>
      </c>
      <c r="T89" s="241">
        <f>T60</f>
        <v/>
      </c>
      <c r="U89" s="241">
        <f>U60</f>
        <v/>
      </c>
    </row>
    <row r="90">
      <c r="B90" s="5" t="inlineStr">
        <is>
          <t>FTAI Power</t>
        </is>
      </c>
      <c r="C90" s="241">
        <f>C75</f>
        <v/>
      </c>
      <c r="D90" s="241">
        <f>D75</f>
        <v/>
      </c>
      <c r="E90" s="241">
        <f>E75</f>
        <v/>
      </c>
      <c r="F90" s="241">
        <f>F75</f>
        <v/>
      </c>
      <c r="G90" s="241">
        <f>G75</f>
        <v/>
      </c>
      <c r="H90" s="241">
        <f>H75</f>
        <v/>
      </c>
      <c r="I90" s="241">
        <f>I75</f>
        <v/>
      </c>
      <c r="J90" s="241">
        <f>J75</f>
        <v/>
      </c>
      <c r="K90" s="241">
        <f>K75</f>
        <v/>
      </c>
      <c r="L90" s="241">
        <f>L75</f>
        <v/>
      </c>
      <c r="M90" s="241">
        <f>M75</f>
        <v/>
      </c>
      <c r="N90" s="241">
        <f>N75</f>
        <v/>
      </c>
      <c r="O90" s="241">
        <f>O75</f>
        <v/>
      </c>
      <c r="P90" s="241">
        <f>P75</f>
        <v/>
      </c>
      <c r="Q90" s="241">
        <f>Q75</f>
        <v/>
      </c>
      <c r="R90" s="241">
        <f>R75</f>
        <v/>
      </c>
      <c r="S90" s="241">
        <f>S75</f>
        <v/>
      </c>
      <c r="T90" s="241">
        <f>T75</f>
        <v/>
      </c>
      <c r="U90" s="241">
        <f>U75</f>
        <v/>
      </c>
    </row>
    <row r="91">
      <c r="B91" s="5" t="inlineStr">
        <is>
          <t>Aviation Leasing + SCI</t>
        </is>
      </c>
      <c r="C91" s="241">
        <f>C79</f>
        <v/>
      </c>
      <c r="D91" s="241">
        <f>D79</f>
        <v/>
      </c>
      <c r="E91" s="241">
        <f>E79</f>
        <v/>
      </c>
      <c r="F91" s="241">
        <f>F79</f>
        <v/>
      </c>
      <c r="G91" s="241">
        <f>G79</f>
        <v/>
      </c>
      <c r="H91" s="241">
        <f>H79</f>
        <v/>
      </c>
      <c r="I91" s="241">
        <f>I79</f>
        <v/>
      </c>
      <c r="J91" s="241">
        <f>J79</f>
        <v/>
      </c>
      <c r="K91" s="241">
        <f>K79</f>
        <v/>
      </c>
      <c r="L91" s="241">
        <f>L79</f>
        <v/>
      </c>
      <c r="M91" s="241">
        <f>M79</f>
        <v/>
      </c>
      <c r="N91" s="241">
        <f>N79</f>
        <v/>
      </c>
      <c r="O91" s="241">
        <f>O79</f>
        <v/>
      </c>
      <c r="P91" s="241">
        <f>P79</f>
        <v/>
      </c>
      <c r="Q91" s="241">
        <f>Q79</f>
        <v/>
      </c>
      <c r="R91" s="241">
        <f>R79</f>
        <v/>
      </c>
      <c r="S91" s="241">
        <f>S79</f>
        <v/>
      </c>
      <c r="T91" s="241">
        <f>T79</f>
        <v/>
      </c>
      <c r="U91" s="241">
        <f>U79</f>
        <v/>
      </c>
    </row>
    <row r="92">
      <c r="B92" s="16" t="inlineStr">
        <is>
          <t>Corporate &amp; Eliminations</t>
        </is>
      </c>
      <c r="C92" s="240" t="n">
        <v>-17.4</v>
      </c>
      <c r="D92" s="240" t="n">
        <v>-16.4</v>
      </c>
      <c r="E92" s="240" t="n">
        <v>-17.4</v>
      </c>
      <c r="F92" s="240" t="n">
        <v>-31.1</v>
      </c>
      <c r="G92" s="240">
        <f>SUM(C92:F92)</f>
        <v/>
      </c>
      <c r="H92" s="240" t="n">
        <v>-50</v>
      </c>
      <c r="I92" s="240" t="n">
        <v>-46.5</v>
      </c>
      <c r="J92" s="248">
        <f>Assumptions!D103</f>
        <v/>
      </c>
      <c r="K92" s="248">
        <f>Assumptions!E103</f>
        <v/>
      </c>
      <c r="L92" s="241">
        <f>SUM(H92:K92)</f>
        <v/>
      </c>
      <c r="M92" s="248">
        <f>Assumptions!G103</f>
        <v/>
      </c>
      <c r="N92" s="248">
        <f>Assumptions!H103</f>
        <v/>
      </c>
      <c r="O92" s="248">
        <f>Assumptions!I103</f>
        <v/>
      </c>
      <c r="P92" s="248">
        <f>Assumptions!J103</f>
        <v/>
      </c>
      <c r="Q92" s="241">
        <f>SUM(M92:P92)</f>
        <v/>
      </c>
      <c r="R92" s="248">
        <f>Assumptions!L103</f>
        <v/>
      </c>
      <c r="S92" s="248">
        <f>Assumptions!M103</f>
        <v/>
      </c>
      <c r="T92" s="248">
        <f>Assumptions!N103</f>
        <v/>
      </c>
      <c r="U92" s="248">
        <f>Assumptions!O103</f>
        <v/>
      </c>
    </row>
    <row r="93">
      <c r="B93" s="7" t="inlineStr">
        <is>
          <t>Total Adj. EBITDA</t>
        </is>
      </c>
      <c r="C93" s="249">
        <f>SUM(C89:C92)</f>
        <v/>
      </c>
      <c r="D93" s="249">
        <f>SUM(D89:D92)</f>
        <v/>
      </c>
      <c r="E93" s="249">
        <f>SUM(E89:E92)</f>
        <v/>
      </c>
      <c r="F93" s="249">
        <f>SUM(F89:F92)</f>
        <v/>
      </c>
      <c r="G93" s="249">
        <f>SUM(G89:G92)</f>
        <v/>
      </c>
      <c r="H93" s="249">
        <f>SUM(H89:H92)</f>
        <v/>
      </c>
      <c r="I93" s="249">
        <f>SUM(I89:I92)</f>
        <v/>
      </c>
      <c r="J93" s="249">
        <f>SUM(J89:J92)</f>
        <v/>
      </c>
      <c r="K93" s="249">
        <f>SUM(K89:K92)</f>
        <v/>
      </c>
      <c r="L93" s="249">
        <f>SUM(L89:L92)</f>
        <v/>
      </c>
      <c r="M93" s="249">
        <f>SUM(M89:M92)</f>
        <v/>
      </c>
      <c r="N93" s="249">
        <f>SUM(N89:N92)</f>
        <v/>
      </c>
      <c r="O93" s="249">
        <f>SUM(O89:O92)</f>
        <v/>
      </c>
      <c r="P93" s="249">
        <f>SUM(P89:P92)</f>
        <v/>
      </c>
      <c r="Q93" s="249">
        <f>SUM(Q89:Q92)</f>
        <v/>
      </c>
      <c r="R93" s="249">
        <f>SUM(R89:R92)</f>
        <v/>
      </c>
      <c r="S93" s="249">
        <f>SUM(S89:S92)</f>
        <v/>
      </c>
      <c r="T93" s="249">
        <f>SUM(T89:T92)</f>
        <v/>
      </c>
      <c r="U93" s="249">
        <f>SUM(U89:U92)</f>
        <v/>
      </c>
    </row>
    <row r="94">
      <c r="B94" s="5" t="inlineStr">
        <is>
          <t>y/y growth</t>
        </is>
      </c>
      <c r="C94" s="238" t="n"/>
      <c r="D94" s="238" t="n"/>
      <c r="E94" s="238" t="n"/>
      <c r="F94" s="238" t="n"/>
      <c r="G94" s="238" t="n"/>
      <c r="H94" s="238">
        <f>H93/C93-1</f>
        <v/>
      </c>
      <c r="I94" s="238">
        <f>I93/D93-1</f>
        <v/>
      </c>
      <c r="J94" s="238">
        <f>J93/E93-1</f>
        <v/>
      </c>
      <c r="K94" s="238">
        <f>K93/F93-1</f>
        <v/>
      </c>
      <c r="L94" s="238">
        <f>L93/G93-1</f>
        <v/>
      </c>
      <c r="M94" s="238">
        <f>M93/H93-1</f>
        <v/>
      </c>
      <c r="N94" s="238">
        <f>N93/I93-1</f>
        <v/>
      </c>
      <c r="O94" s="238">
        <f>O93/J93-1</f>
        <v/>
      </c>
      <c r="P94" s="238">
        <f>P93/K93-1</f>
        <v/>
      </c>
      <c r="Q94" s="238">
        <f>Q93/L93-1</f>
        <v/>
      </c>
      <c r="R94" s="238">
        <f>R93/Q93-1</f>
        <v/>
      </c>
      <c r="S94" s="238">
        <f>S93/R93-1</f>
        <v/>
      </c>
      <c r="T94" s="238">
        <f>T93/S93-1</f>
        <v/>
      </c>
      <c r="U94" s="238">
        <f>U93/T93-1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2"/>
  <sheetViews>
    <sheetView showGridLines="0" workbookViewId="0">
      <pane ySplit="4" topLeftCell="A25" activePane="bottomLeft" state="frozen"/>
      <selection pane="bottomLeft" activeCell="S14" sqref="S14"/>
    </sheetView>
  </sheetViews>
  <sheetFormatPr baseColWidth="8" defaultColWidth="8.85546875" defaultRowHeight="15" outlineLevelRow="1"/>
  <cols>
    <col width="2.7109375" customWidth="1" min="1" max="1"/>
    <col width="60.7109375" customWidth="1" min="2" max="2"/>
    <col width="2.7109375" customWidth="1" min="3" max="3"/>
  </cols>
  <sheetData>
    <row r="1">
      <c r="B1" s="43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B2" s="43" t="inlineStr">
        <is>
          <t>Assumptions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B4" s="3" t="n"/>
      <c r="C4" s="20" t="n"/>
      <c r="D4" s="2" t="inlineStr">
        <is>
          <t>Q3-26</t>
        </is>
      </c>
      <c r="E4" s="2" t="inlineStr">
        <is>
          <t>Q4-26</t>
        </is>
      </c>
      <c r="F4" s="2" t="inlineStr">
        <is>
          <t>FY26</t>
        </is>
      </c>
      <c r="G4" s="2" t="inlineStr">
        <is>
          <t>Q1-27</t>
        </is>
      </c>
      <c r="H4" s="2" t="inlineStr">
        <is>
          <t>Q2-27</t>
        </is>
      </c>
      <c r="I4" s="2" t="inlineStr">
        <is>
          <t>Q3-27</t>
        </is>
      </c>
      <c r="J4" s="2" t="inlineStr">
        <is>
          <t>Q4-27</t>
        </is>
      </c>
      <c r="K4" s="2" t="inlineStr">
        <is>
          <t>FY27</t>
        </is>
      </c>
      <c r="L4" s="2" t="inlineStr">
        <is>
          <t>FY28</t>
        </is>
      </c>
      <c r="M4" s="2" t="inlineStr">
        <is>
          <t>FY29</t>
        </is>
      </c>
      <c r="N4" s="2" t="inlineStr">
        <is>
          <t>FY30</t>
        </is>
      </c>
      <c r="O4" s="2" t="inlineStr">
        <is>
          <t>FY31</t>
        </is>
      </c>
    </row>
    <row r="5">
      <c r="B5" s="3" t="n"/>
      <c r="C5" s="21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B6" s="140" t="inlineStr">
        <is>
          <t>Revenue Assumptions - CFM56 Fleet &amp; Shop Visit Demand</t>
        </is>
      </c>
      <c r="C6" s="22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</row>
    <row r="7">
      <c r="B7" s="3" t="n"/>
      <c r="C7" s="21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41" t="inlineStr">
        <is>
          <t>CFM56-7B Retirement Rate (% of BoP fleet)</t>
        </is>
      </c>
      <c r="C8" s="21" t="n"/>
      <c r="D8" s="250">
        <f>CHOOSE(MATCH(DCF!$C$3, {"Bear","Base","Bull"}, 0),D9, D10,D11)</f>
        <v/>
      </c>
      <c r="E8" s="250">
        <f>CHOOSE(MATCH(DCF!$C$3, {"Bear","Base","Bull"}, 0),E9, E10,E11)</f>
        <v/>
      </c>
      <c r="F8" s="250">
        <f>CHOOSE(MATCH(DCF!$C$3, {"Bear","Base","Bull"}, 0),F9, F10,F11)</f>
        <v/>
      </c>
      <c r="G8" s="250">
        <f>CHOOSE(MATCH(DCF!$C$3, {"Bear","Base","Bull"}, 0),G9, G10,G11)</f>
        <v/>
      </c>
      <c r="H8" s="250">
        <f>CHOOSE(MATCH(DCF!$C$3, {"Bear","Base","Bull"}, 0),H9, H10,H11)</f>
        <v/>
      </c>
      <c r="I8" s="250">
        <f>CHOOSE(MATCH(DCF!$C$3, {"Bear","Base","Bull"}, 0),I9, I10,I11)</f>
        <v/>
      </c>
      <c r="J8" s="250">
        <f>CHOOSE(MATCH(DCF!$C$3, {"Bear","Base","Bull"}, 0),J9, J10,J11)</f>
        <v/>
      </c>
      <c r="K8" s="250">
        <f>CHOOSE(MATCH(DCF!$C$3, {"Bear","Base","Bull"}, 0),K9, K10,K11)</f>
        <v/>
      </c>
      <c r="L8" s="250">
        <f>CHOOSE(MATCH(DCF!$C$3, {"Bear","Base","Bull"}, 0),L9, L10,L11)</f>
        <v/>
      </c>
      <c r="M8" s="250">
        <f>CHOOSE(MATCH(DCF!$C$3, {"Bear","Base","Bull"}, 0),M9, M10,M11)</f>
        <v/>
      </c>
      <c r="N8" s="250">
        <f>CHOOSE(MATCH(DCF!$C$3, {"Bear","Base","Bull"}, 0),N9, N10,N11)</f>
        <v/>
      </c>
      <c r="O8" s="250">
        <f>CHOOSE(MATCH(DCF!$C$3, {"Bear","Base","Bull"}, 0),O9, O10,O11)</f>
        <v/>
      </c>
    </row>
    <row r="9">
      <c r="B9" s="141" t="inlineStr">
        <is>
          <t>Bear</t>
        </is>
      </c>
      <c r="C9" s="142" t="n"/>
      <c r="D9" s="251">
        <f>1-(1-F9)^(1/4)</f>
        <v/>
      </c>
      <c r="E9" s="251">
        <f>1-(1-F9)^(1/4)</f>
        <v/>
      </c>
      <c r="F9" s="251" t="n">
        <v>0.015</v>
      </c>
      <c r="G9" s="251">
        <f>1-(1-K9)^(1/4)</f>
        <v/>
      </c>
      <c r="H9" s="251">
        <f>1-(1-K9)^(1/4)</f>
        <v/>
      </c>
      <c r="I9" s="251">
        <f>1-(1-K9)^(1/4)</f>
        <v/>
      </c>
      <c r="J9" s="251">
        <f>1-(1-K9)^(1/4)</f>
        <v/>
      </c>
      <c r="K9" s="251" t="n">
        <v>0.025</v>
      </c>
      <c r="L9" s="251" t="n">
        <v>0.025</v>
      </c>
      <c r="M9" s="251" t="n">
        <v>0.03</v>
      </c>
      <c r="N9" s="251" t="n">
        <v>0.03</v>
      </c>
      <c r="O9" s="251" t="n">
        <v>0.035</v>
      </c>
    </row>
    <row r="10">
      <c r="B10" s="41" t="inlineStr">
        <is>
          <t>Base</t>
        </is>
      </c>
      <c r="C10" s="21" t="n"/>
      <c r="D10" s="250">
        <f>1-(1-F10)^(1/4)</f>
        <v/>
      </c>
      <c r="E10" s="250">
        <f>1-(1-F10)^(1/4)</f>
        <v/>
      </c>
      <c r="F10" s="250" t="n">
        <v>0.015</v>
      </c>
      <c r="G10" s="250">
        <f>1-(1-K10)^(1/4)</f>
        <v/>
      </c>
      <c r="H10" s="250">
        <f>1-(1-K10)^(1/4)</f>
        <v/>
      </c>
      <c r="I10" s="250">
        <f>1-(1-K10)^(1/4)</f>
        <v/>
      </c>
      <c r="J10" s="250">
        <f>1-(1-K10)^(1/4)</f>
        <v/>
      </c>
      <c r="K10" s="250" t="n">
        <v>0.02</v>
      </c>
      <c r="L10" s="250" t="n">
        <v>0.02</v>
      </c>
      <c r="M10" s="250" t="n">
        <v>0.025</v>
      </c>
      <c r="N10" s="250" t="n">
        <v>0.025</v>
      </c>
      <c r="O10" s="250" t="n">
        <v>0.03</v>
      </c>
    </row>
    <row r="11">
      <c r="B11" s="144" t="inlineStr">
        <is>
          <t>Bull</t>
        </is>
      </c>
      <c r="C11" s="23" t="n"/>
      <c r="D11" s="252">
        <f>1-(1-F11)^(1/4)</f>
        <v/>
      </c>
      <c r="E11" s="252">
        <f>1-(1-F11)^(1/4)</f>
        <v/>
      </c>
      <c r="F11" s="252">
        <f>F10</f>
        <v/>
      </c>
      <c r="G11" s="252">
        <f>1-(1-K11)^(1/4)</f>
        <v/>
      </c>
      <c r="H11" s="252">
        <f>1-(1-K11)^(1/4)</f>
        <v/>
      </c>
      <c r="I11" s="252">
        <f>1-(1-K11)^(1/4)</f>
        <v/>
      </c>
      <c r="J11" s="252">
        <f>1-(1-K11)^(1/4)</f>
        <v/>
      </c>
      <c r="K11" s="252">
        <f>K10</f>
        <v/>
      </c>
      <c r="L11" s="252">
        <f>L10</f>
        <v/>
      </c>
      <c r="M11" s="252">
        <f>M10</f>
        <v/>
      </c>
      <c r="N11" s="252">
        <f>N10</f>
        <v/>
      </c>
      <c r="O11" s="252">
        <f>O10</f>
        <v/>
      </c>
    </row>
    <row r="12">
      <c r="B12" s="3" t="n"/>
      <c r="C12" s="21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B13" s="41" t="inlineStr">
        <is>
          <t>CFM56-5B Retirement Rate (% of BoP fleet)</t>
        </is>
      </c>
      <c r="C13" s="21" t="n"/>
      <c r="D13" s="250">
        <f>CHOOSE(MATCH(DCF!$C$3, {"Bear","Base","Bull"}, 0),D14, D15,D16)</f>
        <v/>
      </c>
      <c r="E13" s="250">
        <f>CHOOSE(MATCH(DCF!$C$3, {"Bear","Base","Bull"}, 0),E14, E15,E16)</f>
        <v/>
      </c>
      <c r="F13" s="250">
        <f>CHOOSE(MATCH(DCF!$C$3, {"Bear","Base","Bull"}, 0),F14, F15,F16)</f>
        <v/>
      </c>
      <c r="G13" s="250">
        <f>CHOOSE(MATCH(DCF!$C$3, {"Bear","Base","Bull"}, 0),G14, G15,G16)</f>
        <v/>
      </c>
      <c r="H13" s="250">
        <f>CHOOSE(MATCH(DCF!$C$3, {"Bear","Base","Bull"}, 0),H14, H15,H16)</f>
        <v/>
      </c>
      <c r="I13" s="250">
        <f>CHOOSE(MATCH(DCF!$C$3, {"Bear","Base","Bull"}, 0),I14, I15,I16)</f>
        <v/>
      </c>
      <c r="J13" s="250">
        <f>CHOOSE(MATCH(DCF!$C$3, {"Bear","Base","Bull"}, 0),J14, J15,J16)</f>
        <v/>
      </c>
      <c r="K13" s="250">
        <f>CHOOSE(MATCH(DCF!$C$3, {"Bear","Base","Bull"}, 0),K14, K15,K16)</f>
        <v/>
      </c>
      <c r="L13" s="250">
        <f>CHOOSE(MATCH(DCF!$C$3, {"Bear","Base","Bull"}, 0),L14, L15,L16)</f>
        <v/>
      </c>
      <c r="M13" s="250">
        <f>CHOOSE(MATCH(DCF!$C$3, {"Bear","Base","Bull"}, 0),M14, M15,M16)</f>
        <v/>
      </c>
      <c r="N13" s="250">
        <f>CHOOSE(MATCH(DCF!$C$3, {"Bear","Base","Bull"}, 0),N14, N15,N16)</f>
        <v/>
      </c>
      <c r="O13" s="250">
        <f>CHOOSE(MATCH(DCF!$C$3, {"Bear","Base","Bull"}, 0),O14, O15,O16)</f>
        <v/>
      </c>
    </row>
    <row r="14">
      <c r="A14" s="65" t="n"/>
      <c r="B14" s="141" t="inlineStr">
        <is>
          <t>Bear</t>
        </is>
      </c>
      <c r="C14" s="142" t="n"/>
      <c r="D14" s="251">
        <f>1-(1-F14)^(1/4)</f>
        <v/>
      </c>
      <c r="E14" s="251">
        <f>1-(1-F14)^(1/4)</f>
        <v/>
      </c>
      <c r="F14" s="251" t="n">
        <v>0.02</v>
      </c>
      <c r="G14" s="251">
        <f>1-(1-K14)^(1/4)</f>
        <v/>
      </c>
      <c r="H14" s="251">
        <f>1-(1-K14)^(1/4)</f>
        <v/>
      </c>
      <c r="I14" s="251">
        <f>1-(1-K14)^(1/4)</f>
        <v/>
      </c>
      <c r="J14" s="251">
        <f>1-(1-K14)^(1/4)</f>
        <v/>
      </c>
      <c r="K14" s="251" t="n">
        <v>0.04</v>
      </c>
      <c r="L14" s="251" t="n">
        <v>0.04</v>
      </c>
      <c r="M14" s="251" t="n">
        <v>0.045</v>
      </c>
      <c r="N14" s="251" t="n">
        <v>0.045</v>
      </c>
      <c r="O14" s="251" t="n">
        <v>0.05</v>
      </c>
    </row>
    <row r="15">
      <c r="B15" s="41" t="inlineStr">
        <is>
          <t>Base</t>
        </is>
      </c>
      <c r="C15" s="21" t="n"/>
      <c r="D15" s="250">
        <f>1-(1-F15)^(1/4)</f>
        <v/>
      </c>
      <c r="E15" s="250">
        <f>1-(1-F15)^(1/4)</f>
        <v/>
      </c>
      <c r="F15" s="250" t="n">
        <v>0.02</v>
      </c>
      <c r="G15" s="250">
        <f>1-(1-K15)^(1/4)</f>
        <v/>
      </c>
      <c r="H15" s="250">
        <f>1-(1-K15)^(1/4)</f>
        <v/>
      </c>
      <c r="I15" s="250">
        <f>1-(1-K15)^(1/4)</f>
        <v/>
      </c>
      <c r="J15" s="250">
        <f>1-(1-K15)^(1/4)</f>
        <v/>
      </c>
      <c r="K15" s="250" t="n">
        <v>0.025</v>
      </c>
      <c r="L15" s="250" t="n">
        <v>0.03</v>
      </c>
      <c r="M15" s="250" t="n">
        <v>0.035</v>
      </c>
      <c r="N15" s="250" t="n">
        <v>0.035</v>
      </c>
      <c r="O15" s="250" t="n">
        <v>0.04</v>
      </c>
    </row>
    <row r="16">
      <c r="A16" s="19" t="n"/>
      <c r="B16" s="144" t="inlineStr">
        <is>
          <t>Bull</t>
        </is>
      </c>
      <c r="C16" s="23" t="n"/>
      <c r="D16" s="252">
        <f>1-(1-F16)^(1/4)</f>
        <v/>
      </c>
      <c r="E16" s="252">
        <f>1-(1-F16)^(1/4)</f>
        <v/>
      </c>
      <c r="F16" s="252">
        <f>F15</f>
        <v/>
      </c>
      <c r="G16" s="252">
        <f>1-(1-K16)^(1/4)</f>
        <v/>
      </c>
      <c r="H16" s="252">
        <f>1-(1-K16)^(1/4)</f>
        <v/>
      </c>
      <c r="I16" s="252">
        <f>1-(1-K16)^(1/4)</f>
        <v/>
      </c>
      <c r="J16" s="252">
        <f>1-(1-K16)^(1/4)</f>
        <v/>
      </c>
      <c r="K16" s="252">
        <f>K15</f>
        <v/>
      </c>
      <c r="L16" s="252">
        <f>L15</f>
        <v/>
      </c>
      <c r="M16" s="252">
        <f>M15</f>
        <v/>
      </c>
      <c r="N16" s="252">
        <f>N15</f>
        <v/>
      </c>
      <c r="O16" s="252">
        <f>O15</f>
        <v/>
      </c>
    </row>
    <row r="17">
      <c r="B17" s="3" t="n"/>
      <c r="C17" s="21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B18" s="41" t="inlineStr">
        <is>
          <t>CFM56-7B Shop Visit Rate</t>
        </is>
      </c>
      <c r="C18" s="21" t="n"/>
      <c r="D18" s="253">
        <f>CHOOSE(MATCH(DCF!$C$3, {"Bear","Base","Bull"}, 0),D19, D20,D21)</f>
        <v/>
      </c>
      <c r="E18" s="253">
        <f>CHOOSE(MATCH(DCF!$C$3, {"Bear","Base","Bull"}, 0),E19, E20,E21)</f>
        <v/>
      </c>
      <c r="F18" s="253">
        <f>CHOOSE(MATCH(DCF!$C$3, {"Bear","Base","Bull"}, 0),F19, F20,F21)</f>
        <v/>
      </c>
      <c r="G18" s="253">
        <f>CHOOSE(MATCH(DCF!$C$3, {"Bear","Base","Bull"}, 0),G19, G20,G21)</f>
        <v/>
      </c>
      <c r="H18" s="253">
        <f>CHOOSE(MATCH(DCF!$C$3, {"Bear","Base","Bull"}, 0),H19, H20,H21)</f>
        <v/>
      </c>
      <c r="I18" s="253">
        <f>CHOOSE(MATCH(DCF!$C$3, {"Bear","Base","Bull"}, 0),I19, I20,I21)</f>
        <v/>
      </c>
      <c r="J18" s="253">
        <f>CHOOSE(MATCH(DCF!$C$3, {"Bear","Base","Bull"}, 0),J19, J20,J21)</f>
        <v/>
      </c>
      <c r="K18" s="253">
        <f>CHOOSE(MATCH(DCF!$C$3, {"Bear","Base","Bull"}, 0),K19, K20,K21)</f>
        <v/>
      </c>
      <c r="L18" s="253">
        <f>CHOOSE(MATCH(DCF!$C$3, {"Bear","Base","Bull"}, 0),L19, L20,L21)</f>
        <v/>
      </c>
      <c r="M18" s="253">
        <f>CHOOSE(MATCH(DCF!$C$3, {"Bear","Base","Bull"}, 0),M19, M20,M21)</f>
        <v/>
      </c>
      <c r="N18" s="253">
        <f>CHOOSE(MATCH(DCF!$C$3, {"Bear","Base","Bull"}, 0),N19, N20,N21)</f>
        <v/>
      </c>
      <c r="O18" s="253">
        <f>CHOOSE(MATCH(DCF!$C$3, {"Bear","Base","Bull"}, 0),O19, O20,O21)</f>
        <v/>
      </c>
    </row>
    <row r="19">
      <c r="B19" s="141" t="inlineStr">
        <is>
          <t>Bear</t>
        </is>
      </c>
      <c r="C19" s="142" t="n"/>
      <c r="D19" s="254">
        <f>F19/4</f>
        <v/>
      </c>
      <c r="E19" s="254">
        <f>F19/4</f>
        <v/>
      </c>
      <c r="F19" s="254">
        <f>'SV Analysis'!E33</f>
        <v/>
      </c>
      <c r="G19" s="254">
        <f>K19/4</f>
        <v/>
      </c>
      <c r="H19" s="254">
        <f>K19/4</f>
        <v/>
      </c>
      <c r="I19" s="254">
        <f>K19/4</f>
        <v/>
      </c>
      <c r="J19" s="254">
        <f>K19/4</f>
        <v/>
      </c>
      <c r="K19" s="254">
        <f>'SV Analysis'!F33</f>
        <v/>
      </c>
      <c r="L19" s="254">
        <f>'SV Analysis'!G33</f>
        <v/>
      </c>
      <c r="M19" s="254">
        <f>'SV Analysis'!H33</f>
        <v/>
      </c>
      <c r="N19" s="254">
        <f>'SV Analysis'!I33</f>
        <v/>
      </c>
      <c r="O19" s="254">
        <f>'SV Analysis'!J33</f>
        <v/>
      </c>
    </row>
    <row r="20">
      <c r="B20" s="41" t="inlineStr">
        <is>
          <t>Base</t>
        </is>
      </c>
      <c r="C20" s="21" t="n"/>
      <c r="D20" s="253">
        <f>F20/4</f>
        <v/>
      </c>
      <c r="E20" s="253">
        <f>F20/4</f>
        <v/>
      </c>
      <c r="F20" s="253">
        <f>'SV Analysis'!E34</f>
        <v/>
      </c>
      <c r="G20" s="253">
        <f>K20/4</f>
        <v/>
      </c>
      <c r="H20" s="253">
        <f>K20/4</f>
        <v/>
      </c>
      <c r="I20" s="253">
        <f>K20/4</f>
        <v/>
      </c>
      <c r="J20" s="253">
        <f>K20/4</f>
        <v/>
      </c>
      <c r="K20" s="253">
        <f>'SV Analysis'!F34</f>
        <v/>
      </c>
      <c r="L20" s="253">
        <f>'SV Analysis'!G34</f>
        <v/>
      </c>
      <c r="M20" s="253">
        <f>'SV Analysis'!H34</f>
        <v/>
      </c>
      <c r="N20" s="253">
        <f>'SV Analysis'!I34</f>
        <v/>
      </c>
      <c r="O20" s="253">
        <f>'SV Analysis'!J34</f>
        <v/>
      </c>
    </row>
    <row r="21">
      <c r="B21" s="144" t="inlineStr">
        <is>
          <t>Bull</t>
        </is>
      </c>
      <c r="C21" s="23" t="n"/>
      <c r="D21" s="255">
        <f>F21/4</f>
        <v/>
      </c>
      <c r="E21" s="255">
        <f>F21/4</f>
        <v/>
      </c>
      <c r="F21" s="255">
        <f>F20</f>
        <v/>
      </c>
      <c r="G21" s="255">
        <f>K21/4</f>
        <v/>
      </c>
      <c r="H21" s="255">
        <f>K21/4</f>
        <v/>
      </c>
      <c r="I21" s="255">
        <f>K21/4</f>
        <v/>
      </c>
      <c r="J21" s="255">
        <f>K21/4</f>
        <v/>
      </c>
      <c r="K21" s="255">
        <f>K20</f>
        <v/>
      </c>
      <c r="L21" s="255">
        <f>L20</f>
        <v/>
      </c>
      <c r="M21" s="255">
        <f>M20</f>
        <v/>
      </c>
      <c r="N21" s="255">
        <f>N20</f>
        <v/>
      </c>
      <c r="O21" s="255">
        <f>O20</f>
        <v/>
      </c>
    </row>
    <row r="22">
      <c r="B22" s="3" t="n"/>
      <c r="C22" s="21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B23" s="41" t="inlineStr">
        <is>
          <t>CFM56-5B Shop Visit Rate</t>
        </is>
      </c>
      <c r="C23" s="21" t="n"/>
      <c r="D23" s="253">
        <f>CHOOSE(MATCH(DCF!$C$3, {"Bear","Base","Bull"}, 0),D24, D25,D26)</f>
        <v/>
      </c>
      <c r="E23" s="253">
        <f>CHOOSE(MATCH(DCF!$C$3, {"Bear","Base","Bull"}, 0),E24, E25,E26)</f>
        <v/>
      </c>
      <c r="F23" s="253">
        <f>CHOOSE(MATCH(DCF!$C$3, {"Bear","Base","Bull"}, 0),F24, F25,F26)</f>
        <v/>
      </c>
      <c r="G23" s="253">
        <f>CHOOSE(MATCH(DCF!$C$3, {"Bear","Base","Bull"}, 0),G24, G25,G26)</f>
        <v/>
      </c>
      <c r="H23" s="253">
        <f>CHOOSE(MATCH(DCF!$C$3, {"Bear","Base","Bull"}, 0),H24, H25,H26)</f>
        <v/>
      </c>
      <c r="I23" s="253">
        <f>CHOOSE(MATCH(DCF!$C$3, {"Bear","Base","Bull"}, 0),I24, I25,I26)</f>
        <v/>
      </c>
      <c r="J23" s="253">
        <f>CHOOSE(MATCH(DCF!$C$3, {"Bear","Base","Bull"}, 0),J24, J25,J26)</f>
        <v/>
      </c>
      <c r="K23" s="253">
        <f>CHOOSE(MATCH(DCF!$C$3, {"Bear","Base","Bull"}, 0),K24, K25,K26)</f>
        <v/>
      </c>
      <c r="L23" s="253">
        <f>CHOOSE(MATCH(DCF!$C$3, {"Bear","Base","Bull"}, 0),L24, L25,L26)</f>
        <v/>
      </c>
      <c r="M23" s="253">
        <f>CHOOSE(MATCH(DCF!$C$3, {"Bear","Base","Bull"}, 0),M24, M25,M26)</f>
        <v/>
      </c>
      <c r="N23" s="253">
        <f>CHOOSE(MATCH(DCF!$C$3, {"Bear","Base","Bull"}, 0),N24, N25,N26)</f>
        <v/>
      </c>
      <c r="O23" s="253">
        <f>CHOOSE(MATCH(DCF!$C$3, {"Bear","Base","Bull"}, 0),O24, O25,O26)</f>
        <v/>
      </c>
    </row>
    <row r="24">
      <c r="B24" s="141" t="inlineStr">
        <is>
          <t>Bear</t>
        </is>
      </c>
      <c r="C24" s="142" t="n"/>
      <c r="D24" s="254">
        <f>F24/4</f>
        <v/>
      </c>
      <c r="E24" s="254">
        <f>F24/4</f>
        <v/>
      </c>
      <c r="F24" s="254">
        <f>F19-0.005</f>
        <v/>
      </c>
      <c r="G24" s="254">
        <f>K24/4</f>
        <v/>
      </c>
      <c r="H24" s="254">
        <f>K24/4</f>
        <v/>
      </c>
      <c r="I24" s="254">
        <f>K24/4</f>
        <v/>
      </c>
      <c r="J24" s="254">
        <f>K24/4</f>
        <v/>
      </c>
      <c r="K24" s="254">
        <f>K19-0.005</f>
        <v/>
      </c>
      <c r="L24" s="254">
        <f>L19-0.005</f>
        <v/>
      </c>
      <c r="M24" s="254">
        <f>M19-0.005</f>
        <v/>
      </c>
      <c r="N24" s="254">
        <f>N19-0.005</f>
        <v/>
      </c>
      <c r="O24" s="254">
        <f>O19-0.005</f>
        <v/>
      </c>
    </row>
    <row r="25">
      <c r="B25" s="41" t="inlineStr">
        <is>
          <t>Base</t>
        </is>
      </c>
      <c r="C25" s="21" t="n"/>
      <c r="D25" s="253">
        <f>F25/4</f>
        <v/>
      </c>
      <c r="E25" s="253">
        <f>F25/4</f>
        <v/>
      </c>
      <c r="F25" s="253">
        <f>F20-0.005</f>
        <v/>
      </c>
      <c r="G25" s="253">
        <f>K25/4</f>
        <v/>
      </c>
      <c r="H25" s="253">
        <f>K25/4</f>
        <v/>
      </c>
      <c r="I25" s="253">
        <f>K25/4</f>
        <v/>
      </c>
      <c r="J25" s="253">
        <f>K25/4</f>
        <v/>
      </c>
      <c r="K25" s="253">
        <f>K20-0.005</f>
        <v/>
      </c>
      <c r="L25" s="253">
        <f>L20-0.005</f>
        <v/>
      </c>
      <c r="M25" s="253">
        <f>M20-0.005</f>
        <v/>
      </c>
      <c r="N25" s="253">
        <f>N20-0.005</f>
        <v/>
      </c>
      <c r="O25" s="253">
        <f>O20-0.005</f>
        <v/>
      </c>
    </row>
    <row r="26">
      <c r="B26" s="144" t="inlineStr">
        <is>
          <t>Bull</t>
        </is>
      </c>
      <c r="C26" s="23" t="n"/>
      <c r="D26" s="255">
        <f>F26/4</f>
        <v/>
      </c>
      <c r="E26" s="255">
        <f>F26/4</f>
        <v/>
      </c>
      <c r="F26" s="255">
        <f>F21-0.005</f>
        <v/>
      </c>
      <c r="G26" s="255">
        <f>K26/4</f>
        <v/>
      </c>
      <c r="H26" s="255">
        <f>K26/4</f>
        <v/>
      </c>
      <c r="I26" s="255">
        <f>K26/4</f>
        <v/>
      </c>
      <c r="J26" s="255">
        <f>K26/4</f>
        <v/>
      </c>
      <c r="K26" s="255">
        <f>K21-0.005</f>
        <v/>
      </c>
      <c r="L26" s="255">
        <f>L21-0.005</f>
        <v/>
      </c>
      <c r="M26" s="255">
        <f>M21-0.005</f>
        <v/>
      </c>
      <c r="N26" s="255">
        <f>N21-0.005</f>
        <v/>
      </c>
      <c r="O26" s="255">
        <f>O21-0.005</f>
        <v/>
      </c>
    </row>
    <row r="27">
      <c r="B27" s="3" t="n"/>
      <c r="C27" s="21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B28" s="41" t="inlineStr">
        <is>
          <t>Modules per Shop Visit</t>
        </is>
      </c>
      <c r="C28" s="21" t="n"/>
      <c r="D28" s="146" t="n">
        <v>3</v>
      </c>
      <c r="E28" s="146" t="n">
        <v>3</v>
      </c>
      <c r="F28" s="146" t="n">
        <v>3</v>
      </c>
      <c r="G28" s="146" t="n">
        <v>3</v>
      </c>
      <c r="H28" s="146" t="n">
        <v>3</v>
      </c>
      <c r="I28" s="146" t="n">
        <v>3</v>
      </c>
      <c r="J28" s="146" t="n">
        <v>3</v>
      </c>
      <c r="K28" s="146" t="n">
        <v>3</v>
      </c>
      <c r="L28" s="146" t="n">
        <v>3</v>
      </c>
      <c r="M28" s="146" t="n">
        <v>3</v>
      </c>
      <c r="N28" s="146" t="n">
        <v>3</v>
      </c>
      <c r="O28" s="146" t="n">
        <v>3</v>
      </c>
    </row>
    <row r="29">
      <c r="B29" s="3" t="n"/>
      <c r="C29" s="21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B30" s="41" t="inlineStr">
        <is>
          <t>Revenue Assumptions - SCI Captive Demand</t>
        </is>
      </c>
      <c r="C30" s="21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B31" s="3" t="n"/>
      <c r="C31" s="21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B32" s="41" t="inlineStr">
        <is>
          <t xml:space="preserve">SCI Owned Aircraft </t>
        </is>
      </c>
      <c r="C32" s="21" t="n"/>
      <c r="D32" s="256">
        <f>CHOOSE(MATCH(DCF!$C$3, {"Bear","Base","Bull"}, 0),D33, D34,D35)</f>
        <v/>
      </c>
      <c r="E32" s="256">
        <f>CHOOSE(MATCH(DCF!$C$3, {"Bear","Base","Bull"}, 0),E33, E34,E35)</f>
        <v/>
      </c>
      <c r="F32" s="256">
        <f>CHOOSE(MATCH(DCF!$C$3, {"Bear","Base","Bull"}, 0),F33, F34,F35)</f>
        <v/>
      </c>
      <c r="G32" s="256">
        <f>CHOOSE(MATCH(DCF!$C$3, {"Bear","Base","Bull"}, 0),G33, G34,G35)</f>
        <v/>
      </c>
      <c r="H32" s="256">
        <f>CHOOSE(MATCH(DCF!$C$3, {"Bear","Base","Bull"}, 0),H33, H34,H35)</f>
        <v/>
      </c>
      <c r="I32" s="256">
        <f>CHOOSE(MATCH(DCF!$C$3, {"Bear","Base","Bull"}, 0),I33, I34,I35)</f>
        <v/>
      </c>
      <c r="J32" s="256">
        <f>CHOOSE(MATCH(DCF!$C$3, {"Bear","Base","Bull"}, 0),J33, J34,J35)</f>
        <v/>
      </c>
      <c r="K32" s="256">
        <f>CHOOSE(MATCH(DCF!$C$3, {"Bear","Base","Bull"}, 0),K33, K34,K35)</f>
        <v/>
      </c>
      <c r="L32" s="256">
        <f>CHOOSE(MATCH(DCF!$C$3, {"Bear","Base","Bull"}, 0),L33, L34,L35)</f>
        <v/>
      </c>
      <c r="M32" s="256">
        <f>CHOOSE(MATCH(DCF!$C$3, {"Bear","Base","Bull"}, 0),M33, M34,M35)</f>
        <v/>
      </c>
      <c r="N32" s="256">
        <f>CHOOSE(MATCH(DCF!$C$3, {"Bear","Base","Bull"}, 0),N33, N34,N35)</f>
        <v/>
      </c>
      <c r="O32" s="256">
        <f>CHOOSE(MATCH(DCF!$C$3, {"Bear","Base","Bull"}, 0),O33, O34,O35)</f>
        <v/>
      </c>
    </row>
    <row r="33">
      <c r="B33" s="141" t="inlineStr">
        <is>
          <t>Bear</t>
        </is>
      </c>
      <c r="C33" s="142" t="n"/>
      <c r="D33" s="257">
        <f>D34</f>
        <v/>
      </c>
      <c r="E33" s="257">
        <f>E34</f>
        <v/>
      </c>
      <c r="F33" s="257">
        <f>F34</f>
        <v/>
      </c>
      <c r="G33" s="257" t="n">
        <v>325</v>
      </c>
      <c r="H33" s="257" t="n">
        <v>335</v>
      </c>
      <c r="I33" s="257" t="n">
        <v>345</v>
      </c>
      <c r="J33" s="257" t="n">
        <v>350</v>
      </c>
      <c r="K33" s="257">
        <f>J33</f>
        <v/>
      </c>
      <c r="L33" s="257" t="n">
        <v>375</v>
      </c>
      <c r="M33" s="257" t="n">
        <v>400</v>
      </c>
      <c r="N33" s="257" t="n">
        <v>400</v>
      </c>
      <c r="O33" s="257" t="n">
        <v>400</v>
      </c>
    </row>
    <row r="34">
      <c r="B34" s="41" t="inlineStr">
        <is>
          <t>Base</t>
        </is>
      </c>
      <c r="C34" s="21" t="n"/>
      <c r="D34" s="256" t="n">
        <v>300</v>
      </c>
      <c r="E34" s="256" t="n">
        <v>316</v>
      </c>
      <c r="F34" s="256">
        <f>E34</f>
        <v/>
      </c>
      <c r="G34" s="256" t="n">
        <v>350</v>
      </c>
      <c r="H34" s="256" t="n">
        <v>385</v>
      </c>
      <c r="I34" s="256" t="n">
        <v>420</v>
      </c>
      <c r="J34" s="256" t="n">
        <v>450</v>
      </c>
      <c r="K34" s="256">
        <f>J34</f>
        <v/>
      </c>
      <c r="L34" s="256" t="n">
        <v>550</v>
      </c>
      <c r="M34" s="256" t="n">
        <v>650</v>
      </c>
      <c r="N34" s="256" t="n">
        <v>700</v>
      </c>
      <c r="O34" s="256" t="n">
        <v>750</v>
      </c>
    </row>
    <row r="35">
      <c r="B35" s="144" t="inlineStr">
        <is>
          <t>Bull</t>
        </is>
      </c>
      <c r="C35" s="23" t="n"/>
      <c r="D35" s="258">
        <f>D34</f>
        <v/>
      </c>
      <c r="E35" s="258">
        <f>E34</f>
        <v/>
      </c>
      <c r="F35" s="258">
        <f>F34</f>
        <v/>
      </c>
      <c r="G35" s="258">
        <f>G34</f>
        <v/>
      </c>
      <c r="H35" s="258">
        <f>H34</f>
        <v/>
      </c>
      <c r="I35" s="258">
        <f>I34</f>
        <v/>
      </c>
      <c r="J35" s="258">
        <f>J34</f>
        <v/>
      </c>
      <c r="K35" s="258">
        <f>J35</f>
        <v/>
      </c>
      <c r="L35" s="258">
        <f>L34</f>
        <v/>
      </c>
      <c r="M35" s="258">
        <f>M34</f>
        <v/>
      </c>
      <c r="N35" s="258">
        <f>N34</f>
        <v/>
      </c>
      <c r="O35" s="258">
        <f>O34</f>
        <v/>
      </c>
    </row>
    <row r="36">
      <c r="B36" s="3" t="n"/>
      <c r="C36" s="21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B37" s="41" t="inlineStr">
        <is>
          <t>Engines per Aircraft</t>
        </is>
      </c>
      <c r="C37" s="21" t="n"/>
      <c r="D37" s="146" t="n">
        <v>2</v>
      </c>
      <c r="E37" s="146" t="n">
        <v>2</v>
      </c>
      <c r="F37" s="146" t="n">
        <v>2</v>
      </c>
      <c r="G37" s="146" t="n">
        <v>2</v>
      </c>
      <c r="H37" s="146" t="n">
        <v>2</v>
      </c>
      <c r="I37" s="146" t="n">
        <v>2</v>
      </c>
      <c r="J37" s="146" t="n">
        <v>2</v>
      </c>
      <c r="K37" s="146" t="n">
        <v>2</v>
      </c>
      <c r="L37" s="146" t="n">
        <v>2</v>
      </c>
      <c r="M37" s="146" t="n">
        <v>2</v>
      </c>
      <c r="N37" s="146" t="n">
        <v>2</v>
      </c>
      <c r="O37" s="146" t="n">
        <v>2</v>
      </c>
    </row>
    <row r="38">
      <c r="B38" s="3" t="n"/>
      <c r="C38" s="21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B39" s="41" t="inlineStr">
        <is>
          <t>SCI Shop Visit Rate</t>
        </is>
      </c>
      <c r="C39" s="21" t="n"/>
      <c r="D39" s="250">
        <f>CHOOSE(MATCH(DCF!$C$3, {"Bear","Base","Bull"}, 0),D40, D41,D42)</f>
        <v/>
      </c>
      <c r="E39" s="250">
        <f>CHOOSE(MATCH(DCF!$C$3, {"Bear","Base","Bull"}, 0),E40, E41,E42)</f>
        <v/>
      </c>
      <c r="F39" s="250">
        <f>CHOOSE(MATCH(DCF!$C$3, {"Bear","Base","Bull"}, 0),F40, F41,F42)</f>
        <v/>
      </c>
      <c r="G39" s="250">
        <f>CHOOSE(MATCH(DCF!$C$3, {"Bear","Base","Bull"}, 0),G40, G41,G42)</f>
        <v/>
      </c>
      <c r="H39" s="250">
        <f>CHOOSE(MATCH(DCF!$C$3, {"Bear","Base","Bull"}, 0),H40, H41,H42)</f>
        <v/>
      </c>
      <c r="I39" s="250">
        <f>CHOOSE(MATCH(DCF!$C$3, {"Bear","Base","Bull"}, 0),I40, I41,I42)</f>
        <v/>
      </c>
      <c r="J39" s="250">
        <f>CHOOSE(MATCH(DCF!$C$3, {"Bear","Base","Bull"}, 0),J40, J41,J42)</f>
        <v/>
      </c>
      <c r="K39" s="250">
        <f>CHOOSE(MATCH(DCF!$C$3, {"Bear","Base","Bull"}, 0),K40, K41,K42)</f>
        <v/>
      </c>
      <c r="L39" s="250">
        <f>CHOOSE(MATCH(DCF!$C$3, {"Bear","Base","Bull"}, 0),L40, L41,L42)</f>
        <v/>
      </c>
      <c r="M39" s="250">
        <f>CHOOSE(MATCH(DCF!$C$3, {"Bear","Base","Bull"}, 0),M40, M41,M42)</f>
        <v/>
      </c>
      <c r="N39" s="250">
        <f>CHOOSE(MATCH(DCF!$C$3, {"Bear","Base","Bull"}, 0),N40, N41,N42)</f>
        <v/>
      </c>
      <c r="O39" s="250">
        <f>CHOOSE(MATCH(DCF!$C$3, {"Bear","Base","Bull"}, 0),O40, O41,O42)</f>
        <v/>
      </c>
    </row>
    <row r="40">
      <c r="B40" s="141" t="inlineStr">
        <is>
          <t>Bear</t>
        </is>
      </c>
      <c r="C40" s="142" t="n"/>
      <c r="D40" s="251">
        <f>D41</f>
        <v/>
      </c>
      <c r="E40" s="251">
        <f>E41</f>
        <v/>
      </c>
      <c r="F40" s="251">
        <f>F41</f>
        <v/>
      </c>
      <c r="G40" s="251">
        <f>G41</f>
        <v/>
      </c>
      <c r="H40" s="251">
        <f>H41</f>
        <v/>
      </c>
      <c r="I40" s="251">
        <f>I41</f>
        <v/>
      </c>
      <c r="J40" s="251">
        <f>J41</f>
        <v/>
      </c>
      <c r="K40" s="251">
        <f>K41</f>
        <v/>
      </c>
      <c r="L40" s="251">
        <f>L41</f>
        <v/>
      </c>
      <c r="M40" s="251">
        <f>M41</f>
        <v/>
      </c>
      <c r="N40" s="251">
        <f>N41</f>
        <v/>
      </c>
      <c r="O40" s="251">
        <f>O41</f>
        <v/>
      </c>
    </row>
    <row r="41">
      <c r="B41" s="41" t="inlineStr">
        <is>
          <t>Base</t>
        </is>
      </c>
      <c r="C41" s="21" t="n"/>
      <c r="D41" s="250" t="n">
        <v>0.05</v>
      </c>
      <c r="E41" s="250" t="n">
        <v>0.05</v>
      </c>
      <c r="F41" s="250" t="n">
        <v>0.2</v>
      </c>
      <c r="G41" s="250" t="n">
        <v>0.05</v>
      </c>
      <c r="H41" s="250" t="n">
        <v>0.05</v>
      </c>
      <c r="I41" s="250" t="n">
        <v>0.05</v>
      </c>
      <c r="J41" s="250" t="n">
        <v>0.05</v>
      </c>
      <c r="K41" s="250" t="n">
        <v>0.2</v>
      </c>
      <c r="L41" s="250" t="n">
        <v>0.2</v>
      </c>
      <c r="M41" s="250" t="n">
        <v>0.2</v>
      </c>
      <c r="N41" s="250" t="n">
        <v>0.2</v>
      </c>
      <c r="O41" s="250" t="n">
        <v>0.2</v>
      </c>
    </row>
    <row r="42">
      <c r="B42" s="144" t="inlineStr">
        <is>
          <t>Bull</t>
        </is>
      </c>
      <c r="C42" s="23" t="n"/>
      <c r="D42" s="252">
        <f>D41</f>
        <v/>
      </c>
      <c r="E42" s="252">
        <f>E41</f>
        <v/>
      </c>
      <c r="F42" s="252">
        <f>F41</f>
        <v/>
      </c>
      <c r="G42" s="252">
        <f>G41</f>
        <v/>
      </c>
      <c r="H42" s="252">
        <f>H41</f>
        <v/>
      </c>
      <c r="I42" s="252">
        <f>I41</f>
        <v/>
      </c>
      <c r="J42" s="252">
        <f>J41</f>
        <v/>
      </c>
      <c r="K42" s="252">
        <f>K41</f>
        <v/>
      </c>
      <c r="L42" s="252">
        <f>L41</f>
        <v/>
      </c>
      <c r="M42" s="252">
        <f>M41</f>
        <v/>
      </c>
      <c r="N42" s="252">
        <f>N41</f>
        <v/>
      </c>
      <c r="O42" s="252">
        <f>O41</f>
        <v/>
      </c>
    </row>
    <row r="43">
      <c r="B43" s="3" t="n"/>
      <c r="C43" s="21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B44" s="41" t="inlineStr">
        <is>
          <t>FTAI Share of MRO (%)</t>
        </is>
      </c>
      <c r="C44" s="21" t="n"/>
      <c r="D44" s="250">
        <f>CHOOSE(MATCH(DCF!$C$3, {"Bear","Base","Bull"}, 0),D45, D46,D47)</f>
        <v/>
      </c>
      <c r="E44" s="250">
        <f>CHOOSE(MATCH(DCF!$C$3, {"Bear","Base","Bull"}, 0),E45, E46,E47)</f>
        <v/>
      </c>
      <c r="F44" s="250">
        <f>CHOOSE(MATCH(DCF!$C$3, {"Bear","Base","Bull"}, 0),F45, F46,F47)</f>
        <v/>
      </c>
      <c r="G44" s="250">
        <f>CHOOSE(MATCH(DCF!$C$3, {"Bear","Base","Bull"}, 0),G45, G46,G47)</f>
        <v/>
      </c>
      <c r="H44" s="250">
        <f>CHOOSE(MATCH(DCF!$C$3, {"Bear","Base","Bull"}, 0),H45, H46,H47)</f>
        <v/>
      </c>
      <c r="I44" s="250">
        <f>CHOOSE(MATCH(DCF!$C$3, {"Bear","Base","Bull"}, 0),I45, I46,I47)</f>
        <v/>
      </c>
      <c r="J44" s="250">
        <f>CHOOSE(MATCH(DCF!$C$3, {"Bear","Base","Bull"}, 0),J45, J46,J47)</f>
        <v/>
      </c>
      <c r="K44" s="250">
        <f>CHOOSE(MATCH(DCF!$C$3, {"Bear","Base","Bull"}, 0),K45, K46,K47)</f>
        <v/>
      </c>
      <c r="L44" s="250">
        <f>CHOOSE(MATCH(DCF!$C$3, {"Bear","Base","Bull"}, 0),L45, L46,L47)</f>
        <v/>
      </c>
      <c r="M44" s="250">
        <f>CHOOSE(MATCH(DCF!$C$3, {"Bear","Base","Bull"}, 0),M45, M46,M47)</f>
        <v/>
      </c>
      <c r="N44" s="250">
        <f>CHOOSE(MATCH(DCF!$C$3, {"Bear","Base","Bull"}, 0),N45, N46,N47)</f>
        <v/>
      </c>
      <c r="O44" s="250">
        <f>CHOOSE(MATCH(DCF!$C$3, {"Bear","Base","Bull"}, 0),O45, O46,O47)</f>
        <v/>
      </c>
    </row>
    <row r="45">
      <c r="B45" s="141" t="inlineStr">
        <is>
          <t>Bear</t>
        </is>
      </c>
      <c r="C45" s="142" t="n"/>
      <c r="D45" s="251">
        <f>D46</f>
        <v/>
      </c>
      <c r="E45" s="251">
        <f>E46</f>
        <v/>
      </c>
      <c r="F45" s="251">
        <f>AVERAGE(D45:E45)</f>
        <v/>
      </c>
      <c r="G45" s="251" t="n">
        <v>0.135</v>
      </c>
      <c r="H45" s="251" t="n">
        <v>0.14</v>
      </c>
      <c r="I45" s="251" t="n">
        <v>0.145</v>
      </c>
      <c r="J45" s="251" t="n">
        <v>0.15</v>
      </c>
      <c r="K45" s="251">
        <f>AVERAGE(G45:J45)</f>
        <v/>
      </c>
      <c r="L45" s="251" t="n">
        <v>0.15</v>
      </c>
      <c r="M45" s="251" t="n">
        <v>0.15</v>
      </c>
      <c r="N45" s="251" t="n">
        <v>0.15</v>
      </c>
      <c r="O45" s="251" t="n">
        <v>0.15</v>
      </c>
    </row>
    <row r="46">
      <c r="B46" s="41" t="inlineStr">
        <is>
          <t>Base</t>
        </is>
      </c>
      <c r="C46" s="21" t="n"/>
      <c r="D46" s="250" t="n">
        <v>0.119</v>
      </c>
      <c r="E46" s="250" t="n">
        <v>0.13</v>
      </c>
      <c r="F46" s="250">
        <f>AVERAGE(D46:E46)</f>
        <v/>
      </c>
      <c r="G46" s="250" t="n">
        <v>0.15</v>
      </c>
      <c r="H46" s="250" t="n">
        <v>0.163</v>
      </c>
      <c r="I46" s="250" t="n">
        <v>0.175</v>
      </c>
      <c r="J46" s="250" t="n">
        <v>0.186</v>
      </c>
      <c r="K46" s="250">
        <f>AVERAGE(G46:J46)</f>
        <v/>
      </c>
      <c r="L46" s="250" t="n">
        <v>0.19</v>
      </c>
      <c r="M46" s="250" t="n">
        <v>0.195</v>
      </c>
      <c r="N46" s="250" t="n">
        <v>0.2</v>
      </c>
      <c r="O46" s="250" t="n">
        <v>0.2</v>
      </c>
    </row>
    <row r="47">
      <c r="B47" s="144" t="inlineStr">
        <is>
          <t>Bull</t>
        </is>
      </c>
      <c r="C47" s="23" t="n"/>
      <c r="D47" s="252">
        <f>D46</f>
        <v/>
      </c>
      <c r="E47" s="252">
        <f>E46</f>
        <v/>
      </c>
      <c r="F47" s="252">
        <f>AVERAGE(D47:E47)</f>
        <v/>
      </c>
      <c r="G47" s="252" t="n">
        <v>0.155</v>
      </c>
      <c r="H47" s="252" t="n">
        <v>0.17</v>
      </c>
      <c r="I47" s="252" t="n">
        <v>0.185</v>
      </c>
      <c r="J47" s="252" t="n">
        <v>0.2</v>
      </c>
      <c r="K47" s="252">
        <f>AVERAGE(G47:J47)</f>
        <v/>
      </c>
      <c r="L47" s="252" t="n">
        <v>0.21</v>
      </c>
      <c r="M47" s="252" t="n">
        <v>0.23</v>
      </c>
      <c r="N47" s="252" t="n">
        <v>0.24</v>
      </c>
      <c r="O47" s="252" t="n">
        <v>0.25</v>
      </c>
    </row>
    <row r="48">
      <c r="B48" s="3" t="n"/>
      <c r="C48" s="21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B49" s="41" t="inlineStr">
        <is>
          <t>OEM Price Escalator</t>
        </is>
      </c>
      <c r="C49" s="21" t="n"/>
      <c r="D49" s="250">
        <f>CHOOSE(MATCH(DCF!$C$3, {"Bear","Base","Bull"}, 0),D50, D51,D52)</f>
        <v/>
      </c>
      <c r="E49" s="250">
        <f>CHOOSE(MATCH(DCF!$C$3, {"Bear","Base","Bull"}, 0),E50, E51,E52)</f>
        <v/>
      </c>
      <c r="F49" s="250">
        <f>CHOOSE(MATCH(DCF!$C$3, {"Bear","Base","Bull"}, 0),F50, F51,F52)</f>
        <v/>
      </c>
      <c r="G49" s="250">
        <f>CHOOSE(MATCH(DCF!$C$3, {"Bear","Base","Bull"}, 0),G50, G51,G52)</f>
        <v/>
      </c>
      <c r="H49" s="250">
        <f>CHOOSE(MATCH(DCF!$C$3, {"Bear","Base","Bull"}, 0),H50, H51,H52)</f>
        <v/>
      </c>
      <c r="I49" s="250">
        <f>CHOOSE(MATCH(DCF!$C$3, {"Bear","Base","Bull"}, 0),I50, I51,I52)</f>
        <v/>
      </c>
      <c r="J49" s="250">
        <f>CHOOSE(MATCH(DCF!$C$3, {"Bear","Base","Bull"}, 0),J50, J51,J52)</f>
        <v/>
      </c>
      <c r="K49" s="250">
        <f>CHOOSE(MATCH(DCF!$C$3, {"Bear","Base","Bull"}, 0),K50, K51,K52)</f>
        <v/>
      </c>
      <c r="L49" s="250">
        <f>CHOOSE(MATCH(DCF!$C$3, {"Bear","Base","Bull"}, 0),L50, L51,L52)</f>
        <v/>
      </c>
      <c r="M49" s="250">
        <f>CHOOSE(MATCH(DCF!$C$3, {"Bear","Base","Bull"}, 0),M50, M51,M52)</f>
        <v/>
      </c>
      <c r="N49" s="250">
        <f>CHOOSE(MATCH(DCF!$C$3, {"Bear","Base","Bull"}, 0),N50, N51,N52)</f>
        <v/>
      </c>
      <c r="O49" s="250">
        <f>CHOOSE(MATCH(DCF!$C$3, {"Bear","Base","Bull"}, 0),O50, O51,O52)</f>
        <v/>
      </c>
    </row>
    <row r="50">
      <c r="B50" s="141" t="inlineStr">
        <is>
          <t>Bear</t>
        </is>
      </c>
      <c r="C50" s="142" t="n"/>
      <c r="D50" s="251" t="n">
        <v>0.07000000000000001</v>
      </c>
      <c r="E50" s="251" t="n">
        <v>0</v>
      </c>
      <c r="F50" s="251" t="n">
        <v>0.07000000000000001</v>
      </c>
      <c r="G50" s="251" t="n">
        <v>0</v>
      </c>
      <c r="H50" s="251" t="n">
        <v>0</v>
      </c>
      <c r="I50" s="251" t="n">
        <v>0.07000000000000001</v>
      </c>
      <c r="J50" s="251" t="n">
        <v>0</v>
      </c>
      <c r="K50" s="251" t="n">
        <v>0.07000000000000001</v>
      </c>
      <c r="L50" s="251">
        <f>L51-0.02</f>
        <v/>
      </c>
      <c r="M50" s="251">
        <f>M51-0.02</f>
        <v/>
      </c>
      <c r="N50" s="251">
        <f>N51-0.02</f>
        <v/>
      </c>
      <c r="O50" s="251">
        <f>O51-0.02</f>
        <v/>
      </c>
    </row>
    <row r="51">
      <c r="B51" s="41" t="inlineStr">
        <is>
          <t>Base</t>
        </is>
      </c>
      <c r="C51" s="21" t="n"/>
      <c r="D51" s="250" t="n">
        <v>0.07000000000000001</v>
      </c>
      <c r="E51" s="250" t="n">
        <v>0</v>
      </c>
      <c r="F51" s="250" t="n">
        <v>0.07000000000000001</v>
      </c>
      <c r="G51" s="250" t="n">
        <v>0.065</v>
      </c>
      <c r="H51" s="250" t="n">
        <v>0</v>
      </c>
      <c r="I51" s="250" t="n">
        <v>0.07000000000000001</v>
      </c>
      <c r="J51" s="250" t="n">
        <v>0</v>
      </c>
      <c r="K51" s="250" t="n">
        <v>0.07000000000000001</v>
      </c>
      <c r="L51" s="250" t="n">
        <v>0.07000000000000001</v>
      </c>
      <c r="M51" s="250" t="n">
        <v>0.07000000000000001</v>
      </c>
      <c r="N51" s="250" t="n">
        <v>0.07000000000000001</v>
      </c>
      <c r="O51" s="250" t="n">
        <v>0.07000000000000001</v>
      </c>
    </row>
    <row r="52">
      <c r="B52" s="144" t="inlineStr">
        <is>
          <t>Bull</t>
        </is>
      </c>
      <c r="C52" s="23" t="n"/>
      <c r="D52" s="252">
        <f>D51</f>
        <v/>
      </c>
      <c r="E52" s="252">
        <f>E51</f>
        <v/>
      </c>
      <c r="F52" s="252">
        <f>F51</f>
        <v/>
      </c>
      <c r="G52" s="252">
        <f>G51</f>
        <v/>
      </c>
      <c r="H52" s="252">
        <f>H51</f>
        <v/>
      </c>
      <c r="I52" s="252">
        <f>I51</f>
        <v/>
      </c>
      <c r="J52" s="252">
        <f>J51</f>
        <v/>
      </c>
      <c r="K52" s="252">
        <f>K51</f>
        <v/>
      </c>
      <c r="L52" s="252">
        <f>L51</f>
        <v/>
      </c>
      <c r="M52" s="252">
        <f>M51</f>
        <v/>
      </c>
      <c r="N52" s="252">
        <f>N51</f>
        <v/>
      </c>
      <c r="O52" s="252">
        <f>O51</f>
        <v/>
      </c>
    </row>
    <row r="53">
      <c r="B53" s="3" t="n"/>
      <c r="C53" s="21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B54" s="41" t="inlineStr">
        <is>
          <t>FTAI Pass-Through</t>
        </is>
      </c>
      <c r="C54" s="21" t="n"/>
      <c r="D54" s="250">
        <f>CHOOSE(MATCH(DCF!$C$3, {"Bear","Base","Bull"}, 0),D55, D56,D57)</f>
        <v/>
      </c>
      <c r="E54" s="250">
        <f>CHOOSE(MATCH(DCF!$C$3, {"Bear","Base","Bull"}, 0),E55, E56,E57)</f>
        <v/>
      </c>
      <c r="F54" s="250">
        <f>CHOOSE(MATCH(DCF!$C$3, {"Bear","Base","Bull"}, 0),F55, F56,F57)</f>
        <v/>
      </c>
      <c r="G54" s="250">
        <f>CHOOSE(MATCH(DCF!$C$3, {"Bear","Base","Bull"}, 0),G55, G56,G57)</f>
        <v/>
      </c>
      <c r="H54" s="250">
        <f>CHOOSE(MATCH(DCF!$C$3, {"Bear","Base","Bull"}, 0),H55, H56,H57)</f>
        <v/>
      </c>
      <c r="I54" s="250">
        <f>CHOOSE(MATCH(DCF!$C$3, {"Bear","Base","Bull"}, 0),I55, I56,I57)</f>
        <v/>
      </c>
      <c r="J54" s="250">
        <f>CHOOSE(MATCH(DCF!$C$3, {"Bear","Base","Bull"}, 0),J55, J56,J57)</f>
        <v/>
      </c>
      <c r="K54" s="250">
        <f>CHOOSE(MATCH(DCF!$C$3, {"Bear","Base","Bull"}, 0),K55, K56,K57)</f>
        <v/>
      </c>
      <c r="L54" s="250">
        <f>CHOOSE(MATCH(DCF!$C$3, {"Bear","Base","Bull"}, 0),L55, L56,L57)</f>
        <v/>
      </c>
      <c r="M54" s="250">
        <f>CHOOSE(MATCH(DCF!$C$3, {"Bear","Base","Bull"}, 0),M55, M56,M57)</f>
        <v/>
      </c>
      <c r="N54" s="250">
        <f>CHOOSE(MATCH(DCF!$C$3, {"Bear","Base","Bull"}, 0),N55, N56,N57)</f>
        <v/>
      </c>
      <c r="O54" s="250">
        <f>CHOOSE(MATCH(DCF!$C$3, {"Bear","Base","Bull"}, 0),O55, O56,O57)</f>
        <v/>
      </c>
    </row>
    <row r="55">
      <c r="B55" s="141" t="inlineStr">
        <is>
          <t>Bear</t>
        </is>
      </c>
      <c r="C55" s="142" t="n"/>
      <c r="D55" s="251" t="n">
        <v>0</v>
      </c>
      <c r="E55" s="251" t="n">
        <v>0</v>
      </c>
      <c r="F55" s="251" t="n">
        <v>0</v>
      </c>
      <c r="G55" s="251" t="n">
        <v>1</v>
      </c>
      <c r="H55" s="251" t="n">
        <v>0</v>
      </c>
      <c r="I55" s="251" t="n">
        <v>0</v>
      </c>
      <c r="J55" s="251" t="n">
        <v>0</v>
      </c>
      <c r="K55" s="251" t="n">
        <v>0</v>
      </c>
      <c r="L55" s="251">
        <f>L56-0.2</f>
        <v/>
      </c>
      <c r="M55" s="251">
        <f>M56-0.2</f>
        <v/>
      </c>
      <c r="N55" s="251">
        <f>N56-0.2</f>
        <v/>
      </c>
      <c r="O55" s="251">
        <f>O56-0.2</f>
        <v/>
      </c>
    </row>
    <row r="56">
      <c r="B56" s="41" t="inlineStr">
        <is>
          <t>Base</t>
        </is>
      </c>
      <c r="C56" s="21" t="n"/>
      <c r="D56" s="250" t="n">
        <v>0</v>
      </c>
      <c r="E56" s="250" t="n">
        <v>0</v>
      </c>
      <c r="F56" s="250" t="n">
        <v>0</v>
      </c>
      <c r="G56" s="250" t="n">
        <v>0.5</v>
      </c>
      <c r="H56" s="250" t="n">
        <v>0</v>
      </c>
      <c r="I56" s="250" t="n">
        <v>0</v>
      </c>
      <c r="J56" s="250" t="n">
        <v>0</v>
      </c>
      <c r="K56" s="250" t="n">
        <v>0</v>
      </c>
      <c r="L56" s="250" t="n">
        <v>0.5</v>
      </c>
      <c r="M56" s="250" t="n">
        <v>0.5</v>
      </c>
      <c r="N56" s="250" t="n">
        <v>0.5</v>
      </c>
      <c r="O56" s="250" t="n">
        <v>0.5</v>
      </c>
    </row>
    <row r="57">
      <c r="B57" s="144" t="inlineStr">
        <is>
          <t>Bull</t>
        </is>
      </c>
      <c r="C57" s="23" t="n"/>
      <c r="D57" s="252">
        <f>D56</f>
        <v/>
      </c>
      <c r="E57" s="252">
        <f>E56</f>
        <v/>
      </c>
      <c r="F57" s="252">
        <f>F56</f>
        <v/>
      </c>
      <c r="G57" s="252">
        <f>G56</f>
        <v/>
      </c>
      <c r="H57" s="252">
        <f>H56</f>
        <v/>
      </c>
      <c r="I57" s="252">
        <f>I56</f>
        <v/>
      </c>
      <c r="J57" s="252">
        <f>J56</f>
        <v/>
      </c>
      <c r="K57" s="252">
        <f>K56</f>
        <v/>
      </c>
      <c r="L57" s="252">
        <f>L56</f>
        <v/>
      </c>
      <c r="M57" s="252">
        <f>M56</f>
        <v/>
      </c>
      <c r="N57" s="252">
        <f>N56</f>
        <v/>
      </c>
      <c r="O57" s="252">
        <f>O56</f>
        <v/>
      </c>
    </row>
    <row r="58">
      <c r="B58" s="3" t="n"/>
      <c r="C58" s="21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B59" s="41" t="inlineStr">
        <is>
          <t>Cost Assumptions - Aerospace Products</t>
        </is>
      </c>
      <c r="C59" s="21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B60" s="3" t="n"/>
      <c r="C60" s="21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B61" s="41" t="inlineStr">
        <is>
          <t>Adj. EBITDA Margin (ex PMA)</t>
        </is>
      </c>
      <c r="C61" s="21" t="n"/>
      <c r="D61" s="250">
        <f>CHOOSE(MATCH(DCF!$C$3, {"Bear","Base","Bull"}, 0),D62, D63,D64)</f>
        <v/>
      </c>
      <c r="E61" s="250">
        <f>CHOOSE(MATCH(DCF!$C$3, {"Bear","Base","Bull"}, 0),E62, E63,E64)</f>
        <v/>
      </c>
      <c r="F61" s="250">
        <f>CHOOSE(MATCH(DCF!$C$3, {"Bear","Base","Bull"}, 0),F62, F63,F64)</f>
        <v/>
      </c>
      <c r="G61" s="250">
        <f>CHOOSE(MATCH(DCF!$C$3, {"Bear","Base","Bull"}, 0),G62, G63,G64)</f>
        <v/>
      </c>
      <c r="H61" s="250">
        <f>CHOOSE(MATCH(DCF!$C$3, {"Bear","Base","Bull"}, 0),H62, H63,H64)</f>
        <v/>
      </c>
      <c r="I61" s="250">
        <f>CHOOSE(MATCH(DCF!$C$3, {"Bear","Base","Bull"}, 0),I62, I63,I64)</f>
        <v/>
      </c>
      <c r="J61" s="250">
        <f>CHOOSE(MATCH(DCF!$C$3, {"Bear","Base","Bull"}, 0),J62, J63,J64)</f>
        <v/>
      </c>
      <c r="K61" s="250">
        <f>CHOOSE(MATCH(DCF!$C$3, {"Bear","Base","Bull"}, 0),K62, K63,K64)</f>
        <v/>
      </c>
      <c r="L61" s="250">
        <f>CHOOSE(MATCH(DCF!$C$3, {"Bear","Base","Bull"}, 0),L62, L63,L64)</f>
        <v/>
      </c>
      <c r="M61" s="250">
        <f>CHOOSE(MATCH(DCF!$C$3, {"Bear","Base","Bull"}, 0),M62, M63,M64)</f>
        <v/>
      </c>
      <c r="N61" s="250">
        <f>CHOOSE(MATCH(DCF!$C$3, {"Bear","Base","Bull"}, 0),N62, N63,N64)</f>
        <v/>
      </c>
      <c r="O61" s="250">
        <f>CHOOSE(MATCH(DCF!$C$3, {"Bear","Base","Bull"}, 0),O62, O63,O64)</f>
        <v/>
      </c>
    </row>
    <row r="62">
      <c r="B62" s="141" t="inlineStr">
        <is>
          <t>Bear</t>
        </is>
      </c>
      <c r="C62" s="142" t="n"/>
      <c r="D62" s="251" t="n">
        <v>0.29</v>
      </c>
      <c r="E62" s="251" t="n">
        <v>0.29</v>
      </c>
      <c r="F62" s="251">
        <f>AVERAGE(D62:E62)</f>
        <v/>
      </c>
      <c r="G62" s="251" t="n">
        <v>0.285</v>
      </c>
      <c r="H62" s="251" t="n">
        <v>0.285</v>
      </c>
      <c r="I62" s="251" t="n">
        <v>0.285</v>
      </c>
      <c r="J62" s="251" t="n">
        <v>0.285</v>
      </c>
      <c r="K62" s="251">
        <f>AVERAGE(G62:J62)</f>
        <v/>
      </c>
      <c r="L62" s="251" t="n">
        <v>0.285</v>
      </c>
      <c r="M62" s="251" t="n">
        <v>0.285</v>
      </c>
      <c r="N62" s="251" t="n">
        <v>0.285</v>
      </c>
      <c r="O62" s="251" t="n">
        <v>0.285</v>
      </c>
    </row>
    <row r="63">
      <c r="B63" s="41" t="inlineStr">
        <is>
          <t>Base</t>
        </is>
      </c>
      <c r="C63" s="21" t="n"/>
      <c r="D63" s="250" t="n">
        <v>0.309</v>
      </c>
      <c r="E63" s="250" t="n">
        <v>0.309</v>
      </c>
      <c r="F63" s="250">
        <f>AVERAGE(D63:E63)</f>
        <v/>
      </c>
      <c r="G63" s="250" t="n">
        <v>0.298</v>
      </c>
      <c r="H63" s="250" t="n">
        <v>0.298</v>
      </c>
      <c r="I63" s="250" t="n">
        <v>0.298</v>
      </c>
      <c r="J63" s="250" t="n">
        <v>0.298</v>
      </c>
      <c r="K63" s="250">
        <f>AVERAGE(G63:J63)</f>
        <v/>
      </c>
      <c r="L63" s="250" t="n">
        <v>0.303</v>
      </c>
      <c r="M63" s="250" t="n">
        <v>0.308</v>
      </c>
      <c r="N63" s="250" t="n">
        <v>0.312</v>
      </c>
      <c r="O63" s="250" t="n">
        <v>0.315</v>
      </c>
    </row>
    <row r="64">
      <c r="B64" s="144" t="inlineStr">
        <is>
          <t>Bull</t>
        </is>
      </c>
      <c r="C64" s="23" t="n"/>
      <c r="D64" s="252">
        <f>D63</f>
        <v/>
      </c>
      <c r="E64" s="252">
        <f>E63</f>
        <v/>
      </c>
      <c r="F64" s="252">
        <f>AVERAGE(D64:E64)</f>
        <v/>
      </c>
      <c r="G64" s="252">
        <f>G63+0.005</f>
        <v/>
      </c>
      <c r="H64" s="252">
        <f>H63+0.01</f>
        <v/>
      </c>
      <c r="I64" s="252">
        <f>I63+0.015</f>
        <v/>
      </c>
      <c r="J64" s="252">
        <f>J63+0.02</f>
        <v/>
      </c>
      <c r="K64" s="252">
        <f>AVERAGE(G64:J64)</f>
        <v/>
      </c>
      <c r="L64" s="252">
        <f>L63+0.02</f>
        <v/>
      </c>
      <c r="M64" s="252">
        <f>M63+0.02</f>
        <v/>
      </c>
      <c r="N64" s="252">
        <f>N63+0.02</f>
        <v/>
      </c>
      <c r="O64" s="252">
        <f>O63+0.02</f>
        <v/>
      </c>
    </row>
    <row r="65">
      <c r="B65" s="3" t="n"/>
      <c r="C65" s="21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B66" s="41" t="inlineStr">
        <is>
          <t>PMA Penetration (% of modules)</t>
        </is>
      </c>
      <c r="C66" s="21" t="n"/>
      <c r="D66" s="250">
        <f>CHOOSE(MATCH(DCF!$C$3, {"Bear","Base","Bull"}, 0),D67, D68,D69)</f>
        <v/>
      </c>
      <c r="E66" s="250">
        <f>CHOOSE(MATCH(DCF!$C$3, {"Bear","Base","Bull"}, 0),E67, E68,E69)</f>
        <v/>
      </c>
      <c r="F66" s="250">
        <f>CHOOSE(MATCH(DCF!$C$3, {"Bear","Base","Bull"}, 0),F67, F68,F69)</f>
        <v/>
      </c>
      <c r="G66" s="250">
        <f>CHOOSE(MATCH(DCF!$C$3, {"Bear","Base","Bull"}, 0),G67, G68,G69)</f>
        <v/>
      </c>
      <c r="H66" s="250">
        <f>CHOOSE(MATCH(DCF!$C$3, {"Bear","Base","Bull"}, 0),H67, H68,H69)</f>
        <v/>
      </c>
      <c r="I66" s="250">
        <f>CHOOSE(MATCH(DCF!$C$3, {"Bear","Base","Bull"}, 0),I67, I68,I69)</f>
        <v/>
      </c>
      <c r="J66" s="250">
        <f>CHOOSE(MATCH(DCF!$C$3, {"Bear","Base","Bull"}, 0),J67, J68,J69)</f>
        <v/>
      </c>
      <c r="K66" s="250">
        <f>CHOOSE(MATCH(DCF!$C$3, {"Bear","Base","Bull"}, 0),K67, K68,K69)</f>
        <v/>
      </c>
      <c r="L66" s="250">
        <f>CHOOSE(MATCH(DCF!$C$3, {"Bear","Base","Bull"}, 0),L67, L68,L69)</f>
        <v/>
      </c>
      <c r="M66" s="250">
        <f>CHOOSE(MATCH(DCF!$C$3, {"Bear","Base","Bull"}, 0),M67, M68,M69)</f>
        <v/>
      </c>
      <c r="N66" s="250">
        <f>CHOOSE(MATCH(DCF!$C$3, {"Bear","Base","Bull"}, 0),N67, N68,N69)</f>
        <v/>
      </c>
      <c r="O66" s="250">
        <f>CHOOSE(MATCH(DCF!$C$3, {"Bear","Base","Bull"}, 0),O67, O68,O69)</f>
        <v/>
      </c>
    </row>
    <row r="67">
      <c r="B67" s="141" t="inlineStr">
        <is>
          <t>Bear</t>
        </is>
      </c>
      <c r="C67" s="142" t="n"/>
      <c r="D67" s="251" t="n">
        <v>0</v>
      </c>
      <c r="E67" s="251" t="n">
        <v>0</v>
      </c>
      <c r="F67" s="251" t="n">
        <v>0</v>
      </c>
      <c r="G67" s="251" t="n">
        <v>0</v>
      </c>
      <c r="H67" s="251" t="n">
        <v>0</v>
      </c>
      <c r="I67" s="251" t="n">
        <v>0</v>
      </c>
      <c r="J67" s="251" t="n">
        <v>0</v>
      </c>
      <c r="K67" s="251" t="n">
        <v>0</v>
      </c>
      <c r="L67" s="251" t="n">
        <v>0</v>
      </c>
      <c r="M67" s="251" t="n">
        <v>0</v>
      </c>
      <c r="N67" s="251" t="n">
        <v>0</v>
      </c>
      <c r="O67" s="251" t="n">
        <v>0</v>
      </c>
    </row>
    <row r="68">
      <c r="B68" s="41" t="inlineStr">
        <is>
          <t>Base</t>
        </is>
      </c>
      <c r="C68" s="21" t="n"/>
      <c r="D68" s="250" t="n">
        <v>0</v>
      </c>
      <c r="E68" s="250" t="n">
        <v>0</v>
      </c>
      <c r="F68" s="250" t="n">
        <v>0</v>
      </c>
      <c r="G68" s="250" t="n">
        <v>0.005</v>
      </c>
      <c r="H68" s="250" t="n">
        <v>0.0075</v>
      </c>
      <c r="I68" s="250" t="n">
        <v>0.01</v>
      </c>
      <c r="J68" s="250" t="n">
        <v>0.0125</v>
      </c>
      <c r="K68" s="250">
        <f>AVERAGE(G68:J68)</f>
        <v/>
      </c>
      <c r="L68" s="250" t="n">
        <v>0.03</v>
      </c>
      <c r="M68" s="250" t="n">
        <v>0.05</v>
      </c>
      <c r="N68" s="250" t="n">
        <v>0.07000000000000001</v>
      </c>
      <c r="O68" s="250" t="n">
        <v>0.09</v>
      </c>
    </row>
    <row r="69">
      <c r="B69" s="144" t="inlineStr">
        <is>
          <t>Bull</t>
        </is>
      </c>
      <c r="C69" s="23" t="n"/>
      <c r="D69" s="252">
        <f>D68</f>
        <v/>
      </c>
      <c r="E69" s="252">
        <f>E68</f>
        <v/>
      </c>
      <c r="F69" s="252">
        <f>F68</f>
        <v/>
      </c>
      <c r="G69" s="252">
        <f>G68</f>
        <v/>
      </c>
      <c r="H69" s="252">
        <f>H68</f>
        <v/>
      </c>
      <c r="I69" s="252">
        <f>I68</f>
        <v/>
      </c>
      <c r="J69" s="252">
        <f>J68</f>
        <v/>
      </c>
      <c r="K69" s="252">
        <f>K68</f>
        <v/>
      </c>
      <c r="L69" s="252">
        <f>L68</f>
        <v/>
      </c>
      <c r="M69" s="252">
        <f>M68</f>
        <v/>
      </c>
      <c r="N69" s="252">
        <f>N68</f>
        <v/>
      </c>
      <c r="O69" s="252">
        <f>O68</f>
        <v/>
      </c>
    </row>
    <row r="70">
      <c r="B70" s="3" t="n"/>
      <c r="C70" s="21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B71" s="41" t="inlineStr">
        <is>
          <t>PMA Uplift per Module</t>
        </is>
      </c>
      <c r="C71" s="21" t="n"/>
      <c r="D71" s="49" t="n">
        <v>0.4</v>
      </c>
      <c r="E71" s="49" t="n">
        <v>0.4</v>
      </c>
      <c r="F71" s="49" t="n">
        <v>0.4</v>
      </c>
      <c r="G71" s="49" t="n">
        <v>0.4</v>
      </c>
      <c r="H71" s="49" t="n">
        <v>0.4</v>
      </c>
      <c r="I71" s="49" t="n">
        <v>0.4</v>
      </c>
      <c r="J71" s="49" t="n">
        <v>0.4</v>
      </c>
      <c r="K71" s="49" t="n">
        <v>0.4</v>
      </c>
      <c r="L71" s="49" t="n">
        <v>0.4</v>
      </c>
      <c r="M71" s="49" t="n">
        <v>0.4</v>
      </c>
      <c r="N71" s="49" t="n">
        <v>0.4</v>
      </c>
      <c r="O71" s="49" t="n">
        <v>0.4</v>
      </c>
    </row>
    <row r="72">
      <c r="B72" s="3" t="n"/>
      <c r="C72" s="21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B73" s="140" t="inlineStr">
        <is>
          <t>FTAI Power</t>
        </is>
      </c>
      <c r="C73" s="22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</row>
    <row r="74">
      <c r="B74" s="3" t="n"/>
      <c r="C74" s="21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B75" s="41" t="inlineStr">
        <is>
          <t>Units Delivered</t>
        </is>
      </c>
      <c r="C75" s="21" t="n"/>
      <c r="D75" s="256">
        <f>CHOOSE(MATCH(DCF!$C$3, {"Bear","Base","Bull"}, 0),D76, D77,D78)</f>
        <v/>
      </c>
      <c r="E75" s="256">
        <f>CHOOSE(MATCH(DCF!$C$3, {"Bear","Base","Bull"}, 0),E76, E77,E78)</f>
        <v/>
      </c>
      <c r="F75" s="256">
        <f>CHOOSE(MATCH(DCF!$C$3, {"Bear","Base","Bull"}, 0),F76, F77,F78)</f>
        <v/>
      </c>
      <c r="G75" s="256">
        <f>CHOOSE(MATCH(DCF!$C$3, {"Bear","Base","Bull"}, 0),G76, G77,G78)</f>
        <v/>
      </c>
      <c r="H75" s="256">
        <f>CHOOSE(MATCH(DCF!$C$3, {"Bear","Base","Bull"}, 0),H76, H77,H78)</f>
        <v/>
      </c>
      <c r="I75" s="256">
        <f>CHOOSE(MATCH(DCF!$C$3, {"Bear","Base","Bull"}, 0),I76, I77,I78)</f>
        <v/>
      </c>
      <c r="J75" s="256">
        <f>CHOOSE(MATCH(DCF!$C$3, {"Bear","Base","Bull"}, 0),J76, J77,J78)</f>
        <v/>
      </c>
      <c r="K75" s="256">
        <f>CHOOSE(MATCH(DCF!$C$3, {"Bear","Base","Bull"}, 0),K76, K77,K78)</f>
        <v/>
      </c>
      <c r="L75" s="256">
        <f>CHOOSE(MATCH(DCF!$C$3, {"Bear","Base","Bull"}, 0),L76, L77,L78)</f>
        <v/>
      </c>
      <c r="M75" s="256">
        <f>CHOOSE(MATCH(DCF!$C$3, {"Bear","Base","Bull"}, 0),M76, M77,M78)</f>
        <v/>
      </c>
      <c r="N75" s="256">
        <f>CHOOSE(MATCH(DCF!$C$3, {"Bear","Base","Bull"}, 0),N76, N77,N78)</f>
        <v/>
      </c>
      <c r="O75" s="256">
        <f>CHOOSE(MATCH(DCF!$C$3, {"Bear","Base","Bull"}, 0),O76, O77,O78)</f>
        <v/>
      </c>
    </row>
    <row r="76">
      <c r="B76" s="141" t="inlineStr">
        <is>
          <t xml:space="preserve">Bear </t>
        </is>
      </c>
      <c r="C76" s="142" t="n"/>
      <c r="D76" s="257" t="n">
        <v>0</v>
      </c>
      <c r="E76" s="257" t="n">
        <v>0</v>
      </c>
      <c r="F76" s="257">
        <f>SUM(D76:E76)</f>
        <v/>
      </c>
      <c r="G76" s="257" t="n">
        <v>5</v>
      </c>
      <c r="H76" s="257" t="n">
        <v>7</v>
      </c>
      <c r="I76" s="257" t="n">
        <v>8</v>
      </c>
      <c r="J76" s="257" t="n">
        <v>10</v>
      </c>
      <c r="K76" s="257">
        <f>SUM(G76:J76)</f>
        <v/>
      </c>
      <c r="L76" s="257" t="n">
        <v>45</v>
      </c>
      <c r="M76" s="257" t="n">
        <v>50</v>
      </c>
      <c r="N76" s="257" t="n">
        <v>50</v>
      </c>
      <c r="O76" s="257" t="n">
        <v>50</v>
      </c>
    </row>
    <row r="77">
      <c r="B77" s="41" t="inlineStr">
        <is>
          <t>Base</t>
        </is>
      </c>
      <c r="C77" s="21" t="n"/>
      <c r="D77" s="256" t="n">
        <v>0</v>
      </c>
      <c r="E77" s="256" t="n">
        <v>2</v>
      </c>
      <c r="F77" s="256">
        <f>SUM(D77:E77)</f>
        <v/>
      </c>
      <c r="G77" s="256" t="n">
        <v>8</v>
      </c>
      <c r="H77" s="256" t="n">
        <v>10</v>
      </c>
      <c r="I77" s="256" t="n">
        <v>12</v>
      </c>
      <c r="J77" s="256" t="n">
        <v>15</v>
      </c>
      <c r="K77" s="256">
        <f>SUM(G77:J77)</f>
        <v/>
      </c>
      <c r="L77" s="256" t="n">
        <v>90</v>
      </c>
      <c r="M77" s="256" t="n">
        <v>110</v>
      </c>
      <c r="N77" s="256" t="n">
        <v>120</v>
      </c>
      <c r="O77" s="256" t="n">
        <v>130</v>
      </c>
    </row>
    <row r="78">
      <c r="B78" s="144" t="inlineStr">
        <is>
          <t>Bull</t>
        </is>
      </c>
      <c r="C78" s="23" t="n"/>
      <c r="D78" s="258" t="n">
        <v>0</v>
      </c>
      <c r="E78" s="258" t="n">
        <v>2</v>
      </c>
      <c r="F78" s="258">
        <f>SUM(D78:E78)</f>
        <v/>
      </c>
      <c r="G78" s="258" t="n">
        <v>10</v>
      </c>
      <c r="H78" s="258" t="n">
        <v>12</v>
      </c>
      <c r="I78" s="258" t="n">
        <v>15</v>
      </c>
      <c r="J78" s="258" t="n">
        <v>18</v>
      </c>
      <c r="K78" s="258">
        <f>SUM(G78:J78)</f>
        <v/>
      </c>
      <c r="L78" s="258" t="n">
        <v>130</v>
      </c>
      <c r="M78" s="258" t="n">
        <v>150</v>
      </c>
      <c r="N78" s="258" t="n">
        <v>160</v>
      </c>
      <c r="O78" s="258" t="n">
        <v>170</v>
      </c>
    </row>
    <row r="79">
      <c r="B79" s="3" t="n"/>
      <c r="C79" s="21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B80" s="41" t="inlineStr">
        <is>
          <t>MW per Unit</t>
        </is>
      </c>
      <c r="C80" s="21" t="n"/>
      <c r="D80" s="146" t="n">
        <v>25</v>
      </c>
      <c r="E80" s="146" t="n">
        <v>25</v>
      </c>
      <c r="F80" s="146" t="n">
        <v>25</v>
      </c>
      <c r="G80" s="146" t="n">
        <v>25</v>
      </c>
      <c r="H80" s="146" t="n">
        <v>25</v>
      </c>
      <c r="I80" s="146" t="n">
        <v>25</v>
      </c>
      <c r="J80" s="146" t="n">
        <v>25</v>
      </c>
      <c r="K80" s="146" t="n">
        <v>25</v>
      </c>
      <c r="L80" s="146" t="n">
        <v>25</v>
      </c>
      <c r="M80" s="146" t="n">
        <v>25</v>
      </c>
      <c r="N80" s="146" t="n">
        <v>25</v>
      </c>
      <c r="O80" s="146" t="n">
        <v>25</v>
      </c>
    </row>
    <row r="81">
      <c r="B81" s="3" t="n"/>
      <c r="C81" s="21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B82" s="41" t="inlineStr">
        <is>
          <t>$ per MW</t>
        </is>
      </c>
      <c r="C82" s="21" t="n"/>
      <c r="D82" s="49" t="n">
        <v>1</v>
      </c>
      <c r="E82" s="49" t="n">
        <v>1</v>
      </c>
      <c r="F82" s="49" t="n">
        <v>1</v>
      </c>
      <c r="G82" s="49" t="n">
        <v>1</v>
      </c>
      <c r="H82" s="49" t="n">
        <v>1</v>
      </c>
      <c r="I82" s="49" t="n">
        <v>1</v>
      </c>
      <c r="J82" s="49" t="n">
        <v>1</v>
      </c>
      <c r="K82" s="49" t="n">
        <v>1</v>
      </c>
      <c r="L82" s="49" t="n">
        <v>1</v>
      </c>
      <c r="M82" s="49" t="n">
        <v>1</v>
      </c>
      <c r="N82" s="49" t="n">
        <v>1</v>
      </c>
      <c r="O82" s="49" t="n">
        <v>1</v>
      </c>
    </row>
    <row r="83">
      <c r="B83" s="3" t="n"/>
      <c r="C83" s="21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B84" s="41" t="inlineStr">
        <is>
          <t>FTAI Share of JV</t>
        </is>
      </c>
      <c r="C84" s="21" t="n"/>
      <c r="D84" s="250">
        <f>CHOOSE(MATCH(DCF!$C$3, {"Bear","Base","Bull"}, 0),D85, D86,D87)</f>
        <v/>
      </c>
      <c r="E84" s="250">
        <f>CHOOSE(MATCH(DCF!$C$3, {"Bear","Base","Bull"}, 0),E85, E86,E87)</f>
        <v/>
      </c>
      <c r="F84" s="250">
        <f>CHOOSE(MATCH(DCF!$C$3, {"Bear","Base","Bull"}, 0),F85, F86,F87)</f>
        <v/>
      </c>
      <c r="G84" s="250">
        <f>CHOOSE(MATCH(DCF!$C$3, {"Bear","Base","Bull"}, 0),G85, G86,G87)</f>
        <v/>
      </c>
      <c r="H84" s="250">
        <f>CHOOSE(MATCH(DCF!$C$3, {"Bear","Base","Bull"}, 0),H85, H86,H87)</f>
        <v/>
      </c>
      <c r="I84" s="250">
        <f>CHOOSE(MATCH(DCF!$C$3, {"Bear","Base","Bull"}, 0),I85, I86,I87)</f>
        <v/>
      </c>
      <c r="J84" s="250">
        <f>CHOOSE(MATCH(DCF!$C$3, {"Bear","Base","Bull"}, 0),J85, J86,J87)</f>
        <v/>
      </c>
      <c r="K84" s="250">
        <f>CHOOSE(MATCH(DCF!$C$3, {"Bear","Base","Bull"}, 0),K85, K86,K87)</f>
        <v/>
      </c>
      <c r="L84" s="250">
        <f>CHOOSE(MATCH(DCF!$C$3, {"Bear","Base","Bull"}, 0),L85, L86,L87)</f>
        <v/>
      </c>
      <c r="M84" s="250">
        <f>CHOOSE(MATCH(DCF!$C$3, {"Bear","Base","Bull"}, 0),M85, M86,M87)</f>
        <v/>
      </c>
      <c r="N84" s="250">
        <f>CHOOSE(MATCH(DCF!$C$3, {"Bear","Base","Bull"}, 0),N85, N86,N87)</f>
        <v/>
      </c>
      <c r="O84" s="250">
        <f>CHOOSE(MATCH(DCF!$C$3, {"Bear","Base","Bull"}, 0),O85, O86,O87)</f>
        <v/>
      </c>
    </row>
    <row r="85" ht="15.95" customHeight="1">
      <c r="B85" s="141" t="inlineStr">
        <is>
          <t>Bear</t>
        </is>
      </c>
      <c r="C85" s="142" t="n"/>
      <c r="D85" s="251" t="n">
        <v>0.5</v>
      </c>
      <c r="E85" s="251" t="n">
        <v>0.5</v>
      </c>
      <c r="F85" s="251" t="n">
        <v>0.5</v>
      </c>
      <c r="G85" s="251" t="n">
        <v>0.5</v>
      </c>
      <c r="H85" s="251" t="n">
        <v>0.5</v>
      </c>
      <c r="I85" s="251" t="n">
        <v>0.5</v>
      </c>
      <c r="J85" s="251" t="n">
        <v>0.5</v>
      </c>
      <c r="K85" s="251" t="n">
        <v>0.5</v>
      </c>
      <c r="L85" s="251" t="n">
        <v>0.5</v>
      </c>
      <c r="M85" s="251" t="n">
        <v>0.5</v>
      </c>
      <c r="N85" s="251" t="n">
        <v>0.5</v>
      </c>
      <c r="O85" s="251" t="n">
        <v>0.5</v>
      </c>
    </row>
    <row r="86" ht="15" customHeight="1">
      <c r="B86" s="41" t="inlineStr">
        <is>
          <t>Base</t>
        </is>
      </c>
      <c r="C86" s="21" t="n"/>
      <c r="D86" s="250" t="n">
        <v>1</v>
      </c>
      <c r="E86" s="250" t="n">
        <v>1</v>
      </c>
      <c r="F86" s="250" t="n">
        <v>1</v>
      </c>
      <c r="G86" s="250" t="n">
        <v>1</v>
      </c>
      <c r="H86" s="250" t="n">
        <v>1</v>
      </c>
      <c r="I86" s="250" t="n">
        <v>1</v>
      </c>
      <c r="J86" s="250" t="n">
        <v>1</v>
      </c>
      <c r="K86" s="250" t="n">
        <v>1</v>
      </c>
      <c r="L86" s="250" t="n">
        <v>1</v>
      </c>
      <c r="M86" s="250" t="n">
        <v>1</v>
      </c>
      <c r="N86" s="250" t="n">
        <v>1</v>
      </c>
      <c r="O86" s="250" t="n">
        <v>1</v>
      </c>
    </row>
    <row r="87">
      <c r="B87" s="144" t="inlineStr">
        <is>
          <t>Bull</t>
        </is>
      </c>
      <c r="C87" s="23" t="n"/>
      <c r="D87" s="252">
        <f>D86</f>
        <v/>
      </c>
      <c r="E87" s="252">
        <f>E86</f>
        <v/>
      </c>
      <c r="F87" s="252">
        <f>F86</f>
        <v/>
      </c>
      <c r="G87" s="252">
        <f>G86</f>
        <v/>
      </c>
      <c r="H87" s="252">
        <f>H86</f>
        <v/>
      </c>
      <c r="I87" s="252">
        <f>I86</f>
        <v/>
      </c>
      <c r="J87" s="252">
        <f>J86</f>
        <v/>
      </c>
      <c r="K87" s="252">
        <f>K86</f>
        <v/>
      </c>
      <c r="L87" s="252">
        <f>L86</f>
        <v/>
      </c>
      <c r="M87" s="252">
        <f>M86</f>
        <v/>
      </c>
      <c r="N87" s="252">
        <f>N86</f>
        <v/>
      </c>
      <c r="O87" s="252">
        <f>O86</f>
        <v/>
      </c>
    </row>
    <row r="88">
      <c r="B88" s="3" t="n"/>
      <c r="C88" s="21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B89" s="41" t="inlineStr">
        <is>
          <t>FTAI Power Adj. EBITA Margin (%)</t>
        </is>
      </c>
      <c r="C89" s="21" t="n"/>
      <c r="D89" s="250">
        <f>CHOOSE(MATCH(DCF!$C$3, {"Bear","Base","Bull"}, 0),D90, D91,D92)</f>
        <v/>
      </c>
      <c r="E89" s="250">
        <f>CHOOSE(MATCH(DCF!$C$3, {"Bear","Base","Bull"}, 0),E90, E91,E92)</f>
        <v/>
      </c>
      <c r="F89" s="250">
        <f>CHOOSE(MATCH(DCF!$C$3, {"Bear","Base","Bull"}, 0),F90, F91,F92)</f>
        <v/>
      </c>
      <c r="G89" s="250">
        <f>CHOOSE(MATCH(DCF!$C$3, {"Bear","Base","Bull"}, 0),G90, G91,G92)</f>
        <v/>
      </c>
      <c r="H89" s="250">
        <f>CHOOSE(MATCH(DCF!$C$3, {"Bear","Base","Bull"}, 0),H90, H91,H92)</f>
        <v/>
      </c>
      <c r="I89" s="250">
        <f>CHOOSE(MATCH(DCF!$C$3, {"Bear","Base","Bull"}, 0),I90, I91,I92)</f>
        <v/>
      </c>
      <c r="J89" s="250">
        <f>CHOOSE(MATCH(DCF!$C$3, {"Bear","Base","Bull"}, 0),J90, J91,J92)</f>
        <v/>
      </c>
      <c r="K89" s="250">
        <f>CHOOSE(MATCH(DCF!$C$3, {"Bear","Base","Bull"}, 0),K90, K91,K92)</f>
        <v/>
      </c>
      <c r="L89" s="250">
        <f>CHOOSE(MATCH(DCF!$C$3, {"Bear","Base","Bull"}, 0),L90, L91,L92)</f>
        <v/>
      </c>
      <c r="M89" s="250">
        <f>CHOOSE(MATCH(DCF!$C$3, {"Bear","Base","Bull"}, 0),M90, M91,M92)</f>
        <v/>
      </c>
      <c r="N89" s="250">
        <f>CHOOSE(MATCH(DCF!$C$3, {"Bear","Base","Bull"}, 0),N90, N91,N92)</f>
        <v/>
      </c>
      <c r="O89" s="250">
        <f>CHOOSE(MATCH(DCF!$C$3, {"Bear","Base","Bull"}, 0),O90, O91,O92)</f>
        <v/>
      </c>
    </row>
    <row r="90">
      <c r="B90" s="141" t="inlineStr">
        <is>
          <t>Bear</t>
        </is>
      </c>
      <c r="C90" s="142" t="n"/>
      <c r="D90" s="251" t="n">
        <v>0.3</v>
      </c>
      <c r="E90" s="251" t="n">
        <v>0.3</v>
      </c>
      <c r="F90" s="251" t="n">
        <v>0.3</v>
      </c>
      <c r="G90" s="251" t="n">
        <v>0.3</v>
      </c>
      <c r="H90" s="251" t="n">
        <v>0.3</v>
      </c>
      <c r="I90" s="251" t="n">
        <v>0.3</v>
      </c>
      <c r="J90" s="251" t="n">
        <v>0.3</v>
      </c>
      <c r="K90" s="251" t="n">
        <v>0.3</v>
      </c>
      <c r="L90" s="251" t="n">
        <v>0.3</v>
      </c>
      <c r="M90" s="251" t="n">
        <v>0.3</v>
      </c>
      <c r="N90" s="251" t="n">
        <v>0.3</v>
      </c>
      <c r="O90" s="251" t="n">
        <v>0.3</v>
      </c>
    </row>
    <row r="91">
      <c r="B91" s="41" t="inlineStr">
        <is>
          <t>Base</t>
        </is>
      </c>
      <c r="C91" s="21" t="n"/>
      <c r="D91" s="250" t="n">
        <v>0.4</v>
      </c>
      <c r="E91" s="250" t="n">
        <v>0.4</v>
      </c>
      <c r="F91" s="250" t="n">
        <v>0.4</v>
      </c>
      <c r="G91" s="250" t="n">
        <v>0.4</v>
      </c>
      <c r="H91" s="250" t="n">
        <v>0.4</v>
      </c>
      <c r="I91" s="250" t="n">
        <v>0.4</v>
      </c>
      <c r="J91" s="250" t="n">
        <v>0.4</v>
      </c>
      <c r="K91" s="250" t="n">
        <v>0.4</v>
      </c>
      <c r="L91" s="250" t="n">
        <v>0.4</v>
      </c>
      <c r="M91" s="250" t="n">
        <v>0.4</v>
      </c>
      <c r="N91" s="250" t="n">
        <v>0.4</v>
      </c>
      <c r="O91" s="250" t="n">
        <v>0.4</v>
      </c>
    </row>
    <row r="92">
      <c r="B92" s="144" t="inlineStr">
        <is>
          <t>Bull</t>
        </is>
      </c>
      <c r="C92" s="23" t="n"/>
      <c r="D92" s="252" t="n">
        <v>0.4</v>
      </c>
      <c r="E92" s="252" t="n">
        <v>0.4</v>
      </c>
      <c r="F92" s="252" t="n">
        <v>0.4</v>
      </c>
      <c r="G92" s="252" t="n">
        <v>0.4</v>
      </c>
      <c r="H92" s="252" t="n">
        <v>0.4</v>
      </c>
      <c r="I92" s="252" t="n">
        <v>0.4</v>
      </c>
      <c r="J92" s="252" t="n">
        <v>0.4</v>
      </c>
      <c r="K92" s="252" t="n">
        <v>0.4</v>
      </c>
      <c r="L92" s="252" t="n">
        <v>0.4</v>
      </c>
      <c r="M92" s="252" t="n">
        <v>0.4</v>
      </c>
      <c r="N92" s="252" t="n">
        <v>0.4</v>
      </c>
      <c r="O92" s="252" t="n">
        <v>0.4</v>
      </c>
    </row>
    <row r="93">
      <c r="B93" s="3" t="n"/>
      <c r="C93" s="21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B94" s="140" t="inlineStr">
        <is>
          <t>Aviation Leasing &amp; SCI</t>
        </is>
      </c>
      <c r="C94" s="22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</row>
    <row r="95">
      <c r="B95" s="3" t="n"/>
      <c r="C95" s="21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B96" s="41" t="inlineStr">
        <is>
          <t>Aviation Leasing Revenue</t>
        </is>
      </c>
      <c r="C96" s="21" t="n"/>
      <c r="D96" s="259" t="n">
        <v>82.5</v>
      </c>
      <c r="E96" s="259" t="n">
        <v>82.5</v>
      </c>
      <c r="F96" s="259">
        <f>SUM(D96:E96)</f>
        <v/>
      </c>
      <c r="G96" s="259" t="n">
        <v>75</v>
      </c>
      <c r="H96" s="259" t="n">
        <v>75</v>
      </c>
      <c r="I96" s="259" t="n">
        <v>75</v>
      </c>
      <c r="J96" s="259" t="n">
        <v>75</v>
      </c>
      <c r="K96" s="259">
        <f>SUM(G96:J96)</f>
        <v/>
      </c>
      <c r="L96" s="259" t="n">
        <v>285</v>
      </c>
      <c r="M96" s="259" t="n">
        <v>275</v>
      </c>
      <c r="N96" s="259" t="n">
        <v>265</v>
      </c>
      <c r="O96" s="259" t="n">
        <v>255</v>
      </c>
    </row>
    <row r="97">
      <c r="B97" s="3" t="n"/>
      <c r="C97" s="21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B98" s="41" t="inlineStr">
        <is>
          <t>Aviation Leasing + SCI EBITDA</t>
        </is>
      </c>
      <c r="C98" s="21" t="n"/>
      <c r="D98" s="259">
        <f>CHOOSE(MATCH(DCF!$C$3, {"Bear","Base","Bull"}, 0),D99, D100,D101)</f>
        <v/>
      </c>
      <c r="E98" s="259">
        <f>CHOOSE(MATCH(DCF!$C$3, {"Bear","Base","Bull"}, 0),E99, E100,E101)</f>
        <v/>
      </c>
      <c r="F98" s="259">
        <f>CHOOSE(MATCH(DCF!$C$3, {"Bear","Base","Bull"}, 0),F99, F100,F101)</f>
        <v/>
      </c>
      <c r="G98" s="259">
        <f>CHOOSE(MATCH(DCF!$C$3, {"Bear","Base","Bull"}, 0),G99, G100,G101)</f>
        <v/>
      </c>
      <c r="H98" s="259">
        <f>CHOOSE(MATCH(DCF!$C$3, {"Bear","Base","Bull"}, 0),H99, H100,H101)</f>
        <v/>
      </c>
      <c r="I98" s="259">
        <f>CHOOSE(MATCH(DCF!$C$3, {"Bear","Base","Bull"}, 0),I99, I100,I101)</f>
        <v/>
      </c>
      <c r="J98" s="259">
        <f>CHOOSE(MATCH(DCF!$C$3, {"Bear","Base","Bull"}, 0),J99, J100,J101)</f>
        <v/>
      </c>
      <c r="K98" s="259">
        <f>CHOOSE(MATCH(DCF!$C$3, {"Bear","Base","Bull"}, 0),K99, K100,K101)</f>
        <v/>
      </c>
      <c r="L98" s="259">
        <f>CHOOSE(MATCH(DCF!$C$3, {"Bear","Base","Bull"}, 0),L99, L100,L101)</f>
        <v/>
      </c>
      <c r="M98" s="259">
        <f>CHOOSE(MATCH(DCF!$C$3, {"Bear","Base","Bull"}, 0),M99, M100,M101)</f>
        <v/>
      </c>
      <c r="N98" s="259">
        <f>CHOOSE(MATCH(DCF!$C$3, {"Bear","Base","Bull"}, 0),N99, N100,N101)</f>
        <v/>
      </c>
      <c r="O98" s="259">
        <f>CHOOSE(MATCH(DCF!$C$3, {"Bear","Base","Bull"}, 0),O99, O100,O101)</f>
        <v/>
      </c>
    </row>
    <row r="99">
      <c r="B99" s="141" t="inlineStr">
        <is>
          <t>Bear</t>
        </is>
      </c>
      <c r="C99" s="142" t="n"/>
      <c r="D99" s="260">
        <f>D100</f>
        <v/>
      </c>
      <c r="E99" s="260">
        <f>E100</f>
        <v/>
      </c>
      <c r="F99" s="260">
        <f>SUM(D99:E99)</f>
        <v/>
      </c>
      <c r="G99" s="260" t="n">
        <v>100</v>
      </c>
      <c r="H99" s="260" t="n">
        <v>100</v>
      </c>
      <c r="I99" s="260" t="n">
        <v>100</v>
      </c>
      <c r="J99" s="260" t="n">
        <v>100</v>
      </c>
      <c r="K99" s="260">
        <f>SUM(G99:J99)</f>
        <v/>
      </c>
      <c r="L99" s="260" t="n">
        <v>380</v>
      </c>
      <c r="M99" s="260" t="n">
        <v>360</v>
      </c>
      <c r="N99" s="260" t="n">
        <v>350</v>
      </c>
      <c r="O99" s="260" t="n">
        <v>340</v>
      </c>
    </row>
    <row r="100">
      <c r="B100" s="41" t="inlineStr">
        <is>
          <t>Base</t>
        </is>
      </c>
      <c r="C100" s="21" t="n"/>
      <c r="D100" s="259" t="n">
        <v>116.9</v>
      </c>
      <c r="E100" s="259" t="n">
        <v>116.9</v>
      </c>
      <c r="F100" s="259">
        <f>SUM(D100:E100)</f>
        <v/>
      </c>
      <c r="G100" s="259" t="n">
        <v>113.75</v>
      </c>
      <c r="H100" s="259" t="n">
        <v>113.75</v>
      </c>
      <c r="I100" s="259" t="n">
        <v>113.75</v>
      </c>
      <c r="J100" s="259" t="n">
        <v>113.75</v>
      </c>
      <c r="K100" s="259">
        <f>SUM(G100:J100)</f>
        <v/>
      </c>
      <c r="L100" s="259" t="n">
        <v>440</v>
      </c>
      <c r="M100" s="259" t="n">
        <v>430</v>
      </c>
      <c r="N100" s="259" t="n">
        <v>420</v>
      </c>
      <c r="O100" s="259" t="n">
        <v>410</v>
      </c>
    </row>
    <row r="101">
      <c r="B101" s="144" t="inlineStr">
        <is>
          <t>Bull</t>
        </is>
      </c>
      <c r="C101" s="23" t="n"/>
      <c r="D101" s="261">
        <f>D100</f>
        <v/>
      </c>
      <c r="E101" s="261">
        <f>E100</f>
        <v/>
      </c>
      <c r="F101" s="261">
        <f>SUM(D101:E101)</f>
        <v/>
      </c>
      <c r="G101" s="261">
        <f>G100</f>
        <v/>
      </c>
      <c r="H101" s="261">
        <f>H100</f>
        <v/>
      </c>
      <c r="I101" s="261">
        <f>I100</f>
        <v/>
      </c>
      <c r="J101" s="261">
        <f>J100</f>
        <v/>
      </c>
      <c r="K101" s="261">
        <f>SUM(G101:J101)</f>
        <v/>
      </c>
      <c r="L101" s="261">
        <f>L100</f>
        <v/>
      </c>
      <c r="M101" s="261">
        <f>M100</f>
        <v/>
      </c>
      <c r="N101" s="261">
        <f>N100</f>
        <v/>
      </c>
      <c r="O101" s="261">
        <f>O100</f>
        <v/>
      </c>
    </row>
    <row r="102">
      <c r="B102" s="3" t="n"/>
      <c r="C102" s="21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 outlineLevel="1">
      <c r="B103" s="41" t="inlineStr">
        <is>
          <t>Corporate &amp; Eliminations</t>
        </is>
      </c>
      <c r="C103" s="21" t="n"/>
      <c r="D103" s="259" t="n">
        <v>-66.8</v>
      </c>
      <c r="E103" s="259" t="n">
        <v>-66.8</v>
      </c>
      <c r="F103" s="259">
        <f>SUM(D103:E103)</f>
        <v/>
      </c>
      <c r="G103" s="259" t="n">
        <v>-51.75</v>
      </c>
      <c r="H103" s="259" t="n">
        <v>-51.75</v>
      </c>
      <c r="I103" s="259" t="n">
        <v>-51.75</v>
      </c>
      <c r="J103" s="259" t="n">
        <v>-51.75</v>
      </c>
      <c r="K103" s="259">
        <f>SUM(G103:J103)</f>
        <v/>
      </c>
      <c r="L103" s="259" t="n">
        <v>-215</v>
      </c>
      <c r="M103" s="259" t="n">
        <v>-225</v>
      </c>
      <c r="N103" s="259" t="n">
        <v>-235</v>
      </c>
      <c r="O103" s="259" t="n">
        <v>-245</v>
      </c>
    </row>
    <row r="104" outlineLevel="1"/>
    <row r="105" outlineLevel="1">
      <c r="B105" s="41" t="inlineStr">
        <is>
          <t>Operating Model Assumptions - Cash Flow</t>
        </is>
      </c>
      <c r="C105" s="21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 outlineLevel="1"/>
    <row r="107" outlineLevel="1">
      <c r="B107" s="41" t="inlineStr">
        <is>
          <t>D&amp;A ($mm)</t>
        </is>
      </c>
      <c r="F107" s="168" t="n">
        <v>196.2</v>
      </c>
      <c r="K107" s="168" t="n">
        <v>191</v>
      </c>
      <c r="L107" s="168" t="n">
        <v>180.2</v>
      </c>
      <c r="M107" s="168" t="n">
        <v>180.2</v>
      </c>
      <c r="N107" s="168" t="n">
        <v>180.2</v>
      </c>
      <c r="O107" s="168" t="n">
        <v>180.2</v>
      </c>
    </row>
    <row r="108" outlineLevel="1"/>
    <row r="109" outlineLevel="1">
      <c r="B109" s="41" t="inlineStr">
        <is>
          <t>PP&amp;E CapEx (% of Revenue)</t>
        </is>
      </c>
      <c r="F109" s="59" t="n">
        <v>0.003</v>
      </c>
      <c r="K109" s="59" t="n">
        <v>0.0025</v>
      </c>
      <c r="L109" s="59" t="n">
        <v>0.0025</v>
      </c>
      <c r="M109" s="59" t="n">
        <v>0.0025</v>
      </c>
      <c r="N109" s="59" t="n">
        <v>0.0025</v>
      </c>
      <c r="O109" s="59" t="n">
        <v>0.0025</v>
      </c>
    </row>
    <row r="110" outlineLevel="1"/>
    <row r="111" outlineLevel="1">
      <c r="B111" s="41" t="inlineStr">
        <is>
          <t>Acquisition of Leasing Equipment ($mm)</t>
        </is>
      </c>
      <c r="F111" s="168" t="n">
        <v>217.8</v>
      </c>
      <c r="K111" s="168" t="n">
        <v>140</v>
      </c>
      <c r="L111" s="168" t="n">
        <v>150</v>
      </c>
      <c r="M111" s="168" t="n">
        <v>150</v>
      </c>
      <c r="N111" s="168" t="n">
        <v>150</v>
      </c>
      <c r="O111" s="168" t="n">
        <v>150</v>
      </c>
    </row>
    <row r="112" outlineLevel="1"/>
    <row r="113" outlineLevel="1">
      <c r="B113" s="41" t="inlineStr">
        <is>
          <t>Proceeds from Sale of Leasing Equipment ($mm)</t>
        </is>
      </c>
      <c r="F113" s="168" t="n">
        <v>409.6</v>
      </c>
      <c r="K113" s="168" t="n">
        <v>250</v>
      </c>
      <c r="L113" s="168" t="n">
        <v>25</v>
      </c>
      <c r="M113" s="168" t="n">
        <v>0</v>
      </c>
      <c r="N113" s="168" t="n">
        <v>0</v>
      </c>
      <c r="O113" s="168" t="n">
        <v>0</v>
      </c>
    </row>
    <row r="114" outlineLevel="1"/>
    <row r="115" outlineLevel="1">
      <c r="B115" s="41" t="inlineStr">
        <is>
          <t>FTAI Power Growth CapEx (% of Power Revenue)</t>
        </is>
      </c>
      <c r="F115" s="47" t="n">
        <v>0</v>
      </c>
      <c r="K115" s="47" t="n">
        <v>0</v>
      </c>
      <c r="L115" s="47" t="n">
        <v>0</v>
      </c>
      <c r="M115" s="47" t="n">
        <v>0</v>
      </c>
      <c r="N115" s="47" t="n">
        <v>0</v>
      </c>
      <c r="O115" s="47" t="n">
        <v>0</v>
      </c>
    </row>
    <row r="116" outlineLevel="1"/>
    <row r="117" outlineLevel="1">
      <c r="B117" s="41" t="inlineStr">
        <is>
          <t>SBC (% of Revenue)</t>
        </is>
      </c>
      <c r="F117" s="59" t="n">
        <v>0.0075</v>
      </c>
      <c r="K117" s="59" t="n">
        <v>0.006</v>
      </c>
      <c r="L117" s="59" t="n">
        <v>0.0055</v>
      </c>
      <c r="M117" s="59" t="n">
        <v>0.005</v>
      </c>
      <c r="N117" s="59" t="n">
        <v>0.005</v>
      </c>
      <c r="O117" s="59" t="n">
        <v>0.005</v>
      </c>
    </row>
    <row r="118" outlineLevel="1"/>
    <row r="119" outlineLevel="1">
      <c r="B119" s="41" t="inlineStr">
        <is>
          <t>Tax Rate (% of EBIT)</t>
        </is>
      </c>
      <c r="F119" s="47" t="n">
        <v>0.2145</v>
      </c>
      <c r="K119" s="47" t="n">
        <v>0.2101</v>
      </c>
      <c r="L119" s="47" t="n">
        <v>0.2138</v>
      </c>
      <c r="M119" s="47" t="n">
        <v>0.2138</v>
      </c>
      <c r="N119" s="47" t="n">
        <v>0.2138</v>
      </c>
      <c r="O119" s="47" t="n">
        <v>0.2138</v>
      </c>
    </row>
    <row r="120" outlineLevel="1"/>
    <row r="121" outlineLevel="1">
      <c r="B121" s="41" t="inlineStr">
        <is>
          <t>Inventory (% of Aerospace Products Revenue ex-Power)</t>
        </is>
      </c>
      <c r="F121" s="47">
        <f>CHOOSE(MATCH(DCF!$C$3, {"Bear","Base","Bull"}, 0),F122, F123,F124)</f>
        <v/>
      </c>
      <c r="K121" s="47">
        <f>CHOOSE(MATCH(DCF!$C$3, {"Bear","Base","Bull"}, 0),K122, K123,K124)</f>
        <v/>
      </c>
      <c r="L121" s="47">
        <f>CHOOSE(MATCH(DCF!$C$3, {"Bear","Base","Bull"}, 0),L122, L123,L124)</f>
        <v/>
      </c>
      <c r="M121" s="47">
        <f>CHOOSE(MATCH(DCF!$C$3, {"Bear","Base","Bull"}, 0),M122, M123,M124)</f>
        <v/>
      </c>
      <c r="N121" s="47">
        <f>CHOOSE(MATCH(DCF!$C$3, {"Bear","Base","Bull"}, 0),N122, N123,N124)</f>
        <v/>
      </c>
      <c r="O121" s="47">
        <f>CHOOSE(MATCH(DCF!$C$3, {"Bear","Base","Bull"}, 0),O122, O123,O124)</f>
        <v/>
      </c>
    </row>
    <row r="122" outlineLevel="1">
      <c r="B122" s="141" t="inlineStr">
        <is>
          <t>Bear</t>
        </is>
      </c>
      <c r="F122" s="47" t="n">
        <v>0.45</v>
      </c>
      <c r="K122" s="47" t="n">
        <v>0.41</v>
      </c>
      <c r="L122" s="47" t="n">
        <v>0.39</v>
      </c>
      <c r="M122" s="47" t="n">
        <v>0.38</v>
      </c>
      <c r="N122" s="47" t="n">
        <v>0.37</v>
      </c>
      <c r="O122" s="47" t="n">
        <v>0.37</v>
      </c>
    </row>
    <row r="123" outlineLevel="1">
      <c r="B123" s="141" t="inlineStr">
        <is>
          <t>Base</t>
        </is>
      </c>
      <c r="F123" s="47" t="n">
        <v>0.42</v>
      </c>
      <c r="K123" s="47" t="n">
        <v>0.351</v>
      </c>
      <c r="L123" s="47" t="n">
        <v>0.314</v>
      </c>
      <c r="M123" s="47" t="n">
        <v>0.314</v>
      </c>
      <c r="N123" s="47" t="n">
        <v>0.314</v>
      </c>
      <c r="O123" s="47" t="n">
        <v>0.314</v>
      </c>
    </row>
    <row r="124" outlineLevel="1">
      <c r="B124" s="141" t="inlineStr">
        <is>
          <t>Bull</t>
        </is>
      </c>
      <c r="F124" s="47">
        <f>F123</f>
        <v/>
      </c>
      <c r="K124" s="47">
        <f>K123</f>
        <v/>
      </c>
      <c r="L124" s="47">
        <f>L123</f>
        <v/>
      </c>
      <c r="M124" s="47">
        <f>M123</f>
        <v/>
      </c>
      <c r="N124" s="47">
        <f>N123</f>
        <v/>
      </c>
      <c r="O124" s="47">
        <f>O123</f>
        <v/>
      </c>
    </row>
    <row r="125" outlineLevel="1"/>
    <row r="126" outlineLevel="1">
      <c r="B126" s="41" t="inlineStr">
        <is>
          <t>Accounts Receivable (% of Revenue)</t>
        </is>
      </c>
      <c r="F126" s="47" t="n">
        <v>0.08</v>
      </c>
      <c r="K126" s="47" t="n">
        <v>0.07000000000000001</v>
      </c>
      <c r="L126" s="47" t="n">
        <v>0.06</v>
      </c>
      <c r="M126" s="47" t="n">
        <v>0.06</v>
      </c>
      <c r="N126" s="47" t="n">
        <v>0.06</v>
      </c>
      <c r="O126" s="47" t="n">
        <v>0.06</v>
      </c>
    </row>
    <row r="127" outlineLevel="1"/>
    <row r="128" outlineLevel="1">
      <c r="B128" s="41" t="inlineStr">
        <is>
          <t>AP &amp; Accrued Liabilities (% of Revenue)</t>
        </is>
      </c>
      <c r="F128" s="47" t="n">
        <v>0.09</v>
      </c>
      <c r="K128" s="47" t="n">
        <v>0.065</v>
      </c>
      <c r="L128" s="47" t="n">
        <v>0.055</v>
      </c>
      <c r="M128" s="47" t="n">
        <v>0.055</v>
      </c>
      <c r="N128" s="47" t="n">
        <v>0.055</v>
      </c>
      <c r="O128" s="47" t="n">
        <v>0.055</v>
      </c>
    </row>
    <row r="129" outlineLevel="1"/>
    <row r="130" outlineLevel="1">
      <c r="B130" s="41" t="inlineStr">
        <is>
          <t>Other Operating Assets, net (% of Revenue)</t>
        </is>
      </c>
      <c r="F130" s="47" t="n">
        <v>0.11</v>
      </c>
      <c r="K130" s="47" t="n">
        <v>0.073</v>
      </c>
      <c r="L130" s="47" t="n">
        <v>0.057</v>
      </c>
      <c r="M130" s="47" t="n">
        <v>0.057</v>
      </c>
      <c r="N130" s="47" t="n">
        <v>0.057</v>
      </c>
      <c r="O130" s="47" t="n">
        <v>0.057</v>
      </c>
    </row>
    <row r="131" outlineLevel="1"/>
    <row r="132" outlineLevel="1">
      <c r="B132" s="41" t="inlineStr">
        <is>
          <t>Investment in SCI / Unconsolidated Entities ($mm, Base; scales with SCI fleet)</t>
        </is>
      </c>
      <c r="F132" s="168" t="n">
        <v>285</v>
      </c>
      <c r="K132" s="168" t="n">
        <v>380</v>
      </c>
      <c r="L132" s="168" t="n">
        <v>380</v>
      </c>
      <c r="M132" s="168" t="n">
        <v>380</v>
      </c>
      <c r="N132" s="168" t="n">
        <v>380</v>
      </c>
      <c r="O132" s="168" t="n">
        <v>380</v>
      </c>
    </row>
    <row r="133" outlineLevel="1"/>
    <row r="134" outlineLevel="1">
      <c r="B134" s="41" t="inlineStr">
        <is>
          <t>Interest Expense ($mm)</t>
        </is>
      </c>
      <c r="F134" s="168" t="n">
        <v>249.8</v>
      </c>
      <c r="K134" s="168" t="n">
        <v>229.5</v>
      </c>
      <c r="L134" s="168" t="n">
        <v>229.5</v>
      </c>
      <c r="M134" s="168" t="n">
        <v>229.5</v>
      </c>
      <c r="N134" s="168" t="n">
        <v>229.5</v>
      </c>
      <c r="O134" s="168" t="n">
        <v>229.5</v>
      </c>
    </row>
    <row r="135" outlineLevel="1"/>
    <row r="136" outlineLevel="1">
      <c r="B136" s="41" t="inlineStr">
        <is>
          <t>Common Dividends ($mm)</t>
        </is>
      </c>
      <c r="F136" s="168" t="n">
        <v>200.6</v>
      </c>
      <c r="K136" s="168" t="n">
        <v>221.1</v>
      </c>
      <c r="L136" s="168" t="n">
        <v>243.9</v>
      </c>
      <c r="M136" s="168">
        <f>L136*1.1</f>
        <v/>
      </c>
      <c r="N136" s="168">
        <f>M136*1.1</f>
        <v/>
      </c>
      <c r="O136" s="168">
        <f>N136*1.1</f>
        <v/>
      </c>
    </row>
    <row r="137" outlineLevel="1"/>
    <row r="138" outlineLevel="1">
      <c r="B138" s="41" t="inlineStr">
        <is>
          <t>Preferred Dividends ($mm)</t>
        </is>
      </c>
      <c r="F138" s="168" t="n">
        <v>10.5</v>
      </c>
      <c r="K138" s="168" t="n">
        <v>6.2</v>
      </c>
      <c r="L138" s="168" t="n">
        <v>6.2</v>
      </c>
      <c r="M138" s="168" t="n">
        <v>6.2</v>
      </c>
      <c r="N138" s="168" t="n">
        <v>6.2</v>
      </c>
      <c r="O138" s="168" t="n">
        <v>6.2</v>
      </c>
    </row>
    <row r="139" outlineLevel="1"/>
    <row r="140" outlineLevel="1">
      <c r="B140" s="41" t="inlineStr">
        <is>
          <t>Non-cash Adj. EBITDA Items (% of Adj. EBITDA)</t>
        </is>
      </c>
      <c r="F140" s="47" t="n">
        <v>0.1647</v>
      </c>
      <c r="K140" s="47" t="n">
        <v>0.1121</v>
      </c>
      <c r="L140" s="47" t="n">
        <v>0.1001</v>
      </c>
      <c r="M140" s="47" t="n">
        <v>0.1001</v>
      </c>
      <c r="N140" s="47" t="n">
        <v>0.1001</v>
      </c>
      <c r="O140" s="47" t="n">
        <v>0.1001</v>
      </c>
    </row>
    <row r="141" outlineLevel="1"/>
    <row r="142" outlineLevel="1">
      <c r="B142" s="41" t="inlineStr">
        <is>
          <t>SCI Cash Distributions to FTAI ($mm, Base; scales with SCI fleet)</t>
        </is>
      </c>
      <c r="F142" s="168" t="n">
        <v>64.09999999999999</v>
      </c>
      <c r="K142" s="168" t="n">
        <v>189.5</v>
      </c>
      <c r="L142" s="168" t="n">
        <v>291.3</v>
      </c>
      <c r="M142" s="168" t="n">
        <v>291.3</v>
      </c>
      <c r="N142" s="168" t="n">
        <v>291.3</v>
      </c>
      <c r="O142" s="168" t="n">
        <v>291.3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7030A0"/>
    <outlinePr summaryBelow="1" summaryRight="1"/>
    <pageSetUpPr/>
  </sheetPr>
  <dimension ref="A1:A1"/>
  <sheetViews>
    <sheetView workbookViewId="0">
      <selection activeCell="Q33" sqref="Q33"/>
    </sheetView>
  </sheetViews>
  <sheetFormatPr baseColWidth="8" defaultColWidth="11.42578125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22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5546875" defaultRowHeight="15"/>
  <cols>
    <col width="2.85546875" customWidth="1" min="1" max="1"/>
    <col width="34" customWidth="1" min="2" max="2"/>
    <col width="16" customWidth="1" min="3" max="3"/>
    <col width="12" customWidth="1" min="4" max="10"/>
    <col width="14" customWidth="1" min="11" max="11"/>
  </cols>
  <sheetData>
    <row r="1" ht="18.95" customHeight="1">
      <c r="B1" s="30" t="inlineStr">
        <is>
          <t>FTAI Aviation</t>
        </is>
      </c>
    </row>
    <row r="2" ht="18.95" customHeight="1">
      <c r="B2" s="30" t="inlineStr">
        <is>
          <t>CFM56 Data</t>
        </is>
      </c>
    </row>
    <row r="4">
      <c r="B4" s="150" t="inlineStr">
        <is>
          <t>OEM CFM56 shop visits (-5B/-7B)</t>
        </is>
      </c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</row>
    <row r="5">
      <c r="B5" s="152" t="n"/>
      <c r="C5" s="153" t="n"/>
      <c r="D5" s="153" t="inlineStr">
        <is>
          <t>2025</t>
        </is>
      </c>
      <c r="E5" s="153" t="inlineStr">
        <is>
          <t>2026</t>
        </is>
      </c>
      <c r="F5" s="153" t="inlineStr">
        <is>
          <t>2027</t>
        </is>
      </c>
      <c r="G5" s="153" t="inlineStr">
        <is>
          <t>2028</t>
        </is>
      </c>
      <c r="H5" s="153" t="inlineStr">
        <is>
          <t>2029</t>
        </is>
      </c>
      <c r="I5" s="153" t="inlineStr">
        <is>
          <t>2030</t>
        </is>
      </c>
      <c r="J5" s="153" t="inlineStr">
        <is>
          <t>2031</t>
        </is>
      </c>
      <c r="K5" s="153" t="inlineStr">
        <is>
          <t>Source</t>
        </is>
      </c>
    </row>
    <row r="6">
      <c r="B6" s="31" t="inlineStr">
        <is>
          <t>Central</t>
        </is>
      </c>
      <c r="D6" s="27" t="n">
        <v>2350</v>
      </c>
      <c r="E6" s="27" t="n">
        <v>2400</v>
      </c>
      <c r="F6" s="27" t="n">
        <v>2400</v>
      </c>
      <c r="G6" s="27" t="n">
        <v>2350</v>
      </c>
      <c r="H6" s="27" t="n">
        <v>2250</v>
      </c>
      <c r="I6" s="27" t="n">
        <v>2150</v>
      </c>
      <c r="J6" s="27" t="n">
        <v>2085</v>
      </c>
      <c r="K6" s="31" t="inlineStr">
        <is>
          <t>C01, C02</t>
        </is>
      </c>
    </row>
    <row r="7">
      <c r="B7" s="31" t="inlineStr">
        <is>
          <t>Low</t>
        </is>
      </c>
      <c r="D7" s="27" t="n">
        <v>2300</v>
      </c>
      <c r="E7" s="27" t="n">
        <v>2400</v>
      </c>
      <c r="F7" s="27" t="n">
        <v>2400</v>
      </c>
      <c r="G7" s="27" t="n">
        <v>2300</v>
      </c>
      <c r="K7" s="31" t="inlineStr">
        <is>
          <t>C02</t>
        </is>
      </c>
    </row>
    <row r="8">
      <c r="B8" s="31" t="inlineStr">
        <is>
          <t>High</t>
        </is>
      </c>
      <c r="D8" s="27" t="n">
        <v>2400</v>
      </c>
      <c r="E8" s="27" t="n">
        <v>2400</v>
      </c>
      <c r="F8" s="27" t="n">
        <v>2400</v>
      </c>
      <c r="G8" s="27" t="n">
        <v>2400</v>
      </c>
      <c r="K8" s="31" t="inlineStr">
        <is>
          <t>C01, C02</t>
        </is>
      </c>
    </row>
    <row r="10">
      <c r="B10" s="150" t="inlineStr">
        <is>
          <t>Fleet counts</t>
        </is>
      </c>
      <c r="C10" s="151" t="n"/>
      <c r="D10" s="151" t="n"/>
      <c r="E10" s="151" t="n"/>
      <c r="F10" s="151" t="n"/>
      <c r="G10" s="151" t="n"/>
      <c r="H10" s="151" t="n"/>
      <c r="I10" s="151" t="n"/>
      <c r="J10" s="151" t="n"/>
      <c r="K10" s="151" t="n"/>
    </row>
    <row r="11">
      <c r="B11" s="152" t="n"/>
      <c r="C11" s="153" t="inlineStr">
        <is>
          <t>Scope</t>
        </is>
      </c>
      <c r="D11" s="153" t="inlineStr">
        <is>
          <t>Engines</t>
        </is>
      </c>
      <c r="E11" s="153" t="inlineStr">
        <is>
          <t>Year</t>
        </is>
      </c>
      <c r="F11" s="153" t="n"/>
      <c r="G11" s="153" t="n"/>
      <c r="H11" s="153" t="n"/>
      <c r="I11" s="153" t="n"/>
      <c r="J11" s="153" t="n"/>
      <c r="K11" s="153" t="inlineStr">
        <is>
          <t>Source</t>
        </is>
      </c>
    </row>
    <row r="12">
      <c r="B12" s="31" t="inlineStr">
        <is>
          <t>Safran</t>
        </is>
      </c>
      <c r="C12" s="31" t="inlineStr">
        <is>
          <t>-5B/-7B, incl. stored</t>
        </is>
      </c>
      <c r="D12" s="27" t="n">
        <v>23000</v>
      </c>
      <c r="E12" s="32" t="n">
        <v>2024</v>
      </c>
      <c r="K12" s="31" t="inlineStr">
        <is>
          <t>C03</t>
        </is>
      </c>
    </row>
    <row r="13">
      <c r="B13" s="31" t="inlineStr">
        <is>
          <t>Safran</t>
        </is>
      </c>
      <c r="C13" s="31" t="inlineStr">
        <is>
          <t>-5B/-7B</t>
        </is>
      </c>
      <c r="D13" s="27" t="n">
        <v>22800</v>
      </c>
      <c r="E13" s="32" t="n">
        <v>2025</v>
      </c>
      <c r="K13" s="31" t="inlineStr">
        <is>
          <t>K15</t>
        </is>
      </c>
    </row>
    <row r="14">
      <c r="B14" s="31" t="inlineStr">
        <is>
          <t>MTU</t>
        </is>
      </c>
      <c r="C14" s="31" t="inlineStr">
        <is>
          <t>-7B</t>
        </is>
      </c>
      <c r="D14" s="27" t="n">
        <v>13000</v>
      </c>
      <c r="E14" s="32" t="n">
        <v>2024</v>
      </c>
      <c r="K14" s="31" t="inlineStr">
        <is>
          <t>P02</t>
        </is>
      </c>
    </row>
    <row r="15">
      <c r="B15" s="31" t="inlineStr">
        <is>
          <t>MTU</t>
        </is>
      </c>
      <c r="C15" s="31" t="inlineStr">
        <is>
          <t>-5B</t>
        </is>
      </c>
      <c r="D15" s="27" t="n">
        <v>7000</v>
      </c>
      <c r="E15" s="32" t="n">
        <v>2024</v>
      </c>
      <c r="K15" s="31" t="inlineStr">
        <is>
          <t>P02</t>
        </is>
      </c>
    </row>
    <row r="16">
      <c r="B16" s="31" t="inlineStr">
        <is>
          <t>GE</t>
        </is>
      </c>
      <c r="C16" s="31" t="inlineStr">
        <is>
          <t>Installed</t>
        </is>
      </c>
      <c r="D16" s="27" t="n">
        <v>19000</v>
      </c>
      <c r="E16" s="32" t="n">
        <v>2026</v>
      </c>
      <c r="K16" s="31" t="inlineStr">
        <is>
          <t>P01</t>
        </is>
      </c>
    </row>
    <row r="18">
      <c r="B18" s="150" t="inlineStr">
        <is>
          <t>Fleet by completed shop visits</t>
        </is>
      </c>
      <c r="C18" s="151" t="n"/>
      <c r="D18" s="151" t="n"/>
      <c r="E18" s="151" t="n"/>
      <c r="F18" s="151" t="n"/>
      <c r="G18" s="151" t="n"/>
      <c r="H18" s="151" t="n"/>
      <c r="I18" s="151" t="n"/>
      <c r="J18" s="151" t="n"/>
      <c r="K18" s="151" t="n"/>
    </row>
    <row r="19">
      <c r="B19" s="152" t="n"/>
      <c r="C19" s="153" t="n"/>
      <c r="D19" s="153" t="inlineStr">
        <is>
          <t>0</t>
        </is>
      </c>
      <c r="E19" s="153" t="inlineStr">
        <is>
          <t>1</t>
        </is>
      </c>
      <c r="F19" s="153" t="inlineStr">
        <is>
          <t>2+</t>
        </is>
      </c>
      <c r="G19" s="153" t="n"/>
      <c r="H19" s="153" t="n"/>
      <c r="I19" s="153" t="n"/>
      <c r="J19" s="153" t="n"/>
      <c r="K19" s="153" t="inlineStr">
        <is>
          <t>Source</t>
        </is>
      </c>
    </row>
    <row r="20">
      <c r="B20" s="31" t="inlineStr">
        <is>
          <t>2024 actual</t>
        </is>
      </c>
      <c r="D20" s="26" t="n">
        <v>0.4</v>
      </c>
      <c r="E20" s="26" t="n">
        <v>0.29</v>
      </c>
      <c r="F20" s="26" t="n">
        <v>0.31</v>
      </c>
      <c r="K20" s="31" t="inlineStr">
        <is>
          <t>C03</t>
        </is>
      </c>
    </row>
    <row r="21">
      <c r="B21" s="31" t="inlineStr">
        <is>
          <t>2028 OEM projection</t>
        </is>
      </c>
      <c r="D21" s="26" t="n">
        <v>0.26</v>
      </c>
      <c r="E21" s="26" t="n">
        <v>0.31</v>
      </c>
      <c r="F21" s="26" t="n">
        <v>0.43</v>
      </c>
      <c r="K21" s="31" t="inlineStr">
        <is>
          <t>C03</t>
        </is>
      </c>
    </row>
    <row r="23">
      <c r="B23" s="150" t="inlineStr">
        <is>
          <t>Cohort roll-forward (central)</t>
        </is>
      </c>
      <c r="C23" s="151" t="n"/>
      <c r="D23" s="151" t="n"/>
      <c r="E23" s="151" t="n"/>
      <c r="F23" s="151" t="n"/>
      <c r="G23" s="151" t="n"/>
      <c r="H23" s="151" t="n"/>
      <c r="I23" s="151" t="n"/>
      <c r="J23" s="151" t="n"/>
      <c r="K23" s="151" t="n"/>
    </row>
    <row r="24">
      <c r="B24" s="152" t="n"/>
      <c r="C24" s="153" t="n"/>
      <c r="D24" s="153" t="inlineStr">
        <is>
          <t>2025</t>
        </is>
      </c>
      <c r="E24" s="153" t="inlineStr">
        <is>
          <t>2026</t>
        </is>
      </c>
      <c r="F24" s="153" t="inlineStr">
        <is>
          <t>2027</t>
        </is>
      </c>
      <c r="G24" s="153" t="inlineStr">
        <is>
          <t>2028</t>
        </is>
      </c>
      <c r="H24" s="153" t="inlineStr">
        <is>
          <t>2029</t>
        </is>
      </c>
      <c r="I24" s="153" t="inlineStr">
        <is>
          <t>2030</t>
        </is>
      </c>
      <c r="J24" s="153" t="n"/>
      <c r="K24" s="153" t="inlineStr">
        <is>
          <t>Source</t>
        </is>
      </c>
    </row>
    <row r="25">
      <c r="B25" s="31" t="inlineStr">
        <is>
          <t>First visits</t>
        </is>
      </c>
      <c r="D25" s="27" t="n">
        <v>975.8291952869527</v>
      </c>
      <c r="E25" s="27" t="n">
        <v>912.1465236989642</v>
      </c>
      <c r="F25" s="27" t="n">
        <v>844.506385240087</v>
      </c>
      <c r="G25" s="27" t="n">
        <v>763.0495869437764</v>
      </c>
      <c r="H25" s="27" t="n">
        <v>676.2021174994493</v>
      </c>
      <c r="I25" s="27" t="n">
        <v>598.3044072642085</v>
      </c>
      <c r="K25" s="31" t="inlineStr">
        <is>
          <t>Cohort Forecast</t>
        </is>
      </c>
    </row>
    <row r="26">
      <c r="B26" s="31" t="inlineStr">
        <is>
          <t>Second visits</t>
        </is>
      </c>
      <c r="D26" s="27" t="n">
        <v>842.3845528314617</v>
      </c>
      <c r="E26" s="27" t="n">
        <v>890.6852970546323</v>
      </c>
      <c r="F26" s="27" t="n">
        <v>914.2854253502514</v>
      </c>
      <c r="G26" s="27" t="n">
        <v>908.1225779441033</v>
      </c>
      <c r="H26" s="27" t="n">
        <v>874.0845287460864</v>
      </c>
      <c r="I26" s="27" t="n">
        <v>832.0945073890252</v>
      </c>
      <c r="K26" s="31" t="inlineStr">
        <is>
          <t>Cohort Forecast</t>
        </is>
      </c>
    </row>
    <row r="27">
      <c r="B27" s="31" t="inlineStr">
        <is>
          <t>Third+ visits</t>
        </is>
      </c>
      <c r="D27" s="27" t="n">
        <v>531.7862518815856</v>
      </c>
      <c r="E27" s="27" t="n">
        <v>597.1681792464035</v>
      </c>
      <c r="F27" s="27" t="n">
        <v>641.2081894096615</v>
      </c>
      <c r="G27" s="27" t="n">
        <v>678.8278351121201</v>
      </c>
      <c r="H27" s="27" t="n">
        <v>699.7133537544644</v>
      </c>
      <c r="I27" s="27" t="n">
        <v>719.6010853467662</v>
      </c>
      <c r="K27" s="31" t="inlineStr">
        <is>
          <t>Cohort Forecast</t>
        </is>
      </c>
    </row>
    <row r="28">
      <c r="B28" s="31" t="inlineStr">
        <is>
          <t>Repeat-visit share</t>
        </is>
      </c>
      <c r="D28" s="26" t="n">
        <v>0.5847535339204457</v>
      </c>
      <c r="E28" s="26" t="n">
        <v>0.6199389484587648</v>
      </c>
      <c r="F28" s="26" t="n">
        <v>0.648122339483297</v>
      </c>
      <c r="G28" s="26" t="n">
        <v>0.6752980481090313</v>
      </c>
      <c r="H28" s="26" t="n">
        <v>0.6994657255558003</v>
      </c>
      <c r="I28" s="26" t="n">
        <v>0.7217188803422286</v>
      </c>
      <c r="K28" s="31" t="inlineStr">
        <is>
          <t>Cohort Forecast</t>
        </is>
      </c>
    </row>
    <row r="29">
      <c r="B29" s="31" t="inlineStr">
        <is>
          <t>Broader-work share</t>
        </is>
      </c>
      <c r="D29" s="26" t="n">
        <v>0.482034534664429</v>
      </c>
      <c r="E29" s="26" t="n">
        <v>0.4920966244919676</v>
      </c>
      <c r="F29" s="26" t="n">
        <v>0.5001258109270847</v>
      </c>
      <c r="G29" s="26" t="n">
        <v>0.507468025982326</v>
      </c>
      <c r="H29" s="26" t="n">
        <v>0.5137146326665539</v>
      </c>
      <c r="I29" s="26" t="n">
        <v>0.5191317901966747</v>
      </c>
      <c r="K29" s="31" t="inlineStr">
        <is>
          <t>Cohort Forecast</t>
        </is>
      </c>
    </row>
    <row r="30">
      <c r="B30" s="31" t="inlineStr">
        <is>
          <t>Stock: 2+ prior visits</t>
        </is>
      </c>
      <c r="D30" s="26" t="n">
        <v>0.3389598125284247</v>
      </c>
      <c r="E30" s="26" t="n">
        <v>0.3698727611769684</v>
      </c>
      <c r="F30" s="26" t="n">
        <v>0.3950243314939405</v>
      </c>
      <c r="G30" s="26" t="n">
        <v>0.4223346376437633</v>
      </c>
      <c r="H30" s="26" t="n">
        <v>0.4484421872568706</v>
      </c>
      <c r="I30" s="26" t="n">
        <v>0.4752697156346496</v>
      </c>
      <c r="K30" s="31" t="inlineStr">
        <is>
          <t>Cohort Forecast</t>
        </is>
      </c>
    </row>
    <row r="31">
      <c r="B31" s="31" t="inlineStr">
        <is>
          <t>Stock: 0 prior visits</t>
        </is>
      </c>
      <c r="D31" s="26" t="n">
        <v>0.3630179123687066</v>
      </c>
      <c r="E31" s="26" t="n">
        <v>0.3285042550982554</v>
      </c>
      <c r="F31" s="26" t="n">
        <v>0.3011020415740981</v>
      </c>
      <c r="G31" s="26" t="n">
        <v>0.2752098157057271</v>
      </c>
      <c r="H31" s="26" t="n">
        <v>0.2526944918653697</v>
      </c>
      <c r="I31" s="26" t="n">
        <v>0.2319029436564929</v>
      </c>
      <c r="K31" s="31" t="inlineStr">
        <is>
          <t>Cohort Forecast</t>
        </is>
      </c>
    </row>
    <row r="33">
      <c r="B33" s="150" t="inlineStr">
        <is>
          <t>Engine shop-visit history: completed intervals (scraped)</t>
        </is>
      </c>
      <c r="C33" s="151" t="n"/>
      <c r="D33" s="151" t="n"/>
      <c r="E33" s="151" t="n"/>
      <c r="F33" s="151" t="n"/>
      <c r="G33" s="151" t="n"/>
      <c r="H33" s="151" t="n"/>
      <c r="I33" s="151" t="n"/>
      <c r="J33" s="151" t="n"/>
      <c r="K33" s="151" t="n"/>
    </row>
    <row r="34">
      <c r="B34" s="152" t="inlineStr">
        <is>
          <t>ESN</t>
        </is>
      </c>
      <c r="C34" s="153" t="inlineStr">
        <is>
          <t>Model</t>
        </is>
      </c>
      <c r="D34" s="153" t="inlineStr">
        <is>
          <t>From</t>
        </is>
      </c>
      <c r="E34" s="153" t="inlineStr">
        <is>
          <t>To</t>
        </is>
      </c>
      <c r="F34" s="153" t="inlineStr">
        <is>
          <t>Scope (to)</t>
        </is>
      </c>
      <c r="G34" s="153" t="inlineStr">
        <is>
          <t>Years</t>
        </is>
      </c>
      <c r="H34" s="153" t="inlineStr">
        <is>
          <t>Cycles</t>
        </is>
      </c>
      <c r="I34" s="153" t="inlineStr">
        <is>
          <t>Major</t>
        </is>
      </c>
      <c r="J34" s="153" t="n"/>
      <c r="K34" s="153" t="inlineStr">
        <is>
          <t>Source</t>
        </is>
      </c>
    </row>
    <row r="35">
      <c r="B35" s="31" t="inlineStr">
        <is>
          <t>877356</t>
        </is>
      </c>
      <c r="C35" s="31" t="inlineStr">
        <is>
          <t>CFM56-7B27</t>
        </is>
      </c>
      <c r="D35" s="262" t="n">
        <v>39305</v>
      </c>
      <c r="E35" s="262" t="n">
        <v>41817</v>
      </c>
      <c r="F35" s="31" t="inlineStr">
        <is>
          <t>Not stated</t>
        </is>
      </c>
      <c r="G35" s="34">
        <f>(E35-D35)/365.25</f>
        <v/>
      </c>
      <c r="I35" s="35" t="n">
        <v>1</v>
      </c>
      <c r="K35" s="31" t="inlineStr">
        <is>
          <t>D042/D043</t>
        </is>
      </c>
    </row>
    <row r="36">
      <c r="B36" s="31" t="inlineStr">
        <is>
          <t>877356</t>
        </is>
      </c>
      <c r="C36" s="31" t="inlineStr">
        <is>
          <t>CFM56-7B27</t>
        </is>
      </c>
      <c r="D36" s="262" t="n">
        <v>41817</v>
      </c>
      <c r="E36" s="262" t="n">
        <v>43917</v>
      </c>
      <c r="F36" s="31" t="inlineStr">
        <is>
          <t>Not stated</t>
        </is>
      </c>
      <c r="G36" s="34">
        <f>(E36-D36)/365.25</f>
        <v/>
      </c>
      <c r="I36" s="35" t="n">
        <v>1</v>
      </c>
      <c r="K36" s="31" t="inlineStr">
        <is>
          <t>D043/D044</t>
        </is>
      </c>
    </row>
    <row r="37">
      <c r="B37" s="31" t="inlineStr">
        <is>
          <t>888804</t>
        </is>
      </c>
      <c r="C37" s="31" t="inlineStr">
        <is>
          <t>CFM56-7B27</t>
        </is>
      </c>
      <c r="D37" s="262" t="n">
        <v>42486</v>
      </c>
      <c r="E37" s="262" t="n">
        <v>44617</v>
      </c>
      <c r="F37" s="31" t="inlineStr">
        <is>
          <t>Not stated</t>
        </is>
      </c>
      <c r="G37" s="34">
        <f>(E37-D37)/365.25</f>
        <v/>
      </c>
      <c r="I37" s="35" t="n">
        <v>1</v>
      </c>
      <c r="K37" s="31" t="inlineStr">
        <is>
          <t>D040/D041</t>
        </is>
      </c>
    </row>
    <row r="38">
      <c r="B38" s="31" t="inlineStr">
        <is>
          <t>891647</t>
        </is>
      </c>
      <c r="C38" s="31" t="inlineStr">
        <is>
          <t>CFM56-7B24</t>
        </is>
      </c>
      <c r="D38" s="262" t="n">
        <v>40287</v>
      </c>
      <c r="E38" s="262" t="n">
        <v>40617</v>
      </c>
      <c r="F38" s="31" t="inlineStr">
        <is>
          <t>Oil leak repair</t>
        </is>
      </c>
      <c r="G38" s="34">
        <f>(E38-D38)/365.25</f>
        <v/>
      </c>
      <c r="I38" s="35" t="n">
        <v>0</v>
      </c>
      <c r="K38" s="31" t="inlineStr">
        <is>
          <t>D045/D046</t>
        </is>
      </c>
    </row>
    <row r="39">
      <c r="B39" s="31" t="inlineStr">
        <is>
          <t>891647</t>
        </is>
      </c>
      <c r="C39" s="31" t="inlineStr">
        <is>
          <t>CFM56-7B24</t>
        </is>
      </c>
      <c r="D39" s="262" t="n">
        <v>40617</v>
      </c>
      <c r="E39" s="262" t="n">
        <v>42331</v>
      </c>
      <c r="F39" s="31" t="inlineStr">
        <is>
          <t>Perf. restoration</t>
        </is>
      </c>
      <c r="G39" s="34">
        <f>(E39-D39)/365.25</f>
        <v/>
      </c>
      <c r="I39" s="35" t="n">
        <v>1</v>
      </c>
      <c r="K39" s="31" t="inlineStr">
        <is>
          <t>D046/D047</t>
        </is>
      </c>
    </row>
    <row r="40">
      <c r="B40" s="31" t="inlineStr">
        <is>
          <t>890669</t>
        </is>
      </c>
      <c r="C40" s="31" t="inlineStr">
        <is>
          <t>CFM56-7B24</t>
        </is>
      </c>
      <c r="D40" s="262" t="n">
        <v>40236</v>
      </c>
      <c r="E40" s="262" t="n">
        <v>41856</v>
      </c>
      <c r="F40" s="31" t="inlineStr">
        <is>
          <t>Perf. restoration</t>
        </is>
      </c>
      <c r="G40" s="34">
        <f>(E40-D40)/365.25</f>
        <v/>
      </c>
      <c r="I40" s="35" t="n">
        <v>1</v>
      </c>
      <c r="K40" s="31" t="inlineStr">
        <is>
          <t>D048/D049</t>
        </is>
      </c>
    </row>
    <row r="41">
      <c r="B41" s="31" t="inlineStr">
        <is>
          <t>890669</t>
        </is>
      </c>
      <c r="C41" s="31" t="inlineStr">
        <is>
          <t>CFM56-7B24</t>
        </is>
      </c>
      <c r="D41" s="262" t="n">
        <v>41856</v>
      </c>
      <c r="E41" s="262" t="n">
        <v>42912</v>
      </c>
      <c r="F41" s="31" t="inlineStr">
        <is>
          <t>Perf. restoration</t>
        </is>
      </c>
      <c r="G41" s="34">
        <f>(E41-D41)/365.25</f>
        <v/>
      </c>
      <c r="I41" s="35" t="n">
        <v>1</v>
      </c>
      <c r="K41" s="31" t="inlineStr">
        <is>
          <t>D049/D050</t>
        </is>
      </c>
    </row>
    <row r="42">
      <c r="B42" s="31" t="inlineStr">
        <is>
          <t>889728</t>
        </is>
      </c>
      <c r="C42" s="31" t="inlineStr">
        <is>
          <t>CFM56-7B22</t>
        </is>
      </c>
      <c r="D42" s="262" t="n">
        <v>39630</v>
      </c>
      <c r="E42" s="262" t="n">
        <v>41456</v>
      </c>
      <c r="F42" s="31" t="inlineStr">
        <is>
          <t>Not stated</t>
        </is>
      </c>
      <c r="G42" s="34">
        <f>(E42-D42)/365.25</f>
        <v/>
      </c>
      <c r="I42" s="35" t="n">
        <v>1</v>
      </c>
      <c r="K42" s="31" t="inlineStr">
        <is>
          <t>D024/D025</t>
        </is>
      </c>
    </row>
    <row r="43">
      <c r="B43" s="31" t="inlineStr">
        <is>
          <t>894206</t>
        </is>
      </c>
      <c r="C43" s="31" t="inlineStr">
        <is>
          <t>CFM56-7B24</t>
        </is>
      </c>
      <c r="D43" s="262" t="n">
        <v>41239</v>
      </c>
      <c r="E43" s="262" t="n">
        <v>42114</v>
      </c>
      <c r="F43" s="31" t="inlineStr">
        <is>
          <t>Repair</t>
        </is>
      </c>
      <c r="G43" s="34">
        <f>(E43-D43)/365.25</f>
        <v/>
      </c>
      <c r="H43" s="27" t="n">
        <v>4649</v>
      </c>
      <c r="I43" s="35" t="n">
        <v>0</v>
      </c>
      <c r="K43" s="31" t="inlineStr">
        <is>
          <t>E02</t>
        </is>
      </c>
    </row>
    <row r="44">
      <c r="B44" s="31" t="inlineStr">
        <is>
          <t>894206</t>
        </is>
      </c>
      <c r="C44" s="31" t="inlineStr">
        <is>
          <t>CFM56-7B24</t>
        </is>
      </c>
      <c r="D44" s="262" t="n">
        <v>42114</v>
      </c>
      <c r="E44" s="262" t="n">
        <v>42555</v>
      </c>
      <c r="F44" s="31" t="inlineStr">
        <is>
          <t>Repair</t>
        </is>
      </c>
      <c r="G44" s="34">
        <f>(E44-D44)/365.25</f>
        <v/>
      </c>
      <c r="H44" s="27" t="n">
        <v>2821</v>
      </c>
      <c r="I44" s="35" t="n">
        <v>0</v>
      </c>
      <c r="K44" s="31" t="inlineStr">
        <is>
          <t>E02</t>
        </is>
      </c>
    </row>
    <row r="45">
      <c r="B45" s="31" t="inlineStr">
        <is>
          <t>894206</t>
        </is>
      </c>
      <c r="C45" s="31" t="inlineStr">
        <is>
          <t>CFM56-7B24</t>
        </is>
      </c>
      <c r="D45" s="262" t="n">
        <v>42555</v>
      </c>
      <c r="E45" s="262" t="n">
        <v>44033</v>
      </c>
      <c r="F45" s="31" t="inlineStr">
        <is>
          <t>Overhaul</t>
        </is>
      </c>
      <c r="G45" s="34">
        <f>(E45-D45)/365.25</f>
        <v/>
      </c>
      <c r="H45" s="27" t="n">
        <v>5018</v>
      </c>
      <c r="I45" s="35" t="n">
        <v>1</v>
      </c>
      <c r="K45" s="31" t="inlineStr">
        <is>
          <t>E02</t>
        </is>
      </c>
    </row>
    <row r="46">
      <c r="B46" s="31" t="inlineStr">
        <is>
          <t>894207</t>
        </is>
      </c>
      <c r="C46" s="31" t="inlineStr">
        <is>
          <t>CFM56-7B24</t>
        </is>
      </c>
      <c r="D46" s="262" t="n">
        <v>41537</v>
      </c>
      <c r="E46" s="262" t="n">
        <v>42726</v>
      </c>
      <c r="F46" s="31" t="inlineStr">
        <is>
          <t>Repair</t>
        </is>
      </c>
      <c r="G46" s="34">
        <f>(E46-D46)/365.25</f>
        <v/>
      </c>
      <c r="H46" s="27" t="n">
        <v>6767</v>
      </c>
      <c r="I46" s="35" t="n">
        <v>0</v>
      </c>
      <c r="K46" s="31" t="inlineStr">
        <is>
          <t>E02</t>
        </is>
      </c>
    </row>
    <row r="47">
      <c r="B47" s="31" t="inlineStr">
        <is>
          <t>894207</t>
        </is>
      </c>
      <c r="C47" s="31" t="inlineStr">
        <is>
          <t>CFM56-7B24</t>
        </is>
      </c>
      <c r="D47" s="262" t="n">
        <v>42726</v>
      </c>
      <c r="E47" s="262" t="n">
        <v>43994</v>
      </c>
      <c r="F47" s="31" t="inlineStr">
        <is>
          <t>Overhaul</t>
        </is>
      </c>
      <c r="G47" s="34">
        <f>(E47-D47)/365.25</f>
        <v/>
      </c>
      <c r="H47" s="27" t="n">
        <v>6422</v>
      </c>
      <c r="I47" s="35" t="n">
        <v>1</v>
      </c>
      <c r="K47" s="31" t="inlineStr">
        <is>
          <t>E02</t>
        </is>
      </c>
    </row>
    <row r="48">
      <c r="B48" s="31" t="inlineStr">
        <is>
          <t>894207</t>
        </is>
      </c>
      <c r="C48" s="31" t="inlineStr">
        <is>
          <t>CFM56-7B24</t>
        </is>
      </c>
      <c r="D48" s="262" t="n">
        <v>43994</v>
      </c>
      <c r="E48" s="262" t="n">
        <v>45217</v>
      </c>
      <c r="F48" s="31" t="inlineStr">
        <is>
          <t>Overhaul</t>
        </is>
      </c>
      <c r="G48" s="34">
        <f>(E48-D48)/365.25</f>
        <v/>
      </c>
      <c r="H48" s="27" t="n">
        <v>2857</v>
      </c>
      <c r="I48" s="35" t="n">
        <v>1</v>
      </c>
      <c r="K48" s="31" t="inlineStr">
        <is>
          <t>E02</t>
        </is>
      </c>
    </row>
    <row r="50">
      <c r="B50" s="150" t="inlineStr">
        <is>
          <t>Engine shop-visit history: major-to-major intervals</t>
        </is>
      </c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</row>
    <row r="51">
      <c r="B51" s="152" t="inlineStr">
        <is>
          <t>ESN</t>
        </is>
      </c>
      <c r="C51" s="153" t="inlineStr">
        <is>
          <t>Model</t>
        </is>
      </c>
      <c r="D51" s="153" t="inlineStr">
        <is>
          <t>From</t>
        </is>
      </c>
      <c r="E51" s="153" t="inlineStr">
        <is>
          <t>To</t>
        </is>
      </c>
      <c r="F51" s="153" t="n"/>
      <c r="G51" s="153" t="inlineStr">
        <is>
          <t>Years</t>
        </is>
      </c>
      <c r="H51" s="153" t="inlineStr">
        <is>
          <t>Cycles</t>
        </is>
      </c>
      <c r="I51" s="153" t="n"/>
      <c r="J51" s="153" t="n"/>
      <c r="K51" s="153" t="inlineStr">
        <is>
          <t>Source</t>
        </is>
      </c>
    </row>
    <row r="52">
      <c r="B52" s="31" t="inlineStr">
        <is>
          <t>877356</t>
        </is>
      </c>
      <c r="C52" s="31" t="inlineStr">
        <is>
          <t>CFM56-7B27</t>
        </is>
      </c>
      <c r="D52" s="262" t="n">
        <v>39305</v>
      </c>
      <c r="E52" s="262" t="n">
        <v>41817</v>
      </c>
      <c r="G52" s="34">
        <f>(E52-D52)/365.25</f>
        <v/>
      </c>
      <c r="K52" s="31" t="inlineStr">
        <is>
          <t>D042/D043</t>
        </is>
      </c>
    </row>
    <row r="53">
      <c r="B53" s="31" t="inlineStr">
        <is>
          <t>877356</t>
        </is>
      </c>
      <c r="C53" s="31" t="inlineStr">
        <is>
          <t>CFM56-7B27</t>
        </is>
      </c>
      <c r="D53" s="262" t="n">
        <v>41817</v>
      </c>
      <c r="E53" s="262" t="n">
        <v>43917</v>
      </c>
      <c r="G53" s="34">
        <f>(E53-D53)/365.25</f>
        <v/>
      </c>
      <c r="K53" s="31" t="inlineStr">
        <is>
          <t>D043/D044</t>
        </is>
      </c>
    </row>
    <row r="54">
      <c r="B54" s="31" t="inlineStr">
        <is>
          <t>888804</t>
        </is>
      </c>
      <c r="C54" s="31" t="inlineStr">
        <is>
          <t>CFM56-7B27</t>
        </is>
      </c>
      <c r="D54" s="262" t="n">
        <v>42486</v>
      </c>
      <c r="E54" s="262" t="n">
        <v>44617</v>
      </c>
      <c r="G54" s="34">
        <f>(E54-D54)/365.25</f>
        <v/>
      </c>
      <c r="K54" s="31" t="inlineStr">
        <is>
          <t>D040/D041</t>
        </is>
      </c>
    </row>
    <row r="55">
      <c r="B55" s="31" t="inlineStr">
        <is>
          <t>891647</t>
        </is>
      </c>
      <c r="C55" s="31" t="inlineStr">
        <is>
          <t>CFM56-7B24</t>
        </is>
      </c>
      <c r="D55" s="262" t="n">
        <v>40287</v>
      </c>
      <c r="E55" s="262" t="n">
        <v>42331</v>
      </c>
      <c r="G55" s="34">
        <f>(E55-D55)/365.25</f>
        <v/>
      </c>
      <c r="K55" s="31" t="inlineStr">
        <is>
          <t>D045/D047</t>
        </is>
      </c>
    </row>
    <row r="56">
      <c r="B56" s="31" t="inlineStr">
        <is>
          <t>890669</t>
        </is>
      </c>
      <c r="C56" s="31" t="inlineStr">
        <is>
          <t>CFM56-7B24</t>
        </is>
      </c>
      <c r="D56" s="262" t="n">
        <v>40236</v>
      </c>
      <c r="E56" s="262" t="n">
        <v>41856</v>
      </c>
      <c r="G56" s="34">
        <f>(E56-D56)/365.25</f>
        <v/>
      </c>
      <c r="K56" s="31" t="inlineStr">
        <is>
          <t>D048/D049</t>
        </is>
      </c>
    </row>
    <row r="57">
      <c r="B57" s="31" t="inlineStr">
        <is>
          <t>890669</t>
        </is>
      </c>
      <c r="C57" s="31" t="inlineStr">
        <is>
          <t>CFM56-7B24</t>
        </is>
      </c>
      <c r="D57" s="262" t="n">
        <v>41856</v>
      </c>
      <c r="E57" s="262" t="n">
        <v>42912</v>
      </c>
      <c r="G57" s="34">
        <f>(E57-D57)/365.25</f>
        <v/>
      </c>
      <c r="K57" s="31" t="inlineStr">
        <is>
          <t>D049/D050</t>
        </is>
      </c>
    </row>
    <row r="58">
      <c r="B58" s="31" t="inlineStr">
        <is>
          <t>889728</t>
        </is>
      </c>
      <c r="C58" s="31" t="inlineStr">
        <is>
          <t>CFM56-7B22</t>
        </is>
      </c>
      <c r="D58" s="262" t="n">
        <v>39630</v>
      </c>
      <c r="E58" s="262" t="n">
        <v>41456</v>
      </c>
      <c r="G58" s="34">
        <f>(E58-D58)/365.25</f>
        <v/>
      </c>
      <c r="K58" s="31" t="inlineStr">
        <is>
          <t>D024/D025</t>
        </is>
      </c>
    </row>
    <row r="59">
      <c r="B59" s="31" t="inlineStr">
        <is>
          <t>894207</t>
        </is>
      </c>
      <c r="C59" s="31" t="inlineStr">
        <is>
          <t>CFM56-7B24</t>
        </is>
      </c>
      <c r="D59" s="262" t="n">
        <v>41537</v>
      </c>
      <c r="E59" s="262" t="n">
        <v>43994</v>
      </c>
      <c r="G59" s="34">
        <f>(E59-D59)/365.25</f>
        <v/>
      </c>
      <c r="H59" s="27" t="n">
        <v>13189</v>
      </c>
      <c r="K59" s="31" t="inlineStr">
        <is>
          <t>E02</t>
        </is>
      </c>
    </row>
    <row r="60">
      <c r="B60" s="31" t="inlineStr">
        <is>
          <t>894207</t>
        </is>
      </c>
      <c r="C60" s="31" t="inlineStr">
        <is>
          <t>CFM56-7B24</t>
        </is>
      </c>
      <c r="D60" s="262" t="n">
        <v>43994</v>
      </c>
      <c r="E60" s="262" t="n">
        <v>45217</v>
      </c>
      <c r="G60" s="34">
        <f>(E60-D60)/365.25</f>
        <v/>
      </c>
      <c r="H60" s="27" t="n">
        <v>2857</v>
      </c>
      <c r="K60" s="31" t="inlineStr">
        <is>
          <t>E02</t>
        </is>
      </c>
    </row>
    <row r="62">
      <c r="B62" s="150" t="inlineStr">
        <is>
          <t>Time on wing since last shop visit at snapshot (scraped)</t>
        </is>
      </c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</row>
    <row r="63">
      <c r="B63" s="152" t="inlineStr">
        <is>
          <t>ESN</t>
        </is>
      </c>
      <c r="C63" s="153" t="inlineStr">
        <is>
          <t>Model</t>
        </is>
      </c>
      <c r="D63" s="153" t="inlineStr">
        <is>
          <t>Last visit</t>
        </is>
      </c>
      <c r="E63" s="153" t="inlineStr">
        <is>
          <t>Snapshot</t>
        </is>
      </c>
      <c r="F63" s="153" t="inlineStr">
        <is>
          <t>Scope</t>
        </is>
      </c>
      <c r="G63" s="153" t="inlineStr">
        <is>
          <t>Years</t>
        </is>
      </c>
      <c r="H63" s="153" t="inlineStr">
        <is>
          <t>Cycles</t>
        </is>
      </c>
      <c r="I63" s="153" t="inlineStr">
        <is>
          <t>Hours</t>
        </is>
      </c>
      <c r="J63" s="153" t="n"/>
      <c r="K63" s="153" t="inlineStr">
        <is>
          <t>Source</t>
        </is>
      </c>
    </row>
    <row r="64">
      <c r="B64" s="31" t="inlineStr">
        <is>
          <t>875134</t>
        </is>
      </c>
      <c r="C64" s="31" t="inlineStr">
        <is>
          <t>CFM56-7B24</t>
        </is>
      </c>
      <c r="D64" s="262" t="n">
        <v>41227</v>
      </c>
      <c r="E64" s="262" t="n">
        <v>43207</v>
      </c>
      <c r="F64" s="31" t="inlineStr">
        <is>
          <t>Overhaul</t>
        </is>
      </c>
      <c r="G64" s="34">
        <f>(E64-D64)/365.25</f>
        <v/>
      </c>
      <c r="H64" s="27" t="n">
        <v>10712</v>
      </c>
      <c r="I64" s="27" t="n">
        <v>18088</v>
      </c>
      <c r="K64" s="31" t="inlineStr">
        <is>
          <t>D007</t>
        </is>
      </c>
    </row>
    <row r="65">
      <c r="B65" s="31" t="inlineStr">
        <is>
          <t>889632</t>
        </is>
      </c>
      <c r="C65" s="31" t="inlineStr">
        <is>
          <t>CFM56-7B24</t>
        </is>
      </c>
      <c r="D65" s="262" t="n">
        <v>40060</v>
      </c>
      <c r="E65" s="262" t="n">
        <v>43207</v>
      </c>
      <c r="F65" s="31" t="inlineStr">
        <is>
          <t>Overhaul</t>
        </is>
      </c>
      <c r="G65" s="34">
        <f>(E65-D65)/365.25</f>
        <v/>
      </c>
      <c r="H65" s="27" t="n">
        <v>17201</v>
      </c>
      <c r="I65" s="27" t="n">
        <v>28954</v>
      </c>
      <c r="K65" s="31" t="inlineStr">
        <is>
          <t>D008</t>
        </is>
      </c>
    </row>
    <row r="66">
      <c r="B66" s="31" t="inlineStr">
        <is>
          <t>891647</t>
        </is>
      </c>
      <c r="C66" s="31" t="inlineStr">
        <is>
          <t>CFM56-7B24</t>
        </is>
      </c>
      <c r="D66" s="262" t="n">
        <v>42331</v>
      </c>
      <c r="E66" s="262" t="n">
        <v>44413</v>
      </c>
      <c r="F66" s="31" t="inlineStr">
        <is>
          <t>Perf. restoration</t>
        </is>
      </c>
      <c r="G66" s="34">
        <f>(E66-D66)/365.25</f>
        <v/>
      </c>
      <c r="H66" s="27" t="n">
        <v>9585</v>
      </c>
      <c r="I66" s="27" t="n">
        <v>19505</v>
      </c>
      <c r="K66" s="31" t="inlineStr">
        <is>
          <t>D047</t>
        </is>
      </c>
    </row>
    <row r="67">
      <c r="B67" s="31" t="inlineStr">
        <is>
          <t>890669</t>
        </is>
      </c>
      <c r="C67" s="31" t="inlineStr">
        <is>
          <t>CFM56-7B24</t>
        </is>
      </c>
      <c r="D67" s="262" t="n">
        <v>42912</v>
      </c>
      <c r="E67" s="262" t="n">
        <v>44404</v>
      </c>
      <c r="F67" s="31" t="inlineStr">
        <is>
          <t>Perf. restoration</t>
        </is>
      </c>
      <c r="G67" s="34">
        <f>(E67-D67)/365.25</f>
        <v/>
      </c>
      <c r="H67" s="27" t="n">
        <v>6854</v>
      </c>
      <c r="I67" s="27" t="n">
        <v>10841</v>
      </c>
      <c r="K67" s="31" t="inlineStr">
        <is>
          <t>D050</t>
        </is>
      </c>
    </row>
    <row r="69">
      <c r="B69" s="150" t="inlineStr">
        <is>
          <t>Engine utilization: repeated FAA reports, same ESN (scraped)</t>
        </is>
      </c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</row>
    <row r="70">
      <c r="B70" s="152" t="inlineStr">
        <is>
          <t>ESN</t>
        </is>
      </c>
      <c r="C70" s="153" t="inlineStr">
        <is>
          <t>Family</t>
        </is>
      </c>
      <c r="D70" s="153" t="inlineStr">
        <is>
          <t>First report</t>
        </is>
      </c>
      <c r="E70" s="153" t="inlineStr">
        <is>
          <t>Last report</t>
        </is>
      </c>
      <c r="F70" s="153" t="n"/>
      <c r="G70" s="153" t="inlineStr">
        <is>
          <t>Years</t>
        </is>
      </c>
      <c r="H70" s="153" t="inlineStr">
        <is>
          <t>Cycles start</t>
        </is>
      </c>
      <c r="I70" s="153" t="inlineStr">
        <is>
          <t>Cycles end</t>
        </is>
      </c>
      <c r="J70" s="153" t="inlineStr">
        <is>
          <t>Cycles / yr</t>
        </is>
      </c>
      <c r="K70" s="153" t="inlineStr">
        <is>
          <t>Hours / yr</t>
        </is>
      </c>
    </row>
    <row r="71">
      <c r="B71" s="31" t="inlineStr">
        <is>
          <t>569208</t>
        </is>
      </c>
      <c r="C71" s="31" t="inlineStr">
        <is>
          <t>CFM56-5B</t>
        </is>
      </c>
      <c r="D71" s="262" t="n">
        <v>44688</v>
      </c>
      <c r="E71" s="262" t="n">
        <v>45586</v>
      </c>
      <c r="G71" s="34">
        <f>(E71-D71)/365.25</f>
        <v/>
      </c>
      <c r="H71" s="27" t="n">
        <v>12889</v>
      </c>
      <c r="I71" s="27" t="n">
        <v>18103</v>
      </c>
      <c r="J71" s="28">
        <f>(I71-H71)/G71</f>
        <v/>
      </c>
      <c r="K71" s="27" t="n">
        <v>2494</v>
      </c>
    </row>
    <row r="72">
      <c r="B72" s="31" t="inlineStr">
        <is>
          <t>569578</t>
        </is>
      </c>
      <c r="C72" s="31" t="inlineStr">
        <is>
          <t>CFM56-5B</t>
        </is>
      </c>
      <c r="D72" s="262" t="n">
        <v>45182</v>
      </c>
      <c r="E72" s="262" t="n">
        <v>46251</v>
      </c>
      <c r="G72" s="34">
        <f>(E72-D72)/365.25</f>
        <v/>
      </c>
      <c r="H72" s="27" t="n">
        <v>14669</v>
      </c>
      <c r="I72" s="27" t="n">
        <v>17526</v>
      </c>
      <c r="J72" s="28">
        <f>(I72-H72)/G72</f>
        <v/>
      </c>
      <c r="K72" s="27" t="n">
        <v>1204</v>
      </c>
    </row>
    <row r="73">
      <c r="B73" s="31" t="inlineStr">
        <is>
          <t>569976</t>
        </is>
      </c>
      <c r="C73" s="31" t="inlineStr">
        <is>
          <t>CFM56-5B</t>
        </is>
      </c>
      <c r="D73" s="262" t="n">
        <v>44606</v>
      </c>
      <c r="E73" s="262" t="n">
        <v>45888</v>
      </c>
      <c r="G73" s="34">
        <f>(E73-D73)/365.25</f>
        <v/>
      </c>
      <c r="H73" s="27" t="n">
        <v>11002</v>
      </c>
      <c r="I73" s="27" t="n">
        <v>17188</v>
      </c>
      <c r="J73" s="28">
        <f>(I73-H73)/G73</f>
        <v/>
      </c>
      <c r="K73" s="27" t="n">
        <v>2333</v>
      </c>
    </row>
    <row r="74">
      <c r="B74" s="31" t="inlineStr">
        <is>
          <t>569982</t>
        </is>
      </c>
      <c r="C74" s="31" t="inlineStr">
        <is>
          <t>CFM56-5B</t>
        </is>
      </c>
      <c r="D74" s="262" t="n">
        <v>44343</v>
      </c>
      <c r="E74" s="262" t="n">
        <v>45006</v>
      </c>
      <c r="G74" s="34">
        <f>(E74-D74)/365.25</f>
        <v/>
      </c>
      <c r="H74" s="27" t="n">
        <v>9257</v>
      </c>
      <c r="I74" s="27" t="n">
        <v>12502</v>
      </c>
      <c r="J74" s="28">
        <f>(I74-H74)/G74</f>
        <v/>
      </c>
      <c r="K74" s="27" t="n">
        <v>2748</v>
      </c>
    </row>
    <row r="75">
      <c r="B75" s="31" t="inlineStr">
        <is>
          <t>573199</t>
        </is>
      </c>
      <c r="C75" s="31" t="inlineStr">
        <is>
          <t>CFM56-5B</t>
        </is>
      </c>
      <c r="D75" s="262" t="n">
        <v>44646</v>
      </c>
      <c r="E75" s="262" t="n">
        <v>45642</v>
      </c>
      <c r="G75" s="34">
        <f>(E75-D75)/365.25</f>
        <v/>
      </c>
      <c r="H75" s="27" t="n">
        <v>10607</v>
      </c>
      <c r="I75" s="27" t="n">
        <v>16146</v>
      </c>
      <c r="J75" s="28">
        <f>(I75-H75)/G75</f>
        <v/>
      </c>
      <c r="K75" s="27" t="n">
        <v>2881</v>
      </c>
    </row>
    <row r="76">
      <c r="B76" s="31" t="inlineStr">
        <is>
          <t>573261</t>
        </is>
      </c>
      <c r="C76" s="31" t="inlineStr">
        <is>
          <t>CFM56-5B</t>
        </is>
      </c>
      <c r="D76" s="262" t="n">
        <v>42969</v>
      </c>
      <c r="E76" s="262" t="n">
        <v>44664</v>
      </c>
      <c r="G76" s="34">
        <f>(E76-D76)/365.25</f>
        <v/>
      </c>
      <c r="H76" s="27" t="n">
        <v>2657</v>
      </c>
      <c r="I76" s="27" t="n">
        <v>8568</v>
      </c>
      <c r="J76" s="28">
        <f>(I76-H76)/G76</f>
        <v/>
      </c>
      <c r="K76" s="27" t="n">
        <v>3007</v>
      </c>
    </row>
    <row r="77">
      <c r="B77" s="31" t="inlineStr">
        <is>
          <t>573511</t>
        </is>
      </c>
      <c r="C77" s="31" t="inlineStr">
        <is>
          <t>CFM56-5B</t>
        </is>
      </c>
      <c r="D77" s="262" t="n">
        <v>45072</v>
      </c>
      <c r="E77" s="262" t="n">
        <v>45881</v>
      </c>
      <c r="G77" s="34">
        <f>(E77-D77)/365.25</f>
        <v/>
      </c>
      <c r="H77" s="27" t="n">
        <v>12543</v>
      </c>
      <c r="I77" s="27" t="n">
        <v>17226</v>
      </c>
      <c r="J77" s="28">
        <f>(I77-H77)/G77</f>
        <v/>
      </c>
      <c r="K77" s="27" t="n">
        <v>2760</v>
      </c>
    </row>
    <row r="78">
      <c r="B78" s="31" t="inlineStr">
        <is>
          <t>573955</t>
        </is>
      </c>
      <c r="C78" s="31" t="inlineStr">
        <is>
          <t>CFM56-5B</t>
        </is>
      </c>
      <c r="D78" s="262" t="n">
        <v>44532</v>
      </c>
      <c r="E78" s="262" t="n">
        <v>45889</v>
      </c>
      <c r="G78" s="34">
        <f>(E78-D78)/365.25</f>
        <v/>
      </c>
      <c r="H78" s="27" t="n">
        <v>6012</v>
      </c>
      <c r="I78" s="27" t="n">
        <v>19700</v>
      </c>
      <c r="J78" s="28">
        <f>(I78-H78)/G78</f>
        <v/>
      </c>
      <c r="K78" s="27" t="n">
        <v>8535</v>
      </c>
    </row>
    <row r="79">
      <c r="B79" s="31" t="inlineStr">
        <is>
          <t>575103</t>
        </is>
      </c>
      <c r="C79" s="31" t="inlineStr">
        <is>
          <t>CFM56-5B</t>
        </is>
      </c>
      <c r="D79" s="262" t="n">
        <v>40640</v>
      </c>
      <c r="E79" s="262" t="n">
        <v>42780</v>
      </c>
      <c r="G79" s="34">
        <f>(E79-D79)/365.25</f>
        <v/>
      </c>
      <c r="H79" s="27" t="n">
        <v>11660</v>
      </c>
      <c r="I79" s="27" t="n">
        <v>18830</v>
      </c>
      <c r="J79" s="28">
        <f>(I79-H79)/G79</f>
        <v/>
      </c>
      <c r="K79" s="27" t="n">
        <v>2788</v>
      </c>
    </row>
    <row r="80">
      <c r="B80" s="31" t="inlineStr">
        <is>
          <t>575114</t>
        </is>
      </c>
      <c r="C80" s="31" t="inlineStr">
        <is>
          <t>CFM56-5B</t>
        </is>
      </c>
      <c r="D80" s="262" t="n">
        <v>44517</v>
      </c>
      <c r="E80" s="262" t="n">
        <v>45316</v>
      </c>
      <c r="G80" s="34">
        <f>(E80-D80)/365.25</f>
        <v/>
      </c>
      <c r="H80" s="27" t="n">
        <v>28811</v>
      </c>
      <c r="I80" s="27" t="n">
        <v>30707</v>
      </c>
      <c r="J80" s="28">
        <f>(I80-H80)/G80</f>
        <v/>
      </c>
      <c r="K80" s="27" t="n">
        <v>1637</v>
      </c>
    </row>
    <row r="81">
      <c r="B81" s="31" t="inlineStr">
        <is>
          <t>575115</t>
        </is>
      </c>
      <c r="C81" s="31" t="inlineStr">
        <is>
          <t>CFM56-5B</t>
        </is>
      </c>
      <c r="D81" s="262" t="n">
        <v>41687</v>
      </c>
      <c r="E81" s="262" t="n">
        <v>44670</v>
      </c>
      <c r="G81" s="34">
        <f>(E81-D81)/365.25</f>
        <v/>
      </c>
      <c r="H81" s="27" t="n">
        <v>18385</v>
      </c>
      <c r="I81" s="27" t="n">
        <v>27508</v>
      </c>
      <c r="J81" s="28">
        <f>(I81-H81)/G81</f>
        <v/>
      </c>
      <c r="K81" s="27" t="n">
        <v>1995</v>
      </c>
    </row>
    <row r="82">
      <c r="B82" s="31" t="inlineStr">
        <is>
          <t>575124</t>
        </is>
      </c>
      <c r="C82" s="31" t="inlineStr">
        <is>
          <t>CFM56-5B</t>
        </is>
      </c>
      <c r="D82" s="262" t="n">
        <v>43845</v>
      </c>
      <c r="E82" s="262" t="n">
        <v>44877</v>
      </c>
      <c r="G82" s="34">
        <f>(E82-D82)/365.25</f>
        <v/>
      </c>
      <c r="H82" s="27" t="n">
        <v>28421</v>
      </c>
      <c r="I82" s="27" t="n">
        <v>32229</v>
      </c>
      <c r="J82" s="28">
        <f>(I82-H82)/G82</f>
        <v/>
      </c>
      <c r="K82" s="27" t="n">
        <v>2228</v>
      </c>
    </row>
    <row r="83">
      <c r="B83" s="31" t="inlineStr">
        <is>
          <t>575125</t>
        </is>
      </c>
      <c r="C83" s="31" t="inlineStr">
        <is>
          <t>CFM56-5B</t>
        </is>
      </c>
      <c r="D83" s="262" t="n">
        <v>43590</v>
      </c>
      <c r="E83" s="262" t="n">
        <v>44911</v>
      </c>
      <c r="G83" s="34">
        <f>(E83-D83)/365.25</f>
        <v/>
      </c>
      <c r="H83" s="27" t="n">
        <v>22539</v>
      </c>
      <c r="I83" s="27" t="n">
        <v>26712</v>
      </c>
      <c r="J83" s="28">
        <f>(I83-H83)/G83</f>
        <v/>
      </c>
      <c r="K83" s="27" t="n">
        <v>2341</v>
      </c>
    </row>
    <row r="84">
      <c r="B84" s="31" t="inlineStr">
        <is>
          <t>575146</t>
        </is>
      </c>
      <c r="C84" s="31" t="inlineStr">
        <is>
          <t>CFM56-5B</t>
        </is>
      </c>
      <c r="D84" s="262" t="n">
        <v>43824</v>
      </c>
      <c r="E84" s="262" t="n">
        <v>45853</v>
      </c>
      <c r="G84" s="34">
        <f>(E84-D84)/365.25</f>
        <v/>
      </c>
      <c r="H84" s="27" t="n">
        <v>21885</v>
      </c>
      <c r="I84" s="27" t="n">
        <v>27663</v>
      </c>
      <c r="J84" s="28">
        <f>(I84-H84)/G84</f>
        <v/>
      </c>
      <c r="K84" s="27" t="n">
        <v>2427</v>
      </c>
    </row>
    <row r="85">
      <c r="B85" s="31" t="inlineStr">
        <is>
          <t>575194</t>
        </is>
      </c>
      <c r="C85" s="31" t="inlineStr">
        <is>
          <t>CFM56-5B</t>
        </is>
      </c>
      <c r="D85" s="262" t="n">
        <v>38880</v>
      </c>
      <c r="E85" s="262" t="n">
        <v>40988</v>
      </c>
      <c r="G85" s="34">
        <f>(E85-D85)/365.25</f>
        <v/>
      </c>
      <c r="H85" s="27" t="n">
        <v>8138</v>
      </c>
      <c r="I85" s="27" t="n">
        <v>17473</v>
      </c>
      <c r="J85" s="28">
        <f>(I85-H85)/G85</f>
        <v/>
      </c>
      <c r="K85" s="27" t="n">
        <v>3256</v>
      </c>
    </row>
    <row r="86">
      <c r="B86" s="31" t="inlineStr">
        <is>
          <t>575197</t>
        </is>
      </c>
      <c r="C86" s="31" t="inlineStr">
        <is>
          <t>CFM56-5B</t>
        </is>
      </c>
      <c r="D86" s="262" t="n">
        <v>44779</v>
      </c>
      <c r="E86" s="262" t="n">
        <v>45316</v>
      </c>
      <c r="G86" s="34">
        <f>(E86-D86)/365.25</f>
        <v/>
      </c>
      <c r="H86" s="27" t="n">
        <v>29771</v>
      </c>
      <c r="I86" s="27" t="n">
        <v>31342</v>
      </c>
      <c r="J86" s="28">
        <f>(I86-H86)/G86</f>
        <v/>
      </c>
      <c r="K86" s="27" t="n">
        <v>2167</v>
      </c>
    </row>
    <row r="87">
      <c r="B87" s="31" t="inlineStr">
        <is>
          <t>575208</t>
        </is>
      </c>
      <c r="C87" s="31" t="inlineStr">
        <is>
          <t>CFM56-5B</t>
        </is>
      </c>
      <c r="D87" s="262" t="n">
        <v>41473</v>
      </c>
      <c r="E87" s="262" t="n">
        <v>42757</v>
      </c>
      <c r="G87" s="34">
        <f>(E87-D87)/365.25</f>
        <v/>
      </c>
      <c r="H87" s="27" t="n">
        <v>16266</v>
      </c>
      <c r="I87" s="27" t="n">
        <v>19649</v>
      </c>
      <c r="J87" s="28">
        <f>(I87-H87)/G87</f>
        <v/>
      </c>
      <c r="K87" s="27" t="n">
        <v>1664</v>
      </c>
    </row>
    <row r="88">
      <c r="B88" s="31" t="inlineStr">
        <is>
          <t>575209</t>
        </is>
      </c>
      <c r="C88" s="31" t="inlineStr">
        <is>
          <t>CFM56-5B</t>
        </is>
      </c>
      <c r="D88" s="262" t="n">
        <v>41308</v>
      </c>
      <c r="E88" s="262" t="n">
        <v>44919</v>
      </c>
      <c r="G88" s="34">
        <f>(E88-D88)/365.25</f>
        <v/>
      </c>
      <c r="H88" s="27" t="n">
        <v>14712</v>
      </c>
      <c r="I88" s="27" t="n">
        <v>27347</v>
      </c>
      <c r="J88" s="28">
        <f>(I88-H88)/G88</f>
        <v/>
      </c>
      <c r="K88" s="27" t="n">
        <v>2396</v>
      </c>
    </row>
    <row r="89">
      <c r="B89" s="31" t="inlineStr">
        <is>
          <t>575219</t>
        </is>
      </c>
      <c r="C89" s="31" t="inlineStr">
        <is>
          <t>CFM56-5B</t>
        </is>
      </c>
      <c r="D89" s="262" t="n">
        <v>42723</v>
      </c>
      <c r="E89" s="262" t="n">
        <v>45392</v>
      </c>
      <c r="G89" s="34">
        <f>(E89-D89)/365.25</f>
        <v/>
      </c>
      <c r="H89" s="27" t="n">
        <v>19523</v>
      </c>
      <c r="I89" s="27" t="n">
        <v>27686</v>
      </c>
      <c r="J89" s="28">
        <f>(I89-H89)/G89</f>
        <v/>
      </c>
      <c r="K89" s="27" t="n">
        <v>2669</v>
      </c>
    </row>
    <row r="90">
      <c r="B90" s="31" t="inlineStr">
        <is>
          <t>575363</t>
        </is>
      </c>
      <c r="C90" s="31" t="inlineStr">
        <is>
          <t>CFM56-5B</t>
        </is>
      </c>
      <c r="D90" s="262" t="n">
        <v>40332</v>
      </c>
      <c r="E90" s="262" t="n">
        <v>44508</v>
      </c>
      <c r="G90" s="34">
        <f>(E90-D90)/365.25</f>
        <v/>
      </c>
      <c r="H90" s="27" t="n">
        <v>13839</v>
      </c>
      <c r="I90" s="27" t="n">
        <v>28499</v>
      </c>
      <c r="J90" s="28">
        <f>(I90-H90)/G90</f>
        <v/>
      </c>
      <c r="K90" s="27" t="n">
        <v>2554</v>
      </c>
    </row>
    <row r="91">
      <c r="B91" s="31" t="inlineStr">
        <is>
          <t>575387</t>
        </is>
      </c>
      <c r="C91" s="31" t="inlineStr">
        <is>
          <t>CFM56-5B</t>
        </is>
      </c>
      <c r="D91" s="262" t="n">
        <v>39794</v>
      </c>
      <c r="E91" s="262" t="n">
        <v>44076</v>
      </c>
      <c r="G91" s="34">
        <f>(E91-D91)/365.25</f>
        <v/>
      </c>
      <c r="H91" s="27" t="n">
        <v>10253</v>
      </c>
      <c r="I91" s="27" t="n">
        <v>27049</v>
      </c>
      <c r="J91" s="28">
        <f>(I91-H91)/G91</f>
        <v/>
      </c>
      <c r="K91" s="27" t="n">
        <v>2497</v>
      </c>
    </row>
    <row r="92">
      <c r="B92" s="31" t="inlineStr">
        <is>
          <t>575824</t>
        </is>
      </c>
      <c r="C92" s="31" t="inlineStr">
        <is>
          <t>CFM56-5B</t>
        </is>
      </c>
      <c r="D92" s="262" t="n">
        <v>39524</v>
      </c>
      <c r="E92" s="262" t="n">
        <v>41781</v>
      </c>
      <c r="G92" s="34">
        <f>(E92-D92)/365.25</f>
        <v/>
      </c>
      <c r="H92" s="27" t="n">
        <v>6706</v>
      </c>
      <c r="I92" s="27" t="n">
        <v>15472</v>
      </c>
      <c r="J92" s="28">
        <f>(I92-H92)/G92</f>
        <v/>
      </c>
      <c r="K92" s="27" t="n">
        <v>2900</v>
      </c>
    </row>
    <row r="93">
      <c r="B93" s="31" t="inlineStr">
        <is>
          <t>577248</t>
        </is>
      </c>
      <c r="C93" s="31" t="inlineStr">
        <is>
          <t>CFM56-5B</t>
        </is>
      </c>
      <c r="D93" s="262" t="n">
        <v>39862</v>
      </c>
      <c r="E93" s="262" t="n">
        <v>43260</v>
      </c>
      <c r="G93" s="34">
        <f>(E93-D93)/365.25</f>
        <v/>
      </c>
      <c r="H93" s="27" t="n">
        <v>6944</v>
      </c>
      <c r="I93" s="27" t="n">
        <v>21147</v>
      </c>
      <c r="J93" s="28">
        <f>(I93-H93)/G93</f>
        <v/>
      </c>
      <c r="K93" s="27" t="n">
        <v>3172</v>
      </c>
    </row>
    <row r="94">
      <c r="B94" s="31" t="inlineStr">
        <is>
          <t>643277</t>
        </is>
      </c>
      <c r="C94" s="31" t="inlineStr">
        <is>
          <t>CFM56-5B</t>
        </is>
      </c>
      <c r="D94" s="262" t="n">
        <v>44926</v>
      </c>
      <c r="E94" s="262" t="n">
        <v>46244</v>
      </c>
      <c r="G94" s="34">
        <f>(E94-D94)/365.25</f>
        <v/>
      </c>
      <c r="H94" s="27" t="n">
        <v>20317</v>
      </c>
      <c r="I94" s="27" t="n">
        <v>26302</v>
      </c>
      <c r="J94" s="28">
        <f>(I94-H94)/G94</f>
        <v/>
      </c>
      <c r="K94" s="27" t="n">
        <v>3184</v>
      </c>
    </row>
    <row r="95">
      <c r="B95" s="31" t="inlineStr">
        <is>
          <t>643315</t>
        </is>
      </c>
      <c r="C95" s="31" t="inlineStr">
        <is>
          <t>CFM56-5B</t>
        </is>
      </c>
      <c r="D95" s="262" t="n">
        <v>44202</v>
      </c>
      <c r="E95" s="262" t="n">
        <v>46021</v>
      </c>
      <c r="G95" s="34">
        <f>(E95-D95)/365.25</f>
        <v/>
      </c>
      <c r="H95" s="27" t="n">
        <v>20957</v>
      </c>
      <c r="I95" s="27" t="n">
        <v>29876</v>
      </c>
      <c r="J95" s="28">
        <f>(I95-H95)/G95</f>
        <v/>
      </c>
      <c r="K95" s="27" t="n">
        <v>2702</v>
      </c>
    </row>
    <row r="96">
      <c r="B96" s="31" t="inlineStr">
        <is>
          <t>643573</t>
        </is>
      </c>
      <c r="C96" s="31" t="inlineStr">
        <is>
          <t>CFM56-5B</t>
        </is>
      </c>
      <c r="D96" s="262" t="n">
        <v>45014</v>
      </c>
      <c r="E96" s="262" t="n">
        <v>46142</v>
      </c>
      <c r="G96" s="34">
        <f>(E96-D96)/365.25</f>
        <v/>
      </c>
      <c r="H96" s="27" t="n">
        <v>22199</v>
      </c>
      <c r="I96" s="27" t="n">
        <v>29920</v>
      </c>
      <c r="J96" s="28">
        <f>(I96-H96)/G96</f>
        <v/>
      </c>
      <c r="K96" s="27" t="n">
        <v>2517</v>
      </c>
    </row>
    <row r="97">
      <c r="B97" s="31" t="inlineStr">
        <is>
          <t>643680</t>
        </is>
      </c>
      <c r="C97" s="31" t="inlineStr">
        <is>
          <t>CFM56-5B</t>
        </is>
      </c>
      <c r="D97" s="262" t="n">
        <v>44532</v>
      </c>
      <c r="E97" s="262" t="n">
        <v>46195</v>
      </c>
      <c r="G97" s="34">
        <f>(E97-D97)/365.25</f>
        <v/>
      </c>
      <c r="H97" s="27" t="n">
        <v>22012</v>
      </c>
      <c r="I97" s="27" t="n">
        <v>30532</v>
      </c>
      <c r="J97" s="28">
        <f>(I97-H97)/G97</f>
        <v/>
      </c>
      <c r="K97" s="27" t="n">
        <v>3002</v>
      </c>
    </row>
    <row r="98">
      <c r="B98" s="31" t="inlineStr">
        <is>
          <t>643682</t>
        </is>
      </c>
      <c r="C98" s="31" t="inlineStr">
        <is>
          <t>CFM56-5B</t>
        </is>
      </c>
      <c r="D98" s="262" t="n">
        <v>44819</v>
      </c>
      <c r="E98" s="262" t="n">
        <v>46059</v>
      </c>
      <c r="G98" s="34">
        <f>(E98-D98)/365.25</f>
        <v/>
      </c>
      <c r="H98" s="27" t="n">
        <v>24344</v>
      </c>
      <c r="I98" s="27" t="n">
        <v>29585</v>
      </c>
      <c r="J98" s="28">
        <f>(I98-H98)/G98</f>
        <v/>
      </c>
      <c r="K98" s="27" t="n">
        <v>2852</v>
      </c>
    </row>
    <row r="99">
      <c r="B99" s="31" t="inlineStr">
        <is>
          <t>645308</t>
        </is>
      </c>
      <c r="C99" s="31" t="inlineStr">
        <is>
          <t>CFM56-5B</t>
        </is>
      </c>
      <c r="D99" s="262" t="n">
        <v>43083</v>
      </c>
      <c r="E99" s="262" t="n">
        <v>45441</v>
      </c>
      <c r="G99" s="34">
        <f>(E99-D99)/365.25</f>
        <v/>
      </c>
      <c r="H99" s="27" t="n">
        <v>5381</v>
      </c>
      <c r="I99" s="27" t="n">
        <v>13585</v>
      </c>
      <c r="J99" s="28">
        <f>(I99-H99)/G99</f>
        <v/>
      </c>
      <c r="K99" s="27" t="n">
        <v>2744</v>
      </c>
    </row>
    <row r="100">
      <c r="B100" s="31" t="inlineStr">
        <is>
          <t>645314</t>
        </is>
      </c>
      <c r="C100" s="31" t="inlineStr">
        <is>
          <t>CFM56-5B</t>
        </is>
      </c>
      <c r="D100" s="262" t="n">
        <v>42558</v>
      </c>
      <c r="E100" s="262" t="n">
        <v>45458</v>
      </c>
      <c r="G100" s="34">
        <f>(E100-D100)/365.25</f>
        <v/>
      </c>
      <c r="H100" s="27" t="n">
        <v>4924</v>
      </c>
      <c r="I100" s="27" t="n">
        <v>13923</v>
      </c>
      <c r="J100" s="28">
        <f>(I100-H100)/G100</f>
        <v/>
      </c>
      <c r="K100" s="27" t="n">
        <v>2849</v>
      </c>
    </row>
    <row r="101">
      <c r="B101" s="31" t="inlineStr">
        <is>
          <t>645326</t>
        </is>
      </c>
      <c r="C101" s="31" t="inlineStr">
        <is>
          <t>CFM56-5B</t>
        </is>
      </c>
      <c r="D101" s="262" t="n">
        <v>43275</v>
      </c>
      <c r="E101" s="262" t="n">
        <v>45017</v>
      </c>
      <c r="G101" s="34">
        <f>(E101-D101)/365.25</f>
        <v/>
      </c>
      <c r="H101" s="27" t="n">
        <v>7879</v>
      </c>
      <c r="I101" s="27" t="n">
        <v>12286</v>
      </c>
      <c r="J101" s="28">
        <f>(I101-H101)/G101</f>
        <v/>
      </c>
      <c r="K101" s="27" t="n">
        <v>2416</v>
      </c>
    </row>
    <row r="102">
      <c r="B102" s="31" t="inlineStr">
        <is>
          <t>645460</t>
        </is>
      </c>
      <c r="C102" s="31" t="inlineStr">
        <is>
          <t>CFM56-5B</t>
        </is>
      </c>
      <c r="D102" s="262" t="n">
        <v>41766</v>
      </c>
      <c r="E102" s="262" t="n">
        <v>45225</v>
      </c>
      <c r="G102" s="34">
        <f>(E102-D102)/365.25</f>
        <v/>
      </c>
      <c r="H102" s="27" t="n">
        <v>2101</v>
      </c>
      <c r="I102" s="27" t="n">
        <v>19367</v>
      </c>
      <c r="J102" s="28">
        <f>(I102-H102)/G102</f>
        <v/>
      </c>
    </row>
    <row r="103">
      <c r="B103" s="31" t="inlineStr">
        <is>
          <t>645506</t>
        </is>
      </c>
      <c r="C103" s="31" t="inlineStr">
        <is>
          <t>CFM56-5B</t>
        </is>
      </c>
      <c r="D103" s="262" t="n">
        <v>43462</v>
      </c>
      <c r="E103" s="262" t="n">
        <v>45197</v>
      </c>
      <c r="G103" s="34">
        <f>(E103-D103)/365.25</f>
        <v/>
      </c>
      <c r="H103" s="27" t="n">
        <v>8140</v>
      </c>
      <c r="I103" s="27" t="n">
        <v>13271</v>
      </c>
      <c r="J103" s="28">
        <f>(I103-H103)/G103</f>
        <v/>
      </c>
      <c r="K103" s="27" t="n">
        <v>2417</v>
      </c>
    </row>
    <row r="104">
      <c r="B104" s="31" t="inlineStr">
        <is>
          <t>645656</t>
        </is>
      </c>
      <c r="C104" s="31" t="inlineStr">
        <is>
          <t>CFM56-5B</t>
        </is>
      </c>
      <c r="D104" s="262" t="n">
        <v>44768</v>
      </c>
      <c r="E104" s="262" t="n">
        <v>45414</v>
      </c>
      <c r="G104" s="34">
        <f>(E104-D104)/365.25</f>
        <v/>
      </c>
      <c r="H104" s="27" t="n">
        <v>13055</v>
      </c>
      <c r="I104" s="27" t="n">
        <v>15481</v>
      </c>
      <c r="J104" s="28">
        <f>(I104-H104)/G104</f>
        <v/>
      </c>
      <c r="K104" s="27" t="n">
        <v>2205</v>
      </c>
    </row>
    <row r="105">
      <c r="B105" s="31" t="inlineStr">
        <is>
          <t>697927</t>
        </is>
      </c>
      <c r="C105" s="31" t="inlineStr">
        <is>
          <t>CFM56-5B</t>
        </is>
      </c>
      <c r="D105" s="262" t="n">
        <v>41299</v>
      </c>
      <c r="E105" s="262" t="n">
        <v>46249</v>
      </c>
      <c r="G105" s="34">
        <f>(E105-D105)/365.25</f>
        <v/>
      </c>
      <c r="H105" s="27" t="n">
        <v>6815</v>
      </c>
      <c r="I105" s="27" t="n">
        <v>28452</v>
      </c>
      <c r="J105" s="28">
        <f>(I105-H105)/G105</f>
        <v/>
      </c>
    </row>
    <row r="106">
      <c r="B106" s="31" t="inlineStr">
        <is>
          <t>697977</t>
        </is>
      </c>
      <c r="C106" s="31" t="inlineStr">
        <is>
          <t>CFM56-5B</t>
        </is>
      </c>
      <c r="D106" s="262" t="n">
        <v>44985</v>
      </c>
      <c r="E106" s="262" t="n">
        <v>46176</v>
      </c>
      <c r="G106" s="34">
        <f>(E106-D106)/365.25</f>
        <v/>
      </c>
      <c r="H106" s="27" t="n">
        <v>22016</v>
      </c>
      <c r="I106" s="27" t="n">
        <v>27985</v>
      </c>
      <c r="J106" s="28">
        <f>(I106-H106)/G106</f>
        <v/>
      </c>
      <c r="K106" s="27" t="n">
        <v>2322</v>
      </c>
    </row>
    <row r="107">
      <c r="B107" s="31" t="inlineStr">
        <is>
          <t>699102</t>
        </is>
      </c>
      <c r="C107" s="31" t="inlineStr">
        <is>
          <t>CFM56-5B</t>
        </is>
      </c>
      <c r="D107" s="262" t="n">
        <v>42841</v>
      </c>
      <c r="E107" s="262" t="n">
        <v>43906</v>
      </c>
      <c r="G107" s="34">
        <f>(E107-D107)/365.25</f>
        <v/>
      </c>
      <c r="H107" s="27" t="n">
        <v>17568</v>
      </c>
      <c r="I107" s="27" t="n">
        <v>23144</v>
      </c>
      <c r="J107" s="28">
        <f>(I107-H107)/G107</f>
        <v/>
      </c>
      <c r="K107" s="27" t="n">
        <v>2074</v>
      </c>
    </row>
    <row r="108">
      <c r="B108" s="31" t="inlineStr">
        <is>
          <t>699467</t>
        </is>
      </c>
      <c r="C108" s="31" t="inlineStr">
        <is>
          <t>CFM56-5B</t>
        </is>
      </c>
      <c r="D108" s="262" t="n">
        <v>44502</v>
      </c>
      <c r="E108" s="262" t="n">
        <v>45768</v>
      </c>
      <c r="G108" s="34">
        <f>(E108-D108)/365.25</f>
        <v/>
      </c>
      <c r="H108" s="27" t="n">
        <v>24191</v>
      </c>
      <c r="I108" s="27" t="n">
        <v>31663</v>
      </c>
      <c r="J108" s="28">
        <f>(I108-H108)/G108</f>
        <v/>
      </c>
      <c r="K108" s="27" t="n">
        <v>2318</v>
      </c>
    </row>
    <row r="109">
      <c r="B109" s="31" t="inlineStr">
        <is>
          <t>699474</t>
        </is>
      </c>
      <c r="C109" s="31" t="inlineStr">
        <is>
          <t>CFM56-5B</t>
        </is>
      </c>
      <c r="D109" s="262" t="n">
        <v>41796</v>
      </c>
      <c r="E109" s="262" t="n">
        <v>44192</v>
      </c>
      <c r="G109" s="34">
        <f>(E109-D109)/365.25</f>
        <v/>
      </c>
      <c r="H109" s="27" t="n">
        <v>11751</v>
      </c>
      <c r="I109" s="27" t="n">
        <v>24740</v>
      </c>
      <c r="J109" s="28">
        <f>(I109-H109)/G109</f>
        <v/>
      </c>
    </row>
    <row r="110">
      <c r="B110" s="31" t="inlineStr">
        <is>
          <t>699485</t>
        </is>
      </c>
      <c r="C110" s="31" t="inlineStr">
        <is>
          <t>CFM56-5B</t>
        </is>
      </c>
      <c r="D110" s="262" t="n">
        <v>44562</v>
      </c>
      <c r="E110" s="262" t="n">
        <v>45907</v>
      </c>
      <c r="G110" s="34">
        <f>(E110-D110)/365.25</f>
        <v/>
      </c>
      <c r="H110" s="27" t="n">
        <v>25036</v>
      </c>
      <c r="I110" s="27" t="n">
        <v>31660</v>
      </c>
      <c r="J110" s="28">
        <f>(I110-H110)/G110</f>
        <v/>
      </c>
      <c r="K110" s="27" t="n">
        <v>1821</v>
      </c>
    </row>
    <row r="111">
      <c r="B111" s="31" t="inlineStr">
        <is>
          <t>699532</t>
        </is>
      </c>
      <c r="C111" s="31" t="inlineStr">
        <is>
          <t>CFM56-5B</t>
        </is>
      </c>
      <c r="D111" s="262" t="n">
        <v>43709</v>
      </c>
      <c r="E111" s="262" t="n">
        <v>44384</v>
      </c>
      <c r="G111" s="34">
        <f>(E111-D111)/365.25</f>
        <v/>
      </c>
      <c r="H111" s="27" t="n">
        <v>13611</v>
      </c>
      <c r="I111" s="27" t="n">
        <v>15413</v>
      </c>
      <c r="J111" s="28">
        <f>(I111-H111)/G111</f>
        <v/>
      </c>
      <c r="K111" s="27" t="n">
        <v>1739</v>
      </c>
    </row>
    <row r="112">
      <c r="B112" s="31" t="inlineStr">
        <is>
          <t>699543</t>
        </is>
      </c>
      <c r="C112" s="31" t="inlineStr">
        <is>
          <t>CFM56-5B</t>
        </is>
      </c>
      <c r="D112" s="262" t="n">
        <v>44293</v>
      </c>
      <c r="E112" s="262" t="n">
        <v>45564</v>
      </c>
      <c r="G112" s="34">
        <f>(E112-D112)/365.25</f>
        <v/>
      </c>
      <c r="H112" s="27" t="n">
        <v>24999</v>
      </c>
      <c r="I112" s="27" t="n">
        <v>30096</v>
      </c>
      <c r="J112" s="28">
        <f>(I112-H112)/G112</f>
        <v/>
      </c>
      <c r="K112" s="27" t="n">
        <v>1886</v>
      </c>
    </row>
    <row r="113">
      <c r="B113" s="31" t="inlineStr">
        <is>
          <t>699611</t>
        </is>
      </c>
      <c r="C113" s="31" t="inlineStr">
        <is>
          <t>CFM56-5B</t>
        </is>
      </c>
      <c r="D113" s="262" t="n">
        <v>42410</v>
      </c>
      <c r="E113" s="262" t="n">
        <v>46219</v>
      </c>
      <c r="G113" s="34">
        <f>(E113-D113)/365.25</f>
        <v/>
      </c>
      <c r="H113" s="27" t="n">
        <v>8800</v>
      </c>
      <c r="I113" s="27" t="n">
        <v>22651</v>
      </c>
      <c r="J113" s="28">
        <f>(I113-H113)/G113</f>
        <v/>
      </c>
      <c r="K113" s="27" t="n">
        <v>2243</v>
      </c>
    </row>
    <row r="114">
      <c r="B114" s="31" t="inlineStr">
        <is>
          <t>699661</t>
        </is>
      </c>
      <c r="C114" s="31" t="inlineStr">
        <is>
          <t>CFM56-5B</t>
        </is>
      </c>
      <c r="D114" s="262" t="n">
        <v>45327</v>
      </c>
      <c r="E114" s="262" t="n">
        <v>45976</v>
      </c>
      <c r="G114" s="34">
        <f>(E114-D114)/365.25</f>
        <v/>
      </c>
      <c r="H114" s="27" t="n">
        <v>22391</v>
      </c>
      <c r="I114" s="27" t="n">
        <v>26757</v>
      </c>
      <c r="J114" s="28">
        <f>(I114-H114)/G114</f>
        <v/>
      </c>
      <c r="K114" s="27" t="n">
        <v>2751</v>
      </c>
    </row>
    <row r="115">
      <c r="B115" s="31" t="inlineStr">
        <is>
          <t>699685</t>
        </is>
      </c>
      <c r="C115" s="31" t="inlineStr">
        <is>
          <t>CFM56-5B</t>
        </is>
      </c>
      <c r="D115" s="262" t="n">
        <v>43653</v>
      </c>
      <c r="E115" s="262" t="n">
        <v>45308</v>
      </c>
      <c r="G115" s="34">
        <f>(E115-D115)/365.25</f>
        <v/>
      </c>
      <c r="H115" s="27" t="n">
        <v>12743</v>
      </c>
      <c r="I115" s="27" t="n">
        <v>18623</v>
      </c>
      <c r="J115" s="28">
        <f>(I115-H115)/G115</f>
        <v/>
      </c>
      <c r="K115" s="27" t="n">
        <v>2176</v>
      </c>
    </row>
    <row r="116">
      <c r="B116" s="31" t="inlineStr">
        <is>
          <t>699715</t>
        </is>
      </c>
      <c r="C116" s="31" t="inlineStr">
        <is>
          <t>CFM56-5B</t>
        </is>
      </c>
      <c r="D116" s="262" t="n">
        <v>45400</v>
      </c>
      <c r="E116" s="262" t="n">
        <v>45880</v>
      </c>
      <c r="G116" s="34">
        <f>(E116-D116)/365.25</f>
        <v/>
      </c>
      <c r="H116" s="27" t="n">
        <v>29309</v>
      </c>
      <c r="I116" s="27" t="n">
        <v>32273</v>
      </c>
      <c r="J116" s="28">
        <f>(I116-H116)/G116</f>
        <v/>
      </c>
      <c r="K116" s="27" t="n">
        <v>2542</v>
      </c>
    </row>
    <row r="117">
      <c r="B117" s="31" t="inlineStr">
        <is>
          <t>699716</t>
        </is>
      </c>
      <c r="C117" s="31" t="inlineStr">
        <is>
          <t>CFM56-5B</t>
        </is>
      </c>
      <c r="D117" s="262" t="n">
        <v>45177</v>
      </c>
      <c r="E117" s="262" t="n">
        <v>46138</v>
      </c>
      <c r="G117" s="34">
        <f>(E117-D117)/365.25</f>
        <v/>
      </c>
      <c r="H117" s="27" t="n">
        <v>25541</v>
      </c>
      <c r="I117" s="27" t="n">
        <v>30138</v>
      </c>
      <c r="J117" s="28">
        <f>(I117-H117)/G117</f>
        <v/>
      </c>
      <c r="K117" s="27" t="n">
        <v>3286</v>
      </c>
    </row>
    <row r="118">
      <c r="B118" s="31" t="inlineStr">
        <is>
          <t>699774</t>
        </is>
      </c>
      <c r="C118" s="31" t="inlineStr">
        <is>
          <t>CFM56-5B</t>
        </is>
      </c>
      <c r="D118" s="262" t="n">
        <v>44220</v>
      </c>
      <c r="E118" s="262" t="n">
        <v>44636</v>
      </c>
      <c r="G118" s="34">
        <f>(E118-D118)/365.25</f>
        <v/>
      </c>
      <c r="H118" s="27" t="n">
        <v>18006</v>
      </c>
      <c r="I118" s="27" t="n">
        <v>18526</v>
      </c>
      <c r="J118" s="28">
        <f>(I118-H118)/G118</f>
        <v/>
      </c>
      <c r="K118" s="27" t="n">
        <v>1200</v>
      </c>
    </row>
    <row r="119">
      <c r="B119" s="31" t="inlineStr">
        <is>
          <t>699851</t>
        </is>
      </c>
      <c r="C119" s="31" t="inlineStr">
        <is>
          <t>CFM56-5B</t>
        </is>
      </c>
      <c r="D119" s="262" t="n">
        <v>43032</v>
      </c>
      <c r="E119" s="262" t="n">
        <v>45538</v>
      </c>
      <c r="G119" s="34">
        <f>(E119-D119)/365.25</f>
        <v/>
      </c>
      <c r="H119" s="27" t="n">
        <v>11057</v>
      </c>
      <c r="I119" s="27" t="n">
        <v>17970</v>
      </c>
      <c r="J119" s="28">
        <f>(I119-H119)/G119</f>
        <v/>
      </c>
      <c r="K119" s="27" t="n">
        <v>1941</v>
      </c>
    </row>
    <row r="120">
      <c r="B120" s="31" t="inlineStr">
        <is>
          <t>699865</t>
        </is>
      </c>
      <c r="C120" s="31" t="inlineStr">
        <is>
          <t>CFM56-5B</t>
        </is>
      </c>
      <c r="D120" s="262" t="n">
        <v>44132</v>
      </c>
      <c r="E120" s="262" t="n">
        <v>45952</v>
      </c>
      <c r="G120" s="34">
        <f>(E120-D120)/365.25</f>
        <v/>
      </c>
      <c r="H120" s="27" t="n">
        <v>23030</v>
      </c>
      <c r="I120" s="27" t="n">
        <v>28925</v>
      </c>
      <c r="J120" s="28">
        <f>(I120-H120)/G120</f>
        <v/>
      </c>
      <c r="K120" s="27" t="n">
        <v>2118</v>
      </c>
    </row>
    <row r="121">
      <c r="B121" s="31" t="inlineStr">
        <is>
          <t>699868</t>
        </is>
      </c>
      <c r="C121" s="31" t="inlineStr">
        <is>
          <t>CFM56-5B</t>
        </is>
      </c>
      <c r="D121" s="262" t="n">
        <v>41977</v>
      </c>
      <c r="E121" s="262" t="n">
        <v>45738</v>
      </c>
      <c r="G121" s="34">
        <f>(E121-D121)/365.25</f>
        <v/>
      </c>
      <c r="H121" s="27" t="n">
        <v>11731</v>
      </c>
      <c r="I121" s="27" t="n">
        <v>27405</v>
      </c>
      <c r="J121" s="28">
        <f>(I121-H121)/G121</f>
        <v/>
      </c>
      <c r="K121" s="27" t="n">
        <v>1565</v>
      </c>
    </row>
    <row r="122">
      <c r="B122" s="31" t="inlineStr">
        <is>
          <t>699889</t>
        </is>
      </c>
      <c r="C122" s="31" t="inlineStr">
        <is>
          <t>CFM56-5B</t>
        </is>
      </c>
      <c r="D122" s="262" t="n">
        <v>45410</v>
      </c>
      <c r="E122" s="262" t="n">
        <v>46009</v>
      </c>
      <c r="G122" s="34">
        <f>(E122-D122)/365.25</f>
        <v/>
      </c>
      <c r="H122" s="27" t="n">
        <v>16886</v>
      </c>
      <c r="I122" s="27" t="n">
        <v>20684</v>
      </c>
      <c r="J122" s="28">
        <f>(I122-H122)/G122</f>
        <v/>
      </c>
      <c r="K122" s="27" t="n">
        <v>2796</v>
      </c>
    </row>
    <row r="123">
      <c r="B123" s="31" t="inlineStr">
        <is>
          <t>699891</t>
        </is>
      </c>
      <c r="C123" s="31" t="inlineStr">
        <is>
          <t>CFM56-5B</t>
        </is>
      </c>
      <c r="D123" s="262" t="n">
        <v>43234</v>
      </c>
      <c r="E123" s="262" t="n">
        <v>45244</v>
      </c>
      <c r="G123" s="34">
        <f>(E123-D123)/365.25</f>
        <v/>
      </c>
      <c r="H123" s="27" t="n">
        <v>11639</v>
      </c>
      <c r="I123" s="27" t="n">
        <v>15400</v>
      </c>
      <c r="J123" s="28">
        <f>(I123-H123)/G123</f>
        <v/>
      </c>
      <c r="K123" s="27" t="n">
        <v>1412</v>
      </c>
    </row>
    <row r="124">
      <c r="B124" s="31" t="inlineStr">
        <is>
          <t>699931</t>
        </is>
      </c>
      <c r="C124" s="31" t="inlineStr">
        <is>
          <t>CFM56-5B</t>
        </is>
      </c>
      <c r="D124" s="262" t="n">
        <v>45059</v>
      </c>
      <c r="E124" s="262" t="n">
        <v>46108</v>
      </c>
      <c r="G124" s="34">
        <f>(E124-D124)/365.25</f>
        <v/>
      </c>
      <c r="H124" s="27" t="n">
        <v>23706</v>
      </c>
      <c r="I124" s="27" t="n">
        <v>28193</v>
      </c>
      <c r="J124" s="28">
        <f>(I124-H124)/G124</f>
        <v/>
      </c>
      <c r="K124" s="27" t="n">
        <v>1731</v>
      </c>
    </row>
    <row r="125">
      <c r="B125" s="31" t="inlineStr">
        <is>
          <t>779415</t>
        </is>
      </c>
      <c r="C125" s="31" t="inlineStr">
        <is>
          <t>CFM56-5B</t>
        </is>
      </c>
      <c r="D125" s="262" t="n">
        <v>41650</v>
      </c>
      <c r="E125" s="262" t="n">
        <v>42723</v>
      </c>
      <c r="G125" s="34">
        <f>(E125-D125)/365.25</f>
        <v/>
      </c>
      <c r="H125" s="27" t="n">
        <v>23378</v>
      </c>
      <c r="I125" s="27" t="n">
        <v>26829</v>
      </c>
      <c r="J125" s="28">
        <f>(I125-H125)/G125</f>
        <v/>
      </c>
      <c r="K125" s="27" t="n">
        <v>2865</v>
      </c>
    </row>
    <row r="126">
      <c r="B126" s="31" t="inlineStr">
        <is>
          <t>779501</t>
        </is>
      </c>
      <c r="C126" s="31" t="inlineStr">
        <is>
          <t>CFM56-5B</t>
        </is>
      </c>
      <c r="D126" s="262" t="n">
        <v>44465</v>
      </c>
      <c r="E126" s="262" t="n">
        <v>45456</v>
      </c>
      <c r="G126" s="34">
        <f>(E126-D126)/365.25</f>
        <v/>
      </c>
      <c r="H126" s="27" t="n">
        <v>30992</v>
      </c>
      <c r="I126" s="27" t="n">
        <v>33670</v>
      </c>
      <c r="J126" s="28">
        <f>(I126-H126)/G126</f>
        <v/>
      </c>
      <c r="K126" s="27" t="n">
        <v>2145</v>
      </c>
    </row>
    <row r="127">
      <c r="B127" s="31" t="inlineStr">
        <is>
          <t>779560</t>
        </is>
      </c>
      <c r="C127" s="31" t="inlineStr">
        <is>
          <t>CFM56-5B</t>
        </is>
      </c>
      <c r="D127" s="262" t="n">
        <v>42104</v>
      </c>
      <c r="E127" s="262" t="n">
        <v>45833</v>
      </c>
      <c r="G127" s="34">
        <f>(E127-D127)/365.25</f>
        <v/>
      </c>
      <c r="H127" s="27" t="n">
        <v>24475</v>
      </c>
      <c r="I127" s="27" t="n">
        <v>36708</v>
      </c>
      <c r="J127" s="28">
        <f>(I127-H127)/G127</f>
        <v/>
      </c>
      <c r="K127" s="27" t="n">
        <v>2449</v>
      </c>
    </row>
    <row r="128">
      <c r="B128" s="31" t="inlineStr">
        <is>
          <t>779588</t>
        </is>
      </c>
      <c r="C128" s="31" t="inlineStr">
        <is>
          <t>CFM56-5B</t>
        </is>
      </c>
      <c r="D128" s="262" t="n">
        <v>41976</v>
      </c>
      <c r="E128" s="262" t="n">
        <v>44555</v>
      </c>
      <c r="G128" s="34">
        <f>(E128-D128)/365.25</f>
        <v/>
      </c>
      <c r="H128" s="27" t="n">
        <v>23128</v>
      </c>
      <c r="I128" s="27" t="n">
        <v>31778</v>
      </c>
      <c r="J128" s="28">
        <f>(I128-H128)/G128</f>
        <v/>
      </c>
      <c r="K128" s="27" t="n">
        <v>2370</v>
      </c>
    </row>
    <row r="129">
      <c r="B129" s="31" t="inlineStr">
        <is>
          <t>779635</t>
        </is>
      </c>
      <c r="C129" s="31" t="inlineStr">
        <is>
          <t>CFM56-5B</t>
        </is>
      </c>
      <c r="D129" s="262" t="n">
        <v>42639</v>
      </c>
      <c r="E129" s="262" t="n">
        <v>44725</v>
      </c>
      <c r="G129" s="34">
        <f>(E129-D129)/365.25</f>
        <v/>
      </c>
      <c r="H129" s="27" t="n">
        <v>27541</v>
      </c>
      <c r="I129" s="27" t="n">
        <v>34764</v>
      </c>
      <c r="J129" s="28">
        <f>(I129-H129)/G129</f>
        <v/>
      </c>
      <c r="K129" s="27" t="n">
        <v>2319</v>
      </c>
    </row>
    <row r="130">
      <c r="B130" s="31" t="inlineStr">
        <is>
          <t>779657</t>
        </is>
      </c>
      <c r="C130" s="31" t="inlineStr">
        <is>
          <t>CFM56-5B</t>
        </is>
      </c>
      <c r="D130" s="262" t="n">
        <v>44823</v>
      </c>
      <c r="E130" s="262" t="n">
        <v>46204</v>
      </c>
      <c r="G130" s="34">
        <f>(E130-D130)/365.25</f>
        <v/>
      </c>
      <c r="H130" s="27" t="n">
        <v>30197</v>
      </c>
      <c r="I130" s="27" t="n">
        <v>30736</v>
      </c>
      <c r="J130" s="28">
        <f>(I130-H130)/G130</f>
        <v/>
      </c>
      <c r="K130" s="27" t="n">
        <v>1413</v>
      </c>
    </row>
    <row r="131">
      <c r="B131" s="31" t="inlineStr">
        <is>
          <t>779663</t>
        </is>
      </c>
      <c r="C131" s="31" t="inlineStr">
        <is>
          <t>CFM56-5B</t>
        </is>
      </c>
      <c r="D131" s="262" t="n">
        <v>40288</v>
      </c>
      <c r="E131" s="262" t="n">
        <v>43057</v>
      </c>
      <c r="G131" s="34">
        <f>(E131-D131)/365.25</f>
        <v/>
      </c>
      <c r="H131" s="27" t="n">
        <v>13962</v>
      </c>
      <c r="I131" s="27" t="n">
        <v>24756</v>
      </c>
      <c r="J131" s="28">
        <f>(I131-H131)/G131</f>
        <v/>
      </c>
      <c r="K131" s="27" t="n">
        <v>2206</v>
      </c>
    </row>
    <row r="132">
      <c r="B132" s="31" t="inlineStr">
        <is>
          <t>779702</t>
        </is>
      </c>
      <c r="C132" s="31" t="inlineStr">
        <is>
          <t>CFM56-5B</t>
        </is>
      </c>
      <c r="D132" s="262" t="n">
        <v>43411</v>
      </c>
      <c r="E132" s="262" t="n">
        <v>45567</v>
      </c>
      <c r="G132" s="34">
        <f>(E132-D132)/365.25</f>
        <v/>
      </c>
      <c r="H132" s="27" t="n">
        <v>27204</v>
      </c>
      <c r="I132" s="27" t="n">
        <v>32284</v>
      </c>
      <c r="J132" s="28">
        <f>(I132-H132)/G132</f>
        <v/>
      </c>
      <c r="K132" s="27" t="n">
        <v>1966</v>
      </c>
    </row>
    <row r="133">
      <c r="B133" s="31" t="inlineStr">
        <is>
          <t>779787</t>
        </is>
      </c>
      <c r="C133" s="31" t="inlineStr">
        <is>
          <t>CFM56-5B</t>
        </is>
      </c>
      <c r="D133" s="262" t="n">
        <v>45524</v>
      </c>
      <c r="E133" s="262" t="n">
        <v>45900</v>
      </c>
      <c r="G133" s="34">
        <f>(E133-D133)/365.25</f>
        <v/>
      </c>
      <c r="H133" s="27" t="n">
        <v>31479</v>
      </c>
      <c r="I133" s="27" t="n">
        <v>31900</v>
      </c>
      <c r="J133" s="28">
        <f>(I133-H133)/G133</f>
        <v/>
      </c>
      <c r="K133" s="27" t="n">
        <v>964</v>
      </c>
    </row>
    <row r="134">
      <c r="B134" s="31" t="inlineStr">
        <is>
          <t>779829</t>
        </is>
      </c>
      <c r="C134" s="31" t="inlineStr">
        <is>
          <t>CFM56-5B</t>
        </is>
      </c>
      <c r="D134" s="262" t="n">
        <v>42013</v>
      </c>
      <c r="E134" s="262" t="n">
        <v>43793</v>
      </c>
      <c r="G134" s="34">
        <f>(E134-D134)/365.25</f>
        <v/>
      </c>
      <c r="H134" s="27" t="n">
        <v>22869</v>
      </c>
      <c r="I134" s="27" t="n">
        <v>29436</v>
      </c>
      <c r="J134" s="28">
        <f>(I134-H134)/G134</f>
        <v/>
      </c>
      <c r="K134" s="27" t="n">
        <v>2848</v>
      </c>
    </row>
    <row r="135">
      <c r="B135" s="31" t="inlineStr">
        <is>
          <t>779848</t>
        </is>
      </c>
      <c r="C135" s="31" t="inlineStr">
        <is>
          <t>CFM56-5B</t>
        </is>
      </c>
      <c r="D135" s="262" t="n">
        <v>42732</v>
      </c>
      <c r="E135" s="262" t="n">
        <v>45466</v>
      </c>
      <c r="G135" s="34">
        <f>(E135-D135)/365.25</f>
        <v/>
      </c>
      <c r="H135" s="27" t="n">
        <v>23709</v>
      </c>
      <c r="I135" s="27" t="n">
        <v>32973</v>
      </c>
      <c r="J135" s="28">
        <f>(I135-H135)/G135</f>
        <v/>
      </c>
      <c r="K135" s="27" t="n">
        <v>2035</v>
      </c>
    </row>
    <row r="136">
      <c r="B136" s="31" t="inlineStr">
        <is>
          <t>658369</t>
        </is>
      </c>
      <c r="C136" s="31" t="inlineStr">
        <is>
          <t>CFM56-7B</t>
        </is>
      </c>
      <c r="D136" s="262" t="n">
        <v>44872</v>
      </c>
      <c r="E136" s="262" t="n">
        <v>45652</v>
      </c>
      <c r="G136" s="34">
        <f>(E136-D136)/365.25</f>
        <v/>
      </c>
      <c r="H136" s="27" t="n">
        <v>10767</v>
      </c>
      <c r="I136" s="27" t="n">
        <v>13657</v>
      </c>
      <c r="J136" s="28">
        <f>(I136-H136)/G136</f>
        <v/>
      </c>
      <c r="K136" s="27" t="n">
        <v>2256</v>
      </c>
    </row>
    <row r="137">
      <c r="B137" s="31" t="inlineStr">
        <is>
          <t>658460</t>
        </is>
      </c>
      <c r="C137" s="31" t="inlineStr">
        <is>
          <t>CFM56-7B</t>
        </is>
      </c>
      <c r="D137" s="262" t="n">
        <v>45389</v>
      </c>
      <c r="E137" s="262" t="n">
        <v>45981</v>
      </c>
      <c r="G137" s="34">
        <f>(E137-D137)/365.25</f>
        <v/>
      </c>
      <c r="H137" s="27" t="n">
        <v>12785</v>
      </c>
      <c r="I137" s="27" t="n">
        <v>14883</v>
      </c>
      <c r="J137" s="28">
        <f>(I137-H137)/G137</f>
        <v/>
      </c>
      <c r="K137" s="27" t="n">
        <v>3124</v>
      </c>
    </row>
    <row r="138">
      <c r="B138" s="31" t="inlineStr">
        <is>
          <t>658523</t>
        </is>
      </c>
      <c r="C138" s="31" t="inlineStr">
        <is>
          <t>CFM56-7B</t>
        </is>
      </c>
      <c r="D138" s="262" t="n">
        <v>43814</v>
      </c>
      <c r="E138" s="262" t="n">
        <v>45362</v>
      </c>
      <c r="G138" s="34">
        <f>(E138-D138)/365.25</f>
        <v/>
      </c>
      <c r="H138" s="27" t="n">
        <v>7727</v>
      </c>
      <c r="I138" s="27" t="n">
        <v>12849</v>
      </c>
      <c r="J138" s="28">
        <f>(I138-H138)/G138</f>
        <v/>
      </c>
      <c r="K138" s="27" t="n">
        <v>2933</v>
      </c>
    </row>
    <row r="139">
      <c r="B139" s="31" t="inlineStr">
        <is>
          <t>658751</t>
        </is>
      </c>
      <c r="C139" s="31" t="inlineStr">
        <is>
          <t>CFM56-7B</t>
        </is>
      </c>
      <c r="D139" s="262" t="n">
        <v>43486</v>
      </c>
      <c r="E139" s="262" t="n">
        <v>45052</v>
      </c>
      <c r="G139" s="34">
        <f>(E139-D139)/365.25</f>
        <v/>
      </c>
      <c r="H139" s="27" t="n">
        <v>6231</v>
      </c>
      <c r="I139" s="27" t="n">
        <v>10389</v>
      </c>
      <c r="J139" s="28">
        <f>(I139-H139)/G139</f>
        <v/>
      </c>
      <c r="K139" s="27" t="n">
        <v>3269</v>
      </c>
    </row>
    <row r="140">
      <c r="B140" s="31" t="inlineStr">
        <is>
          <t>660207</t>
        </is>
      </c>
      <c r="C140" s="31" t="inlineStr">
        <is>
          <t>CFM56-7B</t>
        </is>
      </c>
      <c r="D140" s="262" t="n">
        <v>43626</v>
      </c>
      <c r="E140" s="262" t="n">
        <v>46014</v>
      </c>
      <c r="G140" s="34">
        <f>(E140-D140)/365.25</f>
        <v/>
      </c>
      <c r="H140" s="27" t="n">
        <v>5998</v>
      </c>
      <c r="I140" s="27" t="n">
        <v>14091</v>
      </c>
      <c r="J140" s="28">
        <f>(I140-H140)/G140</f>
        <v/>
      </c>
      <c r="K140" s="27" t="n">
        <v>2752</v>
      </c>
    </row>
    <row r="141">
      <c r="B141" s="31" t="inlineStr">
        <is>
          <t>660293</t>
        </is>
      </c>
      <c r="C141" s="31" t="inlineStr">
        <is>
          <t>CFM56-7B</t>
        </is>
      </c>
      <c r="D141" s="262" t="n">
        <v>45047</v>
      </c>
      <c r="E141" s="262" t="n">
        <v>45511</v>
      </c>
      <c r="G141" s="34">
        <f>(E141-D141)/365.25</f>
        <v/>
      </c>
      <c r="H141" s="27" t="n">
        <v>10366</v>
      </c>
      <c r="I141" s="27" t="n">
        <v>11613</v>
      </c>
      <c r="J141" s="28">
        <f>(I141-H141)/G141</f>
        <v/>
      </c>
      <c r="K141" s="27" t="n">
        <v>2042</v>
      </c>
    </row>
    <row r="142">
      <c r="B142" s="31" t="inlineStr">
        <is>
          <t>802295</t>
        </is>
      </c>
      <c r="C142" s="31" t="inlineStr">
        <is>
          <t>CFM56-7B</t>
        </is>
      </c>
      <c r="D142" s="262" t="n">
        <v>43736</v>
      </c>
      <c r="E142" s="262" t="n">
        <v>46086</v>
      </c>
      <c r="G142" s="34">
        <f>(E142-D142)/365.25</f>
        <v/>
      </c>
      <c r="H142" s="27" t="n">
        <v>13135</v>
      </c>
      <c r="I142" s="27" t="n">
        <v>19988</v>
      </c>
      <c r="J142" s="28">
        <f>(I142-H142)/G142</f>
        <v/>
      </c>
      <c r="K142" s="27" t="n">
        <v>2243</v>
      </c>
    </row>
    <row r="143">
      <c r="B143" s="31" t="inlineStr">
        <is>
          <t>802585</t>
        </is>
      </c>
      <c r="C143" s="31" t="inlineStr">
        <is>
          <t>CFM56-7B</t>
        </is>
      </c>
      <c r="D143" s="262" t="n">
        <v>45170</v>
      </c>
      <c r="E143" s="262" t="n">
        <v>46126</v>
      </c>
      <c r="G143" s="34">
        <f>(E143-D143)/365.25</f>
        <v/>
      </c>
      <c r="H143" s="27" t="n">
        <v>16972</v>
      </c>
      <c r="I143" s="27" t="n">
        <v>19554</v>
      </c>
      <c r="J143" s="28">
        <f>(I143-H143)/G143</f>
        <v/>
      </c>
      <c r="K143" s="27" t="n">
        <v>2088</v>
      </c>
    </row>
    <row r="144">
      <c r="B144" s="31" t="inlineStr">
        <is>
          <t>802620</t>
        </is>
      </c>
      <c r="C144" s="31" t="inlineStr">
        <is>
          <t>CFM56-7B</t>
        </is>
      </c>
      <c r="D144" s="262" t="n">
        <v>43652</v>
      </c>
      <c r="E144" s="262" t="n">
        <v>44283</v>
      </c>
      <c r="G144" s="34">
        <f>(E144-D144)/365.25</f>
        <v/>
      </c>
      <c r="H144" s="27" t="n">
        <v>12167</v>
      </c>
      <c r="I144" s="27" t="n">
        <v>13832</v>
      </c>
      <c r="J144" s="28">
        <f>(I144-H144)/G144</f>
        <v/>
      </c>
      <c r="K144" s="27" t="n">
        <v>2172</v>
      </c>
    </row>
    <row r="145">
      <c r="B145" s="31" t="inlineStr">
        <is>
          <t>804247</t>
        </is>
      </c>
      <c r="C145" s="31" t="inlineStr">
        <is>
          <t>CFM56-7B</t>
        </is>
      </c>
      <c r="D145" s="262" t="n">
        <v>40626</v>
      </c>
      <c r="E145" s="262" t="n">
        <v>44409</v>
      </c>
      <c r="G145" s="34">
        <f>(E145-D145)/365.25</f>
        <v/>
      </c>
      <c r="H145" s="27" t="n">
        <v>893</v>
      </c>
      <c r="I145" s="27" t="n">
        <v>11460</v>
      </c>
      <c r="J145" s="28">
        <f>(I145-H145)/G145</f>
        <v/>
      </c>
      <c r="K145" s="27" t="n">
        <v>3482</v>
      </c>
    </row>
    <row r="146">
      <c r="B146" s="31" t="inlineStr">
        <is>
          <t>804376</t>
        </is>
      </c>
      <c r="C146" s="31" t="inlineStr">
        <is>
          <t>CFM56-7B</t>
        </is>
      </c>
      <c r="D146" s="262" t="n">
        <v>43230</v>
      </c>
      <c r="E146" s="262" t="n">
        <v>44977</v>
      </c>
      <c r="G146" s="34">
        <f>(E146-D146)/365.25</f>
        <v/>
      </c>
      <c r="H146" s="27" t="n">
        <v>9790</v>
      </c>
      <c r="I146" s="27" t="n">
        <v>14665</v>
      </c>
      <c r="J146" s="28">
        <f>(I146-H146)/G146</f>
        <v/>
      </c>
      <c r="K146" s="27" t="n">
        <v>2179</v>
      </c>
    </row>
    <row r="147">
      <c r="B147" s="31" t="inlineStr">
        <is>
          <t>804396</t>
        </is>
      </c>
      <c r="C147" s="31" t="inlineStr">
        <is>
          <t>CFM56-7B</t>
        </is>
      </c>
      <c r="D147" s="262" t="n">
        <v>44917</v>
      </c>
      <c r="E147" s="262" t="n">
        <v>45561</v>
      </c>
      <c r="G147" s="34">
        <f>(E147-D147)/365.25</f>
        <v/>
      </c>
      <c r="H147" s="27" t="n">
        <v>13347</v>
      </c>
      <c r="I147" s="27" t="n">
        <v>15236</v>
      </c>
      <c r="J147" s="28">
        <f>(I147-H147)/G147</f>
        <v/>
      </c>
      <c r="K147" s="27" t="n">
        <v>2321</v>
      </c>
    </row>
    <row r="148">
      <c r="B148" s="31" t="inlineStr">
        <is>
          <t>804486</t>
        </is>
      </c>
      <c r="C148" s="31" t="inlineStr">
        <is>
          <t>CFM56-7B</t>
        </is>
      </c>
      <c r="D148" s="262" t="n">
        <v>43813</v>
      </c>
      <c r="E148" s="262" t="n">
        <v>44987</v>
      </c>
      <c r="G148" s="34">
        <f>(E148-D148)/365.25</f>
        <v/>
      </c>
      <c r="H148" s="27" t="n">
        <v>10770</v>
      </c>
      <c r="I148" s="27" t="n">
        <v>14036</v>
      </c>
      <c r="J148" s="28">
        <f>(I148-H148)/G148</f>
        <v/>
      </c>
      <c r="K148" s="27" t="n">
        <v>2256</v>
      </c>
    </row>
    <row r="149">
      <c r="B149" s="31" t="inlineStr">
        <is>
          <t>804748</t>
        </is>
      </c>
      <c r="C149" s="31" t="inlineStr">
        <is>
          <t>CFM56-7B</t>
        </is>
      </c>
      <c r="D149" s="262" t="n">
        <v>42279</v>
      </c>
      <c r="E149" s="262" t="n">
        <v>43388</v>
      </c>
      <c r="G149" s="34">
        <f>(E149-D149)/365.25</f>
        <v/>
      </c>
      <c r="H149" s="27" t="n">
        <v>5500</v>
      </c>
      <c r="I149" s="27" t="n">
        <v>8811</v>
      </c>
      <c r="J149" s="28">
        <f>(I149-H149)/G149</f>
        <v/>
      </c>
      <c r="K149" s="27" t="n">
        <v>3814</v>
      </c>
    </row>
    <row r="150">
      <c r="B150" s="31" t="inlineStr">
        <is>
          <t>805106</t>
        </is>
      </c>
      <c r="C150" s="31" t="inlineStr">
        <is>
          <t>CFM56-7B</t>
        </is>
      </c>
      <c r="D150" s="262" t="n">
        <v>41807</v>
      </c>
      <c r="E150" s="262" t="n">
        <v>45639</v>
      </c>
      <c r="G150" s="34">
        <f>(E150-D150)/365.25</f>
        <v/>
      </c>
      <c r="H150" s="27" t="n">
        <v>4952</v>
      </c>
      <c r="I150" s="27" t="n">
        <v>15200</v>
      </c>
      <c r="J150" s="28">
        <f>(I150-H150)/G150</f>
        <v/>
      </c>
      <c r="K150" s="27" t="n">
        <v>2468</v>
      </c>
    </row>
    <row r="151">
      <c r="B151" s="31" t="inlineStr">
        <is>
          <t>863184</t>
        </is>
      </c>
      <c r="C151" s="31" t="inlineStr">
        <is>
          <t>CFM56-7B</t>
        </is>
      </c>
      <c r="D151" s="262" t="n">
        <v>44214</v>
      </c>
      <c r="E151" s="262" t="n">
        <v>46159</v>
      </c>
      <c r="G151" s="34">
        <f>(E151-D151)/365.25</f>
        <v/>
      </c>
      <c r="H151" s="27" t="n">
        <v>6627</v>
      </c>
      <c r="I151" s="27" t="n">
        <v>13244</v>
      </c>
      <c r="J151" s="28">
        <f>(I151-H151)/G151</f>
        <v/>
      </c>
      <c r="K151" s="27" t="n">
        <v>3138</v>
      </c>
    </row>
    <row r="152">
      <c r="B152" s="31" t="inlineStr">
        <is>
          <t>864321</t>
        </is>
      </c>
      <c r="C152" s="31" t="inlineStr">
        <is>
          <t>CFM56-7B</t>
        </is>
      </c>
      <c r="D152" s="262" t="n">
        <v>44020</v>
      </c>
      <c r="E152" s="262" t="n">
        <v>45005</v>
      </c>
      <c r="G152" s="34">
        <f>(E152-D152)/365.25</f>
        <v/>
      </c>
      <c r="H152" s="27" t="n">
        <v>4822</v>
      </c>
      <c r="I152" s="27" t="n">
        <v>8099</v>
      </c>
      <c r="J152" s="28">
        <f>(I152-H152)/G152</f>
        <v/>
      </c>
      <c r="K152" s="27" t="n">
        <v>3035</v>
      </c>
    </row>
    <row r="153">
      <c r="B153" s="31" t="inlineStr">
        <is>
          <t>864440</t>
        </is>
      </c>
      <c r="C153" s="31" t="inlineStr">
        <is>
          <t>CFM56-7B</t>
        </is>
      </c>
      <c r="D153" s="262" t="n">
        <v>43305</v>
      </c>
      <c r="E153" s="262" t="n">
        <v>46100</v>
      </c>
      <c r="G153" s="34">
        <f>(E153-D153)/365.25</f>
        <v/>
      </c>
      <c r="H153" s="27" t="n">
        <v>2579</v>
      </c>
      <c r="I153" s="27" t="n">
        <v>11722</v>
      </c>
      <c r="J153" s="28">
        <f>(I153-H153)/G153</f>
        <v/>
      </c>
      <c r="K153" s="27" t="n">
        <v>2661</v>
      </c>
    </row>
    <row r="154">
      <c r="B154" s="31" t="inlineStr">
        <is>
          <t>874112</t>
        </is>
      </c>
      <c r="C154" s="31" t="inlineStr">
        <is>
          <t>CFM56-7B</t>
        </is>
      </c>
      <c r="D154" s="262" t="n">
        <v>38906</v>
      </c>
      <c r="E154" s="262" t="n">
        <v>42609</v>
      </c>
      <c r="G154" s="34">
        <f>(E154-D154)/365.25</f>
        <v/>
      </c>
      <c r="H154" s="27" t="n">
        <v>16476</v>
      </c>
      <c r="I154" s="27" t="n">
        <v>17956</v>
      </c>
      <c r="J154" s="28">
        <f>(I154-H154)/G154</f>
        <v/>
      </c>
      <c r="K154" s="27" t="n">
        <v>293</v>
      </c>
    </row>
    <row r="155">
      <c r="B155" s="31" t="inlineStr">
        <is>
          <t>874512</t>
        </is>
      </c>
      <c r="C155" s="31" t="inlineStr">
        <is>
          <t>CFM56-7B</t>
        </is>
      </c>
      <c r="D155" s="262" t="n">
        <v>40924</v>
      </c>
      <c r="E155" s="262" t="n">
        <v>41496</v>
      </c>
      <c r="G155" s="34">
        <f>(E155-D155)/365.25</f>
        <v/>
      </c>
      <c r="H155" s="27" t="n">
        <v>1654</v>
      </c>
      <c r="I155" s="27" t="n">
        <v>3253</v>
      </c>
      <c r="J155" s="28">
        <f>(I155-H155)/G155</f>
        <v/>
      </c>
      <c r="K155" s="27" t="n">
        <v>2824</v>
      </c>
    </row>
    <row r="156">
      <c r="B156" s="31" t="inlineStr">
        <is>
          <t>874871</t>
        </is>
      </c>
      <c r="C156" s="31" t="inlineStr">
        <is>
          <t>CFM56-7B</t>
        </is>
      </c>
      <c r="D156" s="262" t="n">
        <v>38356</v>
      </c>
      <c r="E156" s="262" t="n">
        <v>39006</v>
      </c>
      <c r="G156" s="34">
        <f>(E156-D156)/365.25</f>
        <v/>
      </c>
      <c r="H156" s="27" t="n">
        <v>7428</v>
      </c>
      <c r="I156" s="27" t="n">
        <v>9660</v>
      </c>
      <c r="J156" s="28">
        <f>(I156-H156)/G156</f>
        <v/>
      </c>
      <c r="K156" s="27" t="n">
        <v>3295</v>
      </c>
    </row>
    <row r="157">
      <c r="B157" s="31" t="inlineStr">
        <is>
          <t>876561</t>
        </is>
      </c>
      <c r="C157" s="31" t="inlineStr">
        <is>
          <t>CFM56-7B</t>
        </is>
      </c>
      <c r="D157" s="262" t="n">
        <v>36943</v>
      </c>
      <c r="E157" s="262" t="n">
        <v>38303</v>
      </c>
      <c r="G157" s="34">
        <f>(E157-D157)/365.25</f>
        <v/>
      </c>
      <c r="H157" s="27" t="n">
        <v>1005</v>
      </c>
      <c r="I157" s="27" t="n">
        <v>5239</v>
      </c>
      <c r="J157" s="28">
        <f>(I157-H157)/G157</f>
        <v/>
      </c>
      <c r="K157" s="27" t="n">
        <v>2503</v>
      </c>
    </row>
    <row r="158">
      <c r="B158" s="31" t="inlineStr">
        <is>
          <t>876655</t>
        </is>
      </c>
      <c r="C158" s="31" t="inlineStr">
        <is>
          <t>CFM56-7B</t>
        </is>
      </c>
      <c r="D158" s="262" t="n">
        <v>37638</v>
      </c>
      <c r="E158" s="262" t="n">
        <v>45028</v>
      </c>
      <c r="G158" s="34">
        <f>(E158-D158)/365.25</f>
        <v/>
      </c>
      <c r="H158" s="27" t="n">
        <v>4308</v>
      </c>
      <c r="I158" s="27" t="n">
        <v>26618</v>
      </c>
      <c r="J158" s="28">
        <f>(I158-H158)/G158</f>
        <v/>
      </c>
      <c r="K158" s="27" t="n">
        <v>2788</v>
      </c>
    </row>
    <row r="159">
      <c r="B159" s="31" t="inlineStr">
        <is>
          <t>888337</t>
        </is>
      </c>
      <c r="C159" s="31" t="inlineStr">
        <is>
          <t>CFM56-7B</t>
        </is>
      </c>
      <c r="D159" s="262" t="n">
        <v>39998</v>
      </c>
      <c r="E159" s="262" t="n">
        <v>45216</v>
      </c>
      <c r="G159" s="34">
        <f>(E159-D159)/365.25</f>
        <v/>
      </c>
      <c r="H159" s="27" t="n">
        <v>10482</v>
      </c>
      <c r="I159" s="27" t="n">
        <v>24721</v>
      </c>
      <c r="J159" s="28">
        <f>(I159-H159)/G159</f>
        <v/>
      </c>
      <c r="K159" s="27" t="n">
        <v>2413</v>
      </c>
    </row>
    <row r="160">
      <c r="B160" s="31" t="inlineStr">
        <is>
          <t>888680</t>
        </is>
      </c>
      <c r="C160" s="31" t="inlineStr">
        <is>
          <t>CFM56-7B</t>
        </is>
      </c>
      <c r="D160" s="262" t="n">
        <v>40089</v>
      </c>
      <c r="E160" s="262" t="n">
        <v>45586</v>
      </c>
      <c r="G160" s="34">
        <f>(E160-D160)/365.25</f>
        <v/>
      </c>
      <c r="H160" s="27" t="n">
        <v>15500</v>
      </c>
      <c r="I160" s="27" t="n">
        <v>42024</v>
      </c>
      <c r="J160" s="28">
        <f>(I160-H160)/G160</f>
        <v/>
      </c>
      <c r="K160" s="27" t="n">
        <v>2894</v>
      </c>
    </row>
    <row r="161">
      <c r="B161" s="31" t="inlineStr">
        <is>
          <t>889421</t>
        </is>
      </c>
      <c r="C161" s="31" t="inlineStr">
        <is>
          <t>CFM56-7B</t>
        </is>
      </c>
      <c r="D161" s="262" t="n">
        <v>43576</v>
      </c>
      <c r="E161" s="262" t="n">
        <v>46009</v>
      </c>
      <c r="G161" s="34">
        <f>(E161-D161)/365.25</f>
        <v/>
      </c>
      <c r="H161" s="27" t="n">
        <v>18741</v>
      </c>
      <c r="I161" s="27" t="n">
        <v>26903</v>
      </c>
      <c r="J161" s="28">
        <f>(I161-H161)/G161</f>
        <v/>
      </c>
      <c r="K161" s="27" t="n">
        <v>2700</v>
      </c>
    </row>
    <row r="162">
      <c r="B162" s="31" t="inlineStr">
        <is>
          <t>889716</t>
        </is>
      </c>
      <c r="C162" s="31" t="inlineStr">
        <is>
          <t>CFM56-7B</t>
        </is>
      </c>
      <c r="D162" s="262" t="n">
        <v>38356</v>
      </c>
      <c r="E162" s="262" t="n">
        <v>44304</v>
      </c>
      <c r="G162" s="34">
        <f>(E162-D162)/365.25</f>
        <v/>
      </c>
      <c r="H162" s="27" t="n">
        <v>4758</v>
      </c>
      <c r="I162" s="27" t="n">
        <v>26157</v>
      </c>
      <c r="J162" s="28">
        <f>(I162-H162)/G162</f>
        <v/>
      </c>
      <c r="K162" s="27" t="n">
        <v>2433</v>
      </c>
    </row>
    <row r="163">
      <c r="B163" s="31" t="inlineStr">
        <is>
          <t>889997</t>
        </is>
      </c>
      <c r="C163" s="31" t="inlineStr">
        <is>
          <t>CFM56-7B</t>
        </is>
      </c>
      <c r="D163" s="262" t="n">
        <v>38437</v>
      </c>
      <c r="E163" s="262" t="n">
        <v>40077</v>
      </c>
      <c r="G163" s="34">
        <f>(E163-D163)/365.25</f>
        <v/>
      </c>
      <c r="H163" s="27" t="n">
        <v>4376</v>
      </c>
      <c r="I163" s="27" t="n">
        <v>11149</v>
      </c>
      <c r="J163" s="28">
        <f>(I163-H163)/G163</f>
        <v/>
      </c>
      <c r="K163" s="27" t="n">
        <v>2774</v>
      </c>
    </row>
    <row r="164">
      <c r="B164" s="31" t="inlineStr">
        <is>
          <t>890853</t>
        </is>
      </c>
      <c r="C164" s="31" t="inlineStr">
        <is>
          <t>CFM56-7B</t>
        </is>
      </c>
      <c r="D164" s="262" t="n">
        <v>38732</v>
      </c>
      <c r="E164" s="262" t="n">
        <v>41208</v>
      </c>
      <c r="G164" s="34">
        <f>(E164-D164)/365.25</f>
        <v/>
      </c>
      <c r="H164" s="27" t="n">
        <v>3495</v>
      </c>
      <c r="I164" s="27" t="n">
        <v>8595</v>
      </c>
      <c r="J164" s="28">
        <f>(I164-H164)/G164</f>
        <v/>
      </c>
      <c r="K164" s="27" t="n">
        <v>1211</v>
      </c>
    </row>
    <row r="165">
      <c r="B165" s="31" t="inlineStr">
        <is>
          <t>892112</t>
        </is>
      </c>
      <c r="C165" s="31" t="inlineStr">
        <is>
          <t>CFM56-7B</t>
        </is>
      </c>
      <c r="D165" s="262" t="n">
        <v>38426</v>
      </c>
      <c r="E165" s="262" t="n">
        <v>39927</v>
      </c>
      <c r="G165" s="34">
        <f>(E165-D165)/365.25</f>
        <v/>
      </c>
      <c r="H165" s="27" t="n">
        <v>774</v>
      </c>
      <c r="I165" s="27" t="n">
        <v>6464</v>
      </c>
      <c r="J165" s="28">
        <f>(I165-H165)/G165</f>
        <v/>
      </c>
      <c r="K165" s="27" t="n">
        <v>2651</v>
      </c>
    </row>
    <row r="166">
      <c r="B166" s="31" t="inlineStr">
        <is>
          <t>892187</t>
        </is>
      </c>
      <c r="C166" s="31" t="inlineStr">
        <is>
          <t>CFM56-7B</t>
        </is>
      </c>
      <c r="D166" s="262" t="n">
        <v>38575</v>
      </c>
      <c r="E166" s="262" t="n">
        <v>41898</v>
      </c>
      <c r="G166" s="34">
        <f>(E166-D166)/365.25</f>
        <v/>
      </c>
      <c r="H166" s="27" t="n">
        <v>784</v>
      </c>
      <c r="I166" s="27" t="n">
        <v>25363</v>
      </c>
      <c r="J166" s="28">
        <f>(I166-H166)/G166</f>
        <v/>
      </c>
      <c r="K166" s="27" t="n">
        <v>4662</v>
      </c>
    </row>
    <row r="167">
      <c r="B167" s="31" t="inlineStr">
        <is>
          <t>892190</t>
        </is>
      </c>
      <c r="C167" s="31" t="inlineStr">
        <is>
          <t>CFM56-7B</t>
        </is>
      </c>
      <c r="D167" s="262" t="n">
        <v>38600</v>
      </c>
      <c r="E167" s="262" t="n">
        <v>43405</v>
      </c>
      <c r="G167" s="34">
        <f>(E167-D167)/365.25</f>
        <v/>
      </c>
      <c r="H167" s="27" t="n">
        <v>769</v>
      </c>
      <c r="I167" s="27" t="n">
        <v>7502</v>
      </c>
      <c r="J167" s="28">
        <f>(I167-H167)/G167</f>
        <v/>
      </c>
      <c r="K167" s="27" t="n">
        <v>842</v>
      </c>
    </row>
    <row r="168">
      <c r="B168" s="31" t="inlineStr">
        <is>
          <t>892431</t>
        </is>
      </c>
      <c r="C168" s="31" t="inlineStr">
        <is>
          <t>CFM56-7B</t>
        </is>
      </c>
      <c r="D168" s="262" t="n">
        <v>41847</v>
      </c>
      <c r="E168" s="262" t="n">
        <v>43590</v>
      </c>
      <c r="G168" s="34">
        <f>(E168-D168)/365.25</f>
        <v/>
      </c>
      <c r="H168" s="27" t="n">
        <v>10609</v>
      </c>
      <c r="I168" s="27" t="n">
        <v>16459</v>
      </c>
      <c r="J168" s="28">
        <f>(I168-H168)/G168</f>
        <v/>
      </c>
      <c r="K168" s="27" t="n">
        <v>3479</v>
      </c>
    </row>
    <row r="169">
      <c r="B169" s="31" t="inlineStr">
        <is>
          <t>892740</t>
        </is>
      </c>
      <c r="C169" s="31" t="inlineStr">
        <is>
          <t>CFM56-7B</t>
        </is>
      </c>
      <c r="D169" s="262" t="n">
        <v>42298</v>
      </c>
      <c r="E169" s="262" t="n">
        <v>44737</v>
      </c>
      <c r="G169" s="34">
        <f>(E169-D169)/365.25</f>
        <v/>
      </c>
      <c r="H169" s="27" t="n">
        <v>11388</v>
      </c>
      <c r="I169" s="27" t="n">
        <v>16182</v>
      </c>
      <c r="J169" s="28">
        <f>(I169-H169)/G169</f>
        <v/>
      </c>
      <c r="K169" s="27" t="n">
        <v>2552</v>
      </c>
    </row>
    <row r="170">
      <c r="B170" s="31" t="inlineStr">
        <is>
          <t>892792</t>
        </is>
      </c>
      <c r="C170" s="31" t="inlineStr">
        <is>
          <t>CFM56-7B</t>
        </is>
      </c>
      <c r="D170" s="262" t="n">
        <v>39650</v>
      </c>
      <c r="E170" s="262" t="n">
        <v>43833</v>
      </c>
      <c r="G170" s="34">
        <f>(E170-D170)/365.25</f>
        <v/>
      </c>
      <c r="H170" s="27" t="n">
        <v>2480</v>
      </c>
      <c r="I170" s="27" t="n">
        <v>14574</v>
      </c>
      <c r="J170" s="28">
        <f>(I170-H170)/G170</f>
        <v/>
      </c>
      <c r="K170" s="27" t="n">
        <v>3202</v>
      </c>
    </row>
    <row r="171">
      <c r="B171" s="31" t="inlineStr">
        <is>
          <t>892987</t>
        </is>
      </c>
      <c r="C171" s="31" t="inlineStr">
        <is>
          <t>CFM56-7B</t>
        </is>
      </c>
      <c r="D171" s="262" t="n">
        <v>41582</v>
      </c>
      <c r="E171" s="262" t="n">
        <v>45155</v>
      </c>
      <c r="G171" s="34">
        <f>(E171-D171)/365.25</f>
        <v/>
      </c>
      <c r="H171" s="27" t="n">
        <v>12079</v>
      </c>
      <c r="I171" s="27" t="n">
        <v>31376</v>
      </c>
      <c r="J171" s="28">
        <f>(I171-H171)/G171</f>
        <v/>
      </c>
      <c r="K171" s="27" t="n">
        <v>3280</v>
      </c>
    </row>
    <row r="172">
      <c r="B172" s="31" t="inlineStr">
        <is>
          <t>893194</t>
        </is>
      </c>
      <c r="C172" s="31" t="inlineStr">
        <is>
          <t>CFM56-7B</t>
        </is>
      </c>
      <c r="D172" s="262" t="n">
        <v>41186</v>
      </c>
      <c r="E172" s="262" t="n">
        <v>42579</v>
      </c>
      <c r="G172" s="34">
        <f>(E172-D172)/365.25</f>
        <v/>
      </c>
      <c r="H172" s="27" t="n">
        <v>15661</v>
      </c>
      <c r="I172" s="27" t="n">
        <v>22738</v>
      </c>
      <c r="J172" s="28">
        <f>(I172-H172)/G172</f>
        <v/>
      </c>
      <c r="K172" s="27" t="n">
        <v>3172</v>
      </c>
    </row>
    <row r="173">
      <c r="B173" s="31" t="inlineStr">
        <is>
          <t>894103</t>
        </is>
      </c>
      <c r="C173" s="31" t="inlineStr">
        <is>
          <t>CFM56-7B</t>
        </is>
      </c>
      <c r="D173" s="262" t="n">
        <v>39566</v>
      </c>
      <c r="E173" s="262" t="n">
        <v>44028</v>
      </c>
      <c r="G173" s="34">
        <f>(E173-D173)/365.25</f>
        <v/>
      </c>
      <c r="H173" s="27" t="n">
        <v>2093</v>
      </c>
      <c r="I173" s="27" t="n">
        <v>15105</v>
      </c>
      <c r="J173" s="28">
        <f>(I173-H173)/G173</f>
        <v/>
      </c>
      <c r="K173" s="27" t="n">
        <v>3630</v>
      </c>
    </row>
    <row r="174">
      <c r="B174" s="31" t="inlineStr">
        <is>
          <t>894148</t>
        </is>
      </c>
      <c r="C174" s="31" t="inlineStr">
        <is>
          <t>CFM56-7B</t>
        </is>
      </c>
      <c r="D174" s="262" t="n">
        <v>39639</v>
      </c>
      <c r="E174" s="262" t="n">
        <v>44873</v>
      </c>
      <c r="G174" s="34">
        <f>(E174-D174)/365.25</f>
        <v/>
      </c>
      <c r="H174" s="27" t="n">
        <v>2292</v>
      </c>
      <c r="I174" s="27" t="n">
        <v>17243</v>
      </c>
      <c r="J174" s="28">
        <f>(I174-H174)/G174</f>
        <v/>
      </c>
      <c r="K174" s="27" t="n">
        <v>3554</v>
      </c>
    </row>
    <row r="175">
      <c r="B175" s="31" t="inlineStr">
        <is>
          <t>894151</t>
        </is>
      </c>
      <c r="C175" s="31" t="inlineStr">
        <is>
          <t>CFM56-7B</t>
        </is>
      </c>
      <c r="D175" s="262" t="n">
        <v>39928</v>
      </c>
      <c r="E175" s="262" t="n">
        <v>44297</v>
      </c>
      <c r="G175" s="34">
        <f>(E175-D175)/365.25</f>
        <v/>
      </c>
      <c r="H175" s="27" t="n">
        <v>3118</v>
      </c>
      <c r="I175" s="27" t="n">
        <v>15706</v>
      </c>
      <c r="J175" s="28">
        <f>(I175-H175)/G175</f>
        <v/>
      </c>
      <c r="K175" s="27" t="n">
        <v>3565</v>
      </c>
    </row>
    <row r="176">
      <c r="B176" s="31" t="inlineStr">
        <is>
          <t>894227</t>
        </is>
      </c>
      <c r="C176" s="31" t="inlineStr">
        <is>
          <t>CFM56-7B</t>
        </is>
      </c>
      <c r="D176" s="262" t="n">
        <v>39464</v>
      </c>
      <c r="E176" s="262" t="n">
        <v>43612</v>
      </c>
      <c r="G176" s="34">
        <f>(E176-D176)/365.25</f>
        <v/>
      </c>
      <c r="H176" s="27" t="n">
        <v>1517</v>
      </c>
      <c r="I176" s="27" t="n">
        <v>13447</v>
      </c>
      <c r="J176" s="28">
        <f>(I176-H176)/G176</f>
        <v/>
      </c>
      <c r="K176" s="27" t="n">
        <v>3393</v>
      </c>
    </row>
    <row r="177">
      <c r="B177" s="31" t="inlineStr">
        <is>
          <t>894241</t>
        </is>
      </c>
      <c r="C177" s="31" t="inlineStr">
        <is>
          <t>CFM56-7B</t>
        </is>
      </c>
      <c r="D177" s="262" t="n">
        <v>40075</v>
      </c>
      <c r="E177" s="262" t="n">
        <v>43808</v>
      </c>
      <c r="G177" s="34">
        <f>(E177-D177)/365.25</f>
        <v/>
      </c>
      <c r="H177" s="27" t="n">
        <v>3762</v>
      </c>
      <c r="I177" s="27" t="n">
        <v>15195</v>
      </c>
      <c r="J177" s="28">
        <f>(I177-H177)/G177</f>
        <v/>
      </c>
      <c r="K177" s="27" t="n">
        <v>3810</v>
      </c>
    </row>
    <row r="178">
      <c r="B178" s="31" t="inlineStr">
        <is>
          <t>894242</t>
        </is>
      </c>
      <c r="C178" s="31" t="inlineStr">
        <is>
          <t>CFM56-7B</t>
        </is>
      </c>
      <c r="D178" s="262" t="n">
        <v>39967</v>
      </c>
      <c r="E178" s="262" t="n">
        <v>43495</v>
      </c>
      <c r="G178" s="34">
        <f>(E178-D178)/365.25</f>
        <v/>
      </c>
      <c r="H178" s="27" t="n">
        <v>3441</v>
      </c>
      <c r="I178" s="27" t="n">
        <v>14284</v>
      </c>
      <c r="J178" s="28">
        <f>(I178-H178)/G178</f>
        <v/>
      </c>
      <c r="K178" s="27" t="n">
        <v>3799</v>
      </c>
    </row>
    <row r="179">
      <c r="B179" s="31" t="inlineStr">
        <is>
          <t>894257</t>
        </is>
      </c>
      <c r="C179" s="31" t="inlineStr">
        <is>
          <t>CFM56-7B</t>
        </is>
      </c>
      <c r="D179" s="262" t="n">
        <v>40032</v>
      </c>
      <c r="E179" s="262" t="n">
        <v>44875</v>
      </c>
      <c r="G179" s="34">
        <f>(E179-D179)/365.25</f>
        <v/>
      </c>
      <c r="H179" s="27" t="n">
        <v>3400</v>
      </c>
      <c r="I179" s="27" t="n">
        <v>16619</v>
      </c>
      <c r="J179" s="28">
        <f>(I179-H179)/G179</f>
        <v/>
      </c>
      <c r="K179" s="27" t="n">
        <v>3439</v>
      </c>
    </row>
    <row r="180">
      <c r="B180" s="31" t="inlineStr">
        <is>
          <t>894361</t>
        </is>
      </c>
      <c r="C180" s="31" t="inlineStr">
        <is>
          <t>CFM56-7B</t>
        </is>
      </c>
      <c r="D180" s="262" t="n">
        <v>39884</v>
      </c>
      <c r="E180" s="262" t="n">
        <v>44824</v>
      </c>
      <c r="G180" s="34">
        <f>(E180-D180)/365.25</f>
        <v/>
      </c>
      <c r="H180" s="27" t="n">
        <v>2901</v>
      </c>
      <c r="I180" s="27" t="n">
        <v>16378</v>
      </c>
      <c r="J180" s="28">
        <f>(I180-H180)/G180</f>
        <v/>
      </c>
      <c r="K180" s="27" t="n">
        <v>3414</v>
      </c>
    </row>
    <row r="181">
      <c r="B181" s="31" t="inlineStr">
        <is>
          <t>894362</t>
        </is>
      </c>
      <c r="C181" s="31" t="inlineStr">
        <is>
          <t>CFM56-7B</t>
        </is>
      </c>
      <c r="D181" s="262" t="n">
        <v>40042</v>
      </c>
      <c r="E181" s="262" t="n">
        <v>44258</v>
      </c>
      <c r="G181" s="34">
        <f>(E181-D181)/365.25</f>
        <v/>
      </c>
      <c r="H181" s="27" t="n">
        <v>3387</v>
      </c>
      <c r="I181" s="27" t="n">
        <v>14831</v>
      </c>
      <c r="J181" s="28">
        <f>(I181-H181)/G181</f>
        <v/>
      </c>
      <c r="K181" s="27" t="n">
        <v>3324</v>
      </c>
    </row>
    <row r="182">
      <c r="B182" s="31" t="inlineStr">
        <is>
          <t>894475</t>
        </is>
      </c>
      <c r="C182" s="31" t="inlineStr">
        <is>
          <t>CFM56-7B</t>
        </is>
      </c>
      <c r="D182" s="262" t="n">
        <v>40715</v>
      </c>
      <c r="E182" s="262" t="n">
        <v>43586</v>
      </c>
      <c r="G182" s="34">
        <f>(E182-D182)/365.25</f>
        <v/>
      </c>
      <c r="H182" s="27" t="n">
        <v>5321</v>
      </c>
      <c r="I182" s="27" t="n">
        <v>14000</v>
      </c>
      <c r="J182" s="28">
        <f>(I182-H182)/G182</f>
        <v/>
      </c>
      <c r="K182" s="27" t="n">
        <v>3779</v>
      </c>
    </row>
    <row r="183">
      <c r="B183" s="31" t="inlineStr">
        <is>
          <t>894497</t>
        </is>
      </c>
      <c r="C183" s="31" t="inlineStr">
        <is>
          <t>CFM56-7B</t>
        </is>
      </c>
      <c r="D183" s="262" t="n">
        <v>40873</v>
      </c>
      <c r="E183" s="262" t="n">
        <v>46251</v>
      </c>
      <c r="G183" s="34">
        <f>(E183-D183)/365.25</f>
        <v/>
      </c>
      <c r="H183" s="27" t="n">
        <v>10269</v>
      </c>
      <c r="I183" s="27" t="n">
        <v>34963</v>
      </c>
      <c r="J183" s="28">
        <f>(I183-H183)/G183</f>
        <v/>
      </c>
      <c r="K183" s="27" t="n">
        <v>2737</v>
      </c>
    </row>
    <row r="184">
      <c r="B184" s="31" t="inlineStr">
        <is>
          <t>894536</t>
        </is>
      </c>
      <c r="C184" s="31" t="inlineStr">
        <is>
          <t>CFM56-7B</t>
        </is>
      </c>
      <c r="D184" s="262" t="n">
        <v>39504</v>
      </c>
      <c r="E184" s="262" t="n">
        <v>41320</v>
      </c>
      <c r="G184" s="34">
        <f>(E184-D184)/365.25</f>
        <v/>
      </c>
      <c r="H184" s="27" t="n">
        <v>1191</v>
      </c>
      <c r="I184" s="27" t="n">
        <v>6952</v>
      </c>
      <c r="J184" s="28">
        <f>(I184-H184)/G184</f>
        <v/>
      </c>
      <c r="K184" s="27" t="n">
        <v>3856</v>
      </c>
    </row>
    <row r="185">
      <c r="B185" s="31" t="inlineStr">
        <is>
          <t>894542</t>
        </is>
      </c>
      <c r="C185" s="31" t="inlineStr">
        <is>
          <t>CFM56-7B</t>
        </is>
      </c>
      <c r="D185" s="262" t="n">
        <v>39798</v>
      </c>
      <c r="E185" s="262" t="n">
        <v>41609</v>
      </c>
      <c r="G185" s="34">
        <f>(E185-D185)/365.25</f>
        <v/>
      </c>
      <c r="H185" s="27" t="n">
        <v>2061</v>
      </c>
      <c r="I185" s="27" t="n">
        <v>8017</v>
      </c>
      <c r="J185" s="28">
        <f>(I185-H185)/G185</f>
        <v/>
      </c>
      <c r="K185" s="27" t="n">
        <v>3075</v>
      </c>
    </row>
    <row r="186">
      <c r="B186" s="31" t="inlineStr">
        <is>
          <t>894547</t>
        </is>
      </c>
      <c r="C186" s="31" t="inlineStr">
        <is>
          <t>CFM56-7B</t>
        </is>
      </c>
      <c r="D186" s="262" t="n">
        <v>39767</v>
      </c>
      <c r="E186" s="262" t="n">
        <v>44517</v>
      </c>
      <c r="G186" s="34">
        <f>(E186-D186)/365.25</f>
        <v/>
      </c>
      <c r="H186" s="27" t="n">
        <v>2022</v>
      </c>
      <c r="I186" s="27" t="n">
        <v>15802</v>
      </c>
      <c r="J186" s="28">
        <f>(I186-H186)/G186</f>
        <v/>
      </c>
      <c r="K186" s="27" t="n">
        <v>3606</v>
      </c>
    </row>
    <row r="187">
      <c r="B187" s="31" t="inlineStr">
        <is>
          <t>894549</t>
        </is>
      </c>
      <c r="C187" s="31" t="inlineStr">
        <is>
          <t>CFM56-7B</t>
        </is>
      </c>
      <c r="D187" s="262" t="n">
        <v>40454</v>
      </c>
      <c r="E187" s="262" t="n">
        <v>44816</v>
      </c>
      <c r="G187" s="34">
        <f>(E187-D187)/365.25</f>
        <v/>
      </c>
      <c r="H187" s="27" t="n">
        <v>4052</v>
      </c>
      <c r="I187" s="27" t="n">
        <v>15997</v>
      </c>
      <c r="J187" s="28">
        <f>(I187-H187)/G187</f>
        <v/>
      </c>
      <c r="K187" s="27" t="n">
        <v>3403</v>
      </c>
    </row>
    <row r="188">
      <c r="B188" s="31" t="inlineStr">
        <is>
          <t>894763</t>
        </is>
      </c>
      <c r="C188" s="31" t="inlineStr">
        <is>
          <t>CFM56-7B</t>
        </is>
      </c>
      <c r="D188" s="262" t="n">
        <v>39728</v>
      </c>
      <c r="E188" s="262" t="n">
        <v>40254</v>
      </c>
      <c r="G188" s="34">
        <f>(E188-D188)/365.25</f>
        <v/>
      </c>
      <c r="H188" s="27" t="n">
        <v>1508</v>
      </c>
      <c r="I188" s="27" t="n">
        <v>3076</v>
      </c>
      <c r="J188" s="28">
        <f>(I188-H188)/G188</f>
        <v/>
      </c>
      <c r="K188" s="27" t="n">
        <v>3595</v>
      </c>
    </row>
    <row r="189">
      <c r="B189" s="31" t="inlineStr">
        <is>
          <t>894764</t>
        </is>
      </c>
      <c r="C189" s="31" t="inlineStr">
        <is>
          <t>CFM56-7B</t>
        </is>
      </c>
      <c r="D189" s="262" t="n">
        <v>39635</v>
      </c>
      <c r="E189" s="262" t="n">
        <v>40254</v>
      </c>
      <c r="G189" s="34">
        <f>(E189-D189)/365.25</f>
        <v/>
      </c>
      <c r="H189" s="27" t="n">
        <v>1170</v>
      </c>
      <c r="I189" s="27" t="n">
        <v>3076</v>
      </c>
      <c r="J189" s="28">
        <f>(I189-H189)/G189</f>
        <v/>
      </c>
      <c r="K189" s="27" t="n">
        <v>3689</v>
      </c>
    </row>
    <row r="190">
      <c r="B190" s="31" t="inlineStr">
        <is>
          <t>894832</t>
        </is>
      </c>
      <c r="C190" s="31" t="inlineStr">
        <is>
          <t>CFM56-7B</t>
        </is>
      </c>
      <c r="D190" s="262" t="n">
        <v>40463</v>
      </c>
      <c r="E190" s="262" t="n">
        <v>44370</v>
      </c>
      <c r="G190" s="34">
        <f>(E190-D190)/365.25</f>
        <v/>
      </c>
      <c r="H190" s="27" t="n">
        <v>3358</v>
      </c>
      <c r="I190" s="27" t="n">
        <v>14133</v>
      </c>
      <c r="J190" s="28">
        <f>(I190-H190)/G190</f>
        <v/>
      </c>
      <c r="K190" s="27" t="n">
        <v>3358</v>
      </c>
    </row>
    <row r="191">
      <c r="B191" s="31" t="inlineStr">
        <is>
          <t>894886</t>
        </is>
      </c>
      <c r="C191" s="31" t="inlineStr">
        <is>
          <t>CFM56-7B</t>
        </is>
      </c>
      <c r="D191" s="262" t="n">
        <v>40013</v>
      </c>
      <c r="E191" s="262" t="n">
        <v>43877</v>
      </c>
      <c r="G191" s="34">
        <f>(E191-D191)/365.25</f>
        <v/>
      </c>
      <c r="H191" s="27" t="n">
        <v>2156</v>
      </c>
      <c r="I191" s="27" t="n">
        <v>13772</v>
      </c>
      <c r="J191" s="28">
        <f>(I191-H191)/G191</f>
        <v/>
      </c>
      <c r="K191" s="27" t="n">
        <v>3703</v>
      </c>
    </row>
    <row r="192">
      <c r="B192" s="31" t="inlineStr">
        <is>
          <t>894908</t>
        </is>
      </c>
      <c r="C192" s="31" t="inlineStr">
        <is>
          <t>CFM56-7B</t>
        </is>
      </c>
      <c r="D192" s="262" t="n">
        <v>39831</v>
      </c>
      <c r="E192" s="262" t="n">
        <v>43360</v>
      </c>
      <c r="G192" s="34">
        <f>(E192-D192)/365.25</f>
        <v/>
      </c>
      <c r="H192" s="27" t="n">
        <v>1639</v>
      </c>
      <c r="I192" s="27" t="n">
        <v>12694</v>
      </c>
      <c r="J192" s="28">
        <f>(I192-H192)/G192</f>
        <v/>
      </c>
      <c r="K192" s="27" t="n">
        <v>3802</v>
      </c>
    </row>
    <row r="193">
      <c r="B193" s="31" t="inlineStr">
        <is>
          <t>894916</t>
        </is>
      </c>
      <c r="C193" s="31" t="inlineStr">
        <is>
          <t>CFM56-7B</t>
        </is>
      </c>
      <c r="D193" s="262" t="n">
        <v>40217</v>
      </c>
      <c r="E193" s="262" t="n">
        <v>43217</v>
      </c>
      <c r="G193" s="34">
        <f>(E193-D193)/365.25</f>
        <v/>
      </c>
      <c r="H193" s="27" t="n">
        <v>2930</v>
      </c>
      <c r="I193" s="27" t="n">
        <v>12082</v>
      </c>
      <c r="J193" s="28">
        <f>(I193-H193)/G193</f>
        <v/>
      </c>
      <c r="K193" s="27" t="n">
        <v>3749</v>
      </c>
    </row>
    <row r="194">
      <c r="B194" s="31" t="inlineStr">
        <is>
          <t>894921</t>
        </is>
      </c>
      <c r="C194" s="31" t="inlineStr">
        <is>
          <t>CFM56-7B</t>
        </is>
      </c>
      <c r="D194" s="262" t="n">
        <v>42211</v>
      </c>
      <c r="E194" s="262" t="n">
        <v>43903</v>
      </c>
      <c r="G194" s="34">
        <f>(E194-D194)/365.25</f>
        <v/>
      </c>
      <c r="H194" s="27" t="n">
        <v>9271</v>
      </c>
      <c r="I194" s="27" t="n">
        <v>14320</v>
      </c>
      <c r="J194" s="28">
        <f>(I194-H194)/G194</f>
        <v/>
      </c>
      <c r="K194" s="27" t="n">
        <v>3718</v>
      </c>
    </row>
    <row r="195">
      <c r="B195" s="31" t="inlineStr">
        <is>
          <t>895170</t>
        </is>
      </c>
      <c r="C195" s="31" t="inlineStr">
        <is>
          <t>CFM56-7B</t>
        </is>
      </c>
      <c r="D195" s="262" t="n">
        <v>40893</v>
      </c>
      <c r="E195" s="262" t="n">
        <v>44418</v>
      </c>
      <c r="G195" s="34">
        <f>(E195-D195)/365.25</f>
        <v/>
      </c>
      <c r="H195" s="27" t="n">
        <v>6225</v>
      </c>
      <c r="I195" s="27" t="n">
        <v>15739</v>
      </c>
      <c r="J195" s="28">
        <f>(I195-H195)/G195</f>
        <v/>
      </c>
      <c r="K195" s="27" t="n">
        <v>3441</v>
      </c>
    </row>
    <row r="196">
      <c r="B196" s="31" t="inlineStr">
        <is>
          <t>895977</t>
        </is>
      </c>
      <c r="C196" s="31" t="inlineStr">
        <is>
          <t>CFM56-7B</t>
        </is>
      </c>
      <c r="D196" s="262" t="n">
        <v>39579</v>
      </c>
      <c r="E196" s="262" t="n">
        <v>42999</v>
      </c>
      <c r="G196" s="34">
        <f>(E196-D196)/365.25</f>
        <v/>
      </c>
      <c r="H196" s="27" t="n">
        <v>632</v>
      </c>
      <c r="I196" s="27" t="n">
        <v>3505</v>
      </c>
      <c r="J196" s="28">
        <f>(I196-H196)/G196</f>
        <v/>
      </c>
      <c r="K196" s="27" t="n">
        <v>3683</v>
      </c>
    </row>
    <row r="197">
      <c r="B197" s="31" t="inlineStr">
        <is>
          <t>895978</t>
        </is>
      </c>
      <c r="C197" s="31" t="inlineStr">
        <is>
          <t>CFM56-7B</t>
        </is>
      </c>
      <c r="D197" s="262" t="n">
        <v>39578</v>
      </c>
      <c r="E197" s="262" t="n">
        <v>45199</v>
      </c>
      <c r="G197" s="34">
        <f>(E197-D197)/365.25</f>
        <v/>
      </c>
      <c r="H197" s="27" t="n">
        <v>628</v>
      </c>
      <c r="I197" s="27" t="n">
        <v>6367</v>
      </c>
      <c r="J197" s="28">
        <f>(I197-H197)/G197</f>
        <v/>
      </c>
      <c r="K197" s="27" t="n">
        <v>1275</v>
      </c>
    </row>
    <row r="198">
      <c r="B198" s="31" t="inlineStr">
        <is>
          <t>896162</t>
        </is>
      </c>
      <c r="C198" s="31" t="inlineStr">
        <is>
          <t>CFM56-7B</t>
        </is>
      </c>
      <c r="D198" s="262" t="n">
        <v>40525</v>
      </c>
      <c r="E198" s="262" t="n">
        <v>41357</v>
      </c>
      <c r="G198" s="34">
        <f>(E198-D198)/365.25</f>
        <v/>
      </c>
      <c r="H198" s="27" t="n">
        <v>3203</v>
      </c>
      <c r="I198" s="27" t="n">
        <v>4817</v>
      </c>
      <c r="J198" s="28">
        <f>(I198-H198)/G198</f>
        <v/>
      </c>
      <c r="K198" s="27" t="n">
        <v>2238</v>
      </c>
    </row>
    <row r="199">
      <c r="B199" s="31" t="inlineStr">
        <is>
          <t>896205</t>
        </is>
      </c>
      <c r="C199" s="31" t="inlineStr">
        <is>
          <t>CFM56-7B</t>
        </is>
      </c>
      <c r="D199" s="262" t="n">
        <v>41555</v>
      </c>
      <c r="E199" s="262" t="n">
        <v>42862</v>
      </c>
      <c r="G199" s="34">
        <f>(E199-D199)/365.25</f>
        <v/>
      </c>
      <c r="H199" s="27" t="n">
        <v>6776</v>
      </c>
      <c r="I199" s="27" t="n">
        <v>10052</v>
      </c>
      <c r="J199" s="28">
        <f>(I199-H199)/G199</f>
        <v/>
      </c>
      <c r="K199" s="27" t="n">
        <v>3089</v>
      </c>
    </row>
    <row r="200">
      <c r="B200" s="31" t="inlineStr">
        <is>
          <t>896273</t>
        </is>
      </c>
      <c r="C200" s="31" t="inlineStr">
        <is>
          <t>CFM56-7B</t>
        </is>
      </c>
      <c r="D200" s="262" t="n">
        <v>41628</v>
      </c>
      <c r="E200" s="262" t="n">
        <v>44933</v>
      </c>
      <c r="G200" s="34">
        <f>(E200-D200)/365.25</f>
        <v/>
      </c>
      <c r="H200" s="27" t="n">
        <v>7135</v>
      </c>
      <c r="I200" s="27" t="n">
        <v>15788</v>
      </c>
      <c r="J200" s="28">
        <f>(I200-H200)/G200</f>
        <v/>
      </c>
      <c r="K200" s="27" t="n">
        <v>3369</v>
      </c>
    </row>
    <row r="201">
      <c r="B201" s="31" t="inlineStr">
        <is>
          <t>896384</t>
        </is>
      </c>
      <c r="C201" s="31" t="inlineStr">
        <is>
          <t>CFM56-7B</t>
        </is>
      </c>
      <c r="D201" s="262" t="n">
        <v>41922</v>
      </c>
      <c r="E201" s="262" t="n">
        <v>42588</v>
      </c>
      <c r="G201" s="34">
        <f>(E201-D201)/365.25</f>
        <v/>
      </c>
      <c r="H201" s="27" t="n">
        <v>8860</v>
      </c>
      <c r="I201" s="27" t="n">
        <v>11484</v>
      </c>
      <c r="J201" s="28">
        <f>(I201-H201)/G201</f>
        <v/>
      </c>
      <c r="K201" s="27" t="n">
        <v>3624</v>
      </c>
    </row>
    <row r="202">
      <c r="B202" s="31" t="inlineStr">
        <is>
          <t>896459</t>
        </is>
      </c>
      <c r="C202" s="31" t="inlineStr">
        <is>
          <t>CFM56-7B</t>
        </is>
      </c>
      <c r="D202" s="262" t="n">
        <v>39569</v>
      </c>
      <c r="E202" s="262" t="n">
        <v>42985</v>
      </c>
      <c r="G202" s="34">
        <f>(E202-D202)/365.25</f>
        <v/>
      </c>
      <c r="H202" s="27" t="n">
        <v>24</v>
      </c>
      <c r="I202" s="27" t="n">
        <v>10379</v>
      </c>
      <c r="J202" s="28">
        <f>(I202-H202)/G202</f>
        <v/>
      </c>
      <c r="K202" s="27" t="n">
        <v>3540</v>
      </c>
    </row>
    <row r="203">
      <c r="B203" s="31" t="inlineStr">
        <is>
          <t>896469</t>
        </is>
      </c>
      <c r="C203" s="31" t="inlineStr">
        <is>
          <t>CFM56-7B</t>
        </is>
      </c>
      <c r="D203" s="262" t="n">
        <v>40508</v>
      </c>
      <c r="E203" s="262" t="n">
        <v>43523</v>
      </c>
      <c r="G203" s="34">
        <f>(E203-D203)/365.25</f>
        <v/>
      </c>
      <c r="H203" s="27" t="n">
        <v>3189</v>
      </c>
      <c r="I203" s="27" t="n">
        <v>11152</v>
      </c>
      <c r="J203" s="28">
        <f>(I203-H203)/G203</f>
        <v/>
      </c>
      <c r="K203" s="27" t="n">
        <v>3365</v>
      </c>
    </row>
    <row r="204">
      <c r="B204" s="31" t="inlineStr">
        <is>
          <t>896511</t>
        </is>
      </c>
      <c r="C204" s="31" t="inlineStr">
        <is>
          <t>CFM56-7B</t>
        </is>
      </c>
      <c r="D204" s="262" t="n">
        <v>41503</v>
      </c>
      <c r="E204" s="262" t="n">
        <v>44912</v>
      </c>
      <c r="G204" s="34">
        <f>(E204-D204)/365.25</f>
        <v/>
      </c>
      <c r="H204" s="27" t="n">
        <v>6217</v>
      </c>
      <c r="I204" s="27" t="n">
        <v>15076</v>
      </c>
      <c r="J204" s="28">
        <f>(I204-H204)/G204</f>
        <v/>
      </c>
      <c r="K204" s="27" t="n">
        <v>2851</v>
      </c>
    </row>
    <row r="205">
      <c r="B205" s="31" t="inlineStr">
        <is>
          <t>896629</t>
        </is>
      </c>
      <c r="C205" s="31" t="inlineStr">
        <is>
          <t>CFM56-7B</t>
        </is>
      </c>
      <c r="D205" s="262" t="n">
        <v>42983</v>
      </c>
      <c r="E205" s="262" t="n">
        <v>45070</v>
      </c>
      <c r="G205" s="34">
        <f>(E205-D205)/365.25</f>
        <v/>
      </c>
      <c r="H205" s="27" t="n">
        <v>10528</v>
      </c>
      <c r="I205" s="27" t="n">
        <v>15670</v>
      </c>
      <c r="J205" s="28">
        <f>(I205-H205)/G205</f>
        <v/>
      </c>
      <c r="K205" s="27" t="n">
        <v>3194</v>
      </c>
    </row>
    <row r="206">
      <c r="B206" s="31" t="inlineStr">
        <is>
          <t>896735</t>
        </is>
      </c>
      <c r="C206" s="31" t="inlineStr">
        <is>
          <t>CFM56-7B</t>
        </is>
      </c>
      <c r="D206" s="262" t="n">
        <v>42950</v>
      </c>
      <c r="E206" s="262" t="n">
        <v>44661</v>
      </c>
      <c r="G206" s="34">
        <f>(E206-D206)/365.25</f>
        <v/>
      </c>
      <c r="H206" s="27" t="n">
        <v>10448</v>
      </c>
      <c r="I206" s="27" t="n">
        <v>14703</v>
      </c>
      <c r="J206" s="28">
        <f>(I206-H206)/G206</f>
        <v/>
      </c>
      <c r="K206" s="27" t="n">
        <v>3037</v>
      </c>
    </row>
    <row r="207">
      <c r="B207" s="31" t="inlineStr">
        <is>
          <t>896760</t>
        </is>
      </c>
      <c r="C207" s="31" t="inlineStr">
        <is>
          <t>CFM56-7B</t>
        </is>
      </c>
      <c r="D207" s="262" t="n">
        <v>39812</v>
      </c>
      <c r="E207" s="262" t="n">
        <v>43077</v>
      </c>
      <c r="G207" s="34">
        <f>(E207-D207)/365.25</f>
        <v/>
      </c>
      <c r="H207" s="27" t="n">
        <v>182</v>
      </c>
      <c r="I207" s="27" t="n">
        <v>10444</v>
      </c>
      <c r="J207" s="28">
        <f>(I207-H207)/G207</f>
        <v/>
      </c>
      <c r="K207" s="27" t="n">
        <v>3697</v>
      </c>
    </row>
    <row r="208">
      <c r="B208" s="31" t="inlineStr">
        <is>
          <t>896912</t>
        </is>
      </c>
      <c r="C208" s="31" t="inlineStr">
        <is>
          <t>CFM56-7B</t>
        </is>
      </c>
      <c r="D208" s="262" t="n">
        <v>39826</v>
      </c>
      <c r="E208" s="262" t="n">
        <v>44910</v>
      </c>
      <c r="G208" s="34">
        <f>(E208-D208)/365.25</f>
        <v/>
      </c>
      <c r="H208" s="27" t="n">
        <v>13</v>
      </c>
      <c r="I208" s="27" t="n">
        <v>14747</v>
      </c>
      <c r="J208" s="28">
        <f>(I208-H208)/G208</f>
        <v/>
      </c>
      <c r="K208" s="27" t="n">
        <v>3635</v>
      </c>
    </row>
    <row r="209">
      <c r="B209" s="31" t="inlineStr">
        <is>
          <t>896938</t>
        </is>
      </c>
      <c r="C209" s="31" t="inlineStr">
        <is>
          <t>CFM56-7B</t>
        </is>
      </c>
      <c r="D209" s="262" t="n">
        <v>39902</v>
      </c>
      <c r="E209" s="262" t="n">
        <v>43630</v>
      </c>
      <c r="G209" s="34">
        <f>(E209-D209)/365.25</f>
        <v/>
      </c>
      <c r="H209" s="27" t="n">
        <v>237</v>
      </c>
      <c r="I209" s="27" t="n">
        <v>11866</v>
      </c>
      <c r="J209" s="28">
        <f>(I209-H209)/G209</f>
        <v/>
      </c>
      <c r="K209" s="27" t="n">
        <v>3856</v>
      </c>
    </row>
    <row r="210">
      <c r="B210" s="31" t="inlineStr">
        <is>
          <t>896974</t>
        </is>
      </c>
      <c r="C210" s="31" t="inlineStr">
        <is>
          <t>CFM56-7B</t>
        </is>
      </c>
      <c r="D210" s="262" t="n">
        <v>40589</v>
      </c>
      <c r="E210" s="262" t="n">
        <v>44370</v>
      </c>
      <c r="G210" s="34">
        <f>(E210-D210)/365.25</f>
        <v/>
      </c>
      <c r="H210" s="27" t="n">
        <v>2225</v>
      </c>
      <c r="I210" s="27" t="n">
        <v>13354</v>
      </c>
      <c r="J210" s="28">
        <f>(I210-H210)/G210</f>
        <v/>
      </c>
      <c r="K210" s="27" t="n">
        <v>3639</v>
      </c>
    </row>
    <row r="211">
      <c r="B211" s="31" t="inlineStr">
        <is>
          <t>896992</t>
        </is>
      </c>
      <c r="C211" s="31" t="inlineStr">
        <is>
          <t>CFM56-7B</t>
        </is>
      </c>
      <c r="D211" s="262" t="n">
        <v>39887</v>
      </c>
      <c r="E211" s="262" t="n">
        <v>44748</v>
      </c>
      <c r="G211" s="34">
        <f>(E211-D211)/365.25</f>
        <v/>
      </c>
      <c r="H211" s="27" t="n">
        <v>118</v>
      </c>
      <c r="I211" s="27" t="n">
        <v>14333</v>
      </c>
      <c r="J211" s="28">
        <f>(I211-H211)/G211</f>
        <v/>
      </c>
      <c r="K211" s="27" t="n">
        <v>3639</v>
      </c>
    </row>
    <row r="212">
      <c r="B212" s="31" t="inlineStr">
        <is>
          <t>897310</t>
        </is>
      </c>
      <c r="C212" s="31" t="inlineStr">
        <is>
          <t>CFM56-7B</t>
        </is>
      </c>
      <c r="D212" s="262" t="n">
        <v>40969</v>
      </c>
      <c r="E212" s="262" t="n">
        <v>44917</v>
      </c>
      <c r="G212" s="34">
        <f>(E212-D212)/365.25</f>
        <v/>
      </c>
      <c r="H212" s="27" t="n">
        <v>4706</v>
      </c>
      <c r="I212" s="27" t="n">
        <v>14234</v>
      </c>
      <c r="J212" s="28">
        <f>(I212-H212)/G212</f>
        <v/>
      </c>
      <c r="K212" s="27" t="n">
        <v>2979</v>
      </c>
    </row>
    <row r="213">
      <c r="B213" s="31" t="inlineStr">
        <is>
          <t>897424</t>
        </is>
      </c>
      <c r="C213" s="31" t="inlineStr">
        <is>
          <t>CFM56-7B</t>
        </is>
      </c>
      <c r="D213" s="262" t="n">
        <v>40530</v>
      </c>
      <c r="E213" s="262" t="n">
        <v>42819</v>
      </c>
      <c r="G213" s="34">
        <f>(E213-D213)/365.25</f>
        <v/>
      </c>
      <c r="H213" s="27" t="n">
        <v>3292</v>
      </c>
      <c r="I213" s="27" t="n">
        <v>9855</v>
      </c>
      <c r="J213" s="28">
        <f>(I213-H213)/G213</f>
        <v/>
      </c>
      <c r="K213" s="27" t="n">
        <v>3518</v>
      </c>
    </row>
    <row r="214">
      <c r="B214" s="31" t="inlineStr">
        <is>
          <t>960352</t>
        </is>
      </c>
      <c r="C214" s="31" t="inlineStr">
        <is>
          <t>CFM56-7B</t>
        </is>
      </c>
      <c r="D214" s="262" t="n">
        <v>45080</v>
      </c>
      <c r="E214" s="262" t="n">
        <v>45830</v>
      </c>
      <c r="G214" s="34">
        <f>(E214-D214)/365.25</f>
        <v/>
      </c>
      <c r="H214" s="27" t="n">
        <v>14221</v>
      </c>
      <c r="I214" s="27" t="n">
        <v>15008</v>
      </c>
      <c r="J214" s="28">
        <f>(I214-H214)/G214</f>
        <v/>
      </c>
      <c r="K214" s="27" t="n">
        <v>802</v>
      </c>
    </row>
    <row r="215">
      <c r="B215" s="31" t="inlineStr">
        <is>
          <t>960529</t>
        </is>
      </c>
      <c r="C215" s="31" t="inlineStr">
        <is>
          <t>CFM56-7B</t>
        </is>
      </c>
      <c r="D215" s="262" t="n">
        <v>44018</v>
      </c>
      <c r="E215" s="262" t="n">
        <v>45750</v>
      </c>
      <c r="G215" s="34">
        <f>(E215-D215)/365.25</f>
        <v/>
      </c>
      <c r="H215" s="27" t="n">
        <v>10220</v>
      </c>
      <c r="I215" s="27" t="n">
        <v>15204</v>
      </c>
      <c r="J215" s="28">
        <f>(I215-H215)/G215</f>
        <v/>
      </c>
      <c r="K215" s="27" t="n">
        <v>2238</v>
      </c>
    </row>
    <row r="216">
      <c r="B216" s="31" t="inlineStr">
        <is>
          <t>960628</t>
        </is>
      </c>
      <c r="C216" s="31" t="inlineStr">
        <is>
          <t>CFM56-7B</t>
        </is>
      </c>
      <c r="D216" s="262" t="n">
        <v>43635</v>
      </c>
      <c r="E216" s="262" t="n">
        <v>45500</v>
      </c>
      <c r="G216" s="34">
        <f>(E216-D216)/365.25</f>
        <v/>
      </c>
      <c r="H216" s="27" t="n">
        <v>8754</v>
      </c>
      <c r="I216" s="27" t="n">
        <v>14981</v>
      </c>
      <c r="J216" s="28">
        <f>(I216-H216)/G216</f>
        <v/>
      </c>
      <c r="K216" s="27" t="n">
        <v>2636</v>
      </c>
    </row>
    <row r="217">
      <c r="B217" s="31" t="inlineStr">
        <is>
          <t>960765</t>
        </is>
      </c>
      <c r="C217" s="31" t="inlineStr">
        <is>
          <t>CFM56-7B</t>
        </is>
      </c>
      <c r="D217" s="262" t="n">
        <v>44922</v>
      </c>
      <c r="E217" s="262" t="n">
        <v>46130</v>
      </c>
      <c r="G217" s="34">
        <f>(E217-D217)/365.25</f>
        <v/>
      </c>
      <c r="H217" s="27" t="n">
        <v>12801</v>
      </c>
      <c r="I217" s="27" t="n">
        <v>16306</v>
      </c>
      <c r="J217" s="28">
        <f>(I217-H217)/G217</f>
        <v/>
      </c>
      <c r="K217" s="27" t="n">
        <v>2284</v>
      </c>
    </row>
    <row r="218">
      <c r="B218" s="31" t="inlineStr">
        <is>
          <t>960873</t>
        </is>
      </c>
      <c r="C218" s="31" t="inlineStr">
        <is>
          <t>CFM56-7B</t>
        </is>
      </c>
      <c r="D218" s="262" t="n">
        <v>42069</v>
      </c>
      <c r="E218" s="262" t="n">
        <v>45753</v>
      </c>
      <c r="G218" s="34">
        <f>(E218-D218)/365.25</f>
        <v/>
      </c>
      <c r="H218" s="27" t="n">
        <v>3590</v>
      </c>
      <c r="I218" s="27" t="n">
        <v>14334</v>
      </c>
      <c r="J218" s="28">
        <f>(I218-H218)/G218</f>
        <v/>
      </c>
      <c r="K218" s="27" t="n">
        <v>2396</v>
      </c>
    </row>
    <row r="219">
      <c r="B219" s="31" t="inlineStr">
        <is>
          <t>962161</t>
        </is>
      </c>
      <c r="C219" s="31" t="inlineStr">
        <is>
          <t>CFM56-7B</t>
        </is>
      </c>
      <c r="D219" s="262" t="n">
        <v>45467</v>
      </c>
      <c r="E219" s="262" t="n">
        <v>46128</v>
      </c>
      <c r="G219" s="34">
        <f>(E219-D219)/365.25</f>
        <v/>
      </c>
      <c r="H219" s="27" t="n">
        <v>14804</v>
      </c>
      <c r="I219" s="27" t="n">
        <v>16716</v>
      </c>
      <c r="J219" s="28">
        <f>(I219-H219)/G219</f>
        <v/>
      </c>
      <c r="K219" s="27" t="n">
        <v>2266</v>
      </c>
    </row>
    <row r="220">
      <c r="B220" s="31" t="inlineStr">
        <is>
          <t>962561</t>
        </is>
      </c>
      <c r="C220" s="31" t="inlineStr">
        <is>
          <t>CFM56-7B</t>
        </is>
      </c>
      <c r="D220" s="262" t="n">
        <v>45237</v>
      </c>
      <c r="E220" s="262" t="n">
        <v>45702</v>
      </c>
      <c r="G220" s="34">
        <f>(E220-D220)/365.25</f>
        <v/>
      </c>
      <c r="H220" s="27" t="n">
        <v>17027</v>
      </c>
      <c r="I220" s="27" t="n">
        <v>18280</v>
      </c>
      <c r="J220" s="28">
        <f>(I220-H220)/G220</f>
        <v/>
      </c>
      <c r="K220" s="27" t="n">
        <v>1858</v>
      </c>
    </row>
    <row r="221">
      <c r="B221" s="31" t="inlineStr">
        <is>
          <t>962907</t>
        </is>
      </c>
      <c r="C221" s="31" t="inlineStr">
        <is>
          <t>CFM56-7B</t>
        </is>
      </c>
      <c r="D221" s="262" t="n">
        <v>45519</v>
      </c>
      <c r="E221" s="262" t="n">
        <v>45985</v>
      </c>
      <c r="G221" s="34">
        <f>(E221-D221)/365.25</f>
        <v/>
      </c>
      <c r="H221" s="27" t="n">
        <v>13300</v>
      </c>
      <c r="I221" s="27" t="n">
        <v>14036</v>
      </c>
      <c r="J221" s="28">
        <f>(I221-H221)/G221</f>
        <v/>
      </c>
      <c r="K221" s="27" t="n">
        <v>1192</v>
      </c>
    </row>
  </sheetData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J4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5546875" defaultRowHeight="15"/>
  <cols>
    <col width="2.85546875" customWidth="1" min="1" max="1"/>
    <col width="44" customWidth="1" min="2" max="2"/>
    <col width="3" customWidth="1" min="3" max="3"/>
    <col width="10.7109375" customWidth="1" min="4" max="10"/>
  </cols>
  <sheetData>
    <row r="1" ht="18.95" customHeight="1">
      <c r="B1" s="30" t="inlineStr">
        <is>
          <t>FTAI Aviation</t>
        </is>
      </c>
    </row>
    <row r="2" ht="18.95" customHeight="1">
      <c r="B2" s="30" t="inlineStr">
        <is>
          <t>Shop Visit Analysis</t>
        </is>
      </c>
    </row>
    <row r="4">
      <c r="B4" s="150" t="inlineStr">
        <is>
          <t>Engine-level evidence (scraped records)</t>
        </is>
      </c>
      <c r="C4" s="151" t="n"/>
      <c r="D4" s="151" t="n"/>
      <c r="E4" s="151" t="n"/>
      <c r="F4" s="151" t="n"/>
      <c r="G4" s="151" t="n"/>
      <c r="H4" s="151" t="n"/>
      <c r="I4" s="151" t="n"/>
      <c r="J4" s="151" t="n"/>
    </row>
    <row r="5">
      <c r="B5" s="152" t="n"/>
      <c r="C5" s="153" t="n"/>
      <c r="D5" s="153" t="inlineStr">
        <is>
          <t>All visits</t>
        </is>
      </c>
      <c r="E5" s="153" t="inlineStr">
        <is>
          <t>Major visits</t>
        </is>
      </c>
      <c r="F5" s="153" t="inlineStr">
        <is>
          <t>Time on wing</t>
        </is>
      </c>
      <c r="G5" s="153" t="inlineStr">
        <is>
          <t>Utilization -7B</t>
        </is>
      </c>
      <c r="H5" s="153" t="inlineStr">
        <is>
          <t>Utilization -5B</t>
        </is>
      </c>
    </row>
    <row r="6">
      <c r="B6" s="31" t="inlineStr">
        <is>
          <t>Observations</t>
        </is>
      </c>
      <c r="D6" s="28">
        <f>COUNT('CFM56 Data'!G35:G48)</f>
        <v/>
      </c>
      <c r="E6" s="28">
        <f>COUNT('CFM56 Data'!G52:G60)</f>
        <v/>
      </c>
      <c r="F6" s="28">
        <f>COUNT('CFM56 Data'!G64:G67)</f>
        <v/>
      </c>
      <c r="G6" s="28">
        <f>COUNTIF('CFM56 Data'!C71:C221,"CFM56-7B")</f>
        <v/>
      </c>
      <c r="H6" s="28">
        <f>COUNTIF('CFM56 Data'!C71:C221,"CFM56-5B")</f>
        <v/>
      </c>
    </row>
    <row r="7">
      <c r="B7" s="31" t="inlineStr">
        <is>
          <t>Median years between visits / on wing</t>
        </is>
      </c>
      <c r="D7" s="34">
        <f>MEDIAN('CFM56 Data'!G35:G48)</f>
        <v/>
      </c>
      <c r="E7" s="34">
        <f>MEDIAN('CFM56 Data'!G52:G60)</f>
        <v/>
      </c>
      <c r="F7" s="34">
        <f>MEDIAN('CFM56 Data'!G64:G67)</f>
        <v/>
      </c>
    </row>
    <row r="8">
      <c r="B8" s="31" t="inlineStr">
        <is>
          <t>Average years</t>
        </is>
      </c>
      <c r="D8" s="34">
        <f>AVERAGE('CFM56 Data'!G35:G48)</f>
        <v/>
      </c>
      <c r="E8" s="34">
        <f>AVERAGE('CFM56 Data'!G52:G60)</f>
        <v/>
      </c>
      <c r="F8" s="34">
        <f>AVERAGE('CFM56 Data'!G64:G67)</f>
        <v/>
      </c>
    </row>
    <row r="9">
      <c r="B9" s="31" t="inlineStr">
        <is>
          <t>Median cycles between visits / on wing</t>
        </is>
      </c>
      <c r="D9" s="28">
        <f>MEDIAN('CFM56 Data'!H35:H48)</f>
        <v/>
      </c>
      <c r="E9" s="28">
        <f>MEDIAN('CFM56 Data'!H52:H60)</f>
        <v/>
      </c>
      <c r="F9" s="28">
        <f>MEDIAN('CFM56 Data'!H64:H67)</f>
        <v/>
      </c>
    </row>
    <row r="10">
      <c r="B10" s="31" t="inlineStr">
        <is>
          <t>Median cycles / year</t>
        </is>
      </c>
      <c r="F10" s="28">
        <f>MEDIAN('CFM56 Data'!H64:H67)/MEDIAN('CFM56 Data'!G64:G67)</f>
        <v/>
      </c>
      <c r="G10" s="28">
        <f t="array" ref="G10">MEDIAN(IF('CFM56 Data'!C71:C221="CFM56-7B",'CFM56 Data'!J71:J221))</f>
        <v/>
      </c>
      <c r="H10" s="28">
        <f t="array" ref="H10">MEDIAN(IF('CFM56 Data'!C71:C221="CFM56-5B",'CFM56 Data'!J71:J221))</f>
        <v/>
      </c>
    </row>
    <row r="11">
      <c r="B11" s="36" t="inlineStr">
        <is>
          <t>Implied annual shop-visit probability (1 / median years)</t>
        </is>
      </c>
      <c r="D11" s="37">
        <f>1/D7</f>
        <v/>
      </c>
      <c r="E11" s="37">
        <f>1/E7</f>
        <v/>
      </c>
      <c r="F11" s="37">
        <f>1/F7</f>
        <v/>
      </c>
    </row>
    <row r="13">
      <c r="B13" s="150" t="inlineStr">
        <is>
          <t>Shop visits by case</t>
        </is>
      </c>
      <c r="C13" s="151" t="n"/>
      <c r="D13" s="151" t="n"/>
      <c r="E13" s="151" t="n"/>
      <c r="F13" s="151" t="n"/>
      <c r="G13" s="151" t="n"/>
      <c r="H13" s="151" t="n"/>
      <c r="I13" s="151" t="n"/>
      <c r="J13" s="151" t="n"/>
    </row>
    <row r="14">
      <c r="B14" s="152" t="n"/>
      <c r="C14" s="153" t="n"/>
      <c r="D14" s="153" t="inlineStr">
        <is>
          <t>FY25A</t>
        </is>
      </c>
      <c r="E14" s="153" t="inlineStr">
        <is>
          <t>FY26E</t>
        </is>
      </c>
      <c r="F14" s="153" t="inlineStr">
        <is>
          <t>FY27E</t>
        </is>
      </c>
      <c r="G14" s="153" t="inlineStr">
        <is>
          <t>FY28E</t>
        </is>
      </c>
      <c r="H14" s="153" t="inlineStr">
        <is>
          <t>FY29E</t>
        </is>
      </c>
      <c r="I14" s="153" t="inlineStr">
        <is>
          <t>FY30E</t>
        </is>
      </c>
      <c r="J14" s="153" t="inlineStr">
        <is>
          <t>FY31E</t>
        </is>
      </c>
    </row>
    <row r="15">
      <c r="B15" s="31" t="inlineStr">
        <is>
          <t>Base</t>
        </is>
      </c>
      <c r="D15" s="38">
        <f>'CFM56 Data'!D6</f>
        <v/>
      </c>
      <c r="E15" s="38">
        <f>'CFM56 Data'!E6</f>
        <v/>
      </c>
      <c r="F15" s="38">
        <f>'CFM56 Data'!F6</f>
        <v/>
      </c>
      <c r="G15" s="38">
        <f>'CFM56 Data'!G6</f>
        <v/>
      </c>
      <c r="H15" s="38">
        <f>'CFM56 Data'!H6</f>
        <v/>
      </c>
      <c r="I15" s="38">
        <f>'CFM56 Data'!I6</f>
        <v/>
      </c>
      <c r="J15" s="38">
        <f>'CFM56 Data'!J6</f>
        <v/>
      </c>
    </row>
    <row r="16">
      <c r="B16" s="31" t="inlineStr">
        <is>
          <t>Bull</t>
        </is>
      </c>
      <c r="D16" s="28">
        <f>D15</f>
        <v/>
      </c>
      <c r="E16" s="28">
        <f>E15</f>
        <v/>
      </c>
      <c r="F16" s="27" t="n">
        <v>2550</v>
      </c>
      <c r="G16" s="27" t="n">
        <v>2500</v>
      </c>
      <c r="H16" s="27" t="n">
        <v>2400</v>
      </c>
      <c r="I16" s="27" t="n">
        <v>2300</v>
      </c>
      <c r="J16" s="27" t="n">
        <v>2200</v>
      </c>
    </row>
    <row r="17">
      <c r="B17" s="31" t="inlineStr">
        <is>
          <t>Bear</t>
        </is>
      </c>
      <c r="D17" s="28">
        <f>D15</f>
        <v/>
      </c>
      <c r="E17" s="28">
        <f>E15</f>
        <v/>
      </c>
      <c r="F17" s="27" t="n">
        <v>2300</v>
      </c>
      <c r="G17" s="27" t="n">
        <v>2300</v>
      </c>
      <c r="H17" s="28">
        <f>G17*0.94</f>
        <v/>
      </c>
      <c r="I17" s="28">
        <f>H17*0.94</f>
        <v/>
      </c>
      <c r="J17" s="28">
        <f>I17*0.94</f>
        <v/>
      </c>
    </row>
    <row r="19">
      <c r="B19" s="150" t="inlineStr">
        <is>
          <t>Year-end fleet by case (RPM basis)</t>
        </is>
      </c>
      <c r="C19" s="151" t="n"/>
      <c r="D19" s="151" t="n"/>
      <c r="E19" s="151" t="n"/>
      <c r="F19" s="151" t="n"/>
      <c r="G19" s="151" t="n"/>
      <c r="H19" s="151" t="n"/>
      <c r="I19" s="151" t="n"/>
      <c r="J19" s="151" t="n"/>
    </row>
    <row r="20">
      <c r="B20" s="152" t="n"/>
      <c r="C20" s="153" t="n"/>
      <c r="D20" s="153" t="inlineStr">
        <is>
          <t>FY25A</t>
        </is>
      </c>
      <c r="E20" s="153" t="inlineStr">
        <is>
          <t>FY26E</t>
        </is>
      </c>
      <c r="F20" s="153" t="inlineStr">
        <is>
          <t>FY27E</t>
        </is>
      </c>
      <c r="G20" s="153" t="inlineStr">
        <is>
          <t>FY28E</t>
        </is>
      </c>
      <c r="H20" s="153" t="inlineStr">
        <is>
          <t>FY29E</t>
        </is>
      </c>
      <c r="I20" s="153" t="inlineStr">
        <is>
          <t>FY30E</t>
        </is>
      </c>
      <c r="J20" s="153" t="inlineStr">
        <is>
          <t>FY31E</t>
        </is>
      </c>
    </row>
    <row r="21">
      <c r="B21" s="31" t="inlineStr">
        <is>
          <t>Bear -7B</t>
        </is>
      </c>
      <c r="D21" s="38">
        <f>RPM!$G$13</f>
        <v/>
      </c>
      <c r="E21" s="28">
        <f>D21*(1-Assumptions!F9)</f>
        <v/>
      </c>
      <c r="F21" s="28">
        <f>E21*(1-Assumptions!K9)</f>
        <v/>
      </c>
      <c r="G21" s="28">
        <f>F21*(1-Assumptions!L9)</f>
        <v/>
      </c>
      <c r="H21" s="28">
        <f>G21*(1-Assumptions!M9)</f>
        <v/>
      </c>
      <c r="I21" s="28">
        <f>H21*(1-Assumptions!N9)</f>
        <v/>
      </c>
      <c r="J21" s="28">
        <f>I21*(1-Assumptions!O9)</f>
        <v/>
      </c>
    </row>
    <row r="22">
      <c r="B22" s="31" t="inlineStr">
        <is>
          <t>Bear -5B</t>
        </is>
      </c>
      <c r="D22" s="38">
        <f>RPM!$G$21</f>
        <v/>
      </c>
      <c r="E22" s="28">
        <f>D22*(1-Assumptions!F14)</f>
        <v/>
      </c>
      <c r="F22" s="28">
        <f>E22*(1-Assumptions!K14)</f>
        <v/>
      </c>
      <c r="G22" s="28">
        <f>F22*(1-Assumptions!L14)</f>
        <v/>
      </c>
      <c r="H22" s="28">
        <f>G22*(1-Assumptions!M14)</f>
        <v/>
      </c>
      <c r="I22" s="28">
        <f>H22*(1-Assumptions!N14)</f>
        <v/>
      </c>
      <c r="J22" s="28">
        <f>I22*(1-Assumptions!O14)</f>
        <v/>
      </c>
    </row>
    <row r="23">
      <c r="B23" s="36" t="inlineStr">
        <is>
          <t>Bear total</t>
        </is>
      </c>
      <c r="D23" s="39">
        <f>D21+D22</f>
        <v/>
      </c>
      <c r="E23" s="39">
        <f>E21+E22</f>
        <v/>
      </c>
      <c r="F23" s="39">
        <f>F21+F22</f>
        <v/>
      </c>
      <c r="G23" s="39">
        <f>G21+G22</f>
        <v/>
      </c>
      <c r="H23" s="39">
        <f>H21+H22</f>
        <v/>
      </c>
      <c r="I23" s="39">
        <f>I21+I22</f>
        <v/>
      </c>
      <c r="J23" s="39">
        <f>J21+J22</f>
        <v/>
      </c>
    </row>
    <row r="24">
      <c r="B24" s="31" t="inlineStr">
        <is>
          <t>Base -7B</t>
        </is>
      </c>
      <c r="D24" s="38">
        <f>RPM!$G$13</f>
        <v/>
      </c>
      <c r="E24" s="28">
        <f>D24*(1-Assumptions!F10)</f>
        <v/>
      </c>
      <c r="F24" s="28">
        <f>E24*(1-Assumptions!K10)</f>
        <v/>
      </c>
      <c r="G24" s="28">
        <f>F24*(1-Assumptions!L10)</f>
        <v/>
      </c>
      <c r="H24" s="28">
        <f>G24*(1-Assumptions!M10)</f>
        <v/>
      </c>
      <c r="I24" s="28">
        <f>H24*(1-Assumptions!N10)</f>
        <v/>
      </c>
      <c r="J24" s="28">
        <f>I24*(1-Assumptions!O10)</f>
        <v/>
      </c>
    </row>
    <row r="25">
      <c r="B25" s="31" t="inlineStr">
        <is>
          <t>Base -5B</t>
        </is>
      </c>
      <c r="D25" s="38">
        <f>RPM!$G$21</f>
        <v/>
      </c>
      <c r="E25" s="28">
        <f>D25*(1-Assumptions!F15)</f>
        <v/>
      </c>
      <c r="F25" s="28">
        <f>E25*(1-Assumptions!K15)</f>
        <v/>
      </c>
      <c r="G25" s="28">
        <f>F25*(1-Assumptions!L15)</f>
        <v/>
      </c>
      <c r="H25" s="28">
        <f>G25*(1-Assumptions!M15)</f>
        <v/>
      </c>
      <c r="I25" s="28">
        <f>H25*(1-Assumptions!N15)</f>
        <v/>
      </c>
      <c r="J25" s="28">
        <f>I25*(1-Assumptions!O15)</f>
        <v/>
      </c>
    </row>
    <row r="26">
      <c r="B26" s="36" t="inlineStr">
        <is>
          <t>Base total</t>
        </is>
      </c>
      <c r="D26" s="39">
        <f>D24+D25</f>
        <v/>
      </c>
      <c r="E26" s="39">
        <f>E24+E25</f>
        <v/>
      </c>
      <c r="F26" s="39">
        <f>F24+F25</f>
        <v/>
      </c>
      <c r="G26" s="39">
        <f>G24+G25</f>
        <v/>
      </c>
      <c r="H26" s="39">
        <f>H24+H25</f>
        <v/>
      </c>
      <c r="I26" s="39">
        <f>I24+I25</f>
        <v/>
      </c>
      <c r="J26" s="39">
        <f>J24+J25</f>
        <v/>
      </c>
    </row>
    <row r="27">
      <c r="B27" s="31" t="inlineStr">
        <is>
          <t>Bull -7B</t>
        </is>
      </c>
      <c r="D27" s="38">
        <f>RPM!$G$13</f>
        <v/>
      </c>
      <c r="E27" s="28">
        <f>D27*(1-Assumptions!F11)</f>
        <v/>
      </c>
      <c r="F27" s="28">
        <f>E27*(1-Assumptions!K11)</f>
        <v/>
      </c>
      <c r="G27" s="28">
        <f>F27*(1-Assumptions!L11)</f>
        <v/>
      </c>
      <c r="H27" s="28">
        <f>G27*(1-Assumptions!M11)</f>
        <v/>
      </c>
      <c r="I27" s="28">
        <f>H27*(1-Assumptions!N11)</f>
        <v/>
      </c>
      <c r="J27" s="28">
        <f>I27*(1-Assumptions!O11)</f>
        <v/>
      </c>
    </row>
    <row r="28">
      <c r="B28" s="31" t="inlineStr">
        <is>
          <t>Bull -5B</t>
        </is>
      </c>
      <c r="D28" s="38">
        <f>RPM!$G$21</f>
        <v/>
      </c>
      <c r="E28" s="28">
        <f>D28*(1-Assumptions!F16)</f>
        <v/>
      </c>
      <c r="F28" s="28">
        <f>E28*(1-Assumptions!K16)</f>
        <v/>
      </c>
      <c r="G28" s="28">
        <f>F28*(1-Assumptions!L16)</f>
        <v/>
      </c>
      <c r="H28" s="28">
        <f>G28*(1-Assumptions!M16)</f>
        <v/>
      </c>
      <c r="I28" s="28">
        <f>H28*(1-Assumptions!N16)</f>
        <v/>
      </c>
      <c r="J28" s="28">
        <f>I28*(1-Assumptions!O16)</f>
        <v/>
      </c>
    </row>
    <row r="29">
      <c r="B29" s="36" t="inlineStr">
        <is>
          <t>Bull total</t>
        </is>
      </c>
      <c r="D29" s="39">
        <f>D27+D28</f>
        <v/>
      </c>
      <c r="E29" s="39">
        <f>E27+E28</f>
        <v/>
      </c>
      <c r="F29" s="39">
        <f>F27+F28</f>
        <v/>
      </c>
      <c r="G29" s="39">
        <f>G27+G28</f>
        <v/>
      </c>
      <c r="H29" s="39">
        <f>H27+H28</f>
        <v/>
      </c>
      <c r="I29" s="39">
        <f>I27+I28</f>
        <v/>
      </c>
      <c r="J29" s="39">
        <f>J27+J28</f>
        <v/>
      </c>
    </row>
    <row r="31">
      <c r="B31" s="150" t="inlineStr">
        <is>
          <t>Shop-visit rate</t>
        </is>
      </c>
      <c r="C31" s="151" t="n"/>
      <c r="D31" s="151" t="n"/>
      <c r="E31" s="151" t="n"/>
      <c r="F31" s="151" t="n"/>
      <c r="G31" s="151" t="n"/>
      <c r="H31" s="151" t="n"/>
      <c r="I31" s="151" t="n"/>
      <c r="J31" s="151" t="n"/>
    </row>
    <row r="32">
      <c r="B32" s="152" t="n"/>
      <c r="C32" s="153" t="n"/>
      <c r="D32" s="153" t="inlineStr">
        <is>
          <t>FY25A</t>
        </is>
      </c>
      <c r="E32" s="153" t="inlineStr">
        <is>
          <t>FY26E</t>
        </is>
      </c>
      <c r="F32" s="153" t="inlineStr">
        <is>
          <t>FY27E</t>
        </is>
      </c>
      <c r="G32" s="153" t="inlineStr">
        <is>
          <t>FY28E</t>
        </is>
      </c>
      <c r="H32" s="153" t="inlineStr">
        <is>
          <t>FY29E</t>
        </is>
      </c>
      <c r="I32" s="153" t="inlineStr">
        <is>
          <t>FY30E</t>
        </is>
      </c>
      <c r="J32" s="153" t="inlineStr">
        <is>
          <t>FY31E</t>
        </is>
      </c>
    </row>
    <row r="33">
      <c r="B33" s="31" t="inlineStr">
        <is>
          <t>Bear (visits / RPM fleet)</t>
        </is>
      </c>
      <c r="D33" s="25">
        <f>D17/D23</f>
        <v/>
      </c>
      <c r="E33" s="25">
        <f>E17/E23</f>
        <v/>
      </c>
      <c r="F33" s="25">
        <f>F17/F23</f>
        <v/>
      </c>
      <c r="G33" s="25">
        <f>G17/G23</f>
        <v/>
      </c>
      <c r="H33" s="25">
        <f>H17/H23</f>
        <v/>
      </c>
      <c r="I33" s="25">
        <f>I17/I23</f>
        <v/>
      </c>
      <c r="J33" s="25">
        <f>J17/J23</f>
        <v/>
      </c>
    </row>
    <row r="34">
      <c r="B34" s="36" t="inlineStr">
        <is>
          <t>Base (visits / RPM fleet)</t>
        </is>
      </c>
      <c r="D34" s="40">
        <f>D15/D26</f>
        <v/>
      </c>
      <c r="E34" s="40">
        <f>E15/E26</f>
        <v/>
      </c>
      <c r="F34" s="40">
        <f>F15/F26</f>
        <v/>
      </c>
      <c r="G34" s="40">
        <f>G15/G26</f>
        <v/>
      </c>
      <c r="H34" s="40">
        <f>H15/H26</f>
        <v/>
      </c>
      <c r="I34" s="40">
        <f>I15/I26</f>
        <v/>
      </c>
      <c r="J34" s="40">
        <f>J15/J26</f>
        <v/>
      </c>
    </row>
    <row r="35">
      <c r="B35" s="31" t="inlineStr">
        <is>
          <t>Bull (visits / RPM fleet)</t>
        </is>
      </c>
      <c r="D35" s="25">
        <f>D16/D29</f>
        <v/>
      </c>
      <c r="E35" s="25">
        <f>E16/E29</f>
        <v/>
      </c>
      <c r="F35" s="25">
        <f>F16/F29</f>
        <v/>
      </c>
      <c r="G35" s="25">
        <f>G16/G29</f>
        <v/>
      </c>
      <c r="H35" s="25">
        <f>H16/H29</f>
        <v/>
      </c>
      <c r="I35" s="25">
        <f>I16/I29</f>
        <v/>
      </c>
      <c r="J35" s="25">
        <f>J16/J29</f>
        <v/>
      </c>
    </row>
    <row r="36">
      <c r="B36" s="31" t="inlineStr">
        <is>
          <t>Base on GE installed fleet (19,000)</t>
        </is>
      </c>
      <c r="D36" s="25">
        <f>D15/'CFM56 Data'!D16</f>
        <v/>
      </c>
      <c r="E36" s="25">
        <f>E15/'CFM56 Data'!D16</f>
        <v/>
      </c>
      <c r="F36" s="25">
        <f>F15/'CFM56 Data'!D16</f>
        <v/>
      </c>
      <c r="G36" s="25">
        <f>G15/'CFM56 Data'!D16</f>
        <v/>
      </c>
      <c r="H36" s="25">
        <f>H15/'CFM56 Data'!D16</f>
        <v/>
      </c>
      <c r="I36" s="25">
        <f>I15/'CFM56 Data'!D16</f>
        <v/>
      </c>
      <c r="J36" s="25">
        <f>J15/'CFM56 Data'!D16</f>
        <v/>
      </c>
    </row>
    <row r="37">
      <c r="B37" s="31" t="inlineStr">
        <is>
          <t>Engine records: major visits</t>
        </is>
      </c>
      <c r="D37" s="25">
        <f>$E$11</f>
        <v/>
      </c>
      <c r="E37" s="25">
        <f>$E$11</f>
        <v/>
      </c>
      <c r="F37" s="25">
        <f>$E$11</f>
        <v/>
      </c>
      <c r="G37" s="25">
        <f>$E$11</f>
        <v/>
      </c>
      <c r="H37" s="25">
        <f>$E$11</f>
        <v/>
      </c>
      <c r="I37" s="25">
        <f>$E$11</f>
        <v/>
      </c>
      <c r="J37" s="25">
        <f>$E$11</f>
        <v/>
      </c>
    </row>
    <row r="38">
      <c r="B38" s="31" t="inlineStr">
        <is>
          <t>Engine records: all visits</t>
        </is>
      </c>
      <c r="D38" s="25">
        <f>$D$11</f>
        <v/>
      </c>
      <c r="E38" s="25">
        <f>$D$11</f>
        <v/>
      </c>
      <c r="F38" s="25">
        <f>$D$11</f>
        <v/>
      </c>
      <c r="G38" s="25">
        <f>$D$11</f>
        <v/>
      </c>
      <c r="H38" s="25">
        <f>$D$11</f>
        <v/>
      </c>
      <c r="I38" s="25">
        <f>$D$11</f>
        <v/>
      </c>
      <c r="J38" s="25">
        <f>$D$11</f>
        <v/>
      </c>
    </row>
    <row r="40">
      <c r="B40" s="150" t="inlineStr">
        <is>
          <t>Fleet visit history (cohort)</t>
        </is>
      </c>
      <c r="C40" s="151" t="n"/>
      <c r="D40" s="151" t="n"/>
      <c r="E40" s="151" t="n"/>
      <c r="F40" s="151" t="n"/>
      <c r="G40" s="151" t="n"/>
      <c r="H40" s="151" t="n"/>
      <c r="I40" s="151" t="n"/>
      <c r="J40" s="151" t="n"/>
    </row>
    <row r="41">
      <c r="B41" s="152" t="n"/>
      <c r="C41" s="153" t="n"/>
      <c r="D41" s="153" t="inlineStr">
        <is>
          <t>FY25A</t>
        </is>
      </c>
      <c r="E41" s="153" t="inlineStr">
        <is>
          <t>FY26E</t>
        </is>
      </c>
      <c r="F41" s="153" t="inlineStr">
        <is>
          <t>FY27E</t>
        </is>
      </c>
      <c r="G41" s="153" t="inlineStr">
        <is>
          <t>FY28E</t>
        </is>
      </c>
      <c r="H41" s="153" t="inlineStr">
        <is>
          <t>FY29E</t>
        </is>
      </c>
      <c r="I41" s="153" t="inlineStr">
        <is>
          <t>FY30E</t>
        </is>
      </c>
    </row>
    <row r="42">
      <c r="B42" s="31" t="inlineStr">
        <is>
          <t>Repeat-visit share</t>
        </is>
      </c>
      <c r="D42" s="29">
        <f>'CFM56 Data'!D28</f>
        <v/>
      </c>
      <c r="E42" s="29">
        <f>'CFM56 Data'!E28</f>
        <v/>
      </c>
      <c r="F42" s="29">
        <f>'CFM56 Data'!F28</f>
        <v/>
      </c>
      <c r="G42" s="29">
        <f>'CFM56 Data'!G28</f>
        <v/>
      </c>
      <c r="H42" s="29">
        <f>'CFM56 Data'!H28</f>
        <v/>
      </c>
      <c r="I42" s="29">
        <f>'CFM56 Data'!I28</f>
        <v/>
      </c>
    </row>
    <row r="43">
      <c r="B43" s="31" t="inlineStr">
        <is>
          <t>Broader-work share</t>
        </is>
      </c>
      <c r="D43" s="29">
        <f>'CFM56 Data'!D29</f>
        <v/>
      </c>
      <c r="E43" s="29">
        <f>'CFM56 Data'!E29</f>
        <v/>
      </c>
      <c r="F43" s="29">
        <f>'CFM56 Data'!F29</f>
        <v/>
      </c>
      <c r="G43" s="29">
        <f>'CFM56 Data'!G29</f>
        <v/>
      </c>
      <c r="H43" s="29">
        <f>'CFM56 Data'!H29</f>
        <v/>
      </c>
      <c r="I43" s="29">
        <f>'CFM56 Data'!I29</f>
        <v/>
      </c>
    </row>
    <row r="44">
      <c r="B44" s="31" t="inlineStr">
        <is>
          <t>Stock: 2+ prior visits</t>
        </is>
      </c>
      <c r="D44" s="29">
        <f>'CFM56 Data'!D30</f>
        <v/>
      </c>
      <c r="E44" s="29">
        <f>'CFM56 Data'!E30</f>
        <v/>
      </c>
      <c r="F44" s="29">
        <f>'CFM56 Data'!F30</f>
        <v/>
      </c>
      <c r="G44" s="29">
        <f>'CFM56 Data'!G30</f>
        <v/>
      </c>
      <c r="H44" s="29">
        <f>'CFM56 Data'!H30</f>
        <v/>
      </c>
      <c r="I44" s="29">
        <f>'CFM56 Data'!I30</f>
        <v/>
      </c>
    </row>
    <row r="45">
      <c r="B45" s="31" t="inlineStr">
        <is>
          <t>Stock: 0 prior visits</t>
        </is>
      </c>
      <c r="D45" s="29">
        <f>'CFM56 Data'!D31</f>
        <v/>
      </c>
      <c r="E45" s="29">
        <f>'CFM56 Data'!E31</f>
        <v/>
      </c>
      <c r="F45" s="29">
        <f>'CFM56 Data'!F31</f>
        <v/>
      </c>
      <c r="G45" s="29">
        <f>'CFM56 Data'!G31</f>
        <v/>
      </c>
      <c r="H45" s="29">
        <f>'CFM56 Data'!H31</f>
        <v/>
      </c>
      <c r="I45" s="29">
        <f>'CFM56 Data'!I31</f>
        <v/>
      </c>
    </row>
  </sheetData>
  <pageMargins left="0.75" right="0.75" top="1" bottom="1" header="0.5" footer="0.5"/>
  <pageSetup orientation="portrait" horizontalDpi="0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3434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H35" sqref="H35"/>
    </sheetView>
  </sheetViews>
  <sheetFormatPr baseColWidth="8" defaultColWidth="8.85546875" defaultRowHeight="15"/>
  <cols>
    <col width="2.85546875" customWidth="1" min="1" max="1"/>
    <col width="25.7109375" customWidth="1" min="2" max="2"/>
    <col width="12" customWidth="1" min="3" max="4"/>
    <col width="11" customWidth="1" min="5" max="5"/>
    <col width="9" customWidth="1" min="6" max="6"/>
    <col width="18" customWidth="1" min="7" max="7"/>
    <col width="12" customWidth="1" min="8" max="9"/>
    <col width="10" customWidth="1" min="10" max="10"/>
    <col width="9" customWidth="1" min="11" max="14"/>
    <col width="18" customWidth="1" min="15" max="15"/>
    <col width="22" customWidth="1" min="16" max="16"/>
  </cols>
  <sheetData>
    <row r="1" ht="18.95" customHeight="1">
      <c r="B1" s="30" t="inlineStr">
        <is>
          <t>FTAI Aviation</t>
        </is>
      </c>
    </row>
    <row r="2" ht="18.95" customHeight="1">
      <c r="B2" s="30" t="inlineStr">
        <is>
          <t xml:space="preserve">CFM56 Repair Pricing </t>
        </is>
      </c>
    </row>
    <row r="4">
      <c r="B4" s="150" t="inlineStr">
        <is>
          <t>Summary</t>
        </is>
      </c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151" t="n"/>
      <c r="N4" s="151" t="n"/>
      <c r="O4" s="151" t="n"/>
      <c r="P4" s="151" t="n"/>
    </row>
    <row r="5">
      <c r="B5" s="152" t="inlineStr">
        <is>
          <t>Family</t>
        </is>
      </c>
      <c r="C5" s="153" t="inlineStr">
        <is>
          <t>Period</t>
        </is>
      </c>
      <c r="D5" s="153" t="inlineStr">
        <is>
          <t>Matched</t>
        </is>
      </c>
      <c r="E5" s="153" t="inlineStr">
        <is>
          <t>Median change</t>
        </is>
      </c>
      <c r="F5" s="153" t="inlineStr">
        <is>
          <t>Average change</t>
        </is>
      </c>
      <c r="G5" s="153" t="inlineStr">
        <is>
          <t>Higher</t>
        </is>
      </c>
      <c r="H5" s="153" t="inlineStr">
        <is>
          <t>Lower</t>
        </is>
      </c>
      <c r="I5" s="153" t="inlineStr">
        <is>
          <t>Unchanged</t>
        </is>
      </c>
    </row>
    <row r="6">
      <c r="B6" s="31" t="inlineStr">
        <is>
          <t>CFM56-5B</t>
        </is>
      </c>
      <c r="C6" s="31" t="inlineStr">
        <is>
          <t>2024-2025</t>
        </is>
      </c>
      <c r="D6" s="28">
        <f>COUNTIFS($B$31:$B$3434,"CFM56-5B",$C$31:$C$3434,"2024-2025")</f>
        <v/>
      </c>
      <c r="E6" s="37">
        <f t="array" ref="E6">MEDIAN(IF(($B$31:$B$3434="CFM56-5B")*($C$31:$C$3434="2024-2025"),$J$31:$J$3434))</f>
        <v/>
      </c>
      <c r="F6" s="154">
        <f>AVERAGEIFS($J$31:$J$3434,$B$31:$B$3434,"CFM56-5B",$C$31:$C$3434,"2024-2025")</f>
        <v/>
      </c>
      <c r="G6" s="28">
        <f>COUNTIFS($B$31:$B$3434,"CFM56-5B",$C$31:$C$3434,"2024-2025",$J$31:$J$3434,"&gt;0")</f>
        <v/>
      </c>
      <c r="H6" s="28">
        <f>COUNTIFS($B$31:$B$3434,"CFM56-5B",$C$31:$C$3434,"2024-2025",$J$31:$J$3434,"&lt;0")</f>
        <v/>
      </c>
      <c r="I6" s="28">
        <f>COUNTIFS($B$31:$B$3434,"CFM56-5B",$C$31:$C$3434,"2024-2025",$J$31:$J$3434,0)</f>
        <v/>
      </c>
    </row>
    <row r="7">
      <c r="B7" s="31" t="inlineStr">
        <is>
          <t>CFM56-5B</t>
        </is>
      </c>
      <c r="C7" s="31" t="inlineStr">
        <is>
          <t>2025-2026</t>
        </is>
      </c>
      <c r="D7" s="28">
        <f>COUNTIFS($B$31:$B$3434,"CFM56-5B",$C$31:$C$3434,"2025-2026")</f>
        <v/>
      </c>
      <c r="E7" s="37">
        <f t="array" ref="E7">MEDIAN(IF(($B$31:$B$3434="CFM56-5B")*($C$31:$C$3434="2025-2026"),$J$31:$J$3434))</f>
        <v/>
      </c>
      <c r="F7" s="154">
        <f>AVERAGEIFS($J$31:$J$3434,$B$31:$B$3434,"CFM56-5B",$C$31:$C$3434,"2025-2026")</f>
        <v/>
      </c>
      <c r="G7" s="28">
        <f>COUNTIFS($B$31:$B$3434,"CFM56-5B",$C$31:$C$3434,"2025-2026",$J$31:$J$3434,"&gt;0")</f>
        <v/>
      </c>
      <c r="H7" s="28">
        <f>COUNTIFS($B$31:$B$3434,"CFM56-5B",$C$31:$C$3434,"2025-2026",$J$31:$J$3434,"&lt;0")</f>
        <v/>
      </c>
      <c r="I7" s="28">
        <f>COUNTIFS($B$31:$B$3434,"CFM56-5B",$C$31:$C$3434,"2025-2026",$J$31:$J$3434,0)</f>
        <v/>
      </c>
    </row>
    <row r="8">
      <c r="B8" s="31" t="inlineStr">
        <is>
          <t>CFM56-7B</t>
        </is>
      </c>
      <c r="C8" s="31" t="inlineStr">
        <is>
          <t>2025-2026</t>
        </is>
      </c>
      <c r="D8" s="28">
        <f>COUNTIFS($B$31:$B$3434,"CFM56-7B",$C$31:$C$3434,"2025-2026")</f>
        <v/>
      </c>
      <c r="E8" s="37">
        <f t="array" ref="E8">MEDIAN(IF(($B$31:$B$3434="CFM56-7B")*($C$31:$C$3434="2025-2026"),$J$31:$J$3434))</f>
        <v/>
      </c>
      <c r="F8" s="154">
        <f>AVERAGEIFS($J$31:$J$3434,$B$31:$B$3434,"CFM56-7B",$C$31:$C$3434,"2025-2026")</f>
        <v/>
      </c>
      <c r="G8" s="28">
        <f>COUNTIFS($B$31:$B$3434,"CFM56-7B",$C$31:$C$3434,"2025-2026",$J$31:$J$3434,"&gt;0")</f>
        <v/>
      </c>
      <c r="H8" s="28">
        <f>COUNTIFS($B$31:$B$3434,"CFM56-7B",$C$31:$C$3434,"2025-2026",$J$31:$J$3434,"&lt;0")</f>
        <v/>
      </c>
      <c r="I8" s="28">
        <f>COUNTIFS($B$31:$B$3434,"CFM56-7B",$C$31:$C$3434,"2025-2026",$J$31:$J$3434,0)</f>
        <v/>
      </c>
    </row>
    <row r="10">
      <c r="B10" s="150" t="inlineStr">
        <is>
          <t>Median change by part category</t>
        </is>
      </c>
      <c r="C10" s="151" t="n"/>
      <c r="D10" s="151" t="n"/>
      <c r="E10" s="151" t="n"/>
      <c r="F10" s="151" t="n"/>
      <c r="G10" s="151" t="n"/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</row>
    <row r="11">
      <c r="B11" s="152" t="inlineStr">
        <is>
          <t>Part category</t>
        </is>
      </c>
      <c r="C11" s="153" t="n"/>
      <c r="D11" s="153" t="inlineStr">
        <is>
          <t>CFM56-5B</t>
        </is>
      </c>
      <c r="E11" s="153" t="inlineStr">
        <is>
          <t>CFM56-7B</t>
        </is>
      </c>
      <c r="F11" s="153" t="inlineStr">
        <is>
          <t>Packages</t>
        </is>
      </c>
    </row>
    <row r="12">
      <c r="B12" s="31" t="inlineStr">
        <is>
          <t>Combustor</t>
        </is>
      </c>
      <c r="D12" s="154">
        <f t="array" ref="D12">IFERROR(MEDIAN(IF(($B$31:$B$3434="CFM56-5B")*($C$31:$C$3434="2025-2026")*($G$31:$G$3434="Combustor"),$J$31:$J$3434)),"")</f>
        <v/>
      </c>
      <c r="E12" s="154">
        <f t="array" ref="E12">IFERROR(MEDIAN(IF(($B$31:$B$3434="CFM56-7B")*($C$31:$C$3434="2025-2026")*($G$31:$G$3434="Combustor"),$J$31:$J$3434)),"")</f>
        <v/>
      </c>
      <c r="F12" s="28">
        <f>COUNTIFS($C$31:$C$3434,"2025-2026",$G$31:$G$3434,"Combustor")</f>
        <v/>
      </c>
    </row>
    <row r="13">
      <c r="B13" s="31" t="inlineStr">
        <is>
          <t>Compressor</t>
        </is>
      </c>
      <c r="D13" s="154">
        <f t="array" ref="D13">IFERROR(MEDIAN(IF(($B$31:$B$3434="CFM56-5B")*($C$31:$C$3434="2025-2026")*($G$31:$G$3434="Compressor"),$J$31:$J$3434)),"")</f>
        <v/>
      </c>
      <c r="E13" s="154">
        <f t="array" ref="E13">IFERROR(MEDIAN(IF(($B$31:$B$3434="CFM56-7B")*($C$31:$C$3434="2025-2026")*($G$31:$G$3434="Compressor"),$J$31:$J$3434)),"")</f>
        <v/>
      </c>
      <c r="F13" s="28">
        <f>COUNTIFS($C$31:$C$3434,"2025-2026",$G$31:$G$3434,"Compressor")</f>
        <v/>
      </c>
    </row>
    <row r="14">
      <c r="B14" s="31" t="inlineStr">
        <is>
          <t>Fan / booster</t>
        </is>
      </c>
      <c r="D14" s="154">
        <f t="array" ref="D14">IFERROR(MEDIAN(IF(($B$31:$B$3434="CFM56-5B")*($C$31:$C$3434="2025-2026")*($G$31:$G$3434="Fan / booster"),$J$31:$J$3434)),"")</f>
        <v/>
      </c>
      <c r="E14" s="154">
        <f t="array" ref="E14">IFERROR(MEDIAN(IF(($B$31:$B$3434="CFM56-7B")*($C$31:$C$3434="2025-2026")*($G$31:$G$3434="Fan / booster"),$J$31:$J$3434)),"")</f>
        <v/>
      </c>
      <c r="F14" s="28">
        <f>COUNTIFS($C$31:$C$3434,"2025-2026",$G$31:$G$3434,"Fan / booster")</f>
        <v/>
      </c>
    </row>
    <row r="15">
      <c r="B15" s="31" t="inlineStr">
        <is>
          <t>Fuel system</t>
        </is>
      </c>
      <c r="D15" s="154">
        <f t="array" ref="D15">IFERROR(MEDIAN(IF(($B$31:$B$3434="CFM56-5B")*($C$31:$C$3434="2025-2026")*($G$31:$G$3434="Fuel system"),$J$31:$J$3434)),"")</f>
        <v/>
      </c>
      <c r="E15" s="154">
        <f t="array" ref="E15">IFERROR(MEDIAN(IF(($B$31:$B$3434="CFM56-7B")*($C$31:$C$3434="2025-2026")*($G$31:$G$3434="Fuel system"),$J$31:$J$3434)),"")</f>
        <v/>
      </c>
      <c r="F15" s="28">
        <f>COUNTIFS($C$31:$C$3434,"2025-2026",$G$31:$G$3434,"Fuel system")</f>
        <v/>
      </c>
    </row>
    <row r="16">
      <c r="B16" s="31" t="inlineStr">
        <is>
          <t>Gearbox</t>
        </is>
      </c>
      <c r="D16" s="154">
        <f t="array" ref="D16">IFERROR(MEDIAN(IF(($B$31:$B$3434="CFM56-5B")*($C$31:$C$3434="2025-2026")*($G$31:$G$3434="Gearbox"),$J$31:$J$3434)),"")</f>
        <v/>
      </c>
      <c r="E16" s="154">
        <f t="array" ref="E16">IFERROR(MEDIAN(IF(($B$31:$B$3434="CFM56-7B")*($C$31:$C$3434="2025-2026")*($G$31:$G$3434="Gearbox"),$J$31:$J$3434)),"")</f>
        <v/>
      </c>
      <c r="F16" s="28">
        <f>COUNTIFS($C$31:$C$3434,"2025-2026",$G$31:$G$3434,"Gearbox")</f>
        <v/>
      </c>
    </row>
    <row r="17">
      <c r="B17" s="31" t="inlineStr">
        <is>
          <t>HPT / nozzle</t>
        </is>
      </c>
      <c r="D17" s="154">
        <f t="array" ref="D17">IFERROR(MEDIAN(IF(($B$31:$B$3434="CFM56-5B")*($C$31:$C$3434="2025-2026")*($G$31:$G$3434="HPT / nozzle"),$J$31:$J$3434)),"")</f>
        <v/>
      </c>
      <c r="E17" s="154">
        <f t="array" ref="E17">IFERROR(MEDIAN(IF(($B$31:$B$3434="CFM56-7B")*($C$31:$C$3434="2025-2026")*($G$31:$G$3434="HPT / nozzle"),$J$31:$J$3434)),"")</f>
        <v/>
      </c>
      <c r="F17" s="28">
        <f>COUNTIFS($C$31:$C$3434,"2025-2026",$G$31:$G$3434,"HPT / nozzle")</f>
        <v/>
      </c>
    </row>
    <row r="18">
      <c r="B18" s="31" t="inlineStr">
        <is>
          <t>LPT</t>
        </is>
      </c>
      <c r="D18" s="154">
        <f t="array" ref="D18">IFERROR(MEDIAN(IF(($B$31:$B$3434="CFM56-5B")*($C$31:$C$3434="2025-2026")*($G$31:$G$3434="LPT"),$J$31:$J$3434)),"")</f>
        <v/>
      </c>
      <c r="E18" s="154">
        <f t="array" ref="E18">IFERROR(MEDIAN(IF(($B$31:$B$3434="CFM56-7B")*($C$31:$C$3434="2025-2026")*($G$31:$G$3434="LPT"),$J$31:$J$3434)),"")</f>
        <v/>
      </c>
      <c r="F18" s="28">
        <f>COUNTIFS($C$31:$C$3434,"2025-2026",$G$31:$G$3434,"LPT")</f>
        <v/>
      </c>
    </row>
    <row r="19">
      <c r="B19" s="31" t="inlineStr">
        <is>
          <t>Other / assembly</t>
        </is>
      </c>
      <c r="D19" s="154">
        <f t="array" ref="D19">IFERROR(MEDIAN(IF(($B$31:$B$3434="CFM56-5B")*($C$31:$C$3434="2025-2026")*($G$31:$G$3434="Other / assembly"),$J$31:$J$3434)),"")</f>
        <v/>
      </c>
      <c r="E19" s="154">
        <f t="array" ref="E19">IFERROR(MEDIAN(IF(($B$31:$B$3434="CFM56-7B")*($C$31:$C$3434="2025-2026")*($G$31:$G$3434="Other / assembly"),$J$31:$J$3434)),"")</f>
        <v/>
      </c>
      <c r="F19" s="28">
        <f>COUNTIFS($C$31:$C$3434,"2025-2026",$G$31:$G$3434,"Other / assembly")</f>
        <v/>
      </c>
    </row>
    <row r="21">
      <c r="B21" s="150" t="inlineStr">
        <is>
          <t>Price-catalogue sources</t>
        </is>
      </c>
      <c r="C21" s="151" t="n"/>
      <c r="D21" s="151" t="n"/>
      <c r="E21" s="151" t="n"/>
      <c r="F21" s="151" t="n"/>
      <c r="G21" s="151" t="n"/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</row>
    <row r="22">
      <c r="B22" s="152" t="inlineStr">
        <is>
          <t>Source ID</t>
        </is>
      </c>
      <c r="C22" s="153" t="inlineStr">
        <is>
          <t>Family</t>
        </is>
      </c>
      <c r="D22" s="153" t="inlineStr">
        <is>
          <t>Year</t>
        </is>
      </c>
      <c r="E22" s="153" t="inlineStr">
        <is>
          <t>Edition</t>
        </is>
      </c>
      <c r="F22" s="153" t="inlineStr">
        <is>
          <t>Rows parsed</t>
        </is>
      </c>
      <c r="G22" s="153" t="inlineStr">
        <is>
          <t>Packages</t>
        </is>
      </c>
      <c r="H22" s="153" t="n"/>
      <c r="I22" s="153" t="inlineStr">
        <is>
          <t>URL</t>
        </is>
      </c>
    </row>
    <row r="23">
      <c r="B23" s="31" t="inlineStr">
        <is>
          <t>S1</t>
        </is>
      </c>
      <c r="C23" s="31" t="inlineStr">
        <is>
          <t>CFM56-5B</t>
        </is>
      </c>
      <c r="D23" s="32" t="n">
        <v>2024</v>
      </c>
      <c r="E23" s="262" t="n">
        <v>45460</v>
      </c>
      <c r="F23" s="118" t="n">
        <v>1929</v>
      </c>
      <c r="G23" s="31" t="n">
        <v>1516</v>
      </c>
      <c r="I23" s="31" t="inlineStr">
        <is>
          <t>https://www.srtechnics.com/media/nwzlxnyn/cfm-5b-sr-technics-capabilities-price-catalogue-17062024.pdf</t>
        </is>
      </c>
    </row>
    <row r="24">
      <c r="B24" s="31" t="inlineStr">
        <is>
          <t>S2</t>
        </is>
      </c>
      <c r="C24" s="31" t="inlineStr">
        <is>
          <t>CFM56-5B</t>
        </is>
      </c>
      <c r="D24" s="32" t="n">
        <v>2025</v>
      </c>
      <c r="E24" s="262" t="n">
        <v>45751</v>
      </c>
      <c r="F24" s="118" t="n">
        <v>1877</v>
      </c>
      <c r="G24" s="31" t="n">
        <v>1473</v>
      </c>
      <c r="I24" s="31" t="inlineStr">
        <is>
          <t>https://www.srtechnics.com/media/fmiaxdl2/cfm-5b-sr-technics-capabilitiesprice-catalogue-04042025.pdf</t>
        </is>
      </c>
    </row>
    <row r="25">
      <c r="B25" s="31" t="inlineStr">
        <is>
          <t>S3</t>
        </is>
      </c>
      <c r="C25" s="31" t="inlineStr">
        <is>
          <t>CFM56-7B</t>
        </is>
      </c>
      <c r="D25" s="32" t="n">
        <v>2025</v>
      </c>
      <c r="E25" s="262" t="n">
        <v>45751</v>
      </c>
      <c r="F25" s="118" t="n">
        <v>1994</v>
      </c>
      <c r="G25" s="31" t="n">
        <v>1465</v>
      </c>
      <c r="I25" s="31" t="inlineStr">
        <is>
          <t>https://www.srtechnics.com/media/ixnkubbj/cfm-7b-sr-technics-capabilitiesprice-catalogue-04042025.pdf</t>
        </is>
      </c>
    </row>
    <row r="26">
      <c r="B26" s="31" t="inlineStr">
        <is>
          <t>S4</t>
        </is>
      </c>
      <c r="C26" s="31" t="inlineStr">
        <is>
          <t>CFM56-5B</t>
        </is>
      </c>
      <c r="D26" s="32" t="n">
        <v>2026</v>
      </c>
      <c r="E26" s="262" t="n">
        <v>46289</v>
      </c>
      <c r="F26" s="118" t="n">
        <v>1834</v>
      </c>
      <c r="G26" s="31" t="n">
        <v>1446</v>
      </c>
      <c r="I26" s="31" t="inlineStr">
        <is>
          <t>https://www.srtechnics.com/media/y4rpn3jg/cfm56-5b-sr-technics-capabilitiesprice-catalogue-24092026.pdf</t>
        </is>
      </c>
    </row>
    <row r="27">
      <c r="B27" s="31" t="inlineStr">
        <is>
          <t>S5</t>
        </is>
      </c>
      <c r="C27" s="31" t="inlineStr">
        <is>
          <t>CFM56-7B</t>
        </is>
      </c>
      <c r="D27" s="32" t="n">
        <v>2026</v>
      </c>
      <c r="E27" s="262" t="n">
        <v>46289</v>
      </c>
      <c r="F27" s="118" t="n">
        <v>1969</v>
      </c>
      <c r="G27" s="31" t="n">
        <v>1466</v>
      </c>
      <c r="I27" s="31" t="inlineStr">
        <is>
          <t>https://www.srtechnics.com/media/lgln23vl/cfm56-7b-sr-technics-capabilitiesprice-catalogue-24092026.pdf</t>
        </is>
      </c>
    </row>
    <row r="29">
      <c r="B29" s="150" t="inlineStr">
        <is>
          <t>Matched packages</t>
        </is>
      </c>
      <c r="C29" s="151" t="n"/>
      <c r="D29" s="151" t="n"/>
      <c r="E29" s="151" t="n"/>
      <c r="F29" s="151" t="n"/>
      <c r="G29" s="151" t="n"/>
      <c r="H29" s="151" t="n"/>
      <c r="I29" s="151" t="n"/>
      <c r="J29" s="151" t="n"/>
      <c r="K29" s="151" t="n"/>
      <c r="L29" s="151" t="n"/>
      <c r="M29" s="151" t="n"/>
      <c r="N29" s="151" t="n"/>
      <c r="O29" s="151" t="n"/>
      <c r="P29" s="151" t="n"/>
    </row>
    <row r="30">
      <c r="B30" s="152" t="inlineStr">
        <is>
          <t>Family</t>
        </is>
      </c>
      <c r="C30" s="153" t="inlineStr">
        <is>
          <t>Period</t>
        </is>
      </c>
      <c r="D30" s="153" t="inlineStr">
        <is>
          <t>Quotation ID</t>
        </is>
      </c>
      <c r="E30" s="153" t="inlineStr">
        <is>
          <t>ATA</t>
        </is>
      </c>
      <c r="F30" s="153" t="inlineStr">
        <is>
          <t>Package</t>
        </is>
      </c>
      <c r="G30" s="153" t="inlineStr">
        <is>
          <t>Part category</t>
        </is>
      </c>
      <c r="H30" s="153" t="inlineStr">
        <is>
          <t>Prior price ($)</t>
        </is>
      </c>
      <c r="I30" s="153" t="inlineStr">
        <is>
          <t>Later price ($)</t>
        </is>
      </c>
      <c r="J30" s="153" t="inlineStr">
        <is>
          <t>Change</t>
        </is>
      </c>
      <c r="K30" s="153" t="inlineStr">
        <is>
          <t>Prior pg</t>
        </is>
      </c>
      <c r="L30" s="153" t="inlineStr">
        <is>
          <t>Later pg</t>
        </is>
      </c>
      <c r="M30" s="153" t="inlineStr">
        <is>
          <t>Prior src</t>
        </is>
      </c>
      <c r="N30" s="153" t="inlineStr">
        <is>
          <t>Later src</t>
        </is>
      </c>
      <c r="O30" s="153" t="inlineStr">
        <is>
          <t>Listed MPN</t>
        </is>
      </c>
      <c r="P30" s="153" t="inlineStr">
        <is>
          <t>Facility</t>
        </is>
      </c>
    </row>
    <row r="31">
      <c r="B31" s="31" t="inlineStr">
        <is>
          <t>CFM56-5B</t>
        </is>
      </c>
      <c r="C31" s="31" t="inlineStr">
        <is>
          <t>2024-2025</t>
        </is>
      </c>
      <c r="D31" s="31" t="inlineStr">
        <is>
          <t>11542</t>
        </is>
      </c>
      <c r="E31" s="31" t="inlineStr">
        <is>
          <t>72-23-35</t>
        </is>
      </c>
      <c r="F31" s="31" t="inlineStr">
        <is>
          <t>A</t>
        </is>
      </c>
      <c r="G31" s="31" t="inlineStr">
        <is>
          <t>Fan / booster</t>
        </is>
      </c>
      <c r="H31" s="27" t="n">
        <v>70</v>
      </c>
      <c r="I31" s="27" t="n">
        <v>140</v>
      </c>
      <c r="J31" s="154">
        <f>I31/H31-1</f>
        <v/>
      </c>
      <c r="K31" s="31" t="inlineStr">
        <is>
          <t>34</t>
        </is>
      </c>
      <c r="L31" s="31" t="inlineStr">
        <is>
          <t>35</t>
        </is>
      </c>
      <c r="M31" s="31" t="inlineStr">
        <is>
          <t>S1</t>
        </is>
      </c>
      <c r="N31" s="31" t="inlineStr">
        <is>
          <t>S2</t>
        </is>
      </c>
      <c r="O31" s="31" t="inlineStr">
        <is>
          <t>301-792-202-0</t>
        </is>
      </c>
      <c r="P31" s="31" t="inlineStr">
        <is>
          <t>SR Technics Switzerland</t>
        </is>
      </c>
    </row>
    <row r="32">
      <c r="B32" s="31" t="inlineStr">
        <is>
          <t>CFM56-5B</t>
        </is>
      </c>
      <c r="C32" s="31" t="inlineStr">
        <is>
          <t>2024-2025</t>
        </is>
      </c>
      <c r="D32" s="31" t="inlineStr">
        <is>
          <t>125452</t>
        </is>
      </c>
      <c r="E32" s="31" t="inlineStr">
        <is>
          <t>73-11-14</t>
        </is>
      </c>
      <c r="F32" s="31" t="inlineStr">
        <is>
          <t>B</t>
        </is>
      </c>
      <c r="G32" s="31" t="inlineStr">
        <is>
          <t>Fuel system</t>
        </is>
      </c>
      <c r="H32" s="27" t="n">
        <v>660</v>
      </c>
      <c r="I32" s="27" t="n">
        <v>700</v>
      </c>
      <c r="J32" s="154">
        <f>I32/H32-1</f>
        <v/>
      </c>
      <c r="K32" s="31" t="inlineStr">
        <is>
          <t>8</t>
        </is>
      </c>
      <c r="L32" s="31" t="inlineStr">
        <is>
          <t>8</t>
        </is>
      </c>
      <c r="M32" s="31" t="inlineStr">
        <is>
          <t>S1</t>
        </is>
      </c>
      <c r="N32" s="31" t="inlineStr">
        <is>
          <t>S2</t>
        </is>
      </c>
      <c r="O32" s="31" t="inlineStr">
        <is>
          <t>215788</t>
        </is>
      </c>
      <c r="P32" s="31" t="inlineStr">
        <is>
          <t>SR Technics Switzerland</t>
        </is>
      </c>
    </row>
    <row r="33">
      <c r="B33" s="31" t="inlineStr">
        <is>
          <t>CFM56-5B</t>
        </is>
      </c>
      <c r="C33" s="31" t="inlineStr">
        <is>
          <t>2024-2025</t>
        </is>
      </c>
      <c r="D33" s="31" t="inlineStr">
        <is>
          <t>12552</t>
        </is>
      </c>
      <c r="E33" s="31" t="inlineStr">
        <is>
          <t>71-00-01</t>
        </is>
      </c>
      <c r="F33" s="31" t="inlineStr">
        <is>
          <t>B</t>
        </is>
      </c>
      <c r="G33" s="31" t="inlineStr">
        <is>
          <t>Other / assembly</t>
        </is>
      </c>
      <c r="H33" s="27" t="n">
        <v>1010</v>
      </c>
      <c r="I33" s="27" t="n">
        <v>1075</v>
      </c>
      <c r="J33" s="154">
        <f>I33/H33-1</f>
        <v/>
      </c>
      <c r="K33" s="31" t="inlineStr">
        <is>
          <t>38</t>
        </is>
      </c>
      <c r="L33" s="31" t="inlineStr">
        <is>
          <t>38</t>
        </is>
      </c>
      <c r="M33" s="31" t="inlineStr">
        <is>
          <t>S1</t>
        </is>
      </c>
      <c r="N33" s="31" t="inlineStr">
        <is>
          <t>S2</t>
        </is>
      </c>
      <c r="O33" s="31" t="inlineStr">
        <is>
          <t>ALL450-001-0</t>
        </is>
      </c>
      <c r="P33" s="31" t="inlineStr">
        <is>
          <t>SR Technics Switzerland</t>
        </is>
      </c>
    </row>
    <row r="34">
      <c r="B34" s="31" t="inlineStr">
        <is>
          <t>CFM56-5B</t>
        </is>
      </c>
      <c r="C34" s="31" t="inlineStr">
        <is>
          <t>2024-2025</t>
        </is>
      </c>
      <c r="D34" s="31" t="inlineStr">
        <is>
          <t>13451</t>
        </is>
      </c>
      <c r="E34" s="31" t="inlineStr">
        <is>
          <t>72-23-10</t>
        </is>
      </c>
      <c r="F34" s="31" t="inlineStr">
        <is>
          <t>A</t>
        </is>
      </c>
      <c r="G34" s="31" t="inlineStr">
        <is>
          <t>Fan / booster</t>
        </is>
      </c>
      <c r="H34" s="27" t="n">
        <v>135</v>
      </c>
      <c r="I34" s="27" t="n">
        <v>145</v>
      </c>
      <c r="J34" s="154">
        <f>I34/H34-1</f>
        <v/>
      </c>
      <c r="K34" s="31" t="inlineStr">
        <is>
          <t>38</t>
        </is>
      </c>
      <c r="L34" s="31" t="inlineStr">
        <is>
          <t>38</t>
        </is>
      </c>
      <c r="M34" s="31" t="inlineStr">
        <is>
          <t>S1</t>
        </is>
      </c>
      <c r="N34" s="31" t="inlineStr">
        <is>
          <t>S2</t>
        </is>
      </c>
      <c r="O34" s="31" t="inlineStr">
        <is>
          <t>301-566-807-0</t>
        </is>
      </c>
      <c r="P34" s="31" t="inlineStr">
        <is>
          <t>SR Technics Switzerland</t>
        </is>
      </c>
    </row>
    <row r="35">
      <c r="B35" s="31" t="inlineStr">
        <is>
          <t>CFM56-5B</t>
        </is>
      </c>
      <c r="C35" s="31" t="inlineStr">
        <is>
          <t>2024-2025</t>
        </is>
      </c>
      <c r="D35" s="31" t="inlineStr">
        <is>
          <t>13459</t>
        </is>
      </c>
      <c r="E35" s="31" t="inlineStr">
        <is>
          <t>72-23-12</t>
        </is>
      </c>
      <c r="F35" s="31" t="inlineStr">
        <is>
          <t>A</t>
        </is>
      </c>
      <c r="G35" s="31" t="inlineStr">
        <is>
          <t>Fan / booster</t>
        </is>
      </c>
      <c r="H35" s="27" t="n">
        <v>570</v>
      </c>
      <c r="I35" s="27" t="n">
        <v>605</v>
      </c>
      <c r="J35" s="154">
        <f>I35/H35-1</f>
        <v/>
      </c>
      <c r="K35" s="31" t="inlineStr">
        <is>
          <t>38</t>
        </is>
      </c>
      <c r="L35" s="31" t="inlineStr">
        <is>
          <t>38</t>
        </is>
      </c>
      <c r="M35" s="31" t="inlineStr">
        <is>
          <t>S1</t>
        </is>
      </c>
      <c r="N35" s="31" t="inlineStr">
        <is>
          <t>S2</t>
        </is>
      </c>
      <c r="O35" s="31" t="inlineStr">
        <is>
          <t>301-417-104-0</t>
        </is>
      </c>
      <c r="P35" s="31" t="inlineStr">
        <is>
          <t>SR Technics Switzerland</t>
        </is>
      </c>
    </row>
    <row r="36">
      <c r="B36" s="31" t="inlineStr">
        <is>
          <t>CFM56-5B</t>
        </is>
      </c>
      <c r="C36" s="31" t="inlineStr">
        <is>
          <t>2024-2025</t>
        </is>
      </c>
      <c r="D36" s="31" t="inlineStr">
        <is>
          <t>13471</t>
        </is>
      </c>
      <c r="E36" s="31" t="inlineStr">
        <is>
          <t>72-23-15</t>
        </is>
      </c>
      <c r="F36" s="31" t="inlineStr">
        <is>
          <t>A</t>
        </is>
      </c>
      <c r="G36" s="31" t="inlineStr">
        <is>
          <t>Fan / booster</t>
        </is>
      </c>
      <c r="H36" s="27" t="n">
        <v>515</v>
      </c>
      <c r="I36" s="27" t="n">
        <v>550</v>
      </c>
      <c r="J36" s="154">
        <f>I36/H36-1</f>
        <v/>
      </c>
      <c r="K36" s="31" t="inlineStr">
        <is>
          <t>5</t>
        </is>
      </c>
      <c r="L36" s="31" t="inlineStr">
        <is>
          <t>5</t>
        </is>
      </c>
      <c r="M36" s="31" t="inlineStr">
        <is>
          <t>S1</t>
        </is>
      </c>
      <c r="N36" s="31" t="inlineStr">
        <is>
          <t>S2</t>
        </is>
      </c>
      <c r="O36" s="31" t="inlineStr">
        <is>
          <t>337-100-804-0</t>
        </is>
      </c>
      <c r="P36" s="31" t="inlineStr">
        <is>
          <t>SR Technics Switzerland</t>
        </is>
      </c>
    </row>
    <row r="37">
      <c r="B37" s="31" t="inlineStr">
        <is>
          <t>CFM56-5B</t>
        </is>
      </c>
      <c r="C37" s="31" t="inlineStr">
        <is>
          <t>2024-2025</t>
        </is>
      </c>
      <c r="D37" s="31" t="inlineStr">
        <is>
          <t>13471</t>
        </is>
      </c>
      <c r="E37" s="31" t="inlineStr">
        <is>
          <t>72-23-15</t>
        </is>
      </c>
      <c r="F37" s="31" t="inlineStr">
        <is>
          <t>C</t>
        </is>
      </c>
      <c r="G37" s="31" t="inlineStr">
        <is>
          <t>Fan / booster</t>
        </is>
      </c>
      <c r="H37" s="27" t="n">
        <v>1105</v>
      </c>
      <c r="I37" s="27" t="n">
        <v>1175</v>
      </c>
      <c r="J37" s="154">
        <f>I37/H37-1</f>
        <v/>
      </c>
      <c r="K37" s="31" t="inlineStr">
        <is>
          <t>5</t>
        </is>
      </c>
      <c r="L37" s="31" t="inlineStr">
        <is>
          <t>5</t>
        </is>
      </c>
      <c r="M37" s="31" t="inlineStr">
        <is>
          <t>S1</t>
        </is>
      </c>
      <c r="N37" s="31" t="inlineStr">
        <is>
          <t>S2</t>
        </is>
      </c>
      <c r="O37" s="31" t="inlineStr">
        <is>
          <t>337-100-804-0</t>
        </is>
      </c>
      <c r="P37" s="31" t="inlineStr">
        <is>
          <t>SR Technics Switzerland</t>
        </is>
      </c>
    </row>
    <row r="38">
      <c r="B38" s="31" t="inlineStr">
        <is>
          <t>CFM56-5B</t>
        </is>
      </c>
      <c r="C38" s="31" t="inlineStr">
        <is>
          <t>2024-2025</t>
        </is>
      </c>
      <c r="D38" s="31" t="inlineStr">
        <is>
          <t>13471</t>
        </is>
      </c>
      <c r="E38" s="31" t="inlineStr">
        <is>
          <t>72-23-15</t>
        </is>
      </c>
      <c r="F38" s="31" t="inlineStr">
        <is>
          <t>D</t>
        </is>
      </c>
      <c r="G38" s="31" t="inlineStr">
        <is>
          <t>Fan / booster</t>
        </is>
      </c>
      <c r="H38" s="27" t="n">
        <v>410</v>
      </c>
      <c r="I38" s="27" t="n">
        <v>435</v>
      </c>
      <c r="J38" s="154">
        <f>I38/H38-1</f>
        <v/>
      </c>
      <c r="K38" s="31" t="inlineStr">
        <is>
          <t>5</t>
        </is>
      </c>
      <c r="L38" s="31" t="inlineStr">
        <is>
          <t>5</t>
        </is>
      </c>
      <c r="M38" s="31" t="inlineStr">
        <is>
          <t>S1</t>
        </is>
      </c>
      <c r="N38" s="31" t="inlineStr">
        <is>
          <t>S2</t>
        </is>
      </c>
      <c r="O38" s="31" t="inlineStr">
        <is>
          <t>337-100-804-0</t>
        </is>
      </c>
      <c r="P38" s="31" t="inlineStr">
        <is>
          <t>SR Technics Switzerland</t>
        </is>
      </c>
    </row>
    <row r="39">
      <c r="B39" s="31" t="inlineStr">
        <is>
          <t>CFM56-5B</t>
        </is>
      </c>
      <c r="C39" s="31" t="inlineStr">
        <is>
          <t>2024-2025</t>
        </is>
      </c>
      <c r="D39" s="31" t="inlineStr">
        <is>
          <t>13473</t>
        </is>
      </c>
      <c r="E39" s="31" t="inlineStr">
        <is>
          <t>72-23-16</t>
        </is>
      </c>
      <c r="F39" s="31" t="inlineStr">
        <is>
          <t>A</t>
        </is>
      </c>
      <c r="G39" s="31" t="inlineStr">
        <is>
          <t>Fan / booster</t>
        </is>
      </c>
      <c r="H39" s="27" t="n">
        <v>245</v>
      </c>
      <c r="I39" s="27" t="n">
        <v>260</v>
      </c>
      <c r="J39" s="154">
        <f>I39/H39-1</f>
        <v/>
      </c>
      <c r="K39" s="31" t="inlineStr">
        <is>
          <t>38</t>
        </is>
      </c>
      <c r="L39" s="31" t="inlineStr">
        <is>
          <t>39</t>
        </is>
      </c>
      <c r="M39" s="31" t="inlineStr">
        <is>
          <t>S1</t>
        </is>
      </c>
      <c r="N39" s="31" t="inlineStr">
        <is>
          <t>S2</t>
        </is>
      </c>
      <c r="O39" s="31" t="inlineStr">
        <is>
          <t>336-053-701-0</t>
        </is>
      </c>
      <c r="P39" s="31" t="inlineStr">
        <is>
          <t>SR Technics Switzerland</t>
        </is>
      </c>
    </row>
    <row r="40">
      <c r="B40" s="31" t="inlineStr">
        <is>
          <t>CFM56-5B</t>
        </is>
      </c>
      <c r="C40" s="31" t="inlineStr">
        <is>
          <t>2024-2025</t>
        </is>
      </c>
      <c r="D40" s="31" t="inlineStr">
        <is>
          <t>134895</t>
        </is>
      </c>
      <c r="E40" s="31" t="inlineStr">
        <is>
          <t>24-19-10</t>
        </is>
      </c>
      <c r="F40" s="31" t="inlineStr">
        <is>
          <t>A</t>
        </is>
      </c>
      <c r="G40" s="31" t="inlineStr">
        <is>
          <t>Other / assembly</t>
        </is>
      </c>
      <c r="H40" s="27" t="n">
        <v>800</v>
      </c>
      <c r="I40" s="27" t="n">
        <v>850</v>
      </c>
      <c r="J40" s="154">
        <f>I40/H40-1</f>
        <v/>
      </c>
      <c r="K40" s="31" t="inlineStr">
        <is>
          <t>42</t>
        </is>
      </c>
      <c r="L40" s="31" t="inlineStr">
        <is>
          <t>42</t>
        </is>
      </c>
      <c r="M40" s="31" t="inlineStr">
        <is>
          <t>S1</t>
        </is>
      </c>
      <c r="N40" s="31" t="inlineStr">
        <is>
          <t>S2</t>
        </is>
      </c>
      <c r="O40" s="31" t="inlineStr">
        <is>
          <t>740123</t>
        </is>
      </c>
      <c r="P40" s="31" t="inlineStr">
        <is>
          <t>SR Technics Switzerland</t>
        </is>
      </c>
    </row>
    <row r="41">
      <c r="B41" s="31" t="inlineStr">
        <is>
          <t>CFM56-5B</t>
        </is>
      </c>
      <c r="C41" s="31" t="inlineStr">
        <is>
          <t>2024-2025</t>
        </is>
      </c>
      <c r="D41" s="31" t="inlineStr">
        <is>
          <t>135024</t>
        </is>
      </c>
      <c r="E41" s="31" t="inlineStr">
        <is>
          <t>71-22-07</t>
        </is>
      </c>
      <c r="F41" s="31" t="inlineStr">
        <is>
          <t>C</t>
        </is>
      </c>
      <c r="G41" s="31" t="inlineStr">
        <is>
          <t>Other / assembly</t>
        </is>
      </c>
      <c r="H41" s="27" t="n">
        <v>2355</v>
      </c>
      <c r="I41" s="27" t="n">
        <v>2500</v>
      </c>
      <c r="J41" s="154">
        <f>I41/H41-1</f>
        <v/>
      </c>
      <c r="K41" s="31" t="inlineStr">
        <is>
          <t>8</t>
        </is>
      </c>
      <c r="L41" s="31" t="inlineStr">
        <is>
          <t>8</t>
        </is>
      </c>
      <c r="M41" s="31" t="inlineStr">
        <is>
          <t>S1</t>
        </is>
      </c>
      <c r="N41" s="31" t="inlineStr">
        <is>
          <t>S2</t>
        </is>
      </c>
      <c r="O41" s="31" t="inlineStr">
        <is>
          <t>238-0230-15</t>
        </is>
      </c>
      <c r="P41" s="31" t="inlineStr">
        <is>
          <t>SR Technics Switzerland</t>
        </is>
      </c>
    </row>
    <row r="42">
      <c r="B42" s="31" t="inlineStr">
        <is>
          <t>CFM56-5B</t>
        </is>
      </c>
      <c r="C42" s="31" t="inlineStr">
        <is>
          <t>2024-2025</t>
        </is>
      </c>
      <c r="D42" s="31" t="inlineStr">
        <is>
          <t>135024</t>
        </is>
      </c>
      <c r="E42" s="31" t="inlineStr">
        <is>
          <t>71-22-07</t>
        </is>
      </c>
      <c r="F42" s="31" t="inlineStr">
        <is>
          <t>D</t>
        </is>
      </c>
      <c r="G42" s="31" t="inlineStr">
        <is>
          <t>Other / assembly</t>
        </is>
      </c>
      <c r="H42" s="27" t="n">
        <v>970</v>
      </c>
      <c r="I42" s="27" t="n">
        <v>1030</v>
      </c>
      <c r="J42" s="154">
        <f>I42/H42-1</f>
        <v/>
      </c>
      <c r="K42" s="31" t="inlineStr">
        <is>
          <t>8</t>
        </is>
      </c>
      <c r="L42" s="31" t="inlineStr">
        <is>
          <t>8</t>
        </is>
      </c>
      <c r="M42" s="31" t="inlineStr">
        <is>
          <t>S1</t>
        </is>
      </c>
      <c r="N42" s="31" t="inlineStr">
        <is>
          <t>S2</t>
        </is>
      </c>
      <c r="O42" s="31" t="inlineStr">
        <is>
          <t>238-0230-15</t>
        </is>
      </c>
      <c r="P42" s="31" t="inlineStr">
        <is>
          <t>SR Technics Switzerland</t>
        </is>
      </c>
    </row>
    <row r="43">
      <c r="B43" s="31" t="inlineStr">
        <is>
          <t>CFM56-5B</t>
        </is>
      </c>
      <c r="C43" s="31" t="inlineStr">
        <is>
          <t>2024-2025</t>
        </is>
      </c>
      <c r="D43" s="31" t="inlineStr">
        <is>
          <t>135024</t>
        </is>
      </c>
      <c r="E43" s="31" t="inlineStr">
        <is>
          <t>71-22-07</t>
        </is>
      </c>
      <c r="F43" s="31" t="inlineStr">
        <is>
          <t>E</t>
        </is>
      </c>
      <c r="G43" s="31" t="inlineStr">
        <is>
          <t>Other / assembly</t>
        </is>
      </c>
      <c r="H43" s="27" t="n">
        <v>1385</v>
      </c>
      <c r="I43" s="27" t="n">
        <v>1470</v>
      </c>
      <c r="J43" s="154">
        <f>I43/H43-1</f>
        <v/>
      </c>
      <c r="K43" s="31" t="inlineStr">
        <is>
          <t>8</t>
        </is>
      </c>
      <c r="L43" s="31" t="inlineStr">
        <is>
          <t>8</t>
        </is>
      </c>
      <c r="M43" s="31" t="inlineStr">
        <is>
          <t>S1</t>
        </is>
      </c>
      <c r="N43" s="31" t="inlineStr">
        <is>
          <t>S2</t>
        </is>
      </c>
      <c r="O43" s="31" t="inlineStr">
        <is>
          <t>238-0230-15</t>
        </is>
      </c>
      <c r="P43" s="31" t="inlineStr">
        <is>
          <t>SR Technics Switzerland</t>
        </is>
      </c>
    </row>
    <row r="44">
      <c r="B44" s="31" t="inlineStr">
        <is>
          <t>CFM56-5B</t>
        </is>
      </c>
      <c r="C44" s="31" t="inlineStr">
        <is>
          <t>2024-2025</t>
        </is>
      </c>
      <c r="D44" s="31" t="inlineStr">
        <is>
          <t>135024</t>
        </is>
      </c>
      <c r="E44" s="31" t="inlineStr">
        <is>
          <t>71-22-07</t>
        </is>
      </c>
      <c r="F44" s="31" t="inlineStr">
        <is>
          <t>F</t>
        </is>
      </c>
      <c r="G44" s="31" t="inlineStr">
        <is>
          <t>Other / assembly</t>
        </is>
      </c>
      <c r="H44" s="27" t="n">
        <v>2510</v>
      </c>
      <c r="I44" s="27" t="n">
        <v>2665</v>
      </c>
      <c r="J44" s="154">
        <f>I44/H44-1</f>
        <v/>
      </c>
      <c r="K44" s="31" t="inlineStr">
        <is>
          <t>8</t>
        </is>
      </c>
      <c r="L44" s="31" t="inlineStr">
        <is>
          <t>8</t>
        </is>
      </c>
      <c r="M44" s="31" t="inlineStr">
        <is>
          <t>S1</t>
        </is>
      </c>
      <c r="N44" s="31" t="inlineStr">
        <is>
          <t>S2</t>
        </is>
      </c>
      <c r="O44" s="31" t="inlineStr">
        <is>
          <t>238-0230-15</t>
        </is>
      </c>
      <c r="P44" s="31" t="inlineStr">
        <is>
          <t>SR Technics Switzerland</t>
        </is>
      </c>
    </row>
    <row r="45">
      <c r="B45" s="31" t="inlineStr">
        <is>
          <t>CFM56-5B</t>
        </is>
      </c>
      <c r="C45" s="31" t="inlineStr">
        <is>
          <t>2024-2025</t>
        </is>
      </c>
      <c r="D45" s="31" t="inlineStr">
        <is>
          <t>135024</t>
        </is>
      </c>
      <c r="E45" s="31" t="inlineStr">
        <is>
          <t>71-22-07</t>
        </is>
      </c>
      <c r="F45" s="31" t="inlineStr">
        <is>
          <t>G</t>
        </is>
      </c>
      <c r="G45" s="31" t="inlineStr">
        <is>
          <t>Other / assembly</t>
        </is>
      </c>
      <c r="H45" s="27" t="n">
        <v>2780</v>
      </c>
      <c r="I45" s="27" t="n">
        <v>2950</v>
      </c>
      <c r="J45" s="154">
        <f>I45/H45-1</f>
        <v/>
      </c>
      <c r="K45" s="31" t="inlineStr">
        <is>
          <t>8</t>
        </is>
      </c>
      <c r="L45" s="31" t="inlineStr">
        <is>
          <t>9</t>
        </is>
      </c>
      <c r="M45" s="31" t="inlineStr">
        <is>
          <t>S1</t>
        </is>
      </c>
      <c r="N45" s="31" t="inlineStr">
        <is>
          <t>S2</t>
        </is>
      </c>
      <c r="O45" s="31" t="inlineStr">
        <is>
          <t>238-0230-15</t>
        </is>
      </c>
      <c r="P45" s="31" t="inlineStr">
        <is>
          <t>SR Technics Switzerland</t>
        </is>
      </c>
    </row>
    <row r="46">
      <c r="B46" s="31" t="inlineStr">
        <is>
          <t>CFM56-5B</t>
        </is>
      </c>
      <c r="C46" s="31" t="inlineStr">
        <is>
          <t>2024-2025</t>
        </is>
      </c>
      <c r="D46" s="31" t="inlineStr">
        <is>
          <t>135024</t>
        </is>
      </c>
      <c r="E46" s="31" t="inlineStr">
        <is>
          <t>71-22-07</t>
        </is>
      </c>
      <c r="F46" s="31" t="inlineStr">
        <is>
          <t>SB00</t>
        </is>
      </c>
      <c r="G46" s="31" t="inlineStr">
        <is>
          <t>Other / assembly</t>
        </is>
      </c>
      <c r="H46" s="27" t="n">
        <v>920</v>
      </c>
      <c r="I46" s="27" t="n">
        <v>980</v>
      </c>
      <c r="J46" s="154">
        <f>I46/H46-1</f>
        <v/>
      </c>
      <c r="K46" s="31" t="inlineStr">
        <is>
          <t>8</t>
        </is>
      </c>
      <c r="L46" s="31" t="inlineStr">
        <is>
          <t>9</t>
        </is>
      </c>
      <c r="M46" s="31" t="inlineStr">
        <is>
          <t>S1</t>
        </is>
      </c>
      <c r="N46" s="31" t="inlineStr">
        <is>
          <t>S2</t>
        </is>
      </c>
      <c r="O46" s="31" t="inlineStr">
        <is>
          <t>238-0230-15</t>
        </is>
      </c>
      <c r="P46" s="31" t="inlineStr">
        <is>
          <t>SR Technics Switzerland</t>
        </is>
      </c>
    </row>
    <row r="47">
      <c r="B47" s="31" t="inlineStr">
        <is>
          <t>CFM56-5B</t>
        </is>
      </c>
      <c r="C47" s="31" t="inlineStr">
        <is>
          <t>2024-2025</t>
        </is>
      </c>
      <c r="D47" s="31" t="inlineStr">
        <is>
          <t>135024</t>
        </is>
      </c>
      <c r="E47" s="31" t="inlineStr">
        <is>
          <t>71-22-07</t>
        </is>
      </c>
      <c r="F47" s="31" t="inlineStr">
        <is>
          <t>SB01</t>
        </is>
      </c>
      <c r="G47" s="31" t="inlineStr">
        <is>
          <t>Other / assembly</t>
        </is>
      </c>
      <c r="H47" s="27" t="n">
        <v>1100</v>
      </c>
      <c r="I47" s="27" t="n">
        <v>1170</v>
      </c>
      <c r="J47" s="154">
        <f>I47/H47-1</f>
        <v/>
      </c>
      <c r="K47" s="31" t="inlineStr">
        <is>
          <t>8</t>
        </is>
      </c>
      <c r="L47" s="31" t="inlineStr">
        <is>
          <t>9</t>
        </is>
      </c>
      <c r="M47" s="31" t="inlineStr">
        <is>
          <t>S1</t>
        </is>
      </c>
      <c r="N47" s="31" t="inlineStr">
        <is>
          <t>S2</t>
        </is>
      </c>
      <c r="O47" s="31" t="inlineStr">
        <is>
          <t>238-0230-15</t>
        </is>
      </c>
      <c r="P47" s="31" t="inlineStr">
        <is>
          <t>SR Technics Switzerland</t>
        </is>
      </c>
    </row>
    <row r="48">
      <c r="B48" s="31" t="inlineStr">
        <is>
          <t>CFM56-5B</t>
        </is>
      </c>
      <c r="C48" s="31" t="inlineStr">
        <is>
          <t>2024-2025</t>
        </is>
      </c>
      <c r="D48" s="31" t="inlineStr">
        <is>
          <t>135024</t>
        </is>
      </c>
      <c r="E48" s="31" t="inlineStr">
        <is>
          <t>71-22-07</t>
        </is>
      </c>
      <c r="F48" s="31" t="inlineStr">
        <is>
          <t>SB02</t>
        </is>
      </c>
      <c r="G48" s="31" t="inlineStr">
        <is>
          <t>Other / assembly</t>
        </is>
      </c>
      <c r="H48" s="27" t="n">
        <v>645</v>
      </c>
      <c r="I48" s="27" t="n">
        <v>685</v>
      </c>
      <c r="J48" s="154">
        <f>I48/H48-1</f>
        <v/>
      </c>
      <c r="K48" s="31" t="inlineStr">
        <is>
          <t>8</t>
        </is>
      </c>
      <c r="L48" s="31" t="inlineStr">
        <is>
          <t>9</t>
        </is>
      </c>
      <c r="M48" s="31" t="inlineStr">
        <is>
          <t>S1</t>
        </is>
      </c>
      <c r="N48" s="31" t="inlineStr">
        <is>
          <t>S2</t>
        </is>
      </c>
      <c r="O48" s="31" t="inlineStr">
        <is>
          <t>238-0230-15</t>
        </is>
      </c>
      <c r="P48" s="31" t="inlineStr">
        <is>
          <t>SR Technics Switzerland</t>
        </is>
      </c>
    </row>
    <row r="49">
      <c r="B49" s="31" t="inlineStr">
        <is>
          <t>CFM56-5B</t>
        </is>
      </c>
      <c r="C49" s="31" t="inlineStr">
        <is>
          <t>2024-2025</t>
        </is>
      </c>
      <c r="D49" s="31" t="inlineStr">
        <is>
          <t>135024</t>
        </is>
      </c>
      <c r="E49" s="31" t="inlineStr">
        <is>
          <t>71-22-07</t>
        </is>
      </c>
      <c r="F49" s="31" t="inlineStr">
        <is>
          <t>SB03</t>
        </is>
      </c>
      <c r="G49" s="31" t="inlineStr">
        <is>
          <t>Other / assembly</t>
        </is>
      </c>
      <c r="H49" s="27" t="n">
        <v>1100</v>
      </c>
      <c r="I49" s="27" t="n">
        <v>1170</v>
      </c>
      <c r="J49" s="154">
        <f>I49/H49-1</f>
        <v/>
      </c>
      <c r="K49" s="31" t="inlineStr">
        <is>
          <t>9</t>
        </is>
      </c>
      <c r="L49" s="31" t="inlineStr">
        <is>
          <t>9</t>
        </is>
      </c>
      <c r="M49" s="31" t="inlineStr">
        <is>
          <t>S1</t>
        </is>
      </c>
      <c r="N49" s="31" t="inlineStr">
        <is>
          <t>S2</t>
        </is>
      </c>
      <c r="O49" s="31" t="inlineStr">
        <is>
          <t>238-0230-15</t>
        </is>
      </c>
      <c r="P49" s="31" t="inlineStr">
        <is>
          <t>SR Technics Switzerland</t>
        </is>
      </c>
    </row>
    <row r="50">
      <c r="B50" s="31" t="inlineStr">
        <is>
          <t>CFM56-5B</t>
        </is>
      </c>
      <c r="C50" s="31" t="inlineStr">
        <is>
          <t>2024-2025</t>
        </is>
      </c>
      <c r="D50" s="31" t="inlineStr">
        <is>
          <t>135024</t>
        </is>
      </c>
      <c r="E50" s="31" t="inlineStr">
        <is>
          <t>71-22-07</t>
        </is>
      </c>
      <c r="F50" s="31" t="inlineStr">
        <is>
          <t>SB05</t>
        </is>
      </c>
      <c r="G50" s="31" t="inlineStr">
        <is>
          <t>Other / assembly</t>
        </is>
      </c>
      <c r="H50" s="27" t="n">
        <v>970</v>
      </c>
      <c r="I50" s="27" t="n">
        <v>1030</v>
      </c>
      <c r="J50" s="154">
        <f>I50/H50-1</f>
        <v/>
      </c>
      <c r="K50" s="31" t="inlineStr">
        <is>
          <t>9</t>
        </is>
      </c>
      <c r="L50" s="31" t="inlineStr">
        <is>
          <t>9</t>
        </is>
      </c>
      <c r="M50" s="31" t="inlineStr">
        <is>
          <t>S1</t>
        </is>
      </c>
      <c r="N50" s="31" t="inlineStr">
        <is>
          <t>S2</t>
        </is>
      </c>
      <c r="O50" s="31" t="inlineStr">
        <is>
          <t>238-0230-15</t>
        </is>
      </c>
      <c r="P50" s="31" t="inlineStr">
        <is>
          <t>SR Technics Switzerland</t>
        </is>
      </c>
    </row>
    <row r="51">
      <c r="B51" s="31" t="inlineStr">
        <is>
          <t>CFM56-5B</t>
        </is>
      </c>
      <c r="C51" s="31" t="inlineStr">
        <is>
          <t>2024-2025</t>
        </is>
      </c>
      <c r="D51" s="31" t="inlineStr">
        <is>
          <t>135024</t>
        </is>
      </c>
      <c r="E51" s="31" t="inlineStr">
        <is>
          <t>71-22-07</t>
        </is>
      </c>
      <c r="F51" s="31" t="inlineStr">
        <is>
          <t>SB06</t>
        </is>
      </c>
      <c r="G51" s="31" t="inlineStr">
        <is>
          <t>Other / assembly</t>
        </is>
      </c>
      <c r="H51" s="27" t="n">
        <v>1015</v>
      </c>
      <c r="I51" s="27" t="n">
        <v>1080</v>
      </c>
      <c r="J51" s="154">
        <f>I51/H51-1</f>
        <v/>
      </c>
      <c r="K51" s="31" t="inlineStr">
        <is>
          <t>9</t>
        </is>
      </c>
      <c r="L51" s="31" t="inlineStr">
        <is>
          <t>9</t>
        </is>
      </c>
      <c r="M51" s="31" t="inlineStr">
        <is>
          <t>S1</t>
        </is>
      </c>
      <c r="N51" s="31" t="inlineStr">
        <is>
          <t>S2</t>
        </is>
      </c>
      <c r="O51" s="31" t="inlineStr">
        <is>
          <t>238-0230-15</t>
        </is>
      </c>
      <c r="P51" s="31" t="inlineStr">
        <is>
          <t>SR Technics Switzerland</t>
        </is>
      </c>
    </row>
    <row r="52">
      <c r="B52" s="31" t="inlineStr">
        <is>
          <t>CFM56-5B</t>
        </is>
      </c>
      <c r="C52" s="31" t="inlineStr">
        <is>
          <t>2024-2025</t>
        </is>
      </c>
      <c r="D52" s="31" t="inlineStr">
        <is>
          <t>135024</t>
        </is>
      </c>
      <c r="E52" s="31" t="inlineStr">
        <is>
          <t>71-22-07</t>
        </is>
      </c>
      <c r="F52" s="31" t="inlineStr">
        <is>
          <t>SB07</t>
        </is>
      </c>
      <c r="G52" s="31" t="inlineStr">
        <is>
          <t>Other / assembly</t>
        </is>
      </c>
      <c r="H52" s="27" t="n">
        <v>715</v>
      </c>
      <c r="I52" s="27" t="n">
        <v>760</v>
      </c>
      <c r="J52" s="154">
        <f>I52/H52-1</f>
        <v/>
      </c>
      <c r="K52" s="31" t="inlineStr">
        <is>
          <t>9</t>
        </is>
      </c>
      <c r="L52" s="31" t="inlineStr">
        <is>
          <t>9</t>
        </is>
      </c>
      <c r="M52" s="31" t="inlineStr">
        <is>
          <t>S1</t>
        </is>
      </c>
      <c r="N52" s="31" t="inlineStr">
        <is>
          <t>S2</t>
        </is>
      </c>
      <c r="O52" s="31" t="inlineStr">
        <is>
          <t>238-0230-15</t>
        </is>
      </c>
      <c r="P52" s="31" t="inlineStr">
        <is>
          <t>SR Technics Switzerland</t>
        </is>
      </c>
    </row>
    <row r="53">
      <c r="B53" s="31" t="inlineStr">
        <is>
          <t>CFM56-5B</t>
        </is>
      </c>
      <c r="C53" s="31" t="inlineStr">
        <is>
          <t>2024-2025</t>
        </is>
      </c>
      <c r="D53" s="31" t="inlineStr">
        <is>
          <t>135024</t>
        </is>
      </c>
      <c r="E53" s="31" t="inlineStr">
        <is>
          <t>71-22-07</t>
        </is>
      </c>
      <c r="F53" s="31" t="inlineStr">
        <is>
          <t>SB08</t>
        </is>
      </c>
      <c r="G53" s="31" t="inlineStr">
        <is>
          <t>Other / assembly</t>
        </is>
      </c>
      <c r="H53" s="27" t="n">
        <v>970</v>
      </c>
      <c r="I53" s="27" t="n">
        <v>1030</v>
      </c>
      <c r="J53" s="154">
        <f>I53/H53-1</f>
        <v/>
      </c>
      <c r="K53" s="31" t="inlineStr">
        <is>
          <t>9</t>
        </is>
      </c>
      <c r="L53" s="31" t="inlineStr">
        <is>
          <t>9</t>
        </is>
      </c>
      <c r="M53" s="31" t="inlineStr">
        <is>
          <t>S1</t>
        </is>
      </c>
      <c r="N53" s="31" t="inlineStr">
        <is>
          <t>S2</t>
        </is>
      </c>
      <c r="O53" s="31" t="inlineStr">
        <is>
          <t>238-0230-15</t>
        </is>
      </c>
      <c r="P53" s="31" t="inlineStr">
        <is>
          <t>SR Technics Switzerland</t>
        </is>
      </c>
    </row>
    <row r="54">
      <c r="B54" s="31" t="inlineStr">
        <is>
          <t>CFM56-5B</t>
        </is>
      </c>
      <c r="C54" s="31" t="inlineStr">
        <is>
          <t>2024-2025</t>
        </is>
      </c>
      <c r="D54" s="31" t="inlineStr">
        <is>
          <t>135024</t>
        </is>
      </c>
      <c r="E54" s="31" t="inlineStr">
        <is>
          <t>71-22-07</t>
        </is>
      </c>
      <c r="F54" s="31" t="inlineStr">
        <is>
          <t>SB09</t>
        </is>
      </c>
      <c r="G54" s="31" t="inlineStr">
        <is>
          <t>Other / assembly</t>
        </is>
      </c>
      <c r="H54" s="27" t="n">
        <v>480</v>
      </c>
      <c r="I54" s="27" t="n">
        <v>510</v>
      </c>
      <c r="J54" s="154">
        <f>I54/H54-1</f>
        <v/>
      </c>
      <c r="K54" s="31" t="inlineStr">
        <is>
          <t>9</t>
        </is>
      </c>
      <c r="L54" s="31" t="inlineStr">
        <is>
          <t>9</t>
        </is>
      </c>
      <c r="M54" s="31" t="inlineStr">
        <is>
          <t>S1</t>
        </is>
      </c>
      <c r="N54" s="31" t="inlineStr">
        <is>
          <t>S2</t>
        </is>
      </c>
      <c r="O54" s="31" t="inlineStr">
        <is>
          <t>238-0230-15</t>
        </is>
      </c>
      <c r="P54" s="31" t="inlineStr">
        <is>
          <t>SR Technics Switzerland</t>
        </is>
      </c>
    </row>
    <row r="55">
      <c r="B55" s="31" t="inlineStr">
        <is>
          <t>CFM56-5B</t>
        </is>
      </c>
      <c r="C55" s="31" t="inlineStr">
        <is>
          <t>2024-2025</t>
        </is>
      </c>
      <c r="D55" s="31" t="inlineStr">
        <is>
          <t>135024</t>
        </is>
      </c>
      <c r="E55" s="31" t="inlineStr">
        <is>
          <t>71-22-07</t>
        </is>
      </c>
      <c r="F55" s="31" t="inlineStr">
        <is>
          <t>SB10</t>
        </is>
      </c>
      <c r="G55" s="31" t="inlineStr">
        <is>
          <t>Other / assembly</t>
        </is>
      </c>
      <c r="H55" s="27" t="n">
        <v>540</v>
      </c>
      <c r="I55" s="27" t="n">
        <v>575</v>
      </c>
      <c r="J55" s="154">
        <f>I55/H55-1</f>
        <v/>
      </c>
      <c r="K55" s="31" t="inlineStr">
        <is>
          <t>9</t>
        </is>
      </c>
      <c r="L55" s="31" t="inlineStr">
        <is>
          <t>9</t>
        </is>
      </c>
      <c r="M55" s="31" t="inlineStr">
        <is>
          <t>S1</t>
        </is>
      </c>
      <c r="N55" s="31" t="inlineStr">
        <is>
          <t>S2</t>
        </is>
      </c>
      <c r="O55" s="31" t="inlineStr">
        <is>
          <t>238-0230-15</t>
        </is>
      </c>
      <c r="P55" s="31" t="inlineStr">
        <is>
          <t>SR Technics Switzerland</t>
        </is>
      </c>
    </row>
    <row r="56">
      <c r="B56" s="31" t="inlineStr">
        <is>
          <t>CFM56-5B</t>
        </is>
      </c>
      <c r="C56" s="31" t="inlineStr">
        <is>
          <t>2024-2025</t>
        </is>
      </c>
      <c r="D56" s="31" t="inlineStr">
        <is>
          <t>135025</t>
        </is>
      </c>
      <c r="E56" s="31" t="inlineStr">
        <is>
          <t>78-11-05</t>
        </is>
      </c>
      <c r="F56" s="31" t="inlineStr">
        <is>
          <t>A</t>
        </is>
      </c>
      <c r="G56" s="31" t="inlineStr">
        <is>
          <t>Other / assembly</t>
        </is>
      </c>
      <c r="H56" s="27" t="n">
        <v>3910</v>
      </c>
      <c r="I56" s="27" t="n">
        <v>4145</v>
      </c>
      <c r="J56" s="154">
        <f>I56/H56-1</f>
        <v/>
      </c>
      <c r="K56" s="31" t="inlineStr">
        <is>
          <t>9</t>
        </is>
      </c>
      <c r="L56" s="31" t="inlineStr">
        <is>
          <t>9</t>
        </is>
      </c>
      <c r="M56" s="31" t="inlineStr">
        <is>
          <t>S1</t>
        </is>
      </c>
      <c r="N56" s="31" t="inlineStr">
        <is>
          <t>S2</t>
        </is>
      </c>
      <c r="O56" s="31" t="inlineStr">
        <is>
          <t>238-0401-501</t>
        </is>
      </c>
      <c r="P56" s="31" t="inlineStr">
        <is>
          <t>SR Technics Switzerland</t>
        </is>
      </c>
    </row>
    <row r="57">
      <c r="B57" s="31" t="inlineStr">
        <is>
          <t>CFM56-5B</t>
        </is>
      </c>
      <c r="C57" s="31" t="inlineStr">
        <is>
          <t>2024-2025</t>
        </is>
      </c>
      <c r="D57" s="31" t="inlineStr">
        <is>
          <t>135025</t>
        </is>
      </c>
      <c r="E57" s="31" t="inlineStr">
        <is>
          <t>78-11-05</t>
        </is>
      </c>
      <c r="F57" s="31" t="inlineStr">
        <is>
          <t>C</t>
        </is>
      </c>
      <c r="G57" s="31" t="inlineStr">
        <is>
          <t>Other / assembly</t>
        </is>
      </c>
      <c r="H57" s="27" t="n">
        <v>2570</v>
      </c>
      <c r="I57" s="27" t="n">
        <v>2725</v>
      </c>
      <c r="J57" s="154">
        <f>I57/H57-1</f>
        <v/>
      </c>
      <c r="K57" s="31" t="inlineStr">
        <is>
          <t>9</t>
        </is>
      </c>
      <c r="L57" s="31" t="inlineStr">
        <is>
          <t>9</t>
        </is>
      </c>
      <c r="M57" s="31" t="inlineStr">
        <is>
          <t>S1</t>
        </is>
      </c>
      <c r="N57" s="31" t="inlineStr">
        <is>
          <t>S2</t>
        </is>
      </c>
      <c r="O57" s="31" t="inlineStr">
        <is>
          <t>238-0401-501</t>
        </is>
      </c>
      <c r="P57" s="31" t="inlineStr">
        <is>
          <t>SR Technics Switzerland</t>
        </is>
      </c>
    </row>
    <row r="58">
      <c r="B58" s="31" t="inlineStr">
        <is>
          <t>CFM56-5B</t>
        </is>
      </c>
      <c r="C58" s="31" t="inlineStr">
        <is>
          <t>2024-2025</t>
        </is>
      </c>
      <c r="D58" s="31" t="inlineStr">
        <is>
          <t>135025</t>
        </is>
      </c>
      <c r="E58" s="31" t="inlineStr">
        <is>
          <t>78-11-05</t>
        </is>
      </c>
      <c r="F58" s="31" t="inlineStr">
        <is>
          <t>D</t>
        </is>
      </c>
      <c r="G58" s="31" t="inlineStr">
        <is>
          <t>Other / assembly</t>
        </is>
      </c>
      <c r="H58" s="27" t="n">
        <v>8430</v>
      </c>
      <c r="I58" s="27" t="n">
        <v>8940</v>
      </c>
      <c r="J58" s="154">
        <f>I58/H58-1</f>
        <v/>
      </c>
      <c r="K58" s="31" t="inlineStr">
        <is>
          <t>9</t>
        </is>
      </c>
      <c r="L58" s="31" t="inlineStr">
        <is>
          <t>9</t>
        </is>
      </c>
      <c r="M58" s="31" t="inlineStr">
        <is>
          <t>S1</t>
        </is>
      </c>
      <c r="N58" s="31" t="inlineStr">
        <is>
          <t>S2</t>
        </is>
      </c>
      <c r="O58" s="31" t="inlineStr">
        <is>
          <t>238-0401-501</t>
        </is>
      </c>
      <c r="P58" s="31" t="inlineStr">
        <is>
          <t>SR Technics Switzerland</t>
        </is>
      </c>
    </row>
    <row r="59">
      <c r="B59" s="31" t="inlineStr">
        <is>
          <t>CFM56-5B</t>
        </is>
      </c>
      <c r="C59" s="31" t="inlineStr">
        <is>
          <t>2024-2025</t>
        </is>
      </c>
      <c r="D59" s="31" t="inlineStr">
        <is>
          <t>135025</t>
        </is>
      </c>
      <c r="E59" s="31" t="inlineStr">
        <is>
          <t>78-11-05</t>
        </is>
      </c>
      <c r="F59" s="31" t="inlineStr">
        <is>
          <t>K</t>
        </is>
      </c>
      <c r="G59" s="31" t="inlineStr">
        <is>
          <t>Other / assembly</t>
        </is>
      </c>
      <c r="H59" s="27" t="n">
        <v>8885</v>
      </c>
      <c r="I59" s="27" t="n">
        <v>9420</v>
      </c>
      <c r="J59" s="154">
        <f>I59/H59-1</f>
        <v/>
      </c>
      <c r="K59" s="31" t="inlineStr">
        <is>
          <t>9</t>
        </is>
      </c>
      <c r="L59" s="31" t="inlineStr">
        <is>
          <t>9</t>
        </is>
      </c>
      <c r="M59" s="31" t="inlineStr">
        <is>
          <t>S1</t>
        </is>
      </c>
      <c r="N59" s="31" t="inlineStr">
        <is>
          <t>S2</t>
        </is>
      </c>
      <c r="O59" s="31" t="inlineStr">
        <is>
          <t>238-0401-501</t>
        </is>
      </c>
      <c r="P59" s="31" t="inlineStr">
        <is>
          <t>SR Technics Switzerland</t>
        </is>
      </c>
    </row>
    <row r="60">
      <c r="B60" s="31" t="inlineStr">
        <is>
          <t>CFM56-5B</t>
        </is>
      </c>
      <c r="C60" s="31" t="inlineStr">
        <is>
          <t>2024-2025</t>
        </is>
      </c>
      <c r="D60" s="31" t="inlineStr">
        <is>
          <t>135025</t>
        </is>
      </c>
      <c r="E60" s="31" t="inlineStr">
        <is>
          <t>78-11-05</t>
        </is>
      </c>
      <c r="F60" s="31" t="inlineStr">
        <is>
          <t>L</t>
        </is>
      </c>
      <c r="G60" s="31" t="inlineStr">
        <is>
          <t>Other / assembly</t>
        </is>
      </c>
      <c r="H60" s="27" t="n">
        <v>1415</v>
      </c>
      <c r="I60" s="27" t="n">
        <v>1500</v>
      </c>
      <c r="J60" s="154">
        <f>I60/H60-1</f>
        <v/>
      </c>
      <c r="K60" s="31" t="inlineStr">
        <is>
          <t>9</t>
        </is>
      </c>
      <c r="L60" s="31" t="inlineStr">
        <is>
          <t>9</t>
        </is>
      </c>
      <c r="M60" s="31" t="inlineStr">
        <is>
          <t>S1</t>
        </is>
      </c>
      <c r="N60" s="31" t="inlineStr">
        <is>
          <t>S2</t>
        </is>
      </c>
      <c r="O60" s="31" t="inlineStr">
        <is>
          <t>238-0401-501</t>
        </is>
      </c>
      <c r="P60" s="31" t="inlineStr">
        <is>
          <t>SR Technics Switzerland</t>
        </is>
      </c>
    </row>
    <row r="61">
      <c r="B61" s="31" t="inlineStr">
        <is>
          <t>CFM56-5B</t>
        </is>
      </c>
      <c r="C61" s="31" t="inlineStr">
        <is>
          <t>2024-2025</t>
        </is>
      </c>
      <c r="D61" s="31" t="inlineStr">
        <is>
          <t>135026</t>
        </is>
      </c>
      <c r="E61" s="31" t="inlineStr">
        <is>
          <t>78-11-05</t>
        </is>
      </c>
      <c r="F61" s="31" t="inlineStr">
        <is>
          <t>A</t>
        </is>
      </c>
      <c r="G61" s="31" t="inlineStr">
        <is>
          <t>Other / assembly</t>
        </is>
      </c>
      <c r="H61" s="27" t="n">
        <v>3235</v>
      </c>
      <c r="I61" s="27" t="n">
        <v>3430</v>
      </c>
      <c r="J61" s="154">
        <f>I61/H61-1</f>
        <v/>
      </c>
      <c r="K61" s="31" t="inlineStr">
        <is>
          <t>42</t>
        </is>
      </c>
      <c r="L61" s="31" t="inlineStr">
        <is>
          <t>42</t>
        </is>
      </c>
      <c r="M61" s="31" t="inlineStr">
        <is>
          <t>S1</t>
        </is>
      </c>
      <c r="N61" s="31" t="inlineStr">
        <is>
          <t>S2</t>
        </is>
      </c>
      <c r="O61" s="31" t="inlineStr">
        <is>
          <t>238-0451-509</t>
        </is>
      </c>
      <c r="P61" s="31" t="inlineStr">
        <is>
          <t>SR Technics Switzerland</t>
        </is>
      </c>
    </row>
    <row r="62">
      <c r="B62" s="31" t="inlineStr">
        <is>
          <t>CFM56-5B</t>
        </is>
      </c>
      <c r="C62" s="31" t="inlineStr">
        <is>
          <t>2024-2025</t>
        </is>
      </c>
      <c r="D62" s="31" t="inlineStr">
        <is>
          <t>135131</t>
        </is>
      </c>
      <c r="E62" s="31" t="inlineStr">
        <is>
          <t>73-21-77</t>
        </is>
      </c>
      <c r="F62" s="31" t="inlineStr">
        <is>
          <t>B</t>
        </is>
      </c>
      <c r="G62" s="31" t="inlineStr">
        <is>
          <t>Fuel system</t>
        </is>
      </c>
      <c r="H62" s="27" t="n">
        <v>855</v>
      </c>
      <c r="I62" s="27" t="n">
        <v>910</v>
      </c>
      <c r="J62" s="154">
        <f>I62/H62-1</f>
        <v/>
      </c>
      <c r="K62" s="31" t="inlineStr">
        <is>
          <t>9</t>
        </is>
      </c>
      <c r="L62" s="31" t="inlineStr">
        <is>
          <t>9</t>
        </is>
      </c>
      <c r="M62" s="31" t="inlineStr">
        <is>
          <t>S1</t>
        </is>
      </c>
      <c r="N62" s="31" t="inlineStr">
        <is>
          <t>S2</t>
        </is>
      </c>
      <c r="O62" s="31" t="inlineStr">
        <is>
          <t>1324M94P03</t>
        </is>
      </c>
      <c r="P62" s="31" t="inlineStr">
        <is>
          <t>SR Technics Switzerland</t>
        </is>
      </c>
    </row>
    <row r="63">
      <c r="B63" s="31" t="inlineStr">
        <is>
          <t>CFM56-5B</t>
        </is>
      </c>
      <c r="C63" s="31" t="inlineStr">
        <is>
          <t>2024-2025</t>
        </is>
      </c>
      <c r="D63" s="31" t="inlineStr">
        <is>
          <t>135131</t>
        </is>
      </c>
      <c r="E63" s="31" t="inlineStr">
        <is>
          <t>73-21-77</t>
        </is>
      </c>
      <c r="F63" s="31" t="inlineStr">
        <is>
          <t>C</t>
        </is>
      </c>
      <c r="G63" s="31" t="inlineStr">
        <is>
          <t>Fuel system</t>
        </is>
      </c>
      <c r="H63" s="27" t="n">
        <v>145</v>
      </c>
      <c r="I63" s="27" t="n">
        <v>155</v>
      </c>
      <c r="J63" s="154">
        <f>I63/H63-1</f>
        <v/>
      </c>
      <c r="K63" s="31" t="inlineStr">
        <is>
          <t>9</t>
        </is>
      </c>
      <c r="L63" s="31" t="inlineStr">
        <is>
          <t>9</t>
        </is>
      </c>
      <c r="M63" s="31" t="inlineStr">
        <is>
          <t>S1</t>
        </is>
      </c>
      <c r="N63" s="31" t="inlineStr">
        <is>
          <t>S2</t>
        </is>
      </c>
      <c r="O63" s="31" t="inlineStr">
        <is>
          <t>1324M94P03</t>
        </is>
      </c>
      <c r="P63" s="31" t="inlineStr">
        <is>
          <t>SR Technics Switzerland</t>
        </is>
      </c>
    </row>
    <row r="64">
      <c r="B64" s="31" t="inlineStr">
        <is>
          <t>CFM56-5B</t>
        </is>
      </c>
      <c r="C64" s="31" t="inlineStr">
        <is>
          <t>2024-2025</t>
        </is>
      </c>
      <c r="D64" s="31" t="inlineStr">
        <is>
          <t>135147</t>
        </is>
      </c>
      <c r="E64" s="31" t="inlineStr">
        <is>
          <t>71-21-08</t>
        </is>
      </c>
      <c r="F64" s="31" t="inlineStr">
        <is>
          <t>A</t>
        </is>
      </c>
      <c r="G64" s="31" t="inlineStr">
        <is>
          <t>Other / assembly</t>
        </is>
      </c>
      <c r="H64" s="27" t="n">
        <v>2570</v>
      </c>
      <c r="I64" s="27" t="n">
        <v>2725</v>
      </c>
      <c r="J64" s="154">
        <f>I64/H64-1</f>
        <v/>
      </c>
      <c r="K64" s="31" t="inlineStr">
        <is>
          <t>9</t>
        </is>
      </c>
      <c r="L64" s="31" t="inlineStr">
        <is>
          <t>9</t>
        </is>
      </c>
      <c r="M64" s="31" t="inlineStr">
        <is>
          <t>S1</t>
        </is>
      </c>
      <c r="N64" s="31" t="inlineStr">
        <is>
          <t>S2</t>
        </is>
      </c>
      <c r="O64" s="31" t="inlineStr">
        <is>
          <t>642-2000-13</t>
        </is>
      </c>
      <c r="P64" s="31" t="inlineStr">
        <is>
          <t>SR Technics Switzerland</t>
        </is>
      </c>
    </row>
    <row r="65">
      <c r="B65" s="31" t="inlineStr">
        <is>
          <t>CFM56-5B</t>
        </is>
      </c>
      <c r="C65" s="31" t="inlineStr">
        <is>
          <t>2024-2025</t>
        </is>
      </c>
      <c r="D65" s="31" t="inlineStr">
        <is>
          <t>135147</t>
        </is>
      </c>
      <c r="E65" s="31" t="inlineStr">
        <is>
          <t>71-21-08</t>
        </is>
      </c>
      <c r="F65" s="31" t="inlineStr">
        <is>
          <t>D</t>
        </is>
      </c>
      <c r="G65" s="31" t="inlineStr">
        <is>
          <t>Other / assembly</t>
        </is>
      </c>
      <c r="H65" s="27" t="n">
        <v>865</v>
      </c>
      <c r="I65" s="27" t="n">
        <v>920</v>
      </c>
      <c r="J65" s="154">
        <f>I65/H65-1</f>
        <v/>
      </c>
      <c r="K65" s="31" t="inlineStr">
        <is>
          <t>9</t>
        </is>
      </c>
      <c r="L65" s="31" t="inlineStr">
        <is>
          <t>9</t>
        </is>
      </c>
      <c r="M65" s="31" t="inlineStr">
        <is>
          <t>S1</t>
        </is>
      </c>
      <c r="N65" s="31" t="inlineStr">
        <is>
          <t>S2</t>
        </is>
      </c>
      <c r="O65" s="31" t="inlineStr">
        <is>
          <t>642-2000-13</t>
        </is>
      </c>
      <c r="P65" s="31" t="inlineStr">
        <is>
          <t>SR Technics Switzerland</t>
        </is>
      </c>
    </row>
    <row r="66">
      <c r="B66" s="31" t="inlineStr">
        <is>
          <t>CFM56-5B</t>
        </is>
      </c>
      <c r="C66" s="31" t="inlineStr">
        <is>
          <t>2024-2025</t>
        </is>
      </c>
      <c r="D66" s="31" t="inlineStr">
        <is>
          <t>135147</t>
        </is>
      </c>
      <c r="E66" s="31" t="inlineStr">
        <is>
          <t>71-21-08</t>
        </is>
      </c>
      <c r="F66" s="31" t="inlineStr">
        <is>
          <t>E</t>
        </is>
      </c>
      <c r="G66" s="31" t="inlineStr">
        <is>
          <t>Other / assembly</t>
        </is>
      </c>
      <c r="H66" s="27" t="n">
        <v>1840</v>
      </c>
      <c r="I66" s="27" t="n">
        <v>1955</v>
      </c>
      <c r="J66" s="154">
        <f>I66/H66-1</f>
        <v/>
      </c>
      <c r="K66" s="31" t="inlineStr">
        <is>
          <t>9</t>
        </is>
      </c>
      <c r="L66" s="31" t="inlineStr">
        <is>
          <t>9</t>
        </is>
      </c>
      <c r="M66" s="31" t="inlineStr">
        <is>
          <t>S1</t>
        </is>
      </c>
      <c r="N66" s="31" t="inlineStr">
        <is>
          <t>S2</t>
        </is>
      </c>
      <c r="O66" s="31" t="inlineStr">
        <is>
          <t>642-2000-13</t>
        </is>
      </c>
      <c r="P66" s="31" t="inlineStr">
        <is>
          <t>SR Technics Switzerland</t>
        </is>
      </c>
    </row>
    <row r="67">
      <c r="B67" s="31" t="inlineStr">
        <is>
          <t>CFM56-5B</t>
        </is>
      </c>
      <c r="C67" s="31" t="inlineStr">
        <is>
          <t>2024-2025</t>
        </is>
      </c>
      <c r="D67" s="31" t="inlineStr">
        <is>
          <t>135147</t>
        </is>
      </c>
      <c r="E67" s="31" t="inlineStr">
        <is>
          <t>71-21-08</t>
        </is>
      </c>
      <c r="F67" s="31" t="inlineStr">
        <is>
          <t>F</t>
        </is>
      </c>
      <c r="G67" s="31" t="inlineStr">
        <is>
          <t>Other / assembly</t>
        </is>
      </c>
      <c r="H67" s="27" t="n">
        <v>2820</v>
      </c>
      <c r="I67" s="27" t="n">
        <v>2990</v>
      </c>
      <c r="J67" s="154">
        <f>I67/H67-1</f>
        <v/>
      </c>
      <c r="K67" s="31" t="inlineStr">
        <is>
          <t>9</t>
        </is>
      </c>
      <c r="L67" s="31" t="inlineStr">
        <is>
          <t>9</t>
        </is>
      </c>
      <c r="M67" s="31" t="inlineStr">
        <is>
          <t>S1</t>
        </is>
      </c>
      <c r="N67" s="31" t="inlineStr">
        <is>
          <t>S2</t>
        </is>
      </c>
      <c r="O67" s="31" t="inlineStr">
        <is>
          <t>642-2000-13</t>
        </is>
      </c>
      <c r="P67" s="31" t="inlineStr">
        <is>
          <t>SR Technics Switzerland</t>
        </is>
      </c>
    </row>
    <row r="68">
      <c r="B68" s="31" t="inlineStr">
        <is>
          <t>CFM56-5B</t>
        </is>
      </c>
      <c r="C68" s="31" t="inlineStr">
        <is>
          <t>2024-2025</t>
        </is>
      </c>
      <c r="D68" s="31" t="inlineStr">
        <is>
          <t>135147</t>
        </is>
      </c>
      <c r="E68" s="31" t="inlineStr">
        <is>
          <t>71-21-08</t>
        </is>
      </c>
      <c r="F68" s="31" t="inlineStr">
        <is>
          <t>G</t>
        </is>
      </c>
      <c r="G68" s="31" t="inlineStr">
        <is>
          <t>Other / assembly</t>
        </is>
      </c>
      <c r="H68" s="27" t="n">
        <v>3915</v>
      </c>
      <c r="I68" s="27" t="n">
        <v>4150</v>
      </c>
      <c r="J68" s="154">
        <f>I68/H68-1</f>
        <v/>
      </c>
      <c r="K68" s="31" t="inlineStr">
        <is>
          <t>9</t>
        </is>
      </c>
      <c r="L68" s="31" t="inlineStr">
        <is>
          <t>9</t>
        </is>
      </c>
      <c r="M68" s="31" t="inlineStr">
        <is>
          <t>S1</t>
        </is>
      </c>
      <c r="N68" s="31" t="inlineStr">
        <is>
          <t>S2</t>
        </is>
      </c>
      <c r="O68" s="31" t="inlineStr">
        <is>
          <t>642-2000-13</t>
        </is>
      </c>
      <c r="P68" s="31" t="inlineStr">
        <is>
          <t>SR Technics Switzerland</t>
        </is>
      </c>
    </row>
    <row r="69">
      <c r="B69" s="31" t="inlineStr">
        <is>
          <t>CFM56-5B</t>
        </is>
      </c>
      <c r="C69" s="31" t="inlineStr">
        <is>
          <t>2024-2025</t>
        </is>
      </c>
      <c r="D69" s="31" t="inlineStr">
        <is>
          <t>135147</t>
        </is>
      </c>
      <c r="E69" s="31" t="inlineStr">
        <is>
          <t>71-21-08</t>
        </is>
      </c>
      <c r="F69" s="31" t="inlineStr">
        <is>
          <t>SB00</t>
        </is>
      </c>
      <c r="G69" s="31" t="inlineStr">
        <is>
          <t>Other / assembly</t>
        </is>
      </c>
      <c r="H69" s="27" t="n">
        <v>315</v>
      </c>
      <c r="I69" s="27" t="n">
        <v>335</v>
      </c>
      <c r="J69" s="154">
        <f>I69/H69-1</f>
        <v/>
      </c>
      <c r="K69" s="31" t="inlineStr">
        <is>
          <t>9</t>
        </is>
      </c>
      <c r="L69" s="31" t="inlineStr">
        <is>
          <t>9</t>
        </is>
      </c>
      <c r="M69" s="31" t="inlineStr">
        <is>
          <t>S1</t>
        </is>
      </c>
      <c r="N69" s="31" t="inlineStr">
        <is>
          <t>S2</t>
        </is>
      </c>
      <c r="O69" s="31" t="inlineStr">
        <is>
          <t>642-2000-13</t>
        </is>
      </c>
      <c r="P69" s="31" t="inlineStr">
        <is>
          <t>SR Technics Switzerland</t>
        </is>
      </c>
    </row>
    <row r="70">
      <c r="B70" s="31" t="inlineStr">
        <is>
          <t>CFM56-5B</t>
        </is>
      </c>
      <c r="C70" s="31" t="inlineStr">
        <is>
          <t>2024-2025</t>
        </is>
      </c>
      <c r="D70" s="31" t="inlineStr">
        <is>
          <t>135150</t>
        </is>
      </c>
      <c r="E70" s="31" t="inlineStr">
        <is>
          <t>77-23-10</t>
        </is>
      </c>
      <c r="F70" s="31" t="inlineStr">
        <is>
          <t>C</t>
        </is>
      </c>
      <c r="G70" s="31" t="inlineStr">
        <is>
          <t>Other / assembly</t>
        </is>
      </c>
      <c r="H70" s="27" t="n">
        <v>955</v>
      </c>
      <c r="I70" s="27" t="n">
        <v>1015</v>
      </c>
      <c r="J70" s="154">
        <f>I70/H70-1</f>
        <v/>
      </c>
      <c r="K70" s="31" t="inlineStr">
        <is>
          <t>42</t>
        </is>
      </c>
      <c r="L70" s="31" t="inlineStr">
        <is>
          <t>42</t>
        </is>
      </c>
      <c r="M70" s="31" t="inlineStr">
        <is>
          <t>S1</t>
        </is>
      </c>
      <c r="N70" s="31" t="inlineStr">
        <is>
          <t>S2</t>
        </is>
      </c>
      <c r="O70" s="31" t="inlineStr">
        <is>
          <t>1348M21P01</t>
        </is>
      </c>
      <c r="P70" s="31" t="inlineStr">
        <is>
          <t>SR Technics Switzerland</t>
        </is>
      </c>
    </row>
    <row r="71">
      <c r="B71" s="31" t="inlineStr">
        <is>
          <t>CFM56-5B</t>
        </is>
      </c>
      <c r="C71" s="31" t="inlineStr">
        <is>
          <t>2024-2025</t>
        </is>
      </c>
      <c r="D71" s="31" t="inlineStr">
        <is>
          <t>135170</t>
        </is>
      </c>
      <c r="E71" s="31" t="inlineStr">
        <is>
          <t>77-21-14</t>
        </is>
      </c>
      <c r="F71" s="31" t="inlineStr">
        <is>
          <t>B</t>
        </is>
      </c>
      <c r="G71" s="31" t="inlineStr">
        <is>
          <t>Other / assembly</t>
        </is>
      </c>
      <c r="H71" s="27" t="n">
        <v>185</v>
      </c>
      <c r="I71" s="27" t="n">
        <v>485</v>
      </c>
      <c r="J71" s="154">
        <f>I71/H71-1</f>
        <v/>
      </c>
      <c r="K71" s="31" t="inlineStr">
        <is>
          <t>42</t>
        </is>
      </c>
      <c r="L71" s="31" t="inlineStr">
        <is>
          <t>42</t>
        </is>
      </c>
      <c r="M71" s="31" t="inlineStr">
        <is>
          <t>S1</t>
        </is>
      </c>
      <c r="N71" s="31" t="inlineStr">
        <is>
          <t>S2</t>
        </is>
      </c>
      <c r="O71" s="31" t="inlineStr">
        <is>
          <t>301-795-702-0</t>
        </is>
      </c>
      <c r="P71" s="31" t="inlineStr">
        <is>
          <t>SR Technics Switzerland</t>
        </is>
      </c>
    </row>
    <row r="72">
      <c r="B72" s="31" t="inlineStr">
        <is>
          <t>CFM56-5B</t>
        </is>
      </c>
      <c r="C72" s="31" t="inlineStr">
        <is>
          <t>2024-2025</t>
        </is>
      </c>
      <c r="D72" s="31" t="inlineStr">
        <is>
          <t>135170</t>
        </is>
      </c>
      <c r="E72" s="31" t="inlineStr">
        <is>
          <t>77-21-14</t>
        </is>
      </c>
      <c r="F72" s="31" t="inlineStr">
        <is>
          <t>C</t>
        </is>
      </c>
      <c r="G72" s="31" t="inlineStr">
        <is>
          <t>Other / assembly</t>
        </is>
      </c>
      <c r="H72" s="27" t="n">
        <v>985</v>
      </c>
      <c r="I72" s="27" t="n">
        <v>1045</v>
      </c>
      <c r="J72" s="154">
        <f>I72/H72-1</f>
        <v/>
      </c>
      <c r="K72" s="31" t="inlineStr">
        <is>
          <t>42</t>
        </is>
      </c>
      <c r="L72" s="31" t="inlineStr">
        <is>
          <t>42</t>
        </is>
      </c>
      <c r="M72" s="31" t="inlineStr">
        <is>
          <t>S1</t>
        </is>
      </c>
      <c r="N72" s="31" t="inlineStr">
        <is>
          <t>S2</t>
        </is>
      </c>
      <c r="O72" s="31" t="inlineStr">
        <is>
          <t>301-795-702-0</t>
        </is>
      </c>
      <c r="P72" s="31" t="inlineStr">
        <is>
          <t>SR Technics Switzerland</t>
        </is>
      </c>
    </row>
    <row r="73">
      <c r="B73" s="31" t="inlineStr">
        <is>
          <t>CFM56-5B</t>
        </is>
      </c>
      <c r="C73" s="31" t="inlineStr">
        <is>
          <t>2024-2025</t>
        </is>
      </c>
      <c r="D73" s="31" t="inlineStr">
        <is>
          <t>135170</t>
        </is>
      </c>
      <c r="E73" s="31" t="inlineStr">
        <is>
          <t>77-21-14</t>
        </is>
      </c>
      <c r="F73" s="31" t="inlineStr">
        <is>
          <t>SB00</t>
        </is>
      </c>
      <c r="G73" s="31" t="inlineStr">
        <is>
          <t>Other / assembly</t>
        </is>
      </c>
      <c r="H73" s="27" t="n">
        <v>475</v>
      </c>
      <c r="I73" s="27" t="n">
        <v>505</v>
      </c>
      <c r="J73" s="154">
        <f>I73/H73-1</f>
        <v/>
      </c>
      <c r="K73" s="31" t="inlineStr">
        <is>
          <t>42</t>
        </is>
      </c>
      <c r="L73" s="31" t="inlineStr">
        <is>
          <t>42</t>
        </is>
      </c>
      <c r="M73" s="31" t="inlineStr">
        <is>
          <t>S1</t>
        </is>
      </c>
      <c r="N73" s="31" t="inlineStr">
        <is>
          <t>S2</t>
        </is>
      </c>
      <c r="O73" s="31" t="inlineStr">
        <is>
          <t>301-795-702-0</t>
        </is>
      </c>
      <c r="P73" s="31" t="inlineStr">
        <is>
          <t>SR Technics Switzerland</t>
        </is>
      </c>
    </row>
    <row r="74">
      <c r="B74" s="31" t="inlineStr">
        <is>
          <t>CFM56-5B</t>
        </is>
      </c>
      <c r="C74" s="31" t="inlineStr">
        <is>
          <t>2024-2025</t>
        </is>
      </c>
      <c r="D74" s="31" t="inlineStr">
        <is>
          <t>138941</t>
        </is>
      </c>
      <c r="E74" s="31" t="inlineStr">
        <is>
          <t>72-21-07</t>
        </is>
      </c>
      <c r="F74" s="31" t="inlineStr">
        <is>
          <t>A</t>
        </is>
      </c>
      <c r="G74" s="31" t="inlineStr">
        <is>
          <t>Fan / booster</t>
        </is>
      </c>
      <c r="H74" s="27" t="n">
        <v>255</v>
      </c>
      <c r="I74" s="27" t="n">
        <v>275</v>
      </c>
      <c r="J74" s="154">
        <f>I74/H74-1</f>
        <v/>
      </c>
      <c r="K74" s="31" t="inlineStr">
        <is>
          <t>43</t>
        </is>
      </c>
      <c r="L74" s="31" t="inlineStr">
        <is>
          <t>43</t>
        </is>
      </c>
      <c r="M74" s="31" t="inlineStr">
        <is>
          <t>S1</t>
        </is>
      </c>
      <c r="N74" s="31" t="inlineStr">
        <is>
          <t>S2</t>
        </is>
      </c>
      <c r="O74" s="31" t="inlineStr">
        <is>
          <t>335-190-201-0</t>
        </is>
      </c>
      <c r="P74" s="31" t="inlineStr">
        <is>
          <t>SR Technics Switzerland</t>
        </is>
      </c>
    </row>
    <row r="75">
      <c r="B75" s="31" t="inlineStr">
        <is>
          <t>CFM56-5B</t>
        </is>
      </c>
      <c r="C75" s="31" t="inlineStr">
        <is>
          <t>2024-2025</t>
        </is>
      </c>
      <c r="D75" s="31" t="inlineStr">
        <is>
          <t>138941</t>
        </is>
      </c>
      <c r="E75" s="31" t="inlineStr">
        <is>
          <t>72-21-07</t>
        </is>
      </c>
      <c r="F75" s="31" t="inlineStr">
        <is>
          <t>B</t>
        </is>
      </c>
      <c r="G75" s="31" t="inlineStr">
        <is>
          <t>Fan / booster</t>
        </is>
      </c>
      <c r="H75" s="27" t="n">
        <v>155</v>
      </c>
      <c r="I75" s="27" t="n">
        <v>165</v>
      </c>
      <c r="J75" s="154">
        <f>I75/H75-1</f>
        <v/>
      </c>
      <c r="K75" s="31" t="inlineStr">
        <is>
          <t>43</t>
        </is>
      </c>
      <c r="L75" s="31" t="inlineStr">
        <is>
          <t>43</t>
        </is>
      </c>
      <c r="M75" s="31" t="inlineStr">
        <is>
          <t>S1</t>
        </is>
      </c>
      <c r="N75" s="31" t="inlineStr">
        <is>
          <t>S2</t>
        </is>
      </c>
      <c r="O75" s="31" t="inlineStr">
        <is>
          <t>335-190-201-0</t>
        </is>
      </c>
      <c r="P75" s="31" t="inlineStr">
        <is>
          <t>SR Technics Switzerland</t>
        </is>
      </c>
    </row>
    <row r="76">
      <c r="B76" s="31" t="inlineStr">
        <is>
          <t>CFM56-5B</t>
        </is>
      </c>
      <c r="C76" s="31" t="inlineStr">
        <is>
          <t>2024-2025</t>
        </is>
      </c>
      <c r="D76" s="31" t="inlineStr">
        <is>
          <t>138945</t>
        </is>
      </c>
      <c r="E76" s="31" t="inlineStr">
        <is>
          <t>72-31-20</t>
        </is>
      </c>
      <c r="F76" s="31" t="inlineStr">
        <is>
          <t>A</t>
        </is>
      </c>
      <c r="G76" s="31" t="inlineStr">
        <is>
          <t>Compressor</t>
        </is>
      </c>
      <c r="H76" s="27" t="n">
        <v>40</v>
      </c>
      <c r="I76" s="27" t="n">
        <v>45</v>
      </c>
      <c r="J76" s="154">
        <f>I76/H76-1</f>
        <v/>
      </c>
      <c r="K76" s="31" t="inlineStr">
        <is>
          <t>43</t>
        </is>
      </c>
      <c r="L76" s="31" t="inlineStr">
        <is>
          <t>43</t>
        </is>
      </c>
      <c r="M76" s="31" t="inlineStr">
        <is>
          <t>S1</t>
        </is>
      </c>
      <c r="N76" s="31" t="inlineStr">
        <is>
          <t>S2</t>
        </is>
      </c>
      <c r="O76" s="31" t="inlineStr">
        <is>
          <t>1523M39P06</t>
        </is>
      </c>
      <c r="P76" s="31" t="inlineStr">
        <is>
          <t>SR Technics Switzerland</t>
        </is>
      </c>
    </row>
    <row r="77">
      <c r="B77" s="31" t="inlineStr">
        <is>
          <t>CFM56-5B</t>
        </is>
      </c>
      <c r="C77" s="31" t="inlineStr">
        <is>
          <t>2024-2025</t>
        </is>
      </c>
      <c r="D77" s="31" t="inlineStr">
        <is>
          <t>138947</t>
        </is>
      </c>
      <c r="E77" s="31" t="inlineStr">
        <is>
          <t>72-32-10</t>
        </is>
      </c>
      <c r="F77" s="31" t="inlineStr">
        <is>
          <t>A</t>
        </is>
      </c>
      <c r="G77" s="31" t="inlineStr">
        <is>
          <t>Compressor</t>
        </is>
      </c>
      <c r="H77" s="27" t="n">
        <v>50</v>
      </c>
      <c r="I77" s="27" t="n">
        <v>55</v>
      </c>
      <c r="J77" s="154">
        <f>I77/H77-1</f>
        <v/>
      </c>
      <c r="K77" s="31" t="inlineStr">
        <is>
          <t>43</t>
        </is>
      </c>
      <c r="L77" s="31" t="inlineStr">
        <is>
          <t>43</t>
        </is>
      </c>
      <c r="M77" s="31" t="inlineStr">
        <is>
          <t>S1</t>
        </is>
      </c>
      <c r="N77" s="31" t="inlineStr">
        <is>
          <t>S2</t>
        </is>
      </c>
      <c r="O77" s="31" t="inlineStr">
        <is>
          <t>1385M33G02</t>
        </is>
      </c>
      <c r="P77" s="31" t="inlineStr">
        <is>
          <t>SR Technics Switzerland</t>
        </is>
      </c>
    </row>
    <row r="78">
      <c r="B78" s="31" t="inlineStr">
        <is>
          <t>CFM56-5B</t>
        </is>
      </c>
      <c r="C78" s="31" t="inlineStr">
        <is>
          <t>2024-2025</t>
        </is>
      </c>
      <c r="D78" s="31" t="inlineStr">
        <is>
          <t>138947</t>
        </is>
      </c>
      <c r="E78" s="31" t="inlineStr">
        <is>
          <t>72-32-10</t>
        </is>
      </c>
      <c r="F78" s="31" t="inlineStr">
        <is>
          <t>SB00</t>
        </is>
      </c>
      <c r="G78" s="31" t="inlineStr">
        <is>
          <t>Compressor</t>
        </is>
      </c>
      <c r="H78" s="27" t="n">
        <v>30</v>
      </c>
      <c r="I78" s="27" t="n">
        <v>35</v>
      </c>
      <c r="J78" s="154">
        <f>I78/H78-1</f>
        <v/>
      </c>
      <c r="K78" s="31" t="inlineStr">
        <is>
          <t>43</t>
        </is>
      </c>
      <c r="L78" s="31" t="inlineStr">
        <is>
          <t>43</t>
        </is>
      </c>
      <c r="M78" s="31" t="inlineStr">
        <is>
          <t>S1</t>
        </is>
      </c>
      <c r="N78" s="31" t="inlineStr">
        <is>
          <t>S2</t>
        </is>
      </c>
      <c r="O78" s="31" t="inlineStr">
        <is>
          <t>1385M33G02</t>
        </is>
      </c>
      <c r="P78" s="31" t="inlineStr">
        <is>
          <t>SR Technics Switzerland</t>
        </is>
      </c>
    </row>
    <row r="79">
      <c r="B79" s="31" t="inlineStr">
        <is>
          <t>CFM56-5B</t>
        </is>
      </c>
      <c r="C79" s="31" t="inlineStr">
        <is>
          <t>2024-2025</t>
        </is>
      </c>
      <c r="D79" s="31" t="inlineStr">
        <is>
          <t>138950</t>
        </is>
      </c>
      <c r="E79" s="31" t="inlineStr">
        <is>
          <t>72-32-05</t>
        </is>
      </c>
      <c r="F79" s="31" t="inlineStr">
        <is>
          <t>A</t>
        </is>
      </c>
      <c r="G79" s="31" t="inlineStr">
        <is>
          <t>Compressor</t>
        </is>
      </c>
      <c r="H79" s="27" t="n">
        <v>100</v>
      </c>
      <c r="I79" s="27" t="n">
        <v>110</v>
      </c>
      <c r="J79" s="154">
        <f>I79/H79-1</f>
        <v/>
      </c>
      <c r="K79" s="31" t="inlineStr">
        <is>
          <t>9</t>
        </is>
      </c>
      <c r="L79" s="31" t="inlineStr">
        <is>
          <t>9</t>
        </is>
      </c>
      <c r="M79" s="31" t="inlineStr">
        <is>
          <t>S1</t>
        </is>
      </c>
      <c r="N79" s="31" t="inlineStr">
        <is>
          <t>S2</t>
        </is>
      </c>
      <c r="O79" s="31" t="inlineStr">
        <is>
          <t>1559M27G01</t>
        </is>
      </c>
      <c r="P79" s="31" t="inlineStr">
        <is>
          <t>SRTAS</t>
        </is>
      </c>
    </row>
    <row r="80">
      <c r="B80" s="31" t="inlineStr">
        <is>
          <t>CFM56-5B</t>
        </is>
      </c>
      <c r="C80" s="31" t="inlineStr">
        <is>
          <t>2024-2025</t>
        </is>
      </c>
      <c r="D80" s="31" t="inlineStr">
        <is>
          <t>138950</t>
        </is>
      </c>
      <c r="E80" s="31" t="inlineStr">
        <is>
          <t>72-32-05</t>
        </is>
      </c>
      <c r="F80" s="31" t="inlineStr">
        <is>
          <t>B</t>
        </is>
      </c>
      <c r="G80" s="31" t="inlineStr">
        <is>
          <t>Compressor</t>
        </is>
      </c>
      <c r="H80" s="27" t="n">
        <v>405</v>
      </c>
      <c r="I80" s="27" t="n">
        <v>430</v>
      </c>
      <c r="J80" s="154">
        <f>I80/H80-1</f>
        <v/>
      </c>
      <c r="K80" s="31" t="inlineStr">
        <is>
          <t>9</t>
        </is>
      </c>
      <c r="L80" s="31" t="inlineStr">
        <is>
          <t>9</t>
        </is>
      </c>
      <c r="M80" s="31" t="inlineStr">
        <is>
          <t>S1</t>
        </is>
      </c>
      <c r="N80" s="31" t="inlineStr">
        <is>
          <t>S2</t>
        </is>
      </c>
      <c r="O80" s="31" t="inlineStr">
        <is>
          <t>1559M27G01</t>
        </is>
      </c>
      <c r="P80" s="31" t="inlineStr">
        <is>
          <t>SRTAS</t>
        </is>
      </c>
    </row>
    <row r="81">
      <c r="B81" s="31" t="inlineStr">
        <is>
          <t>CFM56-5B</t>
        </is>
      </c>
      <c r="C81" s="31" t="inlineStr">
        <is>
          <t>2024-2025</t>
        </is>
      </c>
      <c r="D81" s="31" t="inlineStr">
        <is>
          <t>138952</t>
        </is>
      </c>
      <c r="E81" s="31" t="inlineStr">
        <is>
          <t>72-33-03</t>
        </is>
      </c>
      <c r="F81" s="31" t="inlineStr">
        <is>
          <t>B</t>
        </is>
      </c>
      <c r="G81" s="31" t="inlineStr">
        <is>
          <t>Compressor</t>
        </is>
      </c>
      <c r="H81" s="27" t="n">
        <v>350</v>
      </c>
      <c r="I81" s="27" t="n">
        <v>380</v>
      </c>
      <c r="J81" s="154">
        <f>I81/H81-1</f>
        <v/>
      </c>
      <c r="K81" s="31" t="inlineStr">
        <is>
          <t>9</t>
        </is>
      </c>
      <c r="L81" s="31" t="inlineStr">
        <is>
          <t>9</t>
        </is>
      </c>
      <c r="M81" s="31" t="inlineStr">
        <is>
          <t>S1</t>
        </is>
      </c>
      <c r="N81" s="31" t="inlineStr">
        <is>
          <t>S2</t>
        </is>
      </c>
      <c r="O81" s="31" t="inlineStr">
        <is>
          <t>1559M27G03</t>
        </is>
      </c>
      <c r="P81" s="31" t="inlineStr">
        <is>
          <t>SRTAS</t>
        </is>
      </c>
    </row>
    <row r="82">
      <c r="B82" s="31" t="inlineStr">
        <is>
          <t>CFM56-5B</t>
        </is>
      </c>
      <c r="C82" s="31" t="inlineStr">
        <is>
          <t>2024-2025</t>
        </is>
      </c>
      <c r="D82" s="31" t="inlineStr">
        <is>
          <t>138952</t>
        </is>
      </c>
      <c r="E82" s="31" t="inlineStr">
        <is>
          <t>72-33-03</t>
        </is>
      </c>
      <c r="F82" s="31" t="inlineStr">
        <is>
          <t>D</t>
        </is>
      </c>
      <c r="G82" s="31" t="inlineStr">
        <is>
          <t>Compressor</t>
        </is>
      </c>
      <c r="H82" s="27" t="n">
        <v>350</v>
      </c>
      <c r="I82" s="27" t="n">
        <v>380</v>
      </c>
      <c r="J82" s="154">
        <f>I82/H82-1</f>
        <v/>
      </c>
      <c r="K82" s="31" t="inlineStr">
        <is>
          <t>9</t>
        </is>
      </c>
      <c r="L82" s="31" t="inlineStr">
        <is>
          <t>9</t>
        </is>
      </c>
      <c r="M82" s="31" t="inlineStr">
        <is>
          <t>S1</t>
        </is>
      </c>
      <c r="N82" s="31" t="inlineStr">
        <is>
          <t>S2</t>
        </is>
      </c>
      <c r="O82" s="31" t="inlineStr">
        <is>
          <t>1559M27G03</t>
        </is>
      </c>
      <c r="P82" s="31" t="inlineStr">
        <is>
          <t>SRTAS</t>
        </is>
      </c>
    </row>
    <row r="83">
      <c r="B83" s="31" t="inlineStr">
        <is>
          <t>CFM56-5B</t>
        </is>
      </c>
      <c r="C83" s="31" t="inlineStr">
        <is>
          <t>2024-2025</t>
        </is>
      </c>
      <c r="D83" s="31" t="inlineStr">
        <is>
          <t>138952</t>
        </is>
      </c>
      <c r="E83" s="31" t="inlineStr">
        <is>
          <t>72-33-03</t>
        </is>
      </c>
      <c r="F83" s="31" t="inlineStr">
        <is>
          <t>F</t>
        </is>
      </c>
      <c r="G83" s="31" t="inlineStr">
        <is>
          <t>Compressor</t>
        </is>
      </c>
      <c r="H83" s="27" t="n">
        <v>350</v>
      </c>
      <c r="I83" s="27" t="n">
        <v>380</v>
      </c>
      <c r="J83" s="154">
        <f>I83/H83-1</f>
        <v/>
      </c>
      <c r="K83" s="31" t="inlineStr">
        <is>
          <t>9</t>
        </is>
      </c>
      <c r="L83" s="31" t="inlineStr">
        <is>
          <t>9</t>
        </is>
      </c>
      <c r="M83" s="31" t="inlineStr">
        <is>
          <t>S1</t>
        </is>
      </c>
      <c r="N83" s="31" t="inlineStr">
        <is>
          <t>S2</t>
        </is>
      </c>
      <c r="O83" s="31" t="inlineStr">
        <is>
          <t>1559M27G03</t>
        </is>
      </c>
      <c r="P83" s="31" t="inlineStr">
        <is>
          <t>SRTAS</t>
        </is>
      </c>
    </row>
    <row r="84">
      <c r="B84" s="31" t="inlineStr">
        <is>
          <t>CFM56-5B</t>
        </is>
      </c>
      <c r="C84" s="31" t="inlineStr">
        <is>
          <t>2024-2025</t>
        </is>
      </c>
      <c r="D84" s="31" t="inlineStr">
        <is>
          <t>138953</t>
        </is>
      </c>
      <c r="E84" s="31" t="inlineStr">
        <is>
          <t>72-42-06</t>
        </is>
      </c>
      <c r="F84" s="31" t="inlineStr">
        <is>
          <t>A</t>
        </is>
      </c>
      <c r="G84" s="31" t="inlineStr">
        <is>
          <t>Combustor</t>
        </is>
      </c>
      <c r="H84" s="27" t="n">
        <v>100</v>
      </c>
      <c r="I84" s="27" t="n">
        <v>110</v>
      </c>
      <c r="J84" s="154">
        <f>I84/H84-1</f>
        <v/>
      </c>
      <c r="K84" s="31" t="inlineStr">
        <is>
          <t>43</t>
        </is>
      </c>
      <c r="L84" s="31" t="inlineStr">
        <is>
          <t>43</t>
        </is>
      </c>
      <c r="M84" s="31" t="inlineStr">
        <is>
          <t>S1</t>
        </is>
      </c>
      <c r="N84" s="31" t="inlineStr">
        <is>
          <t>S2</t>
        </is>
      </c>
      <c r="O84" s="31" t="inlineStr">
        <is>
          <t>1316M84G01</t>
        </is>
      </c>
      <c r="P84" s="31" t="inlineStr">
        <is>
          <t>SR Technics Switzerland</t>
        </is>
      </c>
    </row>
    <row r="85">
      <c r="B85" s="31" t="inlineStr">
        <is>
          <t>CFM56-5B</t>
        </is>
      </c>
      <c r="C85" s="31" t="inlineStr">
        <is>
          <t>2024-2025</t>
        </is>
      </c>
      <c r="D85" s="31" t="inlineStr">
        <is>
          <t>138953</t>
        </is>
      </c>
      <c r="E85" s="31" t="inlineStr">
        <is>
          <t>72-42-06</t>
        </is>
      </c>
      <c r="F85" s="31" t="inlineStr">
        <is>
          <t>B</t>
        </is>
      </c>
      <c r="G85" s="31" t="inlineStr">
        <is>
          <t>Combustor</t>
        </is>
      </c>
      <c r="H85" s="27" t="n">
        <v>565</v>
      </c>
      <c r="I85" s="27" t="n">
        <v>600</v>
      </c>
      <c r="J85" s="154">
        <f>I85/H85-1</f>
        <v/>
      </c>
      <c r="K85" s="31" t="inlineStr">
        <is>
          <t>43</t>
        </is>
      </c>
      <c r="L85" s="31" t="inlineStr">
        <is>
          <t>43</t>
        </is>
      </c>
      <c r="M85" s="31" t="inlineStr">
        <is>
          <t>S1</t>
        </is>
      </c>
      <c r="N85" s="31" t="inlineStr">
        <is>
          <t>S2</t>
        </is>
      </c>
      <c r="O85" s="31" t="inlineStr">
        <is>
          <t>1316M84G01</t>
        </is>
      </c>
      <c r="P85" s="31" t="inlineStr">
        <is>
          <t>SR Technics Switzerland</t>
        </is>
      </c>
    </row>
    <row r="86">
      <c r="B86" s="31" t="inlineStr">
        <is>
          <t>CFM56-5B</t>
        </is>
      </c>
      <c r="C86" s="31" t="inlineStr">
        <is>
          <t>2024-2025</t>
        </is>
      </c>
      <c r="D86" s="31" t="inlineStr">
        <is>
          <t>138955</t>
        </is>
      </c>
      <c r="E86" s="31" t="inlineStr">
        <is>
          <t>72-42-02</t>
        </is>
      </c>
      <c r="F86" s="31" t="inlineStr">
        <is>
          <t>A</t>
        </is>
      </c>
      <c r="G86" s="31" t="inlineStr">
        <is>
          <t>Combustor</t>
        </is>
      </c>
      <c r="H86" s="27" t="n">
        <v>55</v>
      </c>
      <c r="I86" s="27" t="n">
        <v>60</v>
      </c>
      <c r="J86" s="154">
        <f>I86/H86-1</f>
        <v/>
      </c>
      <c r="K86" s="31" t="inlineStr">
        <is>
          <t>9</t>
        </is>
      </c>
      <c r="L86" s="31" t="inlineStr">
        <is>
          <t>9</t>
        </is>
      </c>
      <c r="M86" s="31" t="inlineStr">
        <is>
          <t>S1</t>
        </is>
      </c>
      <c r="N86" s="31" t="inlineStr">
        <is>
          <t>S2</t>
        </is>
      </c>
      <c r="O86" s="31" t="inlineStr">
        <is>
          <t>1275M27P04</t>
        </is>
      </c>
      <c r="P86" s="31" t="inlineStr">
        <is>
          <t>SR Technics Switzerland</t>
        </is>
      </c>
    </row>
    <row r="87">
      <c r="B87" s="31" t="inlineStr">
        <is>
          <t>CFM56-5B</t>
        </is>
      </c>
      <c r="C87" s="31" t="inlineStr">
        <is>
          <t>2024-2025</t>
        </is>
      </c>
      <c r="D87" s="31" t="inlineStr">
        <is>
          <t>138955</t>
        </is>
      </c>
      <c r="E87" s="31" t="inlineStr">
        <is>
          <t>72-42-02</t>
        </is>
      </c>
      <c r="F87" s="31" t="inlineStr">
        <is>
          <t>C</t>
        </is>
      </c>
      <c r="G87" s="31" t="inlineStr">
        <is>
          <t>Combustor</t>
        </is>
      </c>
      <c r="H87" s="27" t="n">
        <v>170</v>
      </c>
      <c r="I87" s="27" t="n">
        <v>185</v>
      </c>
      <c r="J87" s="154">
        <f>I87/H87-1</f>
        <v/>
      </c>
      <c r="K87" s="31" t="inlineStr">
        <is>
          <t>9</t>
        </is>
      </c>
      <c r="L87" s="31" t="inlineStr">
        <is>
          <t>9</t>
        </is>
      </c>
      <c r="M87" s="31" t="inlineStr">
        <is>
          <t>S1</t>
        </is>
      </c>
      <c r="N87" s="31" t="inlineStr">
        <is>
          <t>S2</t>
        </is>
      </c>
      <c r="O87" s="31" t="inlineStr">
        <is>
          <t>1275M27P04</t>
        </is>
      </c>
      <c r="P87" s="31" t="inlineStr">
        <is>
          <t>SR Technics Switzerland</t>
        </is>
      </c>
    </row>
    <row r="88">
      <c r="B88" s="31" t="inlineStr">
        <is>
          <t>CFM56-5B</t>
        </is>
      </c>
      <c r="C88" s="31" t="inlineStr">
        <is>
          <t>2024-2025</t>
        </is>
      </c>
      <c r="D88" s="31" t="inlineStr">
        <is>
          <t>138955</t>
        </is>
      </c>
      <c r="E88" s="31" t="inlineStr">
        <is>
          <t>72-42-02</t>
        </is>
      </c>
      <c r="F88" s="31" t="inlineStr">
        <is>
          <t>D</t>
        </is>
      </c>
      <c r="G88" s="31" t="inlineStr">
        <is>
          <t>Combustor</t>
        </is>
      </c>
      <c r="H88" s="27" t="n">
        <v>120</v>
      </c>
      <c r="I88" s="27" t="n">
        <v>130</v>
      </c>
      <c r="J88" s="154">
        <f>I88/H88-1</f>
        <v/>
      </c>
      <c r="K88" s="31" t="inlineStr">
        <is>
          <t>9</t>
        </is>
      </c>
      <c r="L88" s="31" t="inlineStr">
        <is>
          <t>9</t>
        </is>
      </c>
      <c r="M88" s="31" t="inlineStr">
        <is>
          <t>S1</t>
        </is>
      </c>
      <c r="N88" s="31" t="inlineStr">
        <is>
          <t>S2</t>
        </is>
      </c>
      <c r="O88" s="31" t="inlineStr">
        <is>
          <t>1275M27P04</t>
        </is>
      </c>
      <c r="P88" s="31" t="inlineStr">
        <is>
          <t>SR Technics Switzerland</t>
        </is>
      </c>
    </row>
    <row r="89">
      <c r="B89" s="31" t="inlineStr">
        <is>
          <t>CFM56-5B</t>
        </is>
      </c>
      <c r="C89" s="31" t="inlineStr">
        <is>
          <t>2024-2025</t>
        </is>
      </c>
      <c r="D89" s="31" t="inlineStr">
        <is>
          <t>138962</t>
        </is>
      </c>
      <c r="E89" s="31" t="inlineStr">
        <is>
          <t>72-62-05</t>
        </is>
      </c>
      <c r="F89" s="31" t="inlineStr">
        <is>
          <t>A</t>
        </is>
      </c>
      <c r="G89" s="31" t="inlineStr">
        <is>
          <t>Gearbox</t>
        </is>
      </c>
      <c r="H89" s="27" t="n">
        <v>390</v>
      </c>
      <c r="I89" s="27" t="n">
        <v>415</v>
      </c>
      <c r="J89" s="154">
        <f>I89/H89-1</f>
        <v/>
      </c>
      <c r="K89" s="31" t="inlineStr">
        <is>
          <t>43</t>
        </is>
      </c>
      <c r="L89" s="31" t="inlineStr">
        <is>
          <t>43</t>
        </is>
      </c>
      <c r="M89" s="31" t="inlineStr">
        <is>
          <t>S1</t>
        </is>
      </c>
      <c r="N89" s="31" t="inlineStr">
        <is>
          <t>S2</t>
        </is>
      </c>
      <c r="O89" s="31" t="inlineStr">
        <is>
          <t>305-158-701-0</t>
        </is>
      </c>
      <c r="P89" s="31" t="inlineStr">
        <is>
          <t>SR Technics Switzerland</t>
        </is>
      </c>
    </row>
    <row r="90">
      <c r="B90" s="31" t="inlineStr">
        <is>
          <t>CFM56-5B</t>
        </is>
      </c>
      <c r="C90" s="31" t="inlineStr">
        <is>
          <t>2024-2025</t>
        </is>
      </c>
      <c r="D90" s="31" t="inlineStr">
        <is>
          <t>138977</t>
        </is>
      </c>
      <c r="E90" s="31" t="inlineStr">
        <is>
          <t>72-61-05</t>
        </is>
      </c>
      <c r="F90" s="31" t="inlineStr">
        <is>
          <t>A</t>
        </is>
      </c>
      <c r="G90" s="31" t="inlineStr">
        <is>
          <t>Gearbox</t>
        </is>
      </c>
      <c r="H90" s="27" t="n">
        <v>990</v>
      </c>
      <c r="I90" s="27" t="n">
        <v>1050</v>
      </c>
      <c r="J90" s="154">
        <f>I90/H90-1</f>
        <v/>
      </c>
      <c r="K90" s="31" t="inlineStr">
        <is>
          <t>9</t>
        </is>
      </c>
      <c r="L90" s="31" t="inlineStr">
        <is>
          <t>9</t>
        </is>
      </c>
      <c r="M90" s="31" t="inlineStr">
        <is>
          <t>S1</t>
        </is>
      </c>
      <c r="N90" s="31" t="inlineStr">
        <is>
          <t>S2</t>
        </is>
      </c>
      <c r="O90" s="31" t="inlineStr">
        <is>
          <t>9972M46G05</t>
        </is>
      </c>
      <c r="P90" s="31" t="inlineStr">
        <is>
          <t>SR Technics Switzerland</t>
        </is>
      </c>
    </row>
    <row r="91">
      <c r="B91" s="31" t="inlineStr">
        <is>
          <t>CFM56-5B</t>
        </is>
      </c>
      <c r="C91" s="31" t="inlineStr">
        <is>
          <t>2024-2025</t>
        </is>
      </c>
      <c r="D91" s="31" t="inlineStr">
        <is>
          <t>138977</t>
        </is>
      </c>
      <c r="E91" s="31" t="inlineStr">
        <is>
          <t>72-61-05</t>
        </is>
      </c>
      <c r="F91" s="31" t="inlineStr">
        <is>
          <t>C</t>
        </is>
      </c>
      <c r="G91" s="31" t="inlineStr">
        <is>
          <t>Gearbox</t>
        </is>
      </c>
      <c r="H91" s="27" t="n">
        <v>1035</v>
      </c>
      <c r="I91" s="27" t="n">
        <v>1100</v>
      </c>
      <c r="J91" s="154">
        <f>I91/H91-1</f>
        <v/>
      </c>
      <c r="K91" s="31" t="inlineStr">
        <is>
          <t>9</t>
        </is>
      </c>
      <c r="L91" s="31" t="inlineStr">
        <is>
          <t>9</t>
        </is>
      </c>
      <c r="M91" s="31" t="inlineStr">
        <is>
          <t>S1</t>
        </is>
      </c>
      <c r="N91" s="31" t="inlineStr">
        <is>
          <t>S2</t>
        </is>
      </c>
      <c r="O91" s="31" t="inlineStr">
        <is>
          <t>9972M46G05</t>
        </is>
      </c>
      <c r="P91" s="31" t="inlineStr">
        <is>
          <t>SR Technics Switzerland</t>
        </is>
      </c>
    </row>
    <row r="92">
      <c r="B92" s="31" t="inlineStr">
        <is>
          <t>CFM56-5B</t>
        </is>
      </c>
      <c r="C92" s="31" t="inlineStr">
        <is>
          <t>2024-2025</t>
        </is>
      </c>
      <c r="D92" s="31" t="inlineStr">
        <is>
          <t>138977</t>
        </is>
      </c>
      <c r="E92" s="31" t="inlineStr">
        <is>
          <t>72-61-05</t>
        </is>
      </c>
      <c r="F92" s="31" t="inlineStr">
        <is>
          <t>D</t>
        </is>
      </c>
      <c r="G92" s="31" t="inlineStr">
        <is>
          <t>Gearbox</t>
        </is>
      </c>
      <c r="H92" s="27" t="n">
        <v>1055</v>
      </c>
      <c r="I92" s="27" t="n">
        <v>1120</v>
      </c>
      <c r="J92" s="154">
        <f>I92/H92-1</f>
        <v/>
      </c>
      <c r="K92" s="31" t="inlineStr">
        <is>
          <t>9</t>
        </is>
      </c>
      <c r="L92" s="31" t="inlineStr">
        <is>
          <t>9</t>
        </is>
      </c>
      <c r="M92" s="31" t="inlineStr">
        <is>
          <t>S1</t>
        </is>
      </c>
      <c r="N92" s="31" t="inlineStr">
        <is>
          <t>S2</t>
        </is>
      </c>
      <c r="O92" s="31" t="inlineStr">
        <is>
          <t>9972M46G05</t>
        </is>
      </c>
      <c r="P92" s="31" t="inlineStr">
        <is>
          <t>SR Technics Switzerland</t>
        </is>
      </c>
    </row>
    <row r="93">
      <c r="B93" s="31" t="inlineStr">
        <is>
          <t>CFM56-5B</t>
        </is>
      </c>
      <c r="C93" s="31" t="inlineStr">
        <is>
          <t>2024-2025</t>
        </is>
      </c>
      <c r="D93" s="31" t="inlineStr">
        <is>
          <t>138977</t>
        </is>
      </c>
      <c r="E93" s="31" t="inlineStr">
        <is>
          <t>72-61-05</t>
        </is>
      </c>
      <c r="F93" s="31" t="inlineStr">
        <is>
          <t>E</t>
        </is>
      </c>
      <c r="G93" s="31" t="inlineStr">
        <is>
          <t>Gearbox</t>
        </is>
      </c>
      <c r="H93" s="27" t="n">
        <v>840</v>
      </c>
      <c r="I93" s="27" t="n">
        <v>895</v>
      </c>
      <c r="J93" s="154">
        <f>I93/H93-1</f>
        <v/>
      </c>
      <c r="K93" s="31" t="inlineStr">
        <is>
          <t>9</t>
        </is>
      </c>
      <c r="L93" s="31" t="inlineStr">
        <is>
          <t>9</t>
        </is>
      </c>
      <c r="M93" s="31" t="inlineStr">
        <is>
          <t>S1</t>
        </is>
      </c>
      <c r="N93" s="31" t="inlineStr">
        <is>
          <t>S2</t>
        </is>
      </c>
      <c r="O93" s="31" t="inlineStr">
        <is>
          <t>9972M46G05</t>
        </is>
      </c>
      <c r="P93" s="31" t="inlineStr">
        <is>
          <t>SR Technics Switzerland</t>
        </is>
      </c>
    </row>
    <row r="94">
      <c r="B94" s="31" t="inlineStr">
        <is>
          <t>CFM56-5B</t>
        </is>
      </c>
      <c r="C94" s="31" t="inlineStr">
        <is>
          <t>2024-2025</t>
        </is>
      </c>
      <c r="D94" s="31" t="inlineStr">
        <is>
          <t>138977</t>
        </is>
      </c>
      <c r="E94" s="31" t="inlineStr">
        <is>
          <t>72-61-05</t>
        </is>
      </c>
      <c r="F94" s="31" t="inlineStr">
        <is>
          <t>F</t>
        </is>
      </c>
      <c r="G94" s="31" t="inlineStr">
        <is>
          <t>Gearbox</t>
        </is>
      </c>
      <c r="H94" s="27" t="n">
        <v>750</v>
      </c>
      <c r="I94" s="27" t="n">
        <v>795</v>
      </c>
      <c r="J94" s="154">
        <f>I94/H94-1</f>
        <v/>
      </c>
      <c r="K94" s="31" t="inlineStr">
        <is>
          <t>9</t>
        </is>
      </c>
      <c r="L94" s="31" t="inlineStr">
        <is>
          <t>9</t>
        </is>
      </c>
      <c r="M94" s="31" t="inlineStr">
        <is>
          <t>S1</t>
        </is>
      </c>
      <c r="N94" s="31" t="inlineStr">
        <is>
          <t>S2</t>
        </is>
      </c>
      <c r="O94" s="31" t="inlineStr">
        <is>
          <t>9972M46G05</t>
        </is>
      </c>
      <c r="P94" s="31" t="inlineStr">
        <is>
          <t>SR Technics Switzerland</t>
        </is>
      </c>
    </row>
    <row r="95">
      <c r="B95" s="31" t="inlineStr">
        <is>
          <t>CFM56-5B</t>
        </is>
      </c>
      <c r="C95" s="31" t="inlineStr">
        <is>
          <t>2024-2025</t>
        </is>
      </c>
      <c r="D95" s="31" t="inlineStr">
        <is>
          <t>138977</t>
        </is>
      </c>
      <c r="E95" s="31" t="inlineStr">
        <is>
          <t>72-61-05</t>
        </is>
      </c>
      <c r="F95" s="31" t="inlineStr">
        <is>
          <t>G</t>
        </is>
      </c>
      <c r="G95" s="31" t="inlineStr">
        <is>
          <t>Gearbox</t>
        </is>
      </c>
      <c r="H95" s="27" t="n">
        <v>1740</v>
      </c>
      <c r="I95" s="27" t="n">
        <v>1845</v>
      </c>
      <c r="J95" s="154">
        <f>I95/H95-1</f>
        <v/>
      </c>
      <c r="K95" s="31" t="inlineStr">
        <is>
          <t>9</t>
        </is>
      </c>
      <c r="L95" s="31" t="inlineStr">
        <is>
          <t>10</t>
        </is>
      </c>
      <c r="M95" s="31" t="inlineStr">
        <is>
          <t>S1</t>
        </is>
      </c>
      <c r="N95" s="31" t="inlineStr">
        <is>
          <t>S2</t>
        </is>
      </c>
      <c r="O95" s="31" t="inlineStr">
        <is>
          <t>9972M46G05</t>
        </is>
      </c>
      <c r="P95" s="31" t="inlineStr">
        <is>
          <t>SR Technics Switzerland</t>
        </is>
      </c>
    </row>
    <row r="96">
      <c r="B96" s="31" t="inlineStr">
        <is>
          <t>CFM56-5B</t>
        </is>
      </c>
      <c r="C96" s="31" t="inlineStr">
        <is>
          <t>2024-2025</t>
        </is>
      </c>
      <c r="D96" s="31" t="inlineStr">
        <is>
          <t>138977</t>
        </is>
      </c>
      <c r="E96" s="31" t="inlineStr">
        <is>
          <t>72-61-05</t>
        </is>
      </c>
      <c r="F96" s="31" t="inlineStr">
        <is>
          <t>H</t>
        </is>
      </c>
      <c r="G96" s="31" t="inlineStr">
        <is>
          <t>Gearbox</t>
        </is>
      </c>
      <c r="H96" s="27" t="n">
        <v>1335</v>
      </c>
      <c r="I96" s="27" t="n">
        <v>1420</v>
      </c>
      <c r="J96" s="154">
        <f>I96/H96-1</f>
        <v/>
      </c>
      <c r="K96" s="31" t="inlineStr">
        <is>
          <t>9</t>
        </is>
      </c>
      <c r="L96" s="31" t="inlineStr">
        <is>
          <t>10</t>
        </is>
      </c>
      <c r="M96" s="31" t="inlineStr">
        <is>
          <t>S1</t>
        </is>
      </c>
      <c r="N96" s="31" t="inlineStr">
        <is>
          <t>S2</t>
        </is>
      </c>
      <c r="O96" s="31" t="inlineStr">
        <is>
          <t>9972M46G05</t>
        </is>
      </c>
      <c r="P96" s="31" t="inlineStr">
        <is>
          <t>SR Technics Switzerland</t>
        </is>
      </c>
    </row>
    <row r="97">
      <c r="B97" s="31" t="inlineStr">
        <is>
          <t>CFM56-5B</t>
        </is>
      </c>
      <c r="C97" s="31" t="inlineStr">
        <is>
          <t>2024-2025</t>
        </is>
      </c>
      <c r="D97" s="31" t="inlineStr">
        <is>
          <t>138980</t>
        </is>
      </c>
      <c r="E97" s="31" t="inlineStr">
        <is>
          <t>72-22-16</t>
        </is>
      </c>
      <c r="F97" s="31" t="inlineStr">
        <is>
          <t>A</t>
        </is>
      </c>
      <c r="G97" s="31" t="inlineStr">
        <is>
          <t>Fan / booster</t>
        </is>
      </c>
      <c r="H97" s="27" t="n">
        <v>420</v>
      </c>
      <c r="I97" s="27" t="n">
        <v>450</v>
      </c>
      <c r="J97" s="154">
        <f>I97/H97-1</f>
        <v/>
      </c>
      <c r="K97" s="31" t="inlineStr">
        <is>
          <t>44</t>
        </is>
      </c>
      <c r="L97" s="31" t="inlineStr">
        <is>
          <t>43</t>
        </is>
      </c>
      <c r="M97" s="31" t="inlineStr">
        <is>
          <t>S1</t>
        </is>
      </c>
      <c r="N97" s="31" t="inlineStr">
        <is>
          <t>S2</t>
        </is>
      </c>
      <c r="O97" s="31" t="inlineStr">
        <is>
          <t>301-297-909-0</t>
        </is>
      </c>
      <c r="P97" s="31" t="inlineStr">
        <is>
          <t>SR Technics Switzerland</t>
        </is>
      </c>
    </row>
    <row r="98">
      <c r="B98" s="31" t="inlineStr">
        <is>
          <t>CFM56-5B</t>
        </is>
      </c>
      <c r="C98" s="31" t="inlineStr">
        <is>
          <t>2024-2025</t>
        </is>
      </c>
      <c r="D98" s="31" t="inlineStr">
        <is>
          <t>138980</t>
        </is>
      </c>
      <c r="E98" s="31" t="inlineStr">
        <is>
          <t>72-22-16</t>
        </is>
      </c>
      <c r="F98" s="31" t="inlineStr">
        <is>
          <t>B</t>
        </is>
      </c>
      <c r="G98" s="31" t="inlineStr">
        <is>
          <t>Fan / booster</t>
        </is>
      </c>
      <c r="H98" s="27" t="n">
        <v>155</v>
      </c>
      <c r="I98" s="27" t="n">
        <v>165</v>
      </c>
      <c r="J98" s="154">
        <f>I98/H98-1</f>
        <v/>
      </c>
      <c r="K98" s="31" t="inlineStr">
        <is>
          <t>44</t>
        </is>
      </c>
      <c r="L98" s="31" t="inlineStr">
        <is>
          <t>43</t>
        </is>
      </c>
      <c r="M98" s="31" t="inlineStr">
        <is>
          <t>S1</t>
        </is>
      </c>
      <c r="N98" s="31" t="inlineStr">
        <is>
          <t>S2</t>
        </is>
      </c>
      <c r="O98" s="31" t="inlineStr">
        <is>
          <t>301-297-909-0</t>
        </is>
      </c>
      <c r="P98" s="31" t="inlineStr">
        <is>
          <t>SR Technics Switzerland</t>
        </is>
      </c>
    </row>
    <row r="99">
      <c r="B99" s="31" t="inlineStr">
        <is>
          <t>CFM56-5B</t>
        </is>
      </c>
      <c r="C99" s="31" t="inlineStr">
        <is>
          <t>2024-2025</t>
        </is>
      </c>
      <c r="D99" s="31" t="inlineStr">
        <is>
          <t>138980</t>
        </is>
      </c>
      <c r="E99" s="31" t="inlineStr">
        <is>
          <t>72-22-16</t>
        </is>
      </c>
      <c r="F99" s="31" t="inlineStr">
        <is>
          <t>C</t>
        </is>
      </c>
      <c r="G99" s="31" t="inlineStr">
        <is>
          <t>Fan / booster</t>
        </is>
      </c>
      <c r="H99" s="27" t="n">
        <v>985</v>
      </c>
      <c r="I99" s="27" t="n">
        <v>1045</v>
      </c>
      <c r="J99" s="154">
        <f>I99/H99-1</f>
        <v/>
      </c>
      <c r="K99" s="31" t="inlineStr">
        <is>
          <t>44</t>
        </is>
      </c>
      <c r="L99" s="31" t="inlineStr">
        <is>
          <t>43</t>
        </is>
      </c>
      <c r="M99" s="31" t="inlineStr">
        <is>
          <t>S1</t>
        </is>
      </c>
      <c r="N99" s="31" t="inlineStr">
        <is>
          <t>S2</t>
        </is>
      </c>
      <c r="O99" s="31" t="inlineStr">
        <is>
          <t>301-297-909-0</t>
        </is>
      </c>
      <c r="P99" s="31" t="inlineStr">
        <is>
          <t>SR Technics Switzerland</t>
        </is>
      </c>
    </row>
    <row r="100">
      <c r="B100" s="31" t="inlineStr">
        <is>
          <t>CFM56-5B</t>
        </is>
      </c>
      <c r="C100" s="31" t="inlineStr">
        <is>
          <t>2024-2025</t>
        </is>
      </c>
      <c r="D100" s="31" t="inlineStr">
        <is>
          <t>138980</t>
        </is>
      </c>
      <c r="E100" s="31" t="inlineStr">
        <is>
          <t>72-22-16</t>
        </is>
      </c>
      <c r="F100" s="31" t="inlineStr">
        <is>
          <t>D</t>
        </is>
      </c>
      <c r="G100" s="31" t="inlineStr">
        <is>
          <t>Fan / booster</t>
        </is>
      </c>
      <c r="H100" s="27" t="n">
        <v>550</v>
      </c>
      <c r="I100" s="27" t="n">
        <v>585</v>
      </c>
      <c r="J100" s="154">
        <f>I100/H100-1</f>
        <v/>
      </c>
      <c r="K100" s="31" t="inlineStr">
        <is>
          <t>44</t>
        </is>
      </c>
      <c r="L100" s="31" t="inlineStr">
        <is>
          <t>43</t>
        </is>
      </c>
      <c r="M100" s="31" t="inlineStr">
        <is>
          <t>S1</t>
        </is>
      </c>
      <c r="N100" s="31" t="inlineStr">
        <is>
          <t>S2</t>
        </is>
      </c>
      <c r="O100" s="31" t="inlineStr">
        <is>
          <t>301-297-909-0</t>
        </is>
      </c>
      <c r="P100" s="31" t="inlineStr">
        <is>
          <t>SR Technics Switzerland</t>
        </is>
      </c>
    </row>
    <row r="101">
      <c r="B101" s="31" t="inlineStr">
        <is>
          <t>CFM56-5B</t>
        </is>
      </c>
      <c r="C101" s="31" t="inlineStr">
        <is>
          <t>2024-2025</t>
        </is>
      </c>
      <c r="D101" s="31" t="inlineStr">
        <is>
          <t>139000</t>
        </is>
      </c>
      <c r="E101" s="31" t="inlineStr">
        <is>
          <t>71-21-08</t>
        </is>
      </c>
      <c r="F101" s="31" t="inlineStr">
        <is>
          <t>A</t>
        </is>
      </c>
      <c r="G101" s="31" t="inlineStr">
        <is>
          <t>Other / assembly</t>
        </is>
      </c>
      <c r="H101" s="27" t="n">
        <v>370</v>
      </c>
      <c r="I101" s="27" t="n">
        <v>395</v>
      </c>
      <c r="J101" s="154">
        <f>I101/H101-1</f>
        <v/>
      </c>
      <c r="K101" s="31" t="inlineStr">
        <is>
          <t>44</t>
        </is>
      </c>
      <c r="L101" s="31" t="inlineStr">
        <is>
          <t>43</t>
        </is>
      </c>
      <c r="M101" s="31" t="inlineStr">
        <is>
          <t>S1</t>
        </is>
      </c>
      <c r="N101" s="31" t="inlineStr">
        <is>
          <t>S2</t>
        </is>
      </c>
      <c r="O101" s="31" t="inlineStr">
        <is>
          <t>AMB34-4001</t>
        </is>
      </c>
      <c r="P101" s="31" t="inlineStr">
        <is>
          <t>SR Technics Switzerland</t>
        </is>
      </c>
    </row>
    <row r="102">
      <c r="B102" s="31" t="inlineStr">
        <is>
          <t>CFM56-5B</t>
        </is>
      </c>
      <c r="C102" s="31" t="inlineStr">
        <is>
          <t>2024-2025</t>
        </is>
      </c>
      <c r="D102" s="31" t="inlineStr">
        <is>
          <t>139000</t>
        </is>
      </c>
      <c r="E102" s="31" t="inlineStr">
        <is>
          <t>71-21-08</t>
        </is>
      </c>
      <c r="F102" s="31" t="inlineStr">
        <is>
          <t>SB00</t>
        </is>
      </c>
      <c r="G102" s="31" t="inlineStr">
        <is>
          <t>Other / assembly</t>
        </is>
      </c>
      <c r="H102" s="27" t="n">
        <v>235</v>
      </c>
      <c r="I102" s="27" t="n">
        <v>250</v>
      </c>
      <c r="J102" s="154">
        <f>I102/H102-1</f>
        <v/>
      </c>
      <c r="K102" s="31" t="inlineStr">
        <is>
          <t>44</t>
        </is>
      </c>
      <c r="L102" s="31" t="inlineStr">
        <is>
          <t>44</t>
        </is>
      </c>
      <c r="M102" s="31" t="inlineStr">
        <is>
          <t>S1</t>
        </is>
      </c>
      <c r="N102" s="31" t="inlineStr">
        <is>
          <t>S2</t>
        </is>
      </c>
      <c r="O102" s="31" t="inlineStr">
        <is>
          <t>AMB34-4001</t>
        </is>
      </c>
      <c r="P102" s="31" t="inlineStr">
        <is>
          <t>SR Technics Switzerland</t>
        </is>
      </c>
    </row>
    <row r="103">
      <c r="B103" s="31" t="inlineStr">
        <is>
          <t>CFM56-5B</t>
        </is>
      </c>
      <c r="C103" s="31" t="inlineStr">
        <is>
          <t>2024-2025</t>
        </is>
      </c>
      <c r="D103" s="31" t="inlineStr">
        <is>
          <t>139012</t>
        </is>
      </c>
      <c r="E103" s="31" t="inlineStr">
        <is>
          <t>72-00-03</t>
        </is>
      </c>
      <c r="F103" s="31" t="inlineStr">
        <is>
          <t>B</t>
        </is>
      </c>
      <c r="G103" s="31" t="inlineStr">
        <is>
          <t>Other / assembly</t>
        </is>
      </c>
      <c r="H103" s="27" t="n">
        <v>170</v>
      </c>
      <c r="I103" s="27" t="n">
        <v>185</v>
      </c>
      <c r="J103" s="154">
        <f>I103/H103-1</f>
        <v/>
      </c>
      <c r="K103" s="31" t="inlineStr">
        <is>
          <t>44</t>
        </is>
      </c>
      <c r="L103" s="31" t="inlineStr">
        <is>
          <t>44</t>
        </is>
      </c>
      <c r="M103" s="31" t="inlineStr">
        <is>
          <t>S1</t>
        </is>
      </c>
      <c r="N103" s="31" t="inlineStr">
        <is>
          <t>S2</t>
        </is>
      </c>
      <c r="O103" s="31" t="inlineStr">
        <is>
          <t>301-298-802-6</t>
        </is>
      </c>
      <c r="P103" s="31" t="inlineStr">
        <is>
          <t>SR Technics Switzerland</t>
        </is>
      </c>
    </row>
    <row r="104">
      <c r="B104" s="31" t="inlineStr">
        <is>
          <t>CFM56-5B</t>
        </is>
      </c>
      <c r="C104" s="31" t="inlineStr">
        <is>
          <t>2024-2025</t>
        </is>
      </c>
      <c r="D104" s="31" t="inlineStr">
        <is>
          <t>139015</t>
        </is>
      </c>
      <c r="E104" s="31" t="inlineStr">
        <is>
          <t>72-63-21</t>
        </is>
      </c>
      <c r="F104" s="31" t="inlineStr">
        <is>
          <t>A</t>
        </is>
      </c>
      <c r="G104" s="31" t="inlineStr">
        <is>
          <t>Gearbox</t>
        </is>
      </c>
      <c r="H104" s="27" t="n">
        <v>120</v>
      </c>
      <c r="I104" s="27" t="n">
        <v>130</v>
      </c>
      <c r="J104" s="154">
        <f>I104/H104-1</f>
        <v/>
      </c>
      <c r="K104" s="31" t="inlineStr">
        <is>
          <t>44</t>
        </is>
      </c>
      <c r="L104" s="31" t="inlineStr">
        <is>
          <t>44</t>
        </is>
      </c>
      <c r="M104" s="31" t="inlineStr">
        <is>
          <t>S1</t>
        </is>
      </c>
      <c r="N104" s="31" t="inlineStr">
        <is>
          <t>S2</t>
        </is>
      </c>
      <c r="O104" s="31" t="inlineStr">
        <is>
          <t>305-115-704-0</t>
        </is>
      </c>
      <c r="P104" s="31" t="inlineStr">
        <is>
          <t>SR Technics Switzerland</t>
        </is>
      </c>
    </row>
    <row r="105">
      <c r="B105" s="31" t="inlineStr">
        <is>
          <t>CFM56-5B</t>
        </is>
      </c>
      <c r="C105" s="31" t="inlineStr">
        <is>
          <t>2024-2025</t>
        </is>
      </c>
      <c r="D105" s="31" t="inlineStr">
        <is>
          <t>139015</t>
        </is>
      </c>
      <c r="E105" s="31" t="inlineStr">
        <is>
          <t>72-63-21</t>
        </is>
      </c>
      <c r="F105" s="31" t="inlineStr">
        <is>
          <t>SB00</t>
        </is>
      </c>
      <c r="G105" s="31" t="inlineStr">
        <is>
          <t>Gearbox</t>
        </is>
      </c>
      <c r="H105" s="27" t="n">
        <v>350</v>
      </c>
      <c r="I105" s="27" t="n">
        <v>375</v>
      </c>
      <c r="J105" s="154">
        <f>I105/H105-1</f>
        <v/>
      </c>
      <c r="K105" s="31" t="inlineStr">
        <is>
          <t>44</t>
        </is>
      </c>
      <c r="L105" s="31" t="inlineStr">
        <is>
          <t>44</t>
        </is>
      </c>
      <c r="M105" s="31" t="inlineStr">
        <is>
          <t>S1</t>
        </is>
      </c>
      <c r="N105" s="31" t="inlineStr">
        <is>
          <t>S2</t>
        </is>
      </c>
      <c r="O105" s="31" t="inlineStr">
        <is>
          <t>305-115-704-0</t>
        </is>
      </c>
      <c r="P105" s="31" t="inlineStr">
        <is>
          <t>SR Technics Switzerland</t>
        </is>
      </c>
    </row>
    <row r="106">
      <c r="B106" s="31" t="inlineStr">
        <is>
          <t>CFM56-5B</t>
        </is>
      </c>
      <c r="C106" s="31" t="inlineStr">
        <is>
          <t>2024-2025</t>
        </is>
      </c>
      <c r="D106" s="31" t="inlineStr">
        <is>
          <t>139018</t>
        </is>
      </c>
      <c r="E106" s="31" t="inlineStr">
        <is>
          <t>72-63-11</t>
        </is>
      </c>
      <c r="F106" s="31" t="inlineStr">
        <is>
          <t>A</t>
        </is>
      </c>
      <c r="G106" s="31" t="inlineStr">
        <is>
          <t>Gearbox</t>
        </is>
      </c>
      <c r="H106" s="27" t="n">
        <v>345</v>
      </c>
      <c r="I106" s="27" t="n">
        <v>370</v>
      </c>
      <c r="J106" s="154">
        <f>I106/H106-1</f>
        <v/>
      </c>
      <c r="K106" s="31" t="inlineStr">
        <is>
          <t>9</t>
        </is>
      </c>
      <c r="L106" s="31" t="inlineStr">
        <is>
          <t>10</t>
        </is>
      </c>
      <c r="M106" s="31" t="inlineStr">
        <is>
          <t>S1</t>
        </is>
      </c>
      <c r="N106" s="31" t="inlineStr">
        <is>
          <t>S2</t>
        </is>
      </c>
      <c r="O106" s="31" t="inlineStr">
        <is>
          <t>305-145-401-0</t>
        </is>
      </c>
      <c r="P106" s="31" t="inlineStr">
        <is>
          <t>SR Technics Switzerland</t>
        </is>
      </c>
    </row>
    <row r="107">
      <c r="B107" s="31" t="inlineStr">
        <is>
          <t>CFM56-5B</t>
        </is>
      </c>
      <c r="C107" s="31" t="inlineStr">
        <is>
          <t>2024-2025</t>
        </is>
      </c>
      <c r="D107" s="31" t="inlineStr">
        <is>
          <t>139019</t>
        </is>
      </c>
      <c r="E107" s="31" t="inlineStr">
        <is>
          <t>72-63-09</t>
        </is>
      </c>
      <c r="F107" s="31" t="inlineStr">
        <is>
          <t>A</t>
        </is>
      </c>
      <c r="G107" s="31" t="inlineStr">
        <is>
          <t>Gearbox</t>
        </is>
      </c>
      <c r="H107" s="27" t="n">
        <v>680</v>
      </c>
      <c r="I107" s="27" t="n">
        <v>725</v>
      </c>
      <c r="J107" s="154">
        <f>I107/H107-1</f>
        <v/>
      </c>
      <c r="K107" s="31" t="inlineStr">
        <is>
          <t>44</t>
        </is>
      </c>
      <c r="L107" s="31" t="inlineStr">
        <is>
          <t>44</t>
        </is>
      </c>
      <c r="M107" s="31" t="inlineStr">
        <is>
          <t>S1</t>
        </is>
      </c>
      <c r="N107" s="31" t="inlineStr">
        <is>
          <t>S2</t>
        </is>
      </c>
      <c r="O107" s="31" t="inlineStr">
        <is>
          <t>305-145-601-0</t>
        </is>
      </c>
      <c r="P107" s="31" t="inlineStr">
        <is>
          <t>SR Technics Switzerland</t>
        </is>
      </c>
    </row>
    <row r="108">
      <c r="B108" s="31" t="inlineStr">
        <is>
          <t>CFM56-5B</t>
        </is>
      </c>
      <c r="C108" s="31" t="inlineStr">
        <is>
          <t>2024-2025</t>
        </is>
      </c>
      <c r="D108" s="31" t="inlineStr">
        <is>
          <t>139019</t>
        </is>
      </c>
      <c r="E108" s="31" t="inlineStr">
        <is>
          <t>72-63-09</t>
        </is>
      </c>
      <c r="F108" s="31" t="inlineStr">
        <is>
          <t>SB01</t>
        </is>
      </c>
      <c r="G108" s="31" t="inlineStr">
        <is>
          <t>Gearbox</t>
        </is>
      </c>
      <c r="H108" s="27" t="n">
        <v>435</v>
      </c>
      <c r="I108" s="27" t="n">
        <v>465</v>
      </c>
      <c r="J108" s="154">
        <f>I108/H108-1</f>
        <v/>
      </c>
      <c r="K108" s="31" t="inlineStr">
        <is>
          <t>44</t>
        </is>
      </c>
      <c r="L108" s="31" t="inlineStr">
        <is>
          <t>44</t>
        </is>
      </c>
      <c r="M108" s="31" t="inlineStr">
        <is>
          <t>S1</t>
        </is>
      </c>
      <c r="N108" s="31" t="inlineStr">
        <is>
          <t>S2</t>
        </is>
      </c>
      <c r="O108" s="31" t="inlineStr">
        <is>
          <t>305-145-601-0</t>
        </is>
      </c>
      <c r="P108" s="31" t="inlineStr">
        <is>
          <t>SR Technics Switzerland</t>
        </is>
      </c>
    </row>
    <row r="109">
      <c r="B109" s="31" t="inlineStr">
        <is>
          <t>CFM56-5B</t>
        </is>
      </c>
      <c r="C109" s="31" t="inlineStr">
        <is>
          <t>2024-2025</t>
        </is>
      </c>
      <c r="D109" s="31" t="inlineStr">
        <is>
          <t>139020</t>
        </is>
      </c>
      <c r="E109" s="31" t="inlineStr">
        <is>
          <t>72-63-18</t>
        </is>
      </c>
      <c r="F109" s="31" t="inlineStr">
        <is>
          <t>A</t>
        </is>
      </c>
      <c r="G109" s="31" t="inlineStr">
        <is>
          <t>Gearbox</t>
        </is>
      </c>
      <c r="H109" s="27" t="n">
        <v>345</v>
      </c>
      <c r="I109" s="27" t="n">
        <v>370</v>
      </c>
      <c r="J109" s="154">
        <f>I109/H109-1</f>
        <v/>
      </c>
      <c r="K109" s="31" t="inlineStr">
        <is>
          <t>44</t>
        </is>
      </c>
      <c r="L109" s="31" t="inlineStr">
        <is>
          <t>44</t>
        </is>
      </c>
      <c r="M109" s="31" t="inlineStr">
        <is>
          <t>S1</t>
        </is>
      </c>
      <c r="N109" s="31" t="inlineStr">
        <is>
          <t>S2</t>
        </is>
      </c>
      <c r="O109" s="31" t="inlineStr">
        <is>
          <t>305-415-401-0</t>
        </is>
      </c>
      <c r="P109" s="31" t="inlineStr">
        <is>
          <t>SR Technics Switzerland</t>
        </is>
      </c>
    </row>
    <row r="110">
      <c r="B110" s="31" t="inlineStr">
        <is>
          <t>CFM56-5B</t>
        </is>
      </c>
      <c r="C110" s="31" t="inlineStr">
        <is>
          <t>2024-2025</t>
        </is>
      </c>
      <c r="D110" s="31" t="inlineStr">
        <is>
          <t>139020</t>
        </is>
      </c>
      <c r="E110" s="31" t="inlineStr">
        <is>
          <t>72-63-18</t>
        </is>
      </c>
      <c r="F110" s="31" t="inlineStr">
        <is>
          <t>C</t>
        </is>
      </c>
      <c r="G110" s="31" t="inlineStr">
        <is>
          <t>Gearbox</t>
        </is>
      </c>
      <c r="H110" s="27" t="n">
        <v>580</v>
      </c>
      <c r="I110" s="27" t="n">
        <v>615</v>
      </c>
      <c r="J110" s="154">
        <f>I110/H110-1</f>
        <v/>
      </c>
      <c r="K110" s="31" t="inlineStr">
        <is>
          <t>44</t>
        </is>
      </c>
      <c r="L110" s="31" t="inlineStr">
        <is>
          <t>44</t>
        </is>
      </c>
      <c r="M110" s="31" t="inlineStr">
        <is>
          <t>S1</t>
        </is>
      </c>
      <c r="N110" s="31" t="inlineStr">
        <is>
          <t>S2</t>
        </is>
      </c>
      <c r="O110" s="31" t="inlineStr">
        <is>
          <t>305-415-401-0</t>
        </is>
      </c>
      <c r="P110" s="31" t="inlineStr">
        <is>
          <t>SR Technics Switzerland</t>
        </is>
      </c>
    </row>
    <row r="111">
      <c r="B111" s="31" t="inlineStr">
        <is>
          <t>CFM56-5B</t>
        </is>
      </c>
      <c r="C111" s="31" t="inlineStr">
        <is>
          <t>2024-2025</t>
        </is>
      </c>
      <c r="D111" s="31" t="inlineStr">
        <is>
          <t>139021</t>
        </is>
      </c>
      <c r="E111" s="31" t="inlineStr">
        <is>
          <t>72-63-14</t>
        </is>
      </c>
      <c r="F111" s="31" t="inlineStr">
        <is>
          <t>A</t>
        </is>
      </c>
      <c r="G111" s="31" t="inlineStr">
        <is>
          <t>Gearbox</t>
        </is>
      </c>
      <c r="H111" s="27" t="n">
        <v>470</v>
      </c>
      <c r="I111" s="27" t="n">
        <v>500</v>
      </c>
      <c r="J111" s="154">
        <f>I111/H111-1</f>
        <v/>
      </c>
      <c r="K111" s="31" t="inlineStr">
        <is>
          <t>45</t>
        </is>
      </c>
      <c r="L111" s="31" t="inlineStr">
        <is>
          <t>44</t>
        </is>
      </c>
      <c r="M111" s="31" t="inlineStr">
        <is>
          <t>S1</t>
        </is>
      </c>
      <c r="N111" s="31" t="inlineStr">
        <is>
          <t>S2</t>
        </is>
      </c>
      <c r="O111" s="31" t="inlineStr">
        <is>
          <t>301-495-102-0</t>
        </is>
      </c>
      <c r="P111" s="31" t="inlineStr">
        <is>
          <t>SR Technics Switzerland</t>
        </is>
      </c>
    </row>
    <row r="112">
      <c r="B112" s="31" t="inlineStr">
        <is>
          <t>CFM56-5B</t>
        </is>
      </c>
      <c r="C112" s="31" t="inlineStr">
        <is>
          <t>2024-2025</t>
        </is>
      </c>
      <c r="D112" s="31" t="inlineStr">
        <is>
          <t>139021</t>
        </is>
      </c>
      <c r="E112" s="31" t="inlineStr">
        <is>
          <t>72-63-14</t>
        </is>
      </c>
      <c r="F112" s="31" t="inlineStr">
        <is>
          <t>B</t>
        </is>
      </c>
      <c r="G112" s="31" t="inlineStr">
        <is>
          <t>Gearbox</t>
        </is>
      </c>
      <c r="H112" s="27" t="n">
        <v>695</v>
      </c>
      <c r="I112" s="27" t="n">
        <v>740</v>
      </c>
      <c r="J112" s="154">
        <f>I112/H112-1</f>
        <v/>
      </c>
      <c r="K112" s="31" t="inlineStr">
        <is>
          <t>45</t>
        </is>
      </c>
      <c r="L112" s="31" t="inlineStr">
        <is>
          <t>44</t>
        </is>
      </c>
      <c r="M112" s="31" t="inlineStr">
        <is>
          <t>S1</t>
        </is>
      </c>
      <c r="N112" s="31" t="inlineStr">
        <is>
          <t>S2</t>
        </is>
      </c>
      <c r="O112" s="31" t="inlineStr">
        <is>
          <t>301-495-102-0</t>
        </is>
      </c>
      <c r="P112" s="31" t="inlineStr">
        <is>
          <t>SR Technics Switzerland</t>
        </is>
      </c>
    </row>
    <row r="113">
      <c r="B113" s="31" t="inlineStr">
        <is>
          <t>CFM56-5B</t>
        </is>
      </c>
      <c r="C113" s="31" t="inlineStr">
        <is>
          <t>2024-2025</t>
        </is>
      </c>
      <c r="D113" s="31" t="inlineStr">
        <is>
          <t>139021</t>
        </is>
      </c>
      <c r="E113" s="31" t="inlineStr">
        <is>
          <t>72-63-14</t>
        </is>
      </c>
      <c r="F113" s="31" t="inlineStr">
        <is>
          <t>C</t>
        </is>
      </c>
      <c r="G113" s="31" t="inlineStr">
        <is>
          <t>Gearbox</t>
        </is>
      </c>
      <c r="H113" s="27" t="n">
        <v>875</v>
      </c>
      <c r="I113" s="27" t="n">
        <v>930</v>
      </c>
      <c r="J113" s="154">
        <f>I113/H113-1</f>
        <v/>
      </c>
      <c r="K113" s="31" t="inlineStr">
        <is>
          <t>45</t>
        </is>
      </c>
      <c r="L113" s="31" t="inlineStr">
        <is>
          <t>44</t>
        </is>
      </c>
      <c r="M113" s="31" t="inlineStr">
        <is>
          <t>S1</t>
        </is>
      </c>
      <c r="N113" s="31" t="inlineStr">
        <is>
          <t>S2</t>
        </is>
      </c>
      <c r="O113" s="31" t="inlineStr">
        <is>
          <t>301-495-102-0</t>
        </is>
      </c>
      <c r="P113" s="31" t="inlineStr">
        <is>
          <t>SR Technics Switzerland</t>
        </is>
      </c>
    </row>
    <row r="114">
      <c r="B114" s="31" t="inlineStr">
        <is>
          <t>CFM56-5B</t>
        </is>
      </c>
      <c r="C114" s="31" t="inlineStr">
        <is>
          <t>2024-2025</t>
        </is>
      </c>
      <c r="D114" s="31" t="inlineStr">
        <is>
          <t>139023</t>
        </is>
      </c>
      <c r="E114" s="31" t="inlineStr">
        <is>
          <t>72-55-11</t>
        </is>
      </c>
      <c r="F114" s="31" t="inlineStr">
        <is>
          <t>A</t>
        </is>
      </c>
      <c r="G114" s="31" t="inlineStr">
        <is>
          <t>LPT</t>
        </is>
      </c>
      <c r="H114" s="27" t="n">
        <v>150</v>
      </c>
      <c r="I114" s="27" t="n">
        <v>160</v>
      </c>
      <c r="J114" s="154">
        <f>I114/H114-1</f>
        <v/>
      </c>
      <c r="K114" s="31" t="inlineStr">
        <is>
          <t>45</t>
        </is>
      </c>
      <c r="L114" s="31" t="inlineStr">
        <is>
          <t>44</t>
        </is>
      </c>
      <c r="M114" s="31" t="inlineStr">
        <is>
          <t>S1</t>
        </is>
      </c>
      <c r="N114" s="31" t="inlineStr">
        <is>
          <t>S2</t>
        </is>
      </c>
      <c r="O114" s="31" t="inlineStr">
        <is>
          <t>301-367-605-0</t>
        </is>
      </c>
      <c r="P114" s="31" t="inlineStr">
        <is>
          <t>SR Technics Switzerland</t>
        </is>
      </c>
    </row>
    <row r="115">
      <c r="B115" s="31" t="inlineStr">
        <is>
          <t>CFM56-5B</t>
        </is>
      </c>
      <c r="C115" s="31" t="inlineStr">
        <is>
          <t>2024-2025</t>
        </is>
      </c>
      <c r="D115" s="31" t="inlineStr">
        <is>
          <t>139024</t>
        </is>
      </c>
      <c r="E115" s="31" t="inlineStr">
        <is>
          <t>72-54-14</t>
        </is>
      </c>
      <c r="F115" s="31" t="inlineStr">
        <is>
          <t>A</t>
        </is>
      </c>
      <c r="G115" s="31" t="inlineStr">
        <is>
          <t>LPT</t>
        </is>
      </c>
      <c r="H115" s="27" t="n">
        <v>115</v>
      </c>
      <c r="I115" s="27" t="n">
        <v>125</v>
      </c>
      <c r="J115" s="154">
        <f>I115/H115-1</f>
        <v/>
      </c>
      <c r="K115" s="31" t="inlineStr">
        <is>
          <t>45</t>
        </is>
      </c>
      <c r="L115" s="31" t="inlineStr">
        <is>
          <t>45</t>
        </is>
      </c>
      <c r="M115" s="31" t="inlineStr">
        <is>
          <t>S1</t>
        </is>
      </c>
      <c r="N115" s="31" t="inlineStr">
        <is>
          <t>S2</t>
        </is>
      </c>
      <c r="O115" s="31" t="inlineStr">
        <is>
          <t>338-072-601-0</t>
        </is>
      </c>
      <c r="P115" s="31" t="inlineStr">
        <is>
          <t>SR Technics Switzerland</t>
        </is>
      </c>
    </row>
    <row r="116">
      <c r="B116" s="31" t="inlineStr">
        <is>
          <t>CFM56-5B</t>
        </is>
      </c>
      <c r="C116" s="31" t="inlineStr">
        <is>
          <t>2024-2025</t>
        </is>
      </c>
      <c r="D116" s="31" t="inlineStr">
        <is>
          <t>139024</t>
        </is>
      </c>
      <c r="E116" s="31" t="inlineStr">
        <is>
          <t>72-54-14</t>
        </is>
      </c>
      <c r="F116" s="31" t="inlineStr">
        <is>
          <t>AE</t>
        </is>
      </c>
      <c r="G116" s="31" t="inlineStr">
        <is>
          <t>LPT</t>
        </is>
      </c>
      <c r="H116" s="27" t="n">
        <v>110</v>
      </c>
      <c r="I116" s="27" t="n">
        <v>120</v>
      </c>
      <c r="J116" s="154">
        <f>I116/H116-1</f>
        <v/>
      </c>
      <c r="K116" s="31" t="inlineStr">
        <is>
          <t>45</t>
        </is>
      </c>
      <c r="L116" s="31" t="inlineStr">
        <is>
          <t>45</t>
        </is>
      </c>
      <c r="M116" s="31" t="inlineStr">
        <is>
          <t>S1</t>
        </is>
      </c>
      <c r="N116" s="31" t="inlineStr">
        <is>
          <t>S2</t>
        </is>
      </c>
      <c r="O116" s="31" t="inlineStr">
        <is>
          <t>338-072-601-0</t>
        </is>
      </c>
      <c r="P116" s="31" t="inlineStr">
        <is>
          <t>SR Technics Switzerland</t>
        </is>
      </c>
    </row>
    <row r="117">
      <c r="B117" s="31" t="inlineStr">
        <is>
          <t>CFM56-5B</t>
        </is>
      </c>
      <c r="C117" s="31" t="inlineStr">
        <is>
          <t>2024-2025</t>
        </is>
      </c>
      <c r="D117" s="31" t="inlineStr">
        <is>
          <t>139024</t>
        </is>
      </c>
      <c r="E117" s="31" t="inlineStr">
        <is>
          <t>72-54-14</t>
        </is>
      </c>
      <c r="F117" s="31" t="inlineStr">
        <is>
          <t>E</t>
        </is>
      </c>
      <c r="G117" s="31" t="inlineStr">
        <is>
          <t>LPT</t>
        </is>
      </c>
      <c r="H117" s="27" t="n">
        <v>145</v>
      </c>
      <c r="I117" s="27" t="n">
        <v>155</v>
      </c>
      <c r="J117" s="154">
        <f>I117/H117-1</f>
        <v/>
      </c>
      <c r="K117" s="31" t="inlineStr">
        <is>
          <t>45</t>
        </is>
      </c>
      <c r="L117" s="31" t="inlineStr">
        <is>
          <t>45</t>
        </is>
      </c>
      <c r="M117" s="31" t="inlineStr">
        <is>
          <t>S1</t>
        </is>
      </c>
      <c r="N117" s="31" t="inlineStr">
        <is>
          <t>S2</t>
        </is>
      </c>
      <c r="O117" s="31" t="inlineStr">
        <is>
          <t>338-072-601-0</t>
        </is>
      </c>
      <c r="P117" s="31" t="inlineStr">
        <is>
          <t>SR Technics Switzerland</t>
        </is>
      </c>
    </row>
    <row r="118">
      <c r="B118" s="31" t="inlineStr">
        <is>
          <t>CFM56-5B</t>
        </is>
      </c>
      <c r="C118" s="31" t="inlineStr">
        <is>
          <t>2024-2025</t>
        </is>
      </c>
      <c r="D118" s="31" t="inlineStr">
        <is>
          <t>13903</t>
        </is>
      </c>
      <c r="E118" s="31" t="inlineStr">
        <is>
          <t>72-54-10</t>
        </is>
      </c>
      <c r="F118" s="31" t="inlineStr">
        <is>
          <t>A</t>
        </is>
      </c>
      <c r="G118" s="31" t="inlineStr">
        <is>
          <t>LPT</t>
        </is>
      </c>
      <c r="H118" s="27" t="n">
        <v>115</v>
      </c>
      <c r="I118" s="27" t="n">
        <v>125</v>
      </c>
      <c r="J118" s="154">
        <f>I118/H118-1</f>
        <v/>
      </c>
      <c r="K118" s="31" t="inlineStr">
        <is>
          <t>39</t>
        </is>
      </c>
      <c r="L118" s="31" t="inlineStr">
        <is>
          <t>39</t>
        </is>
      </c>
      <c r="M118" s="31" t="inlineStr">
        <is>
          <t>S1</t>
        </is>
      </c>
      <c r="N118" s="31" t="inlineStr">
        <is>
          <t>S2</t>
        </is>
      </c>
      <c r="O118" s="31" t="inlineStr">
        <is>
          <t>336-042-501-0</t>
        </is>
      </c>
      <c r="P118" s="31" t="inlineStr">
        <is>
          <t>SR Technics Switzerland</t>
        </is>
      </c>
    </row>
    <row r="119">
      <c r="B119" s="31" t="inlineStr">
        <is>
          <t>CFM56-5B</t>
        </is>
      </c>
      <c r="C119" s="31" t="inlineStr">
        <is>
          <t>2024-2025</t>
        </is>
      </c>
      <c r="D119" s="31" t="inlineStr">
        <is>
          <t>13903</t>
        </is>
      </c>
      <c r="E119" s="31" t="inlineStr">
        <is>
          <t>72-54-10</t>
        </is>
      </c>
      <c r="F119" s="31" t="inlineStr">
        <is>
          <t>B</t>
        </is>
      </c>
      <c r="G119" s="31" t="inlineStr">
        <is>
          <t>LPT</t>
        </is>
      </c>
      <c r="H119" s="27" t="n">
        <v>215</v>
      </c>
      <c r="I119" s="27" t="n">
        <v>230</v>
      </c>
      <c r="J119" s="154">
        <f>I119/H119-1</f>
        <v/>
      </c>
      <c r="K119" s="31" t="inlineStr">
        <is>
          <t>39</t>
        </is>
      </c>
      <c r="L119" s="31" t="inlineStr">
        <is>
          <t>39</t>
        </is>
      </c>
      <c r="M119" s="31" t="inlineStr">
        <is>
          <t>S1</t>
        </is>
      </c>
      <c r="N119" s="31" t="inlineStr">
        <is>
          <t>S2</t>
        </is>
      </c>
      <c r="O119" s="31" t="inlineStr">
        <is>
          <t>336-042-501-0</t>
        </is>
      </c>
      <c r="P119" s="31" t="inlineStr">
        <is>
          <t>SR Technics Switzerland</t>
        </is>
      </c>
    </row>
    <row r="120">
      <c r="B120" s="31" t="inlineStr">
        <is>
          <t>CFM56-5B</t>
        </is>
      </c>
      <c r="C120" s="31" t="inlineStr">
        <is>
          <t>2024-2025</t>
        </is>
      </c>
      <c r="D120" s="31" t="inlineStr">
        <is>
          <t>139030</t>
        </is>
      </c>
      <c r="E120" s="31" t="inlineStr">
        <is>
          <t>72-23-17</t>
        </is>
      </c>
      <c r="F120" s="31" t="inlineStr">
        <is>
          <t>A</t>
        </is>
      </c>
      <c r="G120" s="31" t="inlineStr">
        <is>
          <t>Fan / booster</t>
        </is>
      </c>
      <c r="H120" s="27" t="n">
        <v>200</v>
      </c>
      <c r="I120" s="27" t="n">
        <v>270</v>
      </c>
      <c r="J120" s="154">
        <f>I120/H120-1</f>
        <v/>
      </c>
      <c r="K120" s="31" t="inlineStr">
        <is>
          <t>45</t>
        </is>
      </c>
      <c r="L120" s="31" t="inlineStr">
        <is>
          <t>45</t>
        </is>
      </c>
      <c r="M120" s="31" t="inlineStr">
        <is>
          <t>S1</t>
        </is>
      </c>
      <c r="N120" s="31" t="inlineStr">
        <is>
          <t>S2</t>
        </is>
      </c>
      <c r="O120" s="31" t="inlineStr">
        <is>
          <t>338-011-201-0</t>
        </is>
      </c>
      <c r="P120" s="31" t="inlineStr">
        <is>
          <t>SR Technics Switzerland</t>
        </is>
      </c>
    </row>
    <row r="121">
      <c r="B121" s="31" t="inlineStr">
        <is>
          <t>CFM56-5B</t>
        </is>
      </c>
      <c r="C121" s="31" t="inlineStr">
        <is>
          <t>2024-2025</t>
        </is>
      </c>
      <c r="D121" s="31" t="inlineStr">
        <is>
          <t>139030</t>
        </is>
      </c>
      <c r="E121" s="31" t="inlineStr">
        <is>
          <t>72-23-17</t>
        </is>
      </c>
      <c r="F121" s="31" t="inlineStr">
        <is>
          <t>N</t>
        </is>
      </c>
      <c r="G121" s="31" t="inlineStr">
        <is>
          <t>Fan / booster</t>
        </is>
      </c>
      <c r="H121" s="27" t="n">
        <v>1380</v>
      </c>
      <c r="I121" s="27" t="n">
        <v>1465</v>
      </c>
      <c r="J121" s="154">
        <f>I121/H121-1</f>
        <v/>
      </c>
      <c r="K121" s="31" t="inlineStr">
        <is>
          <t>45</t>
        </is>
      </c>
      <c r="L121" s="31" t="inlineStr">
        <is>
          <t>45</t>
        </is>
      </c>
      <c r="M121" s="31" t="inlineStr">
        <is>
          <t>S1</t>
        </is>
      </c>
      <c r="N121" s="31" t="inlineStr">
        <is>
          <t>S2</t>
        </is>
      </c>
      <c r="O121" s="31" t="inlineStr">
        <is>
          <t>338-011-201-0</t>
        </is>
      </c>
      <c r="P121" s="31" t="inlineStr">
        <is>
          <t>SR Technics Switzerland</t>
        </is>
      </c>
    </row>
    <row r="122">
      <c r="B122" s="31" t="inlineStr">
        <is>
          <t>CFM56-5B</t>
        </is>
      </c>
      <c r="C122" s="31" t="inlineStr">
        <is>
          <t>2024-2025</t>
        </is>
      </c>
      <c r="D122" s="31" t="inlineStr">
        <is>
          <t>139035</t>
        </is>
      </c>
      <c r="E122" s="31" t="inlineStr">
        <is>
          <t>72-23-08</t>
        </is>
      </c>
      <c r="F122" s="31" t="inlineStr">
        <is>
          <t>A</t>
        </is>
      </c>
      <c r="G122" s="31" t="inlineStr">
        <is>
          <t>Fan / booster</t>
        </is>
      </c>
      <c r="H122" s="27" t="n">
        <v>265</v>
      </c>
      <c r="I122" s="27" t="n">
        <v>285</v>
      </c>
      <c r="J122" s="154">
        <f>I122/H122-1</f>
        <v/>
      </c>
      <c r="K122" s="31" t="inlineStr">
        <is>
          <t>45</t>
        </is>
      </c>
      <c r="L122" s="31" t="inlineStr">
        <is>
          <t>45</t>
        </is>
      </c>
      <c r="M122" s="31" t="inlineStr">
        <is>
          <t>S1</t>
        </is>
      </c>
      <c r="N122" s="31" t="inlineStr">
        <is>
          <t>S2</t>
        </is>
      </c>
      <c r="O122" s="31" t="inlineStr">
        <is>
          <t>338-068-007-0</t>
        </is>
      </c>
      <c r="P122" s="31" t="inlineStr">
        <is>
          <t>SR Technics Switzerland</t>
        </is>
      </c>
    </row>
    <row r="123">
      <c r="B123" s="31" t="inlineStr">
        <is>
          <t>CFM56-5B</t>
        </is>
      </c>
      <c r="C123" s="31" t="inlineStr">
        <is>
          <t>2024-2025</t>
        </is>
      </c>
      <c r="D123" s="31" t="inlineStr">
        <is>
          <t>139035</t>
        </is>
      </c>
      <c r="E123" s="31" t="inlineStr">
        <is>
          <t>72-23-08</t>
        </is>
      </c>
      <c r="F123" s="31" t="inlineStr">
        <is>
          <t>C</t>
        </is>
      </c>
      <c r="G123" s="31" t="inlineStr">
        <is>
          <t>Fan / booster</t>
        </is>
      </c>
      <c r="H123" s="27" t="n">
        <v>1190</v>
      </c>
      <c r="I123" s="27" t="n">
        <v>1265</v>
      </c>
      <c r="J123" s="154">
        <f>I123/H123-1</f>
        <v/>
      </c>
      <c r="K123" s="31" t="inlineStr">
        <is>
          <t>45</t>
        </is>
      </c>
      <c r="L123" s="31" t="inlineStr">
        <is>
          <t>45</t>
        </is>
      </c>
      <c r="M123" s="31" t="inlineStr">
        <is>
          <t>S1</t>
        </is>
      </c>
      <c r="N123" s="31" t="inlineStr">
        <is>
          <t>S2</t>
        </is>
      </c>
      <c r="O123" s="31" t="inlineStr">
        <is>
          <t>338-068-007-0</t>
        </is>
      </c>
      <c r="P123" s="31" t="inlineStr">
        <is>
          <t>SR Technics Switzerland</t>
        </is>
      </c>
    </row>
    <row r="124">
      <c r="B124" s="31" t="inlineStr">
        <is>
          <t>CFM56-5B</t>
        </is>
      </c>
      <c r="C124" s="31" t="inlineStr">
        <is>
          <t>2024-2025</t>
        </is>
      </c>
      <c r="D124" s="31" t="inlineStr">
        <is>
          <t>139035</t>
        </is>
      </c>
      <c r="E124" s="31" t="inlineStr">
        <is>
          <t>72-23-08</t>
        </is>
      </c>
      <c r="F124" s="31" t="inlineStr">
        <is>
          <t>I</t>
        </is>
      </c>
      <c r="G124" s="31" t="inlineStr">
        <is>
          <t>Fan / booster</t>
        </is>
      </c>
      <c r="H124" s="27" t="n">
        <v>735</v>
      </c>
      <c r="I124" s="27" t="n">
        <v>780</v>
      </c>
      <c r="J124" s="154">
        <f>I124/H124-1</f>
        <v/>
      </c>
      <c r="K124" s="31" t="inlineStr">
        <is>
          <t>45</t>
        </is>
      </c>
      <c r="L124" s="31" t="inlineStr">
        <is>
          <t>45</t>
        </is>
      </c>
      <c r="M124" s="31" t="inlineStr">
        <is>
          <t>S1</t>
        </is>
      </c>
      <c r="N124" s="31" t="inlineStr">
        <is>
          <t>S2</t>
        </is>
      </c>
      <c r="O124" s="31" t="inlineStr">
        <is>
          <t>338-068-007-0</t>
        </is>
      </c>
      <c r="P124" s="31" t="inlineStr">
        <is>
          <t>SR Technics Switzerland</t>
        </is>
      </c>
    </row>
    <row r="125">
      <c r="B125" s="31" t="inlineStr">
        <is>
          <t>CFM56-5B</t>
        </is>
      </c>
      <c r="C125" s="31" t="inlineStr">
        <is>
          <t>2024-2025</t>
        </is>
      </c>
      <c r="D125" s="31" t="inlineStr">
        <is>
          <t>139035</t>
        </is>
      </c>
      <c r="E125" s="31" t="inlineStr">
        <is>
          <t>72-23-08</t>
        </is>
      </c>
      <c r="F125" s="31" t="inlineStr">
        <is>
          <t>J</t>
        </is>
      </c>
      <c r="G125" s="31" t="inlineStr">
        <is>
          <t>Fan / booster</t>
        </is>
      </c>
      <c r="H125" s="27" t="n">
        <v>310</v>
      </c>
      <c r="I125" s="27" t="n">
        <v>330</v>
      </c>
      <c r="J125" s="154">
        <f>I125/H125-1</f>
        <v/>
      </c>
      <c r="K125" s="31" t="inlineStr">
        <is>
          <t>45</t>
        </is>
      </c>
      <c r="L125" s="31" t="inlineStr">
        <is>
          <t>45</t>
        </is>
      </c>
      <c r="M125" s="31" t="inlineStr">
        <is>
          <t>S1</t>
        </is>
      </c>
      <c r="N125" s="31" t="inlineStr">
        <is>
          <t>S2</t>
        </is>
      </c>
      <c r="O125" s="31" t="inlineStr">
        <is>
          <t>338-068-007-0</t>
        </is>
      </c>
      <c r="P125" s="31" t="inlineStr">
        <is>
          <t>SR Technics Switzerland</t>
        </is>
      </c>
    </row>
    <row r="126">
      <c r="B126" s="31" t="inlineStr">
        <is>
          <t>CFM56-5B</t>
        </is>
      </c>
      <c r="C126" s="31" t="inlineStr">
        <is>
          <t>2024-2025</t>
        </is>
      </c>
      <c r="D126" s="31" t="inlineStr">
        <is>
          <t>139035</t>
        </is>
      </c>
      <c r="E126" s="31" t="inlineStr">
        <is>
          <t>72-23-08</t>
        </is>
      </c>
      <c r="F126" s="31" t="inlineStr">
        <is>
          <t>L</t>
        </is>
      </c>
      <c r="G126" s="31" t="inlineStr">
        <is>
          <t>Fan / booster</t>
        </is>
      </c>
      <c r="H126" s="27" t="n">
        <v>2800</v>
      </c>
      <c r="I126" s="27" t="n">
        <v>2970</v>
      </c>
      <c r="J126" s="154">
        <f>I126/H126-1</f>
        <v/>
      </c>
      <c r="K126" s="31" t="inlineStr">
        <is>
          <t>45</t>
        </is>
      </c>
      <c r="L126" s="31" t="inlineStr">
        <is>
          <t>45</t>
        </is>
      </c>
      <c r="M126" s="31" t="inlineStr">
        <is>
          <t>S1</t>
        </is>
      </c>
      <c r="N126" s="31" t="inlineStr">
        <is>
          <t>S2</t>
        </is>
      </c>
      <c r="O126" s="31" t="inlineStr">
        <is>
          <t>338-068-007-0</t>
        </is>
      </c>
      <c r="P126" s="31" t="inlineStr">
        <is>
          <t>SR Technics Switzerland</t>
        </is>
      </c>
    </row>
    <row r="127">
      <c r="B127" s="31" t="inlineStr">
        <is>
          <t>CFM56-5B</t>
        </is>
      </c>
      <c r="C127" s="31" t="inlineStr">
        <is>
          <t>2024-2025</t>
        </is>
      </c>
      <c r="D127" s="31" t="inlineStr">
        <is>
          <t>139035</t>
        </is>
      </c>
      <c r="E127" s="31" t="inlineStr">
        <is>
          <t>72-23-08</t>
        </is>
      </c>
      <c r="F127" s="31" t="inlineStr">
        <is>
          <t>N</t>
        </is>
      </c>
      <c r="G127" s="31" t="inlineStr">
        <is>
          <t>Fan / booster</t>
        </is>
      </c>
      <c r="H127" s="27" t="n">
        <v>980</v>
      </c>
      <c r="I127" s="27" t="n">
        <v>1040</v>
      </c>
      <c r="J127" s="154">
        <f>I127/H127-1</f>
        <v/>
      </c>
      <c r="K127" s="31" t="inlineStr">
        <is>
          <t>45</t>
        </is>
      </c>
      <c r="L127" s="31" t="inlineStr">
        <is>
          <t>45</t>
        </is>
      </c>
      <c r="M127" s="31" t="inlineStr">
        <is>
          <t>S1</t>
        </is>
      </c>
      <c r="N127" s="31" t="inlineStr">
        <is>
          <t>S2</t>
        </is>
      </c>
      <c r="O127" s="31" t="inlineStr">
        <is>
          <t>338-068-007-0</t>
        </is>
      </c>
      <c r="P127" s="31" t="inlineStr">
        <is>
          <t>SR Technics Switzerland</t>
        </is>
      </c>
    </row>
    <row r="128">
      <c r="B128" s="31" t="inlineStr">
        <is>
          <t>CFM56-5B</t>
        </is>
      </c>
      <c r="C128" s="31" t="inlineStr">
        <is>
          <t>2024-2025</t>
        </is>
      </c>
      <c r="D128" s="31" t="inlineStr">
        <is>
          <t>139035</t>
        </is>
      </c>
      <c r="E128" s="31" t="inlineStr">
        <is>
          <t>72-23-08</t>
        </is>
      </c>
      <c r="F128" s="31" t="inlineStr">
        <is>
          <t>SB00</t>
        </is>
      </c>
      <c r="G128" s="31" t="inlineStr">
        <is>
          <t>Fan / booster</t>
        </is>
      </c>
      <c r="H128" s="27" t="n">
        <v>155</v>
      </c>
      <c r="I128" s="27" t="n">
        <v>165</v>
      </c>
      <c r="J128" s="154">
        <f>I128/H128-1</f>
        <v/>
      </c>
      <c r="K128" s="31" t="inlineStr">
        <is>
          <t>45</t>
        </is>
      </c>
      <c r="L128" s="31" t="inlineStr">
        <is>
          <t>45</t>
        </is>
      </c>
      <c r="M128" s="31" t="inlineStr">
        <is>
          <t>S1</t>
        </is>
      </c>
      <c r="N128" s="31" t="inlineStr">
        <is>
          <t>S2</t>
        </is>
      </c>
      <c r="O128" s="31" t="inlineStr">
        <is>
          <t>338-068-007-0</t>
        </is>
      </c>
      <c r="P128" s="31" t="inlineStr">
        <is>
          <t>SR Technics Switzerland</t>
        </is>
      </c>
    </row>
    <row r="129">
      <c r="B129" s="31" t="inlineStr">
        <is>
          <t>CFM56-5B</t>
        </is>
      </c>
      <c r="C129" s="31" t="inlineStr">
        <is>
          <t>2024-2025</t>
        </is>
      </c>
      <c r="D129" s="31" t="inlineStr">
        <is>
          <t>139035</t>
        </is>
      </c>
      <c r="E129" s="31" t="inlineStr">
        <is>
          <t>72-23-08</t>
        </is>
      </c>
      <c r="F129" s="31" t="inlineStr">
        <is>
          <t>SB02</t>
        </is>
      </c>
      <c r="G129" s="31" t="inlineStr">
        <is>
          <t>Fan / booster</t>
        </is>
      </c>
      <c r="H129" s="27" t="n">
        <v>1815</v>
      </c>
      <c r="I129" s="27" t="n">
        <v>1925</v>
      </c>
      <c r="J129" s="154">
        <f>I129/H129-1</f>
        <v/>
      </c>
      <c r="K129" s="31" t="inlineStr">
        <is>
          <t>45</t>
        </is>
      </c>
      <c r="L129" s="31" t="inlineStr">
        <is>
          <t>45</t>
        </is>
      </c>
      <c r="M129" s="31" t="inlineStr">
        <is>
          <t>S1</t>
        </is>
      </c>
      <c r="N129" s="31" t="inlineStr">
        <is>
          <t>S2</t>
        </is>
      </c>
      <c r="O129" s="31" t="inlineStr">
        <is>
          <t>338-068-007-0</t>
        </is>
      </c>
      <c r="P129" s="31" t="inlineStr">
        <is>
          <t>SR Technics Switzerland</t>
        </is>
      </c>
    </row>
    <row r="130">
      <c r="B130" s="31" t="inlineStr">
        <is>
          <t>CFM56-5B</t>
        </is>
      </c>
      <c r="C130" s="31" t="inlineStr">
        <is>
          <t>2024-2025</t>
        </is>
      </c>
      <c r="D130" s="31" t="inlineStr">
        <is>
          <t>139035</t>
        </is>
      </c>
      <c r="E130" s="31" t="inlineStr">
        <is>
          <t>72-23-08</t>
        </is>
      </c>
      <c r="F130" s="31" t="inlineStr">
        <is>
          <t>SB03</t>
        </is>
      </c>
      <c r="G130" s="31" t="inlineStr">
        <is>
          <t>Fan / booster</t>
        </is>
      </c>
      <c r="H130" s="27" t="n">
        <v>565</v>
      </c>
      <c r="I130" s="27" t="n">
        <v>600</v>
      </c>
      <c r="J130" s="154">
        <f>I130/H130-1</f>
        <v/>
      </c>
      <c r="K130" s="31" t="inlineStr">
        <is>
          <t>45</t>
        </is>
      </c>
      <c r="L130" s="31" t="inlineStr">
        <is>
          <t>45</t>
        </is>
      </c>
      <c r="M130" s="31" t="inlineStr">
        <is>
          <t>S1</t>
        </is>
      </c>
      <c r="N130" s="31" t="inlineStr">
        <is>
          <t>S2</t>
        </is>
      </c>
      <c r="O130" s="31" t="inlineStr">
        <is>
          <t>338-068-007-0</t>
        </is>
      </c>
      <c r="P130" s="31" t="inlineStr">
        <is>
          <t>SR Technics Switzerland</t>
        </is>
      </c>
    </row>
    <row r="131">
      <c r="B131" s="31" t="inlineStr">
        <is>
          <t>CFM56-5B</t>
        </is>
      </c>
      <c r="C131" s="31" t="inlineStr">
        <is>
          <t>2024-2025</t>
        </is>
      </c>
      <c r="D131" s="31" t="inlineStr">
        <is>
          <t>139040</t>
        </is>
      </c>
      <c r="E131" s="31" t="inlineStr">
        <is>
          <t>72-23-07</t>
        </is>
      </c>
      <c r="F131" s="31" t="inlineStr">
        <is>
          <t>A</t>
        </is>
      </c>
      <c r="G131" s="31" t="inlineStr">
        <is>
          <t>Fan / booster</t>
        </is>
      </c>
      <c r="H131" s="27" t="n">
        <v>435</v>
      </c>
      <c r="I131" s="27" t="n">
        <v>465</v>
      </c>
      <c r="J131" s="154">
        <f>I131/H131-1</f>
        <v/>
      </c>
      <c r="K131" s="31" t="inlineStr">
        <is>
          <t>46</t>
        </is>
      </c>
      <c r="L131" s="31" t="inlineStr">
        <is>
          <t>46</t>
        </is>
      </c>
      <c r="M131" s="31" t="inlineStr">
        <is>
          <t>S1</t>
        </is>
      </c>
      <c r="N131" s="31" t="inlineStr">
        <is>
          <t>S2</t>
        </is>
      </c>
      <c r="O131" s="31" t="inlineStr">
        <is>
          <t>338-070-102-0</t>
        </is>
      </c>
      <c r="P131" s="31" t="inlineStr">
        <is>
          <t>SR Technics Switzerland</t>
        </is>
      </c>
    </row>
    <row r="132">
      <c r="B132" s="31" t="inlineStr">
        <is>
          <t>CFM56-5B</t>
        </is>
      </c>
      <c r="C132" s="31" t="inlineStr">
        <is>
          <t>2024-2025</t>
        </is>
      </c>
      <c r="D132" s="31" t="inlineStr">
        <is>
          <t>139040</t>
        </is>
      </c>
      <c r="E132" s="31" t="inlineStr">
        <is>
          <t>72-23-07</t>
        </is>
      </c>
      <c r="F132" s="31" t="inlineStr">
        <is>
          <t>B</t>
        </is>
      </c>
      <c r="G132" s="31" t="inlineStr">
        <is>
          <t>Fan / booster</t>
        </is>
      </c>
      <c r="H132" s="27" t="n">
        <v>1220</v>
      </c>
      <c r="I132" s="27" t="n">
        <v>1295</v>
      </c>
      <c r="J132" s="154">
        <f>I132/H132-1</f>
        <v/>
      </c>
      <c r="K132" s="31" t="inlineStr">
        <is>
          <t>46</t>
        </is>
      </c>
      <c r="L132" s="31" t="inlineStr">
        <is>
          <t>46</t>
        </is>
      </c>
      <c r="M132" s="31" t="inlineStr">
        <is>
          <t>S1</t>
        </is>
      </c>
      <c r="N132" s="31" t="inlineStr">
        <is>
          <t>S2</t>
        </is>
      </c>
      <c r="O132" s="31" t="inlineStr">
        <is>
          <t>338-070-102-0</t>
        </is>
      </c>
      <c r="P132" s="31" t="inlineStr">
        <is>
          <t>SR Technics Switzerland</t>
        </is>
      </c>
    </row>
    <row r="133">
      <c r="B133" s="31" t="inlineStr">
        <is>
          <t>CFM56-5B</t>
        </is>
      </c>
      <c r="C133" s="31" t="inlineStr">
        <is>
          <t>2024-2025</t>
        </is>
      </c>
      <c r="D133" s="31" t="inlineStr">
        <is>
          <t>139040</t>
        </is>
      </c>
      <c r="E133" s="31" t="inlineStr">
        <is>
          <t>72-23-07</t>
        </is>
      </c>
      <c r="F133" s="31" t="inlineStr">
        <is>
          <t>C</t>
        </is>
      </c>
      <c r="G133" s="31" t="inlineStr">
        <is>
          <t>Fan / booster</t>
        </is>
      </c>
      <c r="H133" s="27" t="n">
        <v>865</v>
      </c>
      <c r="I133" s="27" t="n">
        <v>920</v>
      </c>
      <c r="J133" s="154">
        <f>I133/H133-1</f>
        <v/>
      </c>
      <c r="K133" s="31" t="inlineStr">
        <is>
          <t>46</t>
        </is>
      </c>
      <c r="L133" s="31" t="inlineStr">
        <is>
          <t>46</t>
        </is>
      </c>
      <c r="M133" s="31" t="inlineStr">
        <is>
          <t>S1</t>
        </is>
      </c>
      <c r="N133" s="31" t="inlineStr">
        <is>
          <t>S2</t>
        </is>
      </c>
      <c r="O133" s="31" t="inlineStr">
        <is>
          <t>338-070-102-0</t>
        </is>
      </c>
      <c r="P133" s="31" t="inlineStr">
        <is>
          <t>SR Technics Switzerland</t>
        </is>
      </c>
    </row>
    <row r="134">
      <c r="B134" s="31" t="inlineStr">
        <is>
          <t>CFM56-5B</t>
        </is>
      </c>
      <c r="C134" s="31" t="inlineStr">
        <is>
          <t>2024-2025</t>
        </is>
      </c>
      <c r="D134" s="31" t="inlineStr">
        <is>
          <t>139054</t>
        </is>
      </c>
      <c r="E134" s="31" t="inlineStr">
        <is>
          <t>72-32-20</t>
        </is>
      </c>
      <c r="F134" s="31" t="inlineStr">
        <is>
          <t>A</t>
        </is>
      </c>
      <c r="G134" s="31" t="inlineStr">
        <is>
          <t>Compressor</t>
        </is>
      </c>
      <c r="H134" s="27" t="n">
        <v>355</v>
      </c>
      <c r="I134" s="27" t="n">
        <v>380</v>
      </c>
      <c r="J134" s="154">
        <f>I134/H134-1</f>
        <v/>
      </c>
      <c r="K134" s="31" t="inlineStr">
        <is>
          <t>9</t>
        </is>
      </c>
      <c r="L134" s="31" t="inlineStr">
        <is>
          <t>10</t>
        </is>
      </c>
      <c r="M134" s="31" t="inlineStr">
        <is>
          <t>S1</t>
        </is>
      </c>
      <c r="N134" s="31" t="inlineStr">
        <is>
          <t>S2</t>
        </is>
      </c>
      <c r="O134" s="31" t="inlineStr">
        <is>
          <t>9992M86G07</t>
        </is>
      </c>
      <c r="P134" s="31" t="inlineStr">
        <is>
          <t>SR Technics Switzerland</t>
        </is>
      </c>
    </row>
    <row r="135">
      <c r="B135" s="31" t="inlineStr">
        <is>
          <t>CFM56-5B</t>
        </is>
      </c>
      <c r="C135" s="31" t="inlineStr">
        <is>
          <t>2024-2025</t>
        </is>
      </c>
      <c r="D135" s="31" t="inlineStr">
        <is>
          <t>139054</t>
        </is>
      </c>
      <c r="E135" s="31" t="inlineStr">
        <is>
          <t>72-32-20</t>
        </is>
      </c>
      <c r="F135" s="31" t="inlineStr">
        <is>
          <t>B</t>
        </is>
      </c>
      <c r="G135" s="31" t="inlineStr">
        <is>
          <t>Compressor</t>
        </is>
      </c>
      <c r="H135" s="27" t="n">
        <v>535</v>
      </c>
      <c r="I135" s="27" t="n">
        <v>570</v>
      </c>
      <c r="J135" s="154">
        <f>I135/H135-1</f>
        <v/>
      </c>
      <c r="K135" s="31" t="inlineStr">
        <is>
          <t>9</t>
        </is>
      </c>
      <c r="L135" s="31" t="inlineStr">
        <is>
          <t>10</t>
        </is>
      </c>
      <c r="M135" s="31" t="inlineStr">
        <is>
          <t>S1</t>
        </is>
      </c>
      <c r="N135" s="31" t="inlineStr">
        <is>
          <t>S2</t>
        </is>
      </c>
      <c r="O135" s="31" t="inlineStr">
        <is>
          <t>9992M86G07</t>
        </is>
      </c>
      <c r="P135" s="31" t="inlineStr">
        <is>
          <t>SR Technics Switzerland</t>
        </is>
      </c>
    </row>
    <row r="136">
      <c r="B136" s="31" t="inlineStr">
        <is>
          <t>CFM56-5B</t>
        </is>
      </c>
      <c r="C136" s="31" t="inlineStr">
        <is>
          <t>2024-2025</t>
        </is>
      </c>
      <c r="D136" s="31" t="inlineStr">
        <is>
          <t>139055</t>
        </is>
      </c>
      <c r="E136" s="31" t="inlineStr">
        <is>
          <t>72-21-10</t>
        </is>
      </c>
      <c r="F136" s="31" t="inlineStr">
        <is>
          <t>A</t>
        </is>
      </c>
      <c r="G136" s="31" t="inlineStr">
        <is>
          <t>Fan / booster</t>
        </is>
      </c>
      <c r="H136" s="27" t="n">
        <v>80</v>
      </c>
      <c r="I136" s="27" t="n">
        <v>85</v>
      </c>
      <c r="J136" s="154">
        <f>I136/H136-1</f>
        <v/>
      </c>
      <c r="K136" s="31" t="inlineStr">
        <is>
          <t>47</t>
        </is>
      </c>
      <c r="L136" s="31" t="inlineStr">
        <is>
          <t>47</t>
        </is>
      </c>
      <c r="M136" s="31" t="inlineStr">
        <is>
          <t>S1</t>
        </is>
      </c>
      <c r="N136" s="31" t="inlineStr">
        <is>
          <t>S2</t>
        </is>
      </c>
      <c r="O136" s="31" t="inlineStr">
        <is>
          <t>338-006-102-0</t>
        </is>
      </c>
      <c r="P136" s="31" t="inlineStr">
        <is>
          <t>SR Technics Switzerland</t>
        </is>
      </c>
    </row>
    <row r="137">
      <c r="B137" s="31" t="inlineStr">
        <is>
          <t>CFM56-5B</t>
        </is>
      </c>
      <c r="C137" s="31" t="inlineStr">
        <is>
          <t>2024-2025</t>
        </is>
      </c>
      <c r="D137" s="31" t="inlineStr">
        <is>
          <t>139055</t>
        </is>
      </c>
      <c r="E137" s="31" t="inlineStr">
        <is>
          <t>72-21-10</t>
        </is>
      </c>
      <c r="F137" s="31" t="inlineStr">
        <is>
          <t>B</t>
        </is>
      </c>
      <c r="G137" s="31" t="inlineStr">
        <is>
          <t>Fan / booster</t>
        </is>
      </c>
      <c r="H137" s="27" t="n">
        <v>150</v>
      </c>
      <c r="I137" s="27" t="n">
        <v>160</v>
      </c>
      <c r="J137" s="154">
        <f>I137/H137-1</f>
        <v/>
      </c>
      <c r="K137" s="31" t="inlineStr">
        <is>
          <t>47</t>
        </is>
      </c>
      <c r="L137" s="31" t="inlineStr">
        <is>
          <t>47</t>
        </is>
      </c>
      <c r="M137" s="31" t="inlineStr">
        <is>
          <t>S1</t>
        </is>
      </c>
      <c r="N137" s="31" t="inlineStr">
        <is>
          <t>S2</t>
        </is>
      </c>
      <c r="O137" s="31" t="inlineStr">
        <is>
          <t>338-006-102-0</t>
        </is>
      </c>
      <c r="P137" s="31" t="inlineStr">
        <is>
          <t>SR Technics Switzerland</t>
        </is>
      </c>
    </row>
    <row r="138">
      <c r="B138" s="31" t="inlineStr">
        <is>
          <t>CFM56-5B</t>
        </is>
      </c>
      <c r="C138" s="31" t="inlineStr">
        <is>
          <t>2024-2025</t>
        </is>
      </c>
      <c r="D138" s="31" t="inlineStr">
        <is>
          <t>139056</t>
        </is>
      </c>
      <c r="E138" s="31" t="inlineStr">
        <is>
          <t>72-23-05</t>
        </is>
      </c>
      <c r="F138" s="31" t="inlineStr">
        <is>
          <t>A</t>
        </is>
      </c>
      <c r="G138" s="31" t="inlineStr">
        <is>
          <t>Fan / booster</t>
        </is>
      </c>
      <c r="H138" s="27" t="n">
        <v>760</v>
      </c>
      <c r="I138" s="27" t="n">
        <v>810</v>
      </c>
      <c r="J138" s="154">
        <f>I138/H138-1</f>
        <v/>
      </c>
      <c r="K138" s="31" t="inlineStr">
        <is>
          <t>47</t>
        </is>
      </c>
      <c r="L138" s="31" t="inlineStr">
        <is>
          <t>47</t>
        </is>
      </c>
      <c r="M138" s="31" t="inlineStr">
        <is>
          <t>S1</t>
        </is>
      </c>
      <c r="N138" s="31" t="inlineStr">
        <is>
          <t>S2</t>
        </is>
      </c>
      <c r="O138" s="31" t="inlineStr">
        <is>
          <t>301-295-106-0</t>
        </is>
      </c>
      <c r="P138" s="31" t="inlineStr">
        <is>
          <t>SR Technics Switzerland</t>
        </is>
      </c>
    </row>
    <row r="139">
      <c r="B139" s="31" t="inlineStr">
        <is>
          <t>CFM56-5B</t>
        </is>
      </c>
      <c r="C139" s="31" t="inlineStr">
        <is>
          <t>2024-2025</t>
        </is>
      </c>
      <c r="D139" s="31" t="inlineStr">
        <is>
          <t>139056</t>
        </is>
      </c>
      <c r="E139" s="31" t="inlineStr">
        <is>
          <t>72-23-05</t>
        </is>
      </c>
      <c r="F139" s="31" t="inlineStr">
        <is>
          <t>C</t>
        </is>
      </c>
      <c r="G139" s="31" t="inlineStr">
        <is>
          <t>Fan / booster</t>
        </is>
      </c>
      <c r="H139" s="27" t="n">
        <v>1885</v>
      </c>
      <c r="I139" s="27" t="n">
        <v>2000</v>
      </c>
      <c r="J139" s="154">
        <f>I139/H139-1</f>
        <v/>
      </c>
      <c r="K139" s="31" t="inlineStr">
        <is>
          <t>47</t>
        </is>
      </c>
      <c r="L139" s="31" t="inlineStr">
        <is>
          <t>47</t>
        </is>
      </c>
      <c r="M139" s="31" t="inlineStr">
        <is>
          <t>S1</t>
        </is>
      </c>
      <c r="N139" s="31" t="inlineStr">
        <is>
          <t>S2</t>
        </is>
      </c>
      <c r="O139" s="31" t="inlineStr">
        <is>
          <t>301-295-106-0</t>
        </is>
      </c>
      <c r="P139" s="31" t="inlineStr">
        <is>
          <t>SR Technics Switzerland</t>
        </is>
      </c>
    </row>
    <row r="140">
      <c r="B140" s="31" t="inlineStr">
        <is>
          <t>CFM56-5B</t>
        </is>
      </c>
      <c r="C140" s="31" t="inlineStr">
        <is>
          <t>2024-2025</t>
        </is>
      </c>
      <c r="D140" s="31" t="inlineStr">
        <is>
          <t>139056</t>
        </is>
      </c>
      <c r="E140" s="31" t="inlineStr">
        <is>
          <t>72-23-05</t>
        </is>
      </c>
      <c r="F140" s="31" t="inlineStr">
        <is>
          <t>E</t>
        </is>
      </c>
      <c r="G140" s="31" t="inlineStr">
        <is>
          <t>Fan / booster</t>
        </is>
      </c>
      <c r="H140" s="27" t="n">
        <v>1885</v>
      </c>
      <c r="I140" s="27" t="n">
        <v>2000</v>
      </c>
      <c r="J140" s="154">
        <f>I140/H140-1</f>
        <v/>
      </c>
      <c r="K140" s="31" t="inlineStr">
        <is>
          <t>47</t>
        </is>
      </c>
      <c r="L140" s="31" t="inlineStr">
        <is>
          <t>47</t>
        </is>
      </c>
      <c r="M140" s="31" t="inlineStr">
        <is>
          <t>S1</t>
        </is>
      </c>
      <c r="N140" s="31" t="inlineStr">
        <is>
          <t>S2</t>
        </is>
      </c>
      <c r="O140" s="31" t="inlineStr">
        <is>
          <t>301-295-106-0</t>
        </is>
      </c>
      <c r="P140" s="31" t="inlineStr">
        <is>
          <t>SR Technics Switzerland</t>
        </is>
      </c>
    </row>
    <row r="141">
      <c r="B141" s="31" t="inlineStr">
        <is>
          <t>CFM56-5B</t>
        </is>
      </c>
      <c r="C141" s="31" t="inlineStr">
        <is>
          <t>2024-2025</t>
        </is>
      </c>
      <c r="D141" s="31" t="inlineStr">
        <is>
          <t>139056</t>
        </is>
      </c>
      <c r="E141" s="31" t="inlineStr">
        <is>
          <t>72-23-05</t>
        </is>
      </c>
      <c r="F141" s="31" t="inlineStr">
        <is>
          <t>SB00</t>
        </is>
      </c>
      <c r="G141" s="31" t="inlineStr">
        <is>
          <t>Fan / booster</t>
        </is>
      </c>
      <c r="H141" s="27" t="n">
        <v>150</v>
      </c>
      <c r="I141" s="27" t="n">
        <v>160</v>
      </c>
      <c r="J141" s="154">
        <f>I141/H141-1</f>
        <v/>
      </c>
      <c r="K141" s="31" t="inlineStr">
        <is>
          <t>47</t>
        </is>
      </c>
      <c r="L141" s="31" t="inlineStr">
        <is>
          <t>47</t>
        </is>
      </c>
      <c r="M141" s="31" t="inlineStr">
        <is>
          <t>S1</t>
        </is>
      </c>
      <c r="N141" s="31" t="inlineStr">
        <is>
          <t>S2</t>
        </is>
      </c>
      <c r="O141" s="31" t="inlineStr">
        <is>
          <t>301-295-106-0</t>
        </is>
      </c>
      <c r="P141" s="31" t="inlineStr">
        <is>
          <t>SR Technics Switzerland</t>
        </is>
      </c>
    </row>
    <row r="142">
      <c r="B142" s="31" t="inlineStr">
        <is>
          <t>CFM56-5B</t>
        </is>
      </c>
      <c r="C142" s="31" t="inlineStr">
        <is>
          <t>2024-2025</t>
        </is>
      </c>
      <c r="D142" s="31" t="inlineStr">
        <is>
          <t>139334</t>
        </is>
      </c>
      <c r="E142" s="31" t="inlineStr">
        <is>
          <t>72-52-10</t>
        </is>
      </c>
      <c r="F142" s="31" t="inlineStr">
        <is>
          <t>A</t>
        </is>
      </c>
      <c r="G142" s="31" t="inlineStr">
        <is>
          <t>HPT / nozzle</t>
        </is>
      </c>
      <c r="H142" s="27" t="n">
        <v>590</v>
      </c>
      <c r="I142" s="27" t="n">
        <v>630</v>
      </c>
      <c r="J142" s="154">
        <f>I142/H142-1</f>
        <v/>
      </c>
      <c r="K142" s="31" t="inlineStr">
        <is>
          <t>10</t>
        </is>
      </c>
      <c r="L142" s="31" t="inlineStr">
        <is>
          <t>10</t>
        </is>
      </c>
      <c r="M142" s="31" t="inlineStr">
        <is>
          <t>S1</t>
        </is>
      </c>
      <c r="N142" s="31" t="inlineStr">
        <is>
          <t>S2</t>
        </is>
      </c>
      <c r="O142" s="31" t="inlineStr">
        <is>
          <t>1319M17P01</t>
        </is>
      </c>
      <c r="P142" s="31" t="inlineStr">
        <is>
          <t>SR Technics Switzerland</t>
        </is>
      </c>
    </row>
    <row r="143">
      <c r="B143" s="31" t="inlineStr">
        <is>
          <t>CFM56-5B</t>
        </is>
      </c>
      <c r="C143" s="31" t="inlineStr">
        <is>
          <t>2024-2025</t>
        </is>
      </c>
      <c r="D143" s="31" t="inlineStr">
        <is>
          <t>139334</t>
        </is>
      </c>
      <c r="E143" s="31" t="inlineStr">
        <is>
          <t>72-52-10</t>
        </is>
      </c>
      <c r="F143" s="31" t="inlineStr">
        <is>
          <t>C</t>
        </is>
      </c>
      <c r="G143" s="31" t="inlineStr">
        <is>
          <t>HPT / nozzle</t>
        </is>
      </c>
      <c r="H143" s="27" t="n">
        <v>4120</v>
      </c>
      <c r="I143" s="27" t="n">
        <v>4370</v>
      </c>
      <c r="J143" s="154">
        <f>I143/H143-1</f>
        <v/>
      </c>
      <c r="K143" s="31" t="inlineStr">
        <is>
          <t>10</t>
        </is>
      </c>
      <c r="L143" s="31" t="inlineStr">
        <is>
          <t>10</t>
        </is>
      </c>
      <c r="M143" s="31" t="inlineStr">
        <is>
          <t>S1</t>
        </is>
      </c>
      <c r="N143" s="31" t="inlineStr">
        <is>
          <t>S2</t>
        </is>
      </c>
      <c r="O143" s="31" t="inlineStr">
        <is>
          <t>1319M17P01</t>
        </is>
      </c>
      <c r="P143" s="31" t="inlineStr">
        <is>
          <t>SR Technics Switzerland</t>
        </is>
      </c>
    </row>
    <row r="144">
      <c r="B144" s="31" t="inlineStr">
        <is>
          <t>CFM56-5B</t>
        </is>
      </c>
      <c r="C144" s="31" t="inlineStr">
        <is>
          <t>2024-2025</t>
        </is>
      </c>
      <c r="D144" s="31" t="inlineStr">
        <is>
          <t>139334</t>
        </is>
      </c>
      <c r="E144" s="31" t="inlineStr">
        <is>
          <t>72-52-10</t>
        </is>
      </c>
      <c r="F144" s="31" t="inlineStr">
        <is>
          <t>F</t>
        </is>
      </c>
      <c r="G144" s="31" t="inlineStr">
        <is>
          <t>HPT / nozzle</t>
        </is>
      </c>
      <c r="H144" s="27" t="n">
        <v>330</v>
      </c>
      <c r="I144" s="27" t="n">
        <v>350</v>
      </c>
      <c r="J144" s="154">
        <f>I144/H144-1</f>
        <v/>
      </c>
      <c r="K144" s="31" t="inlineStr">
        <is>
          <t>10</t>
        </is>
      </c>
      <c r="L144" s="31" t="inlineStr">
        <is>
          <t>10</t>
        </is>
      </c>
      <c r="M144" s="31" t="inlineStr">
        <is>
          <t>S1</t>
        </is>
      </c>
      <c r="N144" s="31" t="inlineStr">
        <is>
          <t>S2</t>
        </is>
      </c>
      <c r="O144" s="31" t="inlineStr">
        <is>
          <t>1319M17P01</t>
        </is>
      </c>
      <c r="P144" s="31" t="inlineStr">
        <is>
          <t>SR Technics Switzerland</t>
        </is>
      </c>
    </row>
    <row r="145">
      <c r="B145" s="31" t="inlineStr">
        <is>
          <t>CFM56-5B</t>
        </is>
      </c>
      <c r="C145" s="31" t="inlineStr">
        <is>
          <t>2024-2025</t>
        </is>
      </c>
      <c r="D145" s="31" t="inlineStr">
        <is>
          <t>139334</t>
        </is>
      </c>
      <c r="E145" s="31" t="inlineStr">
        <is>
          <t>72-52-10</t>
        </is>
      </c>
      <c r="F145" s="31" t="inlineStr">
        <is>
          <t>SB00</t>
        </is>
      </c>
      <c r="G145" s="31" t="inlineStr">
        <is>
          <t>HPT / nozzle</t>
        </is>
      </c>
      <c r="H145" s="27" t="n">
        <v>430</v>
      </c>
      <c r="I145" s="27" t="n">
        <v>460</v>
      </c>
      <c r="J145" s="154">
        <f>I145/H145-1</f>
        <v/>
      </c>
      <c r="K145" s="31" t="inlineStr">
        <is>
          <t>10</t>
        </is>
      </c>
      <c r="L145" s="31" t="inlineStr">
        <is>
          <t>10</t>
        </is>
      </c>
      <c r="M145" s="31" t="inlineStr">
        <is>
          <t>S1</t>
        </is>
      </c>
      <c r="N145" s="31" t="inlineStr">
        <is>
          <t>S2</t>
        </is>
      </c>
      <c r="O145" s="31" t="inlineStr">
        <is>
          <t>1319M17P01</t>
        </is>
      </c>
      <c r="P145" s="31" t="inlineStr">
        <is>
          <t>SR Technics Switzerland</t>
        </is>
      </c>
    </row>
    <row r="146">
      <c r="B146" s="31" t="inlineStr">
        <is>
          <t>CFM56-5B</t>
        </is>
      </c>
      <c r="C146" s="31" t="inlineStr">
        <is>
          <t>2024-2025</t>
        </is>
      </c>
      <c r="D146" s="31" t="inlineStr">
        <is>
          <t>139335</t>
        </is>
      </c>
      <c r="E146" s="31" t="inlineStr">
        <is>
          <t>72-61-01</t>
        </is>
      </c>
      <c r="F146" s="31" t="inlineStr">
        <is>
          <t>A</t>
        </is>
      </c>
      <c r="G146" s="31" t="inlineStr">
        <is>
          <t>Gearbox</t>
        </is>
      </c>
      <c r="H146" s="27" t="n">
        <v>525</v>
      </c>
      <c r="I146" s="27" t="n">
        <v>560</v>
      </c>
      <c r="J146" s="154">
        <f>I146/H146-1</f>
        <v/>
      </c>
      <c r="K146" s="31" t="inlineStr">
        <is>
          <t>10</t>
        </is>
      </c>
      <c r="L146" s="31" t="inlineStr">
        <is>
          <t>10</t>
        </is>
      </c>
      <c r="M146" s="31" t="inlineStr">
        <is>
          <t>S1</t>
        </is>
      </c>
      <c r="N146" s="31" t="inlineStr">
        <is>
          <t>S2</t>
        </is>
      </c>
      <c r="O146" s="31" t="inlineStr">
        <is>
          <t>1360M70G01</t>
        </is>
      </c>
      <c r="P146" s="31" t="inlineStr">
        <is>
          <t>SR Technics Switzerland</t>
        </is>
      </c>
    </row>
    <row r="147">
      <c r="B147" s="31" t="inlineStr">
        <is>
          <t>CFM56-5B</t>
        </is>
      </c>
      <c r="C147" s="31" t="inlineStr">
        <is>
          <t>2024-2025</t>
        </is>
      </c>
      <c r="D147" s="31" t="inlineStr">
        <is>
          <t>139335</t>
        </is>
      </c>
      <c r="E147" s="31" t="inlineStr">
        <is>
          <t>72-61-01</t>
        </is>
      </c>
      <c r="F147" s="31" t="inlineStr">
        <is>
          <t>B</t>
        </is>
      </c>
      <c r="G147" s="31" t="inlineStr">
        <is>
          <t>Gearbox</t>
        </is>
      </c>
      <c r="H147" s="27" t="n">
        <v>1205</v>
      </c>
      <c r="I147" s="27" t="n">
        <v>1280</v>
      </c>
      <c r="J147" s="154">
        <f>I147/H147-1</f>
        <v/>
      </c>
      <c r="K147" s="31" t="inlineStr">
        <is>
          <t>10</t>
        </is>
      </c>
      <c r="L147" s="31" t="inlineStr">
        <is>
          <t>10</t>
        </is>
      </c>
      <c r="M147" s="31" t="inlineStr">
        <is>
          <t>S1</t>
        </is>
      </c>
      <c r="N147" s="31" t="inlineStr">
        <is>
          <t>S2</t>
        </is>
      </c>
      <c r="O147" s="31" t="inlineStr">
        <is>
          <t>1360M70G01</t>
        </is>
      </c>
      <c r="P147" s="31" t="inlineStr">
        <is>
          <t>SR Technics Switzerland</t>
        </is>
      </c>
    </row>
    <row r="148">
      <c r="B148" s="31" t="inlineStr">
        <is>
          <t>CFM56-5B</t>
        </is>
      </c>
      <c r="C148" s="31" t="inlineStr">
        <is>
          <t>2024-2025</t>
        </is>
      </c>
      <c r="D148" s="31" t="inlineStr">
        <is>
          <t>139335</t>
        </is>
      </c>
      <c r="E148" s="31" t="inlineStr">
        <is>
          <t>72-61-01</t>
        </is>
      </c>
      <c r="F148" s="31" t="inlineStr">
        <is>
          <t>C</t>
        </is>
      </c>
      <c r="G148" s="31" t="inlineStr">
        <is>
          <t>Gearbox</t>
        </is>
      </c>
      <c r="H148" s="27" t="n">
        <v>920</v>
      </c>
      <c r="I148" s="27" t="n">
        <v>980</v>
      </c>
      <c r="J148" s="154">
        <f>I148/H148-1</f>
        <v/>
      </c>
      <c r="K148" s="31" t="inlineStr">
        <is>
          <t>10</t>
        </is>
      </c>
      <c r="L148" s="31" t="inlineStr">
        <is>
          <t>10</t>
        </is>
      </c>
      <c r="M148" s="31" t="inlineStr">
        <is>
          <t>S1</t>
        </is>
      </c>
      <c r="N148" s="31" t="inlineStr">
        <is>
          <t>S2</t>
        </is>
      </c>
      <c r="O148" s="31" t="inlineStr">
        <is>
          <t>1360M70G01</t>
        </is>
      </c>
      <c r="P148" s="31" t="inlineStr">
        <is>
          <t>SR Technics Switzerland</t>
        </is>
      </c>
    </row>
    <row r="149">
      <c r="B149" s="31" t="inlineStr">
        <is>
          <t>CFM56-5B</t>
        </is>
      </c>
      <c r="C149" s="31" t="inlineStr">
        <is>
          <t>2024-2025</t>
        </is>
      </c>
      <c r="D149" s="31" t="inlineStr">
        <is>
          <t>139335</t>
        </is>
      </c>
      <c r="E149" s="31" t="inlineStr">
        <is>
          <t>72-61-01</t>
        </is>
      </c>
      <c r="F149" s="31" t="inlineStr">
        <is>
          <t>E</t>
        </is>
      </c>
      <c r="G149" s="31" t="inlineStr">
        <is>
          <t>Gearbox</t>
        </is>
      </c>
      <c r="H149" s="27" t="n">
        <v>1565</v>
      </c>
      <c r="I149" s="27" t="n">
        <v>1660</v>
      </c>
      <c r="J149" s="154">
        <f>I149/H149-1</f>
        <v/>
      </c>
      <c r="K149" s="31" t="inlineStr">
        <is>
          <t>10</t>
        </is>
      </c>
      <c r="L149" s="31" t="inlineStr">
        <is>
          <t>10</t>
        </is>
      </c>
      <c r="M149" s="31" t="inlineStr">
        <is>
          <t>S1</t>
        </is>
      </c>
      <c r="N149" s="31" t="inlineStr">
        <is>
          <t>S2</t>
        </is>
      </c>
      <c r="O149" s="31" t="inlineStr">
        <is>
          <t>1360M70G01</t>
        </is>
      </c>
      <c r="P149" s="31" t="inlineStr">
        <is>
          <t>SR Technics Switzerland</t>
        </is>
      </c>
    </row>
    <row r="150">
      <c r="B150" s="31" t="inlineStr">
        <is>
          <t>CFM56-5B</t>
        </is>
      </c>
      <c r="C150" s="31" t="inlineStr">
        <is>
          <t>2024-2025</t>
        </is>
      </c>
      <c r="D150" s="31" t="inlineStr">
        <is>
          <t>139335</t>
        </is>
      </c>
      <c r="E150" s="31" t="inlineStr">
        <is>
          <t>72-61-01</t>
        </is>
      </c>
      <c r="F150" s="31" t="inlineStr">
        <is>
          <t>F</t>
        </is>
      </c>
      <c r="G150" s="31" t="inlineStr">
        <is>
          <t>Gearbox</t>
        </is>
      </c>
      <c r="H150" s="27" t="n">
        <v>3295</v>
      </c>
      <c r="I150" s="27" t="n">
        <v>3495</v>
      </c>
      <c r="J150" s="154">
        <f>I150/H150-1</f>
        <v/>
      </c>
      <c r="K150" s="31" t="inlineStr">
        <is>
          <t>10</t>
        </is>
      </c>
      <c r="L150" s="31" t="inlineStr">
        <is>
          <t>10</t>
        </is>
      </c>
      <c r="M150" s="31" t="inlineStr">
        <is>
          <t>S1</t>
        </is>
      </c>
      <c r="N150" s="31" t="inlineStr">
        <is>
          <t>S2</t>
        </is>
      </c>
      <c r="O150" s="31" t="inlineStr">
        <is>
          <t>1360M70G01</t>
        </is>
      </c>
      <c r="P150" s="31" t="inlineStr">
        <is>
          <t>SR Technics Switzerland</t>
        </is>
      </c>
    </row>
    <row r="151">
      <c r="B151" s="31" t="inlineStr">
        <is>
          <t>CFM56-5B</t>
        </is>
      </c>
      <c r="C151" s="31" t="inlineStr">
        <is>
          <t>2024-2025</t>
        </is>
      </c>
      <c r="D151" s="31" t="inlineStr">
        <is>
          <t>139335</t>
        </is>
      </c>
      <c r="E151" s="31" t="inlineStr">
        <is>
          <t>72-61-01</t>
        </is>
      </c>
      <c r="F151" s="31" t="inlineStr">
        <is>
          <t>H</t>
        </is>
      </c>
      <c r="G151" s="31" t="inlineStr">
        <is>
          <t>Gearbox</t>
        </is>
      </c>
      <c r="H151" s="27" t="n">
        <v>3070</v>
      </c>
      <c r="I151" s="27" t="n">
        <v>3255</v>
      </c>
      <c r="J151" s="154">
        <f>I151/H151-1</f>
        <v/>
      </c>
      <c r="K151" s="31" t="inlineStr">
        <is>
          <t>10</t>
        </is>
      </c>
      <c r="L151" s="31" t="inlineStr">
        <is>
          <t>10</t>
        </is>
      </c>
      <c r="M151" s="31" t="inlineStr">
        <is>
          <t>S1</t>
        </is>
      </c>
      <c r="N151" s="31" t="inlineStr">
        <is>
          <t>S2</t>
        </is>
      </c>
      <c r="O151" s="31" t="inlineStr">
        <is>
          <t>1360M70G01</t>
        </is>
      </c>
      <c r="P151" s="31" t="inlineStr">
        <is>
          <t>SR Technics Switzerland</t>
        </is>
      </c>
    </row>
    <row r="152">
      <c r="B152" s="31" t="inlineStr">
        <is>
          <t>CFM56-5B</t>
        </is>
      </c>
      <c r="C152" s="31" t="inlineStr">
        <is>
          <t>2024-2025</t>
        </is>
      </c>
      <c r="D152" s="31" t="inlineStr">
        <is>
          <t>139335</t>
        </is>
      </c>
      <c r="E152" s="31" t="inlineStr">
        <is>
          <t>72-61-01</t>
        </is>
      </c>
      <c r="F152" s="31" t="inlineStr">
        <is>
          <t>SB01</t>
        </is>
      </c>
      <c r="G152" s="31" t="inlineStr">
        <is>
          <t>Gearbox</t>
        </is>
      </c>
      <c r="H152" s="27" t="n">
        <v>925</v>
      </c>
      <c r="I152" s="27" t="n">
        <v>985</v>
      </c>
      <c r="J152" s="154">
        <f>I152/H152-1</f>
        <v/>
      </c>
      <c r="K152" s="31" t="inlineStr">
        <is>
          <t>10</t>
        </is>
      </c>
      <c r="L152" s="31" t="inlineStr">
        <is>
          <t>10</t>
        </is>
      </c>
      <c r="M152" s="31" t="inlineStr">
        <is>
          <t>S1</t>
        </is>
      </c>
      <c r="N152" s="31" t="inlineStr">
        <is>
          <t>S2</t>
        </is>
      </c>
      <c r="O152" s="31" t="inlineStr">
        <is>
          <t>1360M70G01</t>
        </is>
      </c>
      <c r="P152" s="31" t="inlineStr">
        <is>
          <t>SR Technics Switzerland</t>
        </is>
      </c>
    </row>
    <row r="153">
      <c r="B153" s="31" t="inlineStr">
        <is>
          <t>CFM56-5B</t>
        </is>
      </c>
      <c r="C153" s="31" t="inlineStr">
        <is>
          <t>2024-2025</t>
        </is>
      </c>
      <c r="D153" s="31" t="inlineStr">
        <is>
          <t>139336</t>
        </is>
      </c>
      <c r="E153" s="31" t="inlineStr">
        <is>
          <t>72-61-04</t>
        </is>
      </c>
      <c r="F153" s="31" t="inlineStr">
        <is>
          <t>A</t>
        </is>
      </c>
      <c r="G153" s="31" t="inlineStr">
        <is>
          <t>Gearbox</t>
        </is>
      </c>
      <c r="H153" s="27" t="n">
        <v>835</v>
      </c>
      <c r="I153" s="27" t="n">
        <v>890</v>
      </c>
      <c r="J153" s="154">
        <f>I153/H153-1</f>
        <v/>
      </c>
      <c r="K153" s="31" t="inlineStr">
        <is>
          <t>10</t>
        </is>
      </c>
      <c r="L153" s="31" t="inlineStr">
        <is>
          <t>10</t>
        </is>
      </c>
      <c r="M153" s="31" t="inlineStr">
        <is>
          <t>S1</t>
        </is>
      </c>
      <c r="N153" s="31" t="inlineStr">
        <is>
          <t>S2</t>
        </is>
      </c>
      <c r="O153" s="31" t="inlineStr">
        <is>
          <t>1361M13P01</t>
        </is>
      </c>
      <c r="P153" s="31" t="inlineStr">
        <is>
          <t>SR Technics Switzerland</t>
        </is>
      </c>
    </row>
    <row r="154">
      <c r="B154" s="31" t="inlineStr">
        <is>
          <t>CFM56-5B</t>
        </is>
      </c>
      <c r="C154" s="31" t="inlineStr">
        <is>
          <t>2024-2025</t>
        </is>
      </c>
      <c r="D154" s="31" t="inlineStr">
        <is>
          <t>139336</t>
        </is>
      </c>
      <c r="E154" s="31" t="inlineStr">
        <is>
          <t>72-61-04</t>
        </is>
      </c>
      <c r="F154" s="31" t="inlineStr">
        <is>
          <t>B</t>
        </is>
      </c>
      <c r="G154" s="31" t="inlineStr">
        <is>
          <t>Gearbox</t>
        </is>
      </c>
      <c r="H154" s="27" t="n">
        <v>1200</v>
      </c>
      <c r="I154" s="27" t="n">
        <v>1275</v>
      </c>
      <c r="J154" s="154">
        <f>I154/H154-1</f>
        <v/>
      </c>
      <c r="K154" s="31" t="inlineStr">
        <is>
          <t>10</t>
        </is>
      </c>
      <c r="L154" s="31" t="inlineStr">
        <is>
          <t>10</t>
        </is>
      </c>
      <c r="M154" s="31" t="inlineStr">
        <is>
          <t>S1</t>
        </is>
      </c>
      <c r="N154" s="31" t="inlineStr">
        <is>
          <t>S2</t>
        </is>
      </c>
      <c r="O154" s="31" t="inlineStr">
        <is>
          <t>1361M13P01</t>
        </is>
      </c>
      <c r="P154" s="31" t="inlineStr">
        <is>
          <t>SR Technics Switzerland</t>
        </is>
      </c>
    </row>
    <row r="155">
      <c r="B155" s="31" t="inlineStr">
        <is>
          <t>CFM56-5B</t>
        </is>
      </c>
      <c r="C155" s="31" t="inlineStr">
        <is>
          <t>2024-2025</t>
        </is>
      </c>
      <c r="D155" s="31" t="inlineStr">
        <is>
          <t>139339</t>
        </is>
      </c>
      <c r="E155" s="31" t="inlineStr">
        <is>
          <t>72-32-06</t>
        </is>
      </c>
      <c r="F155" s="31" t="inlineStr">
        <is>
          <t>A</t>
        </is>
      </c>
      <c r="G155" s="31" t="inlineStr">
        <is>
          <t>Compressor</t>
        </is>
      </c>
      <c r="H155" s="27" t="n">
        <v>790</v>
      </c>
      <c r="I155" s="27" t="n">
        <v>840</v>
      </c>
      <c r="J155" s="154">
        <f>I155/H155-1</f>
        <v/>
      </c>
      <c r="K155" s="31" t="inlineStr">
        <is>
          <t>10</t>
        </is>
      </c>
      <c r="L155" s="31" t="inlineStr">
        <is>
          <t>10</t>
        </is>
      </c>
      <c r="M155" s="31" t="inlineStr">
        <is>
          <t>S1</t>
        </is>
      </c>
      <c r="N155" s="31" t="inlineStr">
        <is>
          <t>S2</t>
        </is>
      </c>
      <c r="O155" s="31" t="inlineStr">
        <is>
          <t>1475M30G03</t>
        </is>
      </c>
      <c r="P155" s="31" t="inlineStr">
        <is>
          <t>SR Technics Switzerland</t>
        </is>
      </c>
    </row>
    <row r="156">
      <c r="B156" s="31" t="inlineStr">
        <is>
          <t>CFM56-5B</t>
        </is>
      </c>
      <c r="C156" s="31" t="inlineStr">
        <is>
          <t>2024-2025</t>
        </is>
      </c>
      <c r="D156" s="31" t="inlineStr">
        <is>
          <t>139339</t>
        </is>
      </c>
      <c r="E156" s="31" t="inlineStr">
        <is>
          <t>72-32-06</t>
        </is>
      </c>
      <c r="F156" s="31" t="inlineStr">
        <is>
          <t>B</t>
        </is>
      </c>
      <c r="G156" s="31" t="inlineStr">
        <is>
          <t>Compressor</t>
        </is>
      </c>
      <c r="H156" s="27" t="n">
        <v>3425</v>
      </c>
      <c r="I156" s="27" t="n">
        <v>3635</v>
      </c>
      <c r="J156" s="154">
        <f>I156/H156-1</f>
        <v/>
      </c>
      <c r="K156" s="31" t="inlineStr">
        <is>
          <t>10</t>
        </is>
      </c>
      <c r="L156" s="31" t="inlineStr">
        <is>
          <t>10</t>
        </is>
      </c>
      <c r="M156" s="31" t="inlineStr">
        <is>
          <t>S1</t>
        </is>
      </c>
      <c r="N156" s="31" t="inlineStr">
        <is>
          <t>S2</t>
        </is>
      </c>
      <c r="O156" s="31" t="inlineStr">
        <is>
          <t>1475M30G03</t>
        </is>
      </c>
      <c r="P156" s="31" t="inlineStr">
        <is>
          <t>SR Technics Switzerland</t>
        </is>
      </c>
    </row>
    <row r="157">
      <c r="B157" s="31" t="inlineStr">
        <is>
          <t>CFM56-5B</t>
        </is>
      </c>
      <c r="C157" s="31" t="inlineStr">
        <is>
          <t>2024-2025</t>
        </is>
      </c>
      <c r="D157" s="31" t="inlineStr">
        <is>
          <t>139339</t>
        </is>
      </c>
      <c r="E157" s="31" t="inlineStr">
        <is>
          <t>72-32-06</t>
        </is>
      </c>
      <c r="F157" s="31" t="inlineStr">
        <is>
          <t>C</t>
        </is>
      </c>
      <c r="G157" s="31" t="inlineStr">
        <is>
          <t>Compressor</t>
        </is>
      </c>
      <c r="H157" s="27" t="n">
        <v>3070</v>
      </c>
      <c r="I157" s="27" t="n">
        <v>3255</v>
      </c>
      <c r="J157" s="154">
        <f>I157/H157-1</f>
        <v/>
      </c>
      <c r="K157" s="31" t="inlineStr">
        <is>
          <t>10</t>
        </is>
      </c>
      <c r="L157" s="31" t="inlineStr">
        <is>
          <t>10</t>
        </is>
      </c>
      <c r="M157" s="31" t="inlineStr">
        <is>
          <t>S1</t>
        </is>
      </c>
      <c r="N157" s="31" t="inlineStr">
        <is>
          <t>S2</t>
        </is>
      </c>
      <c r="O157" s="31" t="inlineStr">
        <is>
          <t>1475M30G03</t>
        </is>
      </c>
      <c r="P157" s="31" t="inlineStr">
        <is>
          <t>SR Technics Switzerland</t>
        </is>
      </c>
    </row>
    <row r="158">
      <c r="B158" s="31" t="inlineStr">
        <is>
          <t>CFM56-5B</t>
        </is>
      </c>
      <c r="C158" s="31" t="inlineStr">
        <is>
          <t>2024-2025</t>
        </is>
      </c>
      <c r="D158" s="31" t="inlineStr">
        <is>
          <t>139339</t>
        </is>
      </c>
      <c r="E158" s="31" t="inlineStr">
        <is>
          <t>72-32-06</t>
        </is>
      </c>
      <c r="F158" s="31" t="inlineStr">
        <is>
          <t>D</t>
        </is>
      </c>
      <c r="G158" s="31" t="inlineStr">
        <is>
          <t>Compressor</t>
        </is>
      </c>
      <c r="H158" s="27" t="n">
        <v>175</v>
      </c>
      <c r="I158" s="27" t="n">
        <v>190</v>
      </c>
      <c r="J158" s="154">
        <f>I158/H158-1</f>
        <v/>
      </c>
      <c r="K158" s="31" t="inlineStr">
        <is>
          <t>10</t>
        </is>
      </c>
      <c r="L158" s="31" t="inlineStr">
        <is>
          <t>10</t>
        </is>
      </c>
      <c r="M158" s="31" t="inlineStr">
        <is>
          <t>S1</t>
        </is>
      </c>
      <c r="N158" s="31" t="inlineStr">
        <is>
          <t>S2</t>
        </is>
      </c>
      <c r="O158" s="31" t="inlineStr">
        <is>
          <t>1475M30G03</t>
        </is>
      </c>
      <c r="P158" s="31" t="inlineStr">
        <is>
          <t>SR Technics Switzerland</t>
        </is>
      </c>
    </row>
    <row r="159">
      <c r="B159" s="31" t="inlineStr">
        <is>
          <t>CFM56-5B</t>
        </is>
      </c>
      <c r="C159" s="31" t="inlineStr">
        <is>
          <t>2024-2025</t>
        </is>
      </c>
      <c r="D159" s="31" t="inlineStr">
        <is>
          <t>139339</t>
        </is>
      </c>
      <c r="E159" s="31" t="inlineStr">
        <is>
          <t>72-32-06</t>
        </is>
      </c>
      <c r="F159" s="31" t="inlineStr">
        <is>
          <t>E</t>
        </is>
      </c>
      <c r="G159" s="31" t="inlineStr">
        <is>
          <t>Compressor</t>
        </is>
      </c>
      <c r="H159" s="27" t="n">
        <v>2795</v>
      </c>
      <c r="I159" s="27" t="n">
        <v>2965</v>
      </c>
      <c r="J159" s="154">
        <f>I159/H159-1</f>
        <v/>
      </c>
      <c r="K159" s="31" t="inlineStr">
        <is>
          <t>10</t>
        </is>
      </c>
      <c r="L159" s="31" t="inlineStr">
        <is>
          <t>10</t>
        </is>
      </c>
      <c r="M159" s="31" t="inlineStr">
        <is>
          <t>S1</t>
        </is>
      </c>
      <c r="N159" s="31" t="inlineStr">
        <is>
          <t>S2</t>
        </is>
      </c>
      <c r="O159" s="31" t="inlineStr">
        <is>
          <t>1475M30G03</t>
        </is>
      </c>
      <c r="P159" s="31" t="inlineStr">
        <is>
          <t>SR Technics Switzerland</t>
        </is>
      </c>
    </row>
    <row r="160">
      <c r="B160" s="31" t="inlineStr">
        <is>
          <t>CFM56-5B</t>
        </is>
      </c>
      <c r="C160" s="31" t="inlineStr">
        <is>
          <t>2024-2025</t>
        </is>
      </c>
      <c r="D160" s="31" t="inlineStr">
        <is>
          <t>139339</t>
        </is>
      </c>
      <c r="E160" s="31" t="inlineStr">
        <is>
          <t>72-32-06</t>
        </is>
      </c>
      <c r="F160" s="31" t="inlineStr">
        <is>
          <t>G</t>
        </is>
      </c>
      <c r="G160" s="31" t="inlineStr">
        <is>
          <t>Compressor</t>
        </is>
      </c>
      <c r="H160" s="27" t="n">
        <v>5830</v>
      </c>
      <c r="I160" s="27" t="n">
        <v>6180</v>
      </c>
      <c r="J160" s="154">
        <f>I160/H160-1</f>
        <v/>
      </c>
      <c r="K160" s="31" t="inlineStr">
        <is>
          <t>10</t>
        </is>
      </c>
      <c r="L160" s="31" t="inlineStr">
        <is>
          <t>10</t>
        </is>
      </c>
      <c r="M160" s="31" t="inlineStr">
        <is>
          <t>S1</t>
        </is>
      </c>
      <c r="N160" s="31" t="inlineStr">
        <is>
          <t>S2</t>
        </is>
      </c>
      <c r="O160" s="31" t="inlineStr">
        <is>
          <t>1475M30G03</t>
        </is>
      </c>
      <c r="P160" s="31" t="inlineStr">
        <is>
          <t>SR Technics Switzerland</t>
        </is>
      </c>
    </row>
    <row r="161">
      <c r="B161" s="31" t="inlineStr">
        <is>
          <t>CFM56-5B</t>
        </is>
      </c>
      <c r="C161" s="31" t="inlineStr">
        <is>
          <t>2024-2025</t>
        </is>
      </c>
      <c r="D161" s="31" t="inlineStr">
        <is>
          <t>139339</t>
        </is>
      </c>
      <c r="E161" s="31" t="inlineStr">
        <is>
          <t>72-32-06</t>
        </is>
      </c>
      <c r="F161" s="31" t="inlineStr">
        <is>
          <t>SB00</t>
        </is>
      </c>
      <c r="G161" s="31" t="inlineStr">
        <is>
          <t>Compressor</t>
        </is>
      </c>
      <c r="H161" s="27" t="n">
        <v>435</v>
      </c>
      <c r="I161" s="27" t="n">
        <v>465</v>
      </c>
      <c r="J161" s="154">
        <f>I161/H161-1</f>
        <v/>
      </c>
      <c r="K161" s="31" t="inlineStr">
        <is>
          <t>10</t>
        </is>
      </c>
      <c r="L161" s="31" t="inlineStr">
        <is>
          <t>10</t>
        </is>
      </c>
      <c r="M161" s="31" t="inlineStr">
        <is>
          <t>S1</t>
        </is>
      </c>
      <c r="N161" s="31" t="inlineStr">
        <is>
          <t>S2</t>
        </is>
      </c>
      <c r="O161" s="31" t="inlineStr">
        <is>
          <t>1475M30G03</t>
        </is>
      </c>
      <c r="P161" s="31" t="inlineStr">
        <is>
          <t>SR Technics Switzerland</t>
        </is>
      </c>
    </row>
    <row r="162">
      <c r="B162" s="31" t="inlineStr">
        <is>
          <t>CFM56-5B</t>
        </is>
      </c>
      <c r="C162" s="31" t="inlineStr">
        <is>
          <t>2024-2025</t>
        </is>
      </c>
      <c r="D162" s="31" t="inlineStr">
        <is>
          <t>139340</t>
        </is>
      </c>
      <c r="E162" s="31" t="inlineStr">
        <is>
          <t>72-52-07</t>
        </is>
      </c>
      <c r="F162" s="31" t="inlineStr">
        <is>
          <t>A</t>
        </is>
      </c>
      <c r="G162" s="31" t="inlineStr">
        <is>
          <t>HPT / nozzle</t>
        </is>
      </c>
      <c r="H162" s="27" t="n">
        <v>450</v>
      </c>
      <c r="I162" s="27" t="n">
        <v>480</v>
      </c>
      <c r="J162" s="154">
        <f>I162/H162-1</f>
        <v/>
      </c>
      <c r="K162" s="31" t="inlineStr">
        <is>
          <t>47</t>
        </is>
      </c>
      <c r="L162" s="31" t="inlineStr">
        <is>
          <t>47</t>
        </is>
      </c>
      <c r="M162" s="31" t="inlineStr">
        <is>
          <t>S1</t>
        </is>
      </c>
      <c r="N162" s="31" t="inlineStr">
        <is>
          <t>S2</t>
        </is>
      </c>
      <c r="O162" s="31" t="inlineStr">
        <is>
          <t>1476M79P01</t>
        </is>
      </c>
      <c r="P162" s="31" t="inlineStr">
        <is>
          <t>SR Technics Switzerland</t>
        </is>
      </c>
    </row>
    <row r="163">
      <c r="B163" s="31" t="inlineStr">
        <is>
          <t>CFM56-5B</t>
        </is>
      </c>
      <c r="C163" s="31" t="inlineStr">
        <is>
          <t>2024-2025</t>
        </is>
      </c>
      <c r="D163" s="31" t="inlineStr">
        <is>
          <t>139341</t>
        </is>
      </c>
      <c r="E163" s="31" t="inlineStr">
        <is>
          <t>72-52-04</t>
        </is>
      </c>
      <c r="F163" s="31" t="inlineStr">
        <is>
          <t>A</t>
        </is>
      </c>
      <c r="G163" s="31" t="inlineStr">
        <is>
          <t>HPT / nozzle</t>
        </is>
      </c>
      <c r="H163" s="27" t="n">
        <v>1400</v>
      </c>
      <c r="I163" s="27" t="n">
        <v>1485</v>
      </c>
      <c r="J163" s="154">
        <f>I163/H163-1</f>
        <v/>
      </c>
      <c r="K163" s="31" t="inlineStr">
        <is>
          <t>10</t>
        </is>
      </c>
      <c r="L163" s="31" t="inlineStr">
        <is>
          <t>10</t>
        </is>
      </c>
      <c r="M163" s="31" t="inlineStr">
        <is>
          <t>S1</t>
        </is>
      </c>
      <c r="N163" s="31" t="inlineStr">
        <is>
          <t>S2</t>
        </is>
      </c>
      <c r="O163" s="31" t="inlineStr">
        <is>
          <t>1498M40P03</t>
        </is>
      </c>
      <c r="P163" s="31" t="inlineStr">
        <is>
          <t>SR Technics Switzerland</t>
        </is>
      </c>
    </row>
    <row r="164">
      <c r="B164" s="31" t="inlineStr">
        <is>
          <t>CFM56-5B</t>
        </is>
      </c>
      <c r="C164" s="31" t="inlineStr">
        <is>
          <t>2024-2025</t>
        </is>
      </c>
      <c r="D164" s="31" t="inlineStr">
        <is>
          <t>139341</t>
        </is>
      </c>
      <c r="E164" s="31" t="inlineStr">
        <is>
          <t>72-52-04</t>
        </is>
      </c>
      <c r="F164" s="31" t="inlineStr">
        <is>
          <t>B</t>
        </is>
      </c>
      <c r="G164" s="31" t="inlineStr">
        <is>
          <t>HPT / nozzle</t>
        </is>
      </c>
      <c r="H164" s="27" t="n">
        <v>425</v>
      </c>
      <c r="I164" s="27" t="n">
        <v>455</v>
      </c>
      <c r="J164" s="154">
        <f>I164/H164-1</f>
        <v/>
      </c>
      <c r="K164" s="31" t="inlineStr">
        <is>
          <t>10</t>
        </is>
      </c>
      <c r="L164" s="31" t="inlineStr">
        <is>
          <t>10</t>
        </is>
      </c>
      <c r="M164" s="31" t="inlineStr">
        <is>
          <t>S1</t>
        </is>
      </c>
      <c r="N164" s="31" t="inlineStr">
        <is>
          <t>S2</t>
        </is>
      </c>
      <c r="O164" s="31" t="inlineStr">
        <is>
          <t>1498M40P03</t>
        </is>
      </c>
      <c r="P164" s="31" t="inlineStr">
        <is>
          <t>SR Technics Switzerland</t>
        </is>
      </c>
    </row>
    <row r="165">
      <c r="B165" s="31" t="inlineStr">
        <is>
          <t>CFM56-5B</t>
        </is>
      </c>
      <c r="C165" s="31" t="inlineStr">
        <is>
          <t>2024-2025</t>
        </is>
      </c>
      <c r="D165" s="31" t="inlineStr">
        <is>
          <t>139341</t>
        </is>
      </c>
      <c r="E165" s="31" t="inlineStr">
        <is>
          <t>72-52-04</t>
        </is>
      </c>
      <c r="F165" s="31" t="inlineStr">
        <is>
          <t>D</t>
        </is>
      </c>
      <c r="G165" s="31" t="inlineStr">
        <is>
          <t>HPT / nozzle</t>
        </is>
      </c>
      <c r="H165" s="27" t="n">
        <v>4070</v>
      </c>
      <c r="I165" s="27" t="n">
        <v>4315</v>
      </c>
      <c r="J165" s="154">
        <f>I165/H165-1</f>
        <v/>
      </c>
      <c r="K165" s="31" t="inlineStr">
        <is>
          <t>10</t>
        </is>
      </c>
      <c r="L165" s="31" t="inlineStr">
        <is>
          <t>10</t>
        </is>
      </c>
      <c r="M165" s="31" t="inlineStr">
        <is>
          <t>S1</t>
        </is>
      </c>
      <c r="N165" s="31" t="inlineStr">
        <is>
          <t>S2</t>
        </is>
      </c>
      <c r="O165" s="31" t="inlineStr">
        <is>
          <t>1498M40P03</t>
        </is>
      </c>
      <c r="P165" s="31" t="inlineStr">
        <is>
          <t>SR Technics Switzerland</t>
        </is>
      </c>
    </row>
    <row r="166">
      <c r="B166" s="31" t="inlineStr">
        <is>
          <t>CFM56-5B</t>
        </is>
      </c>
      <c r="C166" s="31" t="inlineStr">
        <is>
          <t>2024-2025</t>
        </is>
      </c>
      <c r="D166" s="31" t="inlineStr">
        <is>
          <t>139341</t>
        </is>
      </c>
      <c r="E166" s="31" t="inlineStr">
        <is>
          <t>72-52-04</t>
        </is>
      </c>
      <c r="F166" s="31" t="inlineStr">
        <is>
          <t>E</t>
        </is>
      </c>
      <c r="G166" s="31" t="inlineStr">
        <is>
          <t>HPT / nozzle</t>
        </is>
      </c>
      <c r="H166" s="27" t="n">
        <v>3025</v>
      </c>
      <c r="I166" s="27" t="n">
        <v>3210</v>
      </c>
      <c r="J166" s="154">
        <f>I166/H166-1</f>
        <v/>
      </c>
      <c r="K166" s="31" t="inlineStr">
        <is>
          <t>10</t>
        </is>
      </c>
      <c r="L166" s="31" t="inlineStr">
        <is>
          <t>10</t>
        </is>
      </c>
      <c r="M166" s="31" t="inlineStr">
        <is>
          <t>S1</t>
        </is>
      </c>
      <c r="N166" s="31" t="inlineStr">
        <is>
          <t>S2</t>
        </is>
      </c>
      <c r="O166" s="31" t="inlineStr">
        <is>
          <t>1498M40P03</t>
        </is>
      </c>
      <c r="P166" s="31" t="inlineStr">
        <is>
          <t>SR Technics Switzerland</t>
        </is>
      </c>
    </row>
    <row r="167">
      <c r="B167" s="31" t="inlineStr">
        <is>
          <t>CFM56-5B</t>
        </is>
      </c>
      <c r="C167" s="31" t="inlineStr">
        <is>
          <t>2024-2025</t>
        </is>
      </c>
      <c r="D167" s="31" t="inlineStr">
        <is>
          <t>139341</t>
        </is>
      </c>
      <c r="E167" s="31" t="inlineStr">
        <is>
          <t>72-52-04</t>
        </is>
      </c>
      <c r="F167" s="31" t="inlineStr">
        <is>
          <t>F</t>
        </is>
      </c>
      <c r="G167" s="31" t="inlineStr">
        <is>
          <t>HPT / nozzle</t>
        </is>
      </c>
      <c r="H167" s="27" t="n">
        <v>1085</v>
      </c>
      <c r="I167" s="27" t="n">
        <v>1155</v>
      </c>
      <c r="J167" s="154">
        <f>I167/H167-1</f>
        <v/>
      </c>
      <c r="K167" s="31" t="inlineStr">
        <is>
          <t>10</t>
        </is>
      </c>
      <c r="L167" s="31" t="inlineStr">
        <is>
          <t>10</t>
        </is>
      </c>
      <c r="M167" s="31" t="inlineStr">
        <is>
          <t>S1</t>
        </is>
      </c>
      <c r="N167" s="31" t="inlineStr">
        <is>
          <t>S2</t>
        </is>
      </c>
      <c r="O167" s="31" t="inlineStr">
        <is>
          <t>1498M40P03</t>
        </is>
      </c>
      <c r="P167" s="31" t="inlineStr">
        <is>
          <t>SR Technics Switzerland</t>
        </is>
      </c>
    </row>
    <row r="168">
      <c r="B168" s="31" t="inlineStr">
        <is>
          <t>CFM56-5B</t>
        </is>
      </c>
      <c r="C168" s="31" t="inlineStr">
        <is>
          <t>2024-2025</t>
        </is>
      </c>
      <c r="D168" s="31" t="inlineStr">
        <is>
          <t>139341</t>
        </is>
      </c>
      <c r="E168" s="31" t="inlineStr">
        <is>
          <t>72-52-04</t>
        </is>
      </c>
      <c r="F168" s="31" t="inlineStr">
        <is>
          <t>SB00</t>
        </is>
      </c>
      <c r="G168" s="31" t="inlineStr">
        <is>
          <t>HPT / nozzle</t>
        </is>
      </c>
      <c r="H168" s="27" t="n">
        <v>1130</v>
      </c>
      <c r="I168" s="27" t="n">
        <v>1200</v>
      </c>
      <c r="J168" s="154">
        <f>I168/H168-1</f>
        <v/>
      </c>
      <c r="K168" s="31" t="inlineStr">
        <is>
          <t>10</t>
        </is>
      </c>
      <c r="L168" s="31" t="inlineStr">
        <is>
          <t>10</t>
        </is>
      </c>
      <c r="M168" s="31" t="inlineStr">
        <is>
          <t>S1</t>
        </is>
      </c>
      <c r="N168" s="31" t="inlineStr">
        <is>
          <t>S2</t>
        </is>
      </c>
      <c r="O168" s="31" t="inlineStr">
        <is>
          <t>1498M40P03</t>
        </is>
      </c>
      <c r="P168" s="31" t="inlineStr">
        <is>
          <t>SR Technics Switzerland</t>
        </is>
      </c>
    </row>
    <row r="169">
      <c r="B169" s="31" t="inlineStr">
        <is>
          <t>CFM56-5B</t>
        </is>
      </c>
      <c r="C169" s="31" t="inlineStr">
        <is>
          <t>2024-2025</t>
        </is>
      </c>
      <c r="D169" s="31" t="inlineStr">
        <is>
          <t>139342</t>
        </is>
      </c>
      <c r="E169" s="31" t="inlineStr">
        <is>
          <t>72-52-02</t>
        </is>
      </c>
      <c r="F169" s="31" t="inlineStr">
        <is>
          <t>B</t>
        </is>
      </c>
      <c r="G169" s="31" t="inlineStr">
        <is>
          <t>HPT / nozzle</t>
        </is>
      </c>
      <c r="H169" s="27" t="n">
        <v>3145</v>
      </c>
      <c r="I169" s="27" t="n">
        <v>3335</v>
      </c>
      <c r="J169" s="154">
        <f>I169/H169-1</f>
        <v/>
      </c>
      <c r="K169" s="31" t="inlineStr">
        <is>
          <t>10</t>
        </is>
      </c>
      <c r="L169" s="31" t="inlineStr">
        <is>
          <t>10</t>
        </is>
      </c>
      <c r="M169" s="31" t="inlineStr">
        <is>
          <t>S1</t>
        </is>
      </c>
      <c r="N169" s="31" t="inlineStr">
        <is>
          <t>S2</t>
        </is>
      </c>
      <c r="O169" s="31" t="inlineStr">
        <is>
          <t>1498M43P04</t>
        </is>
      </c>
      <c r="P169" s="31" t="inlineStr">
        <is>
          <t>SR Technics Switzerland</t>
        </is>
      </c>
    </row>
    <row r="170">
      <c r="B170" s="31" t="inlineStr">
        <is>
          <t>CFM56-5B</t>
        </is>
      </c>
      <c r="C170" s="31" t="inlineStr">
        <is>
          <t>2024-2025</t>
        </is>
      </c>
      <c r="D170" s="31" t="inlineStr">
        <is>
          <t>139342</t>
        </is>
      </c>
      <c r="E170" s="31" t="inlineStr">
        <is>
          <t>72-52-02</t>
        </is>
      </c>
      <c r="F170" s="31" t="inlineStr">
        <is>
          <t>D</t>
        </is>
      </c>
      <c r="G170" s="31" t="inlineStr">
        <is>
          <t>HPT / nozzle</t>
        </is>
      </c>
      <c r="H170" s="27" t="n">
        <v>3175</v>
      </c>
      <c r="I170" s="27" t="n">
        <v>3370</v>
      </c>
      <c r="J170" s="154">
        <f>I170/H170-1</f>
        <v/>
      </c>
      <c r="K170" s="31" t="inlineStr">
        <is>
          <t>10</t>
        </is>
      </c>
      <c r="L170" s="31" t="inlineStr">
        <is>
          <t>10</t>
        </is>
      </c>
      <c r="M170" s="31" t="inlineStr">
        <is>
          <t>S1</t>
        </is>
      </c>
      <c r="N170" s="31" t="inlineStr">
        <is>
          <t>S2</t>
        </is>
      </c>
      <c r="O170" s="31" t="inlineStr">
        <is>
          <t>1498M43P04</t>
        </is>
      </c>
      <c r="P170" s="31" t="inlineStr">
        <is>
          <t>SR Technics Switzerland</t>
        </is>
      </c>
    </row>
    <row r="171">
      <c r="B171" s="31" t="inlineStr">
        <is>
          <t>CFM56-5B</t>
        </is>
      </c>
      <c r="C171" s="31" t="inlineStr">
        <is>
          <t>2024-2025</t>
        </is>
      </c>
      <c r="D171" s="31" t="inlineStr">
        <is>
          <t>139342</t>
        </is>
      </c>
      <c r="E171" s="31" t="inlineStr">
        <is>
          <t>72-52-02</t>
        </is>
      </c>
      <c r="F171" s="31" t="inlineStr">
        <is>
          <t>F</t>
        </is>
      </c>
      <c r="G171" s="31" t="inlineStr">
        <is>
          <t>HPT / nozzle</t>
        </is>
      </c>
      <c r="H171" s="27" t="n">
        <v>3165</v>
      </c>
      <c r="I171" s="27" t="n">
        <v>3355</v>
      </c>
      <c r="J171" s="154">
        <f>I171/H171-1</f>
        <v/>
      </c>
      <c r="K171" s="31" t="inlineStr">
        <is>
          <t>10</t>
        </is>
      </c>
      <c r="L171" s="31" t="inlineStr">
        <is>
          <t>10</t>
        </is>
      </c>
      <c r="M171" s="31" t="inlineStr">
        <is>
          <t>S1</t>
        </is>
      </c>
      <c r="N171" s="31" t="inlineStr">
        <is>
          <t>S2</t>
        </is>
      </c>
      <c r="O171" s="31" t="inlineStr">
        <is>
          <t>1498M43P04</t>
        </is>
      </c>
      <c r="P171" s="31" t="inlineStr">
        <is>
          <t>SR Technics Switzerland</t>
        </is>
      </c>
    </row>
    <row r="172">
      <c r="B172" s="31" t="inlineStr">
        <is>
          <t>CFM56-5B</t>
        </is>
      </c>
      <c r="C172" s="31" t="inlineStr">
        <is>
          <t>2024-2025</t>
        </is>
      </c>
      <c r="D172" s="31" t="inlineStr">
        <is>
          <t>139342</t>
        </is>
      </c>
      <c r="E172" s="31" t="inlineStr">
        <is>
          <t>72-52-02</t>
        </is>
      </c>
      <c r="F172" s="31" t="inlineStr">
        <is>
          <t>G</t>
        </is>
      </c>
      <c r="G172" s="31" t="inlineStr">
        <is>
          <t>HPT / nozzle</t>
        </is>
      </c>
      <c r="H172" s="27" t="n">
        <v>985</v>
      </c>
      <c r="I172" s="27" t="n">
        <v>1045</v>
      </c>
      <c r="J172" s="154">
        <f>I172/H172-1</f>
        <v/>
      </c>
      <c r="K172" s="31" t="inlineStr">
        <is>
          <t>10</t>
        </is>
      </c>
      <c r="L172" s="31" t="inlineStr">
        <is>
          <t>10</t>
        </is>
      </c>
      <c r="M172" s="31" t="inlineStr">
        <is>
          <t>S1</t>
        </is>
      </c>
      <c r="N172" s="31" t="inlineStr">
        <is>
          <t>S2</t>
        </is>
      </c>
      <c r="O172" s="31" t="inlineStr">
        <is>
          <t>1498M43P04</t>
        </is>
      </c>
      <c r="P172" s="31" t="inlineStr">
        <is>
          <t>SR Technics Switzerland</t>
        </is>
      </c>
    </row>
    <row r="173">
      <c r="B173" s="31" t="inlineStr">
        <is>
          <t>CFM56-5B</t>
        </is>
      </c>
      <c r="C173" s="31" t="inlineStr">
        <is>
          <t>2024-2025</t>
        </is>
      </c>
      <c r="D173" s="31" t="inlineStr">
        <is>
          <t>139342</t>
        </is>
      </c>
      <c r="E173" s="31" t="inlineStr">
        <is>
          <t>72-52-02</t>
        </is>
      </c>
      <c r="F173" s="31" t="inlineStr">
        <is>
          <t>I</t>
        </is>
      </c>
      <c r="G173" s="31" t="inlineStr">
        <is>
          <t>HPT / nozzle</t>
        </is>
      </c>
      <c r="H173" s="27" t="n">
        <v>840</v>
      </c>
      <c r="I173" s="27" t="n">
        <v>895</v>
      </c>
      <c r="J173" s="154">
        <f>I173/H173-1</f>
        <v/>
      </c>
      <c r="K173" s="31" t="inlineStr">
        <is>
          <t>10</t>
        </is>
      </c>
      <c r="L173" s="31" t="inlineStr">
        <is>
          <t>10</t>
        </is>
      </c>
      <c r="M173" s="31" t="inlineStr">
        <is>
          <t>S1</t>
        </is>
      </c>
      <c r="N173" s="31" t="inlineStr">
        <is>
          <t>S2</t>
        </is>
      </c>
      <c r="O173" s="31" t="inlineStr">
        <is>
          <t>1498M43P04</t>
        </is>
      </c>
      <c r="P173" s="31" t="inlineStr">
        <is>
          <t>SR Technics Switzerland</t>
        </is>
      </c>
    </row>
    <row r="174">
      <c r="B174" s="31" t="inlineStr">
        <is>
          <t>CFM56-5B</t>
        </is>
      </c>
      <c r="C174" s="31" t="inlineStr">
        <is>
          <t>2024-2025</t>
        </is>
      </c>
      <c r="D174" s="31" t="inlineStr">
        <is>
          <t>139342</t>
        </is>
      </c>
      <c r="E174" s="31" t="inlineStr">
        <is>
          <t>72-52-02</t>
        </is>
      </c>
      <c r="F174" s="31" t="inlineStr">
        <is>
          <t>SB00</t>
        </is>
      </c>
      <c r="G174" s="31" t="inlineStr">
        <is>
          <t>HPT / nozzle</t>
        </is>
      </c>
      <c r="H174" s="27" t="n">
        <v>3780</v>
      </c>
      <c r="I174" s="27" t="n">
        <v>4010</v>
      </c>
      <c r="J174" s="154">
        <f>I174/H174-1</f>
        <v/>
      </c>
      <c r="K174" s="31" t="inlineStr">
        <is>
          <t>10</t>
        </is>
      </c>
      <c r="L174" s="31" t="inlineStr">
        <is>
          <t>10</t>
        </is>
      </c>
      <c r="M174" s="31" t="inlineStr">
        <is>
          <t>S1</t>
        </is>
      </c>
      <c r="N174" s="31" t="inlineStr">
        <is>
          <t>S2</t>
        </is>
      </c>
      <c r="O174" s="31" t="inlineStr">
        <is>
          <t>1498M43P04</t>
        </is>
      </c>
      <c r="P174" s="31" t="inlineStr">
        <is>
          <t>SR Technics Switzerland</t>
        </is>
      </c>
    </row>
    <row r="175">
      <c r="B175" s="31" t="inlineStr">
        <is>
          <t>CFM56-5B</t>
        </is>
      </c>
      <c r="C175" s="31" t="inlineStr">
        <is>
          <t>2024-2025</t>
        </is>
      </c>
      <c r="D175" s="31" t="inlineStr">
        <is>
          <t>139342</t>
        </is>
      </c>
      <c r="E175" s="31" t="inlineStr">
        <is>
          <t>72-52-02</t>
        </is>
      </c>
      <c r="F175" s="31" t="inlineStr">
        <is>
          <t>SB01</t>
        </is>
      </c>
      <c r="G175" s="31" t="inlineStr">
        <is>
          <t>HPT / nozzle</t>
        </is>
      </c>
      <c r="H175" s="27" t="n">
        <v>925</v>
      </c>
      <c r="I175" s="27" t="n">
        <v>985</v>
      </c>
      <c r="J175" s="154">
        <f>I175/H175-1</f>
        <v/>
      </c>
      <c r="K175" s="31" t="inlineStr">
        <is>
          <t>10</t>
        </is>
      </c>
      <c r="L175" s="31" t="inlineStr">
        <is>
          <t>10</t>
        </is>
      </c>
      <c r="M175" s="31" t="inlineStr">
        <is>
          <t>S1</t>
        </is>
      </c>
      <c r="N175" s="31" t="inlineStr">
        <is>
          <t>S2</t>
        </is>
      </c>
      <c r="O175" s="31" t="inlineStr">
        <is>
          <t>1498M43P04</t>
        </is>
      </c>
      <c r="P175" s="31" t="inlineStr">
        <is>
          <t>SR Technics Switzerland</t>
        </is>
      </c>
    </row>
    <row r="176">
      <c r="B176" s="31" t="inlineStr">
        <is>
          <t>CFM56-5B</t>
        </is>
      </c>
      <c r="C176" s="31" t="inlineStr">
        <is>
          <t>2024-2025</t>
        </is>
      </c>
      <c r="D176" s="31" t="inlineStr">
        <is>
          <t>139342</t>
        </is>
      </c>
      <c r="E176" s="31" t="inlineStr">
        <is>
          <t>72-52-02</t>
        </is>
      </c>
      <c r="F176" s="31" t="inlineStr">
        <is>
          <t>SB02</t>
        </is>
      </c>
      <c r="G176" s="31" t="inlineStr">
        <is>
          <t>HPT / nozzle</t>
        </is>
      </c>
      <c r="H176" s="27" t="n">
        <v>865</v>
      </c>
      <c r="I176" s="27" t="n">
        <v>920</v>
      </c>
      <c r="J176" s="154">
        <f>I176/H176-1</f>
        <v/>
      </c>
      <c r="K176" s="31" t="inlineStr">
        <is>
          <t>10</t>
        </is>
      </c>
      <c r="L176" s="31" t="inlineStr">
        <is>
          <t>10</t>
        </is>
      </c>
      <c r="M176" s="31" t="inlineStr">
        <is>
          <t>S1</t>
        </is>
      </c>
      <c r="N176" s="31" t="inlineStr">
        <is>
          <t>S2</t>
        </is>
      </c>
      <c r="O176" s="31" t="inlineStr">
        <is>
          <t>1498M43P04</t>
        </is>
      </c>
      <c r="P176" s="31" t="inlineStr">
        <is>
          <t>SR Technics Switzerland</t>
        </is>
      </c>
    </row>
    <row r="177">
      <c r="B177" s="31" t="inlineStr">
        <is>
          <t>CFM56-5B</t>
        </is>
      </c>
      <c r="C177" s="31" t="inlineStr">
        <is>
          <t>2024-2025</t>
        </is>
      </c>
      <c r="D177" s="31" t="inlineStr">
        <is>
          <t>139342</t>
        </is>
      </c>
      <c r="E177" s="31" t="inlineStr">
        <is>
          <t>72-52-02</t>
        </is>
      </c>
      <c r="F177" s="31" t="inlineStr">
        <is>
          <t>SB03</t>
        </is>
      </c>
      <c r="G177" s="31" t="inlineStr">
        <is>
          <t>HPT / nozzle</t>
        </is>
      </c>
      <c r="H177" s="27" t="n">
        <v>465</v>
      </c>
      <c r="I177" s="27" t="n">
        <v>495</v>
      </c>
      <c r="J177" s="154">
        <f>I177/H177-1</f>
        <v/>
      </c>
      <c r="K177" s="31" t="inlineStr">
        <is>
          <t>10</t>
        </is>
      </c>
      <c r="L177" s="31" t="inlineStr">
        <is>
          <t>10</t>
        </is>
      </c>
      <c r="M177" s="31" t="inlineStr">
        <is>
          <t>S1</t>
        </is>
      </c>
      <c r="N177" s="31" t="inlineStr">
        <is>
          <t>S2</t>
        </is>
      </c>
      <c r="O177" s="31" t="inlineStr">
        <is>
          <t>1498M43P04</t>
        </is>
      </c>
      <c r="P177" s="31" t="inlineStr">
        <is>
          <t>SR Technics Switzerland</t>
        </is>
      </c>
    </row>
    <row r="178">
      <c r="B178" s="31" t="inlineStr">
        <is>
          <t>CFM56-5B</t>
        </is>
      </c>
      <c r="C178" s="31" t="inlineStr">
        <is>
          <t>2024-2025</t>
        </is>
      </c>
      <c r="D178" s="31" t="inlineStr">
        <is>
          <t>139344</t>
        </is>
      </c>
      <c r="E178" s="31" t="inlineStr">
        <is>
          <t>72-52-09</t>
        </is>
      </c>
      <c r="F178" s="31" t="inlineStr">
        <is>
          <t>A</t>
        </is>
      </c>
      <c r="G178" s="31" t="inlineStr">
        <is>
          <t>HPT / nozzle</t>
        </is>
      </c>
      <c r="H178" s="27" t="n">
        <v>355</v>
      </c>
      <c r="I178" s="27" t="n">
        <v>380</v>
      </c>
      <c r="J178" s="154">
        <f>I178/H178-1</f>
        <v/>
      </c>
      <c r="K178" s="31" t="inlineStr">
        <is>
          <t>47</t>
        </is>
      </c>
      <c r="L178" s="31" t="inlineStr">
        <is>
          <t>47</t>
        </is>
      </c>
      <c r="M178" s="31" t="inlineStr">
        <is>
          <t>S1</t>
        </is>
      </c>
      <c r="N178" s="31" t="inlineStr">
        <is>
          <t>S2</t>
        </is>
      </c>
      <c r="O178" s="31" t="inlineStr">
        <is>
          <t>1385M91P01</t>
        </is>
      </c>
      <c r="P178" s="31" t="inlineStr">
        <is>
          <t>SR Technics Switzerland</t>
        </is>
      </c>
    </row>
    <row r="179">
      <c r="B179" s="31" t="inlineStr">
        <is>
          <t>CFM56-5B</t>
        </is>
      </c>
      <c r="C179" s="31" t="inlineStr">
        <is>
          <t>2024-2025</t>
        </is>
      </c>
      <c r="D179" s="31" t="inlineStr">
        <is>
          <t>139344</t>
        </is>
      </c>
      <c r="E179" s="31" t="inlineStr">
        <is>
          <t>72-52-09</t>
        </is>
      </c>
      <c r="F179" s="31" t="inlineStr">
        <is>
          <t>SB00</t>
        </is>
      </c>
      <c r="G179" s="31" t="inlineStr">
        <is>
          <t>HPT / nozzle</t>
        </is>
      </c>
      <c r="H179" s="27" t="n">
        <v>370</v>
      </c>
      <c r="I179" s="27" t="n">
        <v>395</v>
      </c>
      <c r="J179" s="154">
        <f>I179/H179-1</f>
        <v/>
      </c>
      <c r="K179" s="31" t="inlineStr">
        <is>
          <t>47</t>
        </is>
      </c>
      <c r="L179" s="31" t="inlineStr">
        <is>
          <t>47</t>
        </is>
      </c>
      <c r="M179" s="31" t="inlineStr">
        <is>
          <t>S1</t>
        </is>
      </c>
      <c r="N179" s="31" t="inlineStr">
        <is>
          <t>S2</t>
        </is>
      </c>
      <c r="O179" s="31" t="inlineStr">
        <is>
          <t>1385M91P01</t>
        </is>
      </c>
      <c r="P179" s="31" t="inlineStr">
        <is>
          <t>SR Technics Switzerland</t>
        </is>
      </c>
    </row>
    <row r="180">
      <c r="B180" s="31" t="inlineStr">
        <is>
          <t>CFM56-5B</t>
        </is>
      </c>
      <c r="C180" s="31" t="inlineStr">
        <is>
          <t>2024-2025</t>
        </is>
      </c>
      <c r="D180" s="31" t="inlineStr">
        <is>
          <t>139349</t>
        </is>
      </c>
      <c r="E180" s="31" t="inlineStr">
        <is>
          <t>72-31-08</t>
        </is>
      </c>
      <c r="F180" s="31" t="inlineStr">
        <is>
          <t>A</t>
        </is>
      </c>
      <c r="G180" s="31" t="inlineStr">
        <is>
          <t>Compressor</t>
        </is>
      </c>
      <c r="H180" s="27" t="n">
        <v>1380</v>
      </c>
      <c r="I180" s="27" t="n">
        <v>1465</v>
      </c>
      <c r="J180" s="154">
        <f>I180/H180-1</f>
        <v/>
      </c>
      <c r="K180" s="31" t="inlineStr">
        <is>
          <t>10</t>
        </is>
      </c>
      <c r="L180" s="31" t="inlineStr">
        <is>
          <t>11</t>
        </is>
      </c>
      <c r="M180" s="31" t="inlineStr">
        <is>
          <t>S1</t>
        </is>
      </c>
      <c r="N180" s="31" t="inlineStr">
        <is>
          <t>S2</t>
        </is>
      </c>
      <c r="O180" s="31" t="inlineStr">
        <is>
          <t>1523M35P01</t>
        </is>
      </c>
      <c r="P180" s="31" t="inlineStr">
        <is>
          <t>SR Technics Switzerland</t>
        </is>
      </c>
    </row>
    <row r="181">
      <c r="B181" s="31" t="inlineStr">
        <is>
          <t>CFM56-5B</t>
        </is>
      </c>
      <c r="C181" s="31" t="inlineStr">
        <is>
          <t>2024-2025</t>
        </is>
      </c>
      <c r="D181" s="31" t="inlineStr">
        <is>
          <t>139349</t>
        </is>
      </c>
      <c r="E181" s="31" t="inlineStr">
        <is>
          <t>72-31-08</t>
        </is>
      </c>
      <c r="F181" s="31" t="inlineStr">
        <is>
          <t>B</t>
        </is>
      </c>
      <c r="G181" s="31" t="inlineStr">
        <is>
          <t>Compressor</t>
        </is>
      </c>
      <c r="H181" s="27" t="n">
        <v>1110</v>
      </c>
      <c r="I181" s="27" t="n">
        <v>1180</v>
      </c>
      <c r="J181" s="154">
        <f>I181/H181-1</f>
        <v/>
      </c>
      <c r="K181" s="31" t="inlineStr">
        <is>
          <t>10</t>
        </is>
      </c>
      <c r="L181" s="31" t="inlineStr">
        <is>
          <t>11</t>
        </is>
      </c>
      <c r="M181" s="31" t="inlineStr">
        <is>
          <t>S1</t>
        </is>
      </c>
      <c r="N181" s="31" t="inlineStr">
        <is>
          <t>S2</t>
        </is>
      </c>
      <c r="O181" s="31" t="inlineStr">
        <is>
          <t>1523M35P01</t>
        </is>
      </c>
      <c r="P181" s="31" t="inlineStr">
        <is>
          <t>SR Technics Switzerland</t>
        </is>
      </c>
    </row>
    <row r="182">
      <c r="B182" s="31" t="inlineStr">
        <is>
          <t>CFM56-5B</t>
        </is>
      </c>
      <c r="C182" s="31" t="inlineStr">
        <is>
          <t>2024-2025</t>
        </is>
      </c>
      <c r="D182" s="31" t="inlineStr">
        <is>
          <t>139349</t>
        </is>
      </c>
      <c r="E182" s="31" t="inlineStr">
        <is>
          <t>72-31-08</t>
        </is>
      </c>
      <c r="F182" s="31" t="inlineStr">
        <is>
          <t>C</t>
        </is>
      </c>
      <c r="G182" s="31" t="inlineStr">
        <is>
          <t>Compressor</t>
        </is>
      </c>
      <c r="H182" s="27" t="n">
        <v>3925</v>
      </c>
      <c r="I182" s="27" t="n">
        <v>4165</v>
      </c>
      <c r="J182" s="154">
        <f>I182/H182-1</f>
        <v/>
      </c>
      <c r="K182" s="31" t="inlineStr">
        <is>
          <t>10</t>
        </is>
      </c>
      <c r="L182" s="31" t="inlineStr">
        <is>
          <t>11</t>
        </is>
      </c>
      <c r="M182" s="31" t="inlineStr">
        <is>
          <t>S1</t>
        </is>
      </c>
      <c r="N182" s="31" t="inlineStr">
        <is>
          <t>S2</t>
        </is>
      </c>
      <c r="O182" s="31" t="inlineStr">
        <is>
          <t>1523M35P01</t>
        </is>
      </c>
      <c r="P182" s="31" t="inlineStr">
        <is>
          <t>SR Technics Switzerland</t>
        </is>
      </c>
    </row>
    <row r="183">
      <c r="B183" s="31" t="inlineStr">
        <is>
          <t>CFM56-5B</t>
        </is>
      </c>
      <c r="C183" s="31" t="inlineStr">
        <is>
          <t>2024-2025</t>
        </is>
      </c>
      <c r="D183" s="31" t="inlineStr">
        <is>
          <t>139349</t>
        </is>
      </c>
      <c r="E183" s="31" t="inlineStr">
        <is>
          <t>72-31-08</t>
        </is>
      </c>
      <c r="F183" s="31" t="inlineStr">
        <is>
          <t>D</t>
        </is>
      </c>
      <c r="G183" s="31" t="inlineStr">
        <is>
          <t>Compressor</t>
        </is>
      </c>
      <c r="H183" s="27" t="n">
        <v>3715</v>
      </c>
      <c r="I183" s="27" t="n">
        <v>3940</v>
      </c>
      <c r="J183" s="154">
        <f>I183/H183-1</f>
        <v/>
      </c>
      <c r="K183" s="31" t="inlineStr">
        <is>
          <t>10</t>
        </is>
      </c>
      <c r="L183" s="31" t="inlineStr">
        <is>
          <t>11</t>
        </is>
      </c>
      <c r="M183" s="31" t="inlineStr">
        <is>
          <t>S1</t>
        </is>
      </c>
      <c r="N183" s="31" t="inlineStr">
        <is>
          <t>S2</t>
        </is>
      </c>
      <c r="O183" s="31" t="inlineStr">
        <is>
          <t>1523M35P01</t>
        </is>
      </c>
      <c r="P183" s="31" t="inlineStr">
        <is>
          <t>SR Technics Switzerland</t>
        </is>
      </c>
    </row>
    <row r="184">
      <c r="B184" s="31" t="inlineStr">
        <is>
          <t>CFM56-5B</t>
        </is>
      </c>
      <c r="C184" s="31" t="inlineStr">
        <is>
          <t>2024-2025</t>
        </is>
      </c>
      <c r="D184" s="31" t="inlineStr">
        <is>
          <t>139349</t>
        </is>
      </c>
      <c r="E184" s="31" t="inlineStr">
        <is>
          <t>72-31-08</t>
        </is>
      </c>
      <c r="F184" s="31" t="inlineStr">
        <is>
          <t>SB00</t>
        </is>
      </c>
      <c r="G184" s="31" t="inlineStr">
        <is>
          <t>Compressor</t>
        </is>
      </c>
      <c r="H184" s="27" t="n">
        <v>630</v>
      </c>
      <c r="I184" s="27" t="n">
        <v>670</v>
      </c>
      <c r="J184" s="154">
        <f>I184/H184-1</f>
        <v/>
      </c>
      <c r="K184" s="31" t="inlineStr">
        <is>
          <t>10</t>
        </is>
      </c>
      <c r="L184" s="31" t="inlineStr">
        <is>
          <t>11</t>
        </is>
      </c>
      <c r="M184" s="31" t="inlineStr">
        <is>
          <t>S1</t>
        </is>
      </c>
      <c r="N184" s="31" t="inlineStr">
        <is>
          <t>S2</t>
        </is>
      </c>
      <c r="O184" s="31" t="inlineStr">
        <is>
          <t>1523M35P01</t>
        </is>
      </c>
      <c r="P184" s="31" t="inlineStr">
        <is>
          <t>SR Technics Switzerland</t>
        </is>
      </c>
    </row>
    <row r="185">
      <c r="B185" s="31" t="inlineStr">
        <is>
          <t>CFM56-5B</t>
        </is>
      </c>
      <c r="C185" s="31" t="inlineStr">
        <is>
          <t>2024-2025</t>
        </is>
      </c>
      <c r="D185" s="31" t="inlineStr">
        <is>
          <t>139350</t>
        </is>
      </c>
      <c r="E185" s="31" t="inlineStr">
        <is>
          <t>72-41-05</t>
        </is>
      </c>
      <c r="F185" s="31" t="inlineStr">
        <is>
          <t>A</t>
        </is>
      </c>
      <c r="G185" s="31" t="inlineStr">
        <is>
          <t>Combustor</t>
        </is>
      </c>
      <c r="H185" s="27" t="n">
        <v>770</v>
      </c>
      <c r="I185" s="27" t="n">
        <v>820</v>
      </c>
      <c r="J185" s="154">
        <f>I185/H185-1</f>
        <v/>
      </c>
      <c r="K185" s="31" t="inlineStr">
        <is>
          <t>11</t>
        </is>
      </c>
      <c r="L185" s="31" t="inlineStr">
        <is>
          <t>11</t>
        </is>
      </c>
      <c r="M185" s="31" t="inlineStr">
        <is>
          <t>S1</t>
        </is>
      </c>
      <c r="N185" s="31" t="inlineStr">
        <is>
          <t>S2</t>
        </is>
      </c>
      <c r="O185" s="31" t="inlineStr">
        <is>
          <t>1523M37P01</t>
        </is>
      </c>
      <c r="P185" s="31" t="inlineStr">
        <is>
          <t>SR Technics Switzerland</t>
        </is>
      </c>
    </row>
    <row r="186">
      <c r="B186" s="31" t="inlineStr">
        <is>
          <t>CFM56-5B</t>
        </is>
      </c>
      <c r="C186" s="31" t="inlineStr">
        <is>
          <t>2024-2025</t>
        </is>
      </c>
      <c r="D186" s="31" t="inlineStr">
        <is>
          <t>139350</t>
        </is>
      </c>
      <c r="E186" s="31" t="inlineStr">
        <is>
          <t>72-41-05</t>
        </is>
      </c>
      <c r="F186" s="31" t="inlineStr">
        <is>
          <t>B</t>
        </is>
      </c>
      <c r="G186" s="31" t="inlineStr">
        <is>
          <t>Combustor</t>
        </is>
      </c>
      <c r="H186" s="27" t="n">
        <v>1940</v>
      </c>
      <c r="I186" s="27" t="n">
        <v>2060</v>
      </c>
      <c r="J186" s="154">
        <f>I186/H186-1</f>
        <v/>
      </c>
      <c r="K186" s="31" t="inlineStr">
        <is>
          <t>11</t>
        </is>
      </c>
      <c r="L186" s="31" t="inlineStr">
        <is>
          <t>11</t>
        </is>
      </c>
      <c r="M186" s="31" t="inlineStr">
        <is>
          <t>S1</t>
        </is>
      </c>
      <c r="N186" s="31" t="inlineStr">
        <is>
          <t>S2</t>
        </is>
      </c>
      <c r="O186" s="31" t="inlineStr">
        <is>
          <t>1523M37P01</t>
        </is>
      </c>
      <c r="P186" s="31" t="inlineStr">
        <is>
          <t>SR Technics Switzerland</t>
        </is>
      </c>
    </row>
    <row r="187">
      <c r="B187" s="31" t="inlineStr">
        <is>
          <t>CFM56-5B</t>
        </is>
      </c>
      <c r="C187" s="31" t="inlineStr">
        <is>
          <t>2024-2025</t>
        </is>
      </c>
      <c r="D187" s="31" t="inlineStr">
        <is>
          <t>139350</t>
        </is>
      </c>
      <c r="E187" s="31" t="inlineStr">
        <is>
          <t>72-41-05</t>
        </is>
      </c>
      <c r="F187" s="31" t="inlineStr">
        <is>
          <t>SB01</t>
        </is>
      </c>
      <c r="G187" s="31" t="inlineStr">
        <is>
          <t>Combustor</t>
        </is>
      </c>
      <c r="H187" s="27" t="n">
        <v>845</v>
      </c>
      <c r="I187" s="27" t="n">
        <v>900</v>
      </c>
      <c r="J187" s="154">
        <f>I187/H187-1</f>
        <v/>
      </c>
      <c r="K187" s="31" t="inlineStr">
        <is>
          <t>11</t>
        </is>
      </c>
      <c r="L187" s="31" t="inlineStr">
        <is>
          <t>11</t>
        </is>
      </c>
      <c r="M187" s="31" t="inlineStr">
        <is>
          <t>S1</t>
        </is>
      </c>
      <c r="N187" s="31" t="inlineStr">
        <is>
          <t>S2</t>
        </is>
      </c>
      <c r="O187" s="31" t="inlineStr">
        <is>
          <t>1523M37P01</t>
        </is>
      </c>
      <c r="P187" s="31" t="inlineStr">
        <is>
          <t>SR Technics Switzerland</t>
        </is>
      </c>
    </row>
    <row r="188">
      <c r="B188" s="31" t="inlineStr">
        <is>
          <t>CFM56-5B</t>
        </is>
      </c>
      <c r="C188" s="31" t="inlineStr">
        <is>
          <t>2024-2025</t>
        </is>
      </c>
      <c r="D188" s="31" t="inlineStr">
        <is>
          <t>139353</t>
        </is>
      </c>
      <c r="E188" s="31" t="inlineStr">
        <is>
          <t>72-51-11</t>
        </is>
      </c>
      <c r="F188" s="31" t="inlineStr">
        <is>
          <t>A</t>
        </is>
      </c>
      <c r="G188" s="31" t="inlineStr">
        <is>
          <t>HPT / nozzle</t>
        </is>
      </c>
      <c r="H188" s="27" t="n">
        <v>515</v>
      </c>
      <c r="I188" s="27" t="n">
        <v>550</v>
      </c>
      <c r="J188" s="154">
        <f>I188/H188-1</f>
        <v/>
      </c>
      <c r="K188" s="31" t="inlineStr">
        <is>
          <t>11</t>
        </is>
      </c>
      <c r="L188" s="31" t="inlineStr">
        <is>
          <t>11</t>
        </is>
      </c>
      <c r="M188" s="31" t="inlineStr">
        <is>
          <t>S1</t>
        </is>
      </c>
      <c r="N188" s="31" t="inlineStr">
        <is>
          <t>S2</t>
        </is>
      </c>
      <c r="O188" s="31" t="inlineStr">
        <is>
          <t>1523M43P01</t>
        </is>
      </c>
      <c r="P188" s="31" t="inlineStr">
        <is>
          <t>SR Technics Switzerland</t>
        </is>
      </c>
    </row>
    <row r="189">
      <c r="B189" s="31" t="inlineStr">
        <is>
          <t>CFM56-5B</t>
        </is>
      </c>
      <c r="C189" s="31" t="inlineStr">
        <is>
          <t>2024-2025</t>
        </is>
      </c>
      <c r="D189" s="31" t="inlineStr">
        <is>
          <t>139353</t>
        </is>
      </c>
      <c r="E189" s="31" t="inlineStr">
        <is>
          <t>72-51-11</t>
        </is>
      </c>
      <c r="F189" s="31" t="inlineStr">
        <is>
          <t>B</t>
        </is>
      </c>
      <c r="G189" s="31" t="inlineStr">
        <is>
          <t>HPT / nozzle</t>
        </is>
      </c>
      <c r="H189" s="27" t="n">
        <v>3945</v>
      </c>
      <c r="I189" s="27" t="n">
        <v>4185</v>
      </c>
      <c r="J189" s="154">
        <f>I189/H189-1</f>
        <v/>
      </c>
      <c r="K189" s="31" t="inlineStr">
        <is>
          <t>11</t>
        </is>
      </c>
      <c r="L189" s="31" t="inlineStr">
        <is>
          <t>11</t>
        </is>
      </c>
      <c r="M189" s="31" t="inlineStr">
        <is>
          <t>S1</t>
        </is>
      </c>
      <c r="N189" s="31" t="inlineStr">
        <is>
          <t>S2</t>
        </is>
      </c>
      <c r="O189" s="31" t="inlineStr">
        <is>
          <t>1523M43P01</t>
        </is>
      </c>
      <c r="P189" s="31" t="inlineStr">
        <is>
          <t>SR Technics Switzerland</t>
        </is>
      </c>
    </row>
    <row r="190">
      <c r="B190" s="31" t="inlineStr">
        <is>
          <t>CFM56-5B</t>
        </is>
      </c>
      <c r="C190" s="31" t="inlineStr">
        <is>
          <t>2024-2025</t>
        </is>
      </c>
      <c r="D190" s="31" t="inlineStr">
        <is>
          <t>139353</t>
        </is>
      </c>
      <c r="E190" s="31" t="inlineStr">
        <is>
          <t>72-51-11</t>
        </is>
      </c>
      <c r="F190" s="31" t="inlineStr">
        <is>
          <t>SB00</t>
        </is>
      </c>
      <c r="G190" s="31" t="inlineStr">
        <is>
          <t>HPT / nozzle</t>
        </is>
      </c>
      <c r="H190" s="27" t="n">
        <v>230</v>
      </c>
      <c r="I190" s="27" t="n">
        <v>245</v>
      </c>
      <c r="J190" s="154">
        <f>I190/H190-1</f>
        <v/>
      </c>
      <c r="K190" s="31" t="inlineStr">
        <is>
          <t>11</t>
        </is>
      </c>
      <c r="L190" s="31" t="inlineStr">
        <is>
          <t>11</t>
        </is>
      </c>
      <c r="M190" s="31" t="inlineStr">
        <is>
          <t>S1</t>
        </is>
      </c>
      <c r="N190" s="31" t="inlineStr">
        <is>
          <t>S2</t>
        </is>
      </c>
      <c r="O190" s="31" t="inlineStr">
        <is>
          <t>1523M43P01</t>
        </is>
      </c>
      <c r="P190" s="31" t="inlineStr">
        <is>
          <t>SR Technics Switzerland</t>
        </is>
      </c>
    </row>
    <row r="191">
      <c r="B191" s="31" t="inlineStr">
        <is>
          <t>CFM56-5B</t>
        </is>
      </c>
      <c r="C191" s="31" t="inlineStr">
        <is>
          <t>2024-2025</t>
        </is>
      </c>
      <c r="D191" s="31" t="inlineStr">
        <is>
          <t>139354</t>
        </is>
      </c>
      <c r="E191" s="31" t="inlineStr">
        <is>
          <t>72-53-04</t>
        </is>
      </c>
      <c r="F191" s="31" t="inlineStr">
        <is>
          <t>A</t>
        </is>
      </c>
      <c r="G191" s="31" t="inlineStr">
        <is>
          <t>HPT / nozzle</t>
        </is>
      </c>
      <c r="H191" s="27" t="n">
        <v>225</v>
      </c>
      <c r="I191" s="27" t="n">
        <v>240</v>
      </c>
      <c r="J191" s="154">
        <f>I191/H191-1</f>
        <v/>
      </c>
      <c r="K191" s="31" t="inlineStr">
        <is>
          <t>11</t>
        </is>
      </c>
      <c r="L191" s="31" t="inlineStr">
        <is>
          <t>11</t>
        </is>
      </c>
      <c r="M191" s="31" t="inlineStr">
        <is>
          <t>S1</t>
        </is>
      </c>
      <c r="N191" s="31" t="inlineStr">
        <is>
          <t>S2</t>
        </is>
      </c>
      <c r="O191" s="31" t="inlineStr">
        <is>
          <t>1523M59G01</t>
        </is>
      </c>
      <c r="P191" s="31" t="inlineStr">
        <is>
          <t>SRTAS</t>
        </is>
      </c>
    </row>
    <row r="192">
      <c r="B192" s="31" t="inlineStr">
        <is>
          <t>CFM56-5B</t>
        </is>
      </c>
      <c r="C192" s="31" t="inlineStr">
        <is>
          <t>2024-2025</t>
        </is>
      </c>
      <c r="D192" s="31" t="inlineStr">
        <is>
          <t>139354</t>
        </is>
      </c>
      <c r="E192" s="31" t="inlineStr">
        <is>
          <t>72-53-04</t>
        </is>
      </c>
      <c r="F192" s="31" t="inlineStr">
        <is>
          <t>B</t>
        </is>
      </c>
      <c r="G192" s="31" t="inlineStr">
        <is>
          <t>HPT / nozzle</t>
        </is>
      </c>
      <c r="H192" s="27" t="n">
        <v>1830</v>
      </c>
      <c r="I192" s="27" t="n">
        <v>1940</v>
      </c>
      <c r="J192" s="154">
        <f>I192/H192-1</f>
        <v/>
      </c>
      <c r="K192" s="31" t="inlineStr">
        <is>
          <t>11</t>
        </is>
      </c>
      <c r="L192" s="31" t="inlineStr">
        <is>
          <t>11</t>
        </is>
      </c>
      <c r="M192" s="31" t="inlineStr">
        <is>
          <t>S1</t>
        </is>
      </c>
      <c r="N192" s="31" t="inlineStr">
        <is>
          <t>S2</t>
        </is>
      </c>
      <c r="O192" s="31" t="inlineStr">
        <is>
          <t>1523M59G01</t>
        </is>
      </c>
      <c r="P192" s="31" t="inlineStr">
        <is>
          <t>SRTAS</t>
        </is>
      </c>
    </row>
    <row r="193">
      <c r="B193" s="31" t="inlineStr">
        <is>
          <t>CFM56-5B</t>
        </is>
      </c>
      <c r="C193" s="31" t="inlineStr">
        <is>
          <t>2024-2025</t>
        </is>
      </c>
      <c r="D193" s="31" t="inlineStr">
        <is>
          <t>139354</t>
        </is>
      </c>
      <c r="E193" s="31" t="inlineStr">
        <is>
          <t>72-53-04</t>
        </is>
      </c>
      <c r="F193" s="31" t="inlineStr">
        <is>
          <t>C</t>
        </is>
      </c>
      <c r="G193" s="31" t="inlineStr">
        <is>
          <t>HPT / nozzle</t>
        </is>
      </c>
      <c r="H193" s="27" t="n">
        <v>2415</v>
      </c>
      <c r="I193" s="27" t="n">
        <v>2560</v>
      </c>
      <c r="J193" s="154">
        <f>I193/H193-1</f>
        <v/>
      </c>
      <c r="K193" s="31" t="inlineStr">
        <is>
          <t>11</t>
        </is>
      </c>
      <c r="L193" s="31" t="inlineStr">
        <is>
          <t>11</t>
        </is>
      </c>
      <c r="M193" s="31" t="inlineStr">
        <is>
          <t>S1</t>
        </is>
      </c>
      <c r="N193" s="31" t="inlineStr">
        <is>
          <t>S2</t>
        </is>
      </c>
      <c r="O193" s="31" t="inlineStr">
        <is>
          <t>1523M59G01</t>
        </is>
      </c>
      <c r="P193" s="31" t="inlineStr">
        <is>
          <t>SRTAS</t>
        </is>
      </c>
    </row>
    <row r="194">
      <c r="B194" s="31" t="inlineStr">
        <is>
          <t>CFM56-5B</t>
        </is>
      </c>
      <c r="C194" s="31" t="inlineStr">
        <is>
          <t>2024-2025</t>
        </is>
      </c>
      <c r="D194" s="31" t="inlineStr">
        <is>
          <t>139354</t>
        </is>
      </c>
      <c r="E194" s="31" t="inlineStr">
        <is>
          <t>72-53-04</t>
        </is>
      </c>
      <c r="F194" s="31" t="inlineStr">
        <is>
          <t>E</t>
        </is>
      </c>
      <c r="G194" s="31" t="inlineStr">
        <is>
          <t>HPT / nozzle</t>
        </is>
      </c>
      <c r="H194" s="27" t="n">
        <v>715</v>
      </c>
      <c r="I194" s="27" t="n">
        <v>760</v>
      </c>
      <c r="J194" s="154">
        <f>I194/H194-1</f>
        <v/>
      </c>
      <c r="K194" s="31" t="inlineStr">
        <is>
          <t>11</t>
        </is>
      </c>
      <c r="L194" s="31" t="inlineStr">
        <is>
          <t>11</t>
        </is>
      </c>
      <c r="M194" s="31" t="inlineStr">
        <is>
          <t>S1</t>
        </is>
      </c>
      <c r="N194" s="31" t="inlineStr">
        <is>
          <t>S2</t>
        </is>
      </c>
      <c r="O194" s="31" t="inlineStr">
        <is>
          <t>1523M59G01</t>
        </is>
      </c>
      <c r="P194" s="31" t="inlineStr">
        <is>
          <t>SRTAS</t>
        </is>
      </c>
    </row>
    <row r="195">
      <c r="B195" s="31" t="inlineStr">
        <is>
          <t>CFM56-5B</t>
        </is>
      </c>
      <c r="C195" s="31" t="inlineStr">
        <is>
          <t>2024-2025</t>
        </is>
      </c>
      <c r="D195" s="31" t="inlineStr">
        <is>
          <t>139354</t>
        </is>
      </c>
      <c r="E195" s="31" t="inlineStr">
        <is>
          <t>72-53-04</t>
        </is>
      </c>
      <c r="F195" s="31" t="inlineStr">
        <is>
          <t>F</t>
        </is>
      </c>
      <c r="G195" s="31" t="inlineStr">
        <is>
          <t>HPT / nozzle</t>
        </is>
      </c>
      <c r="H195" s="27" t="n">
        <v>820</v>
      </c>
      <c r="I195" s="27" t="n">
        <v>870</v>
      </c>
      <c r="J195" s="154">
        <f>I195/H195-1</f>
        <v/>
      </c>
      <c r="K195" s="31" t="inlineStr">
        <is>
          <t>11</t>
        </is>
      </c>
      <c r="L195" s="31" t="inlineStr">
        <is>
          <t>11</t>
        </is>
      </c>
      <c r="M195" s="31" t="inlineStr">
        <is>
          <t>S1</t>
        </is>
      </c>
      <c r="N195" s="31" t="inlineStr">
        <is>
          <t>S2</t>
        </is>
      </c>
      <c r="O195" s="31" t="inlineStr">
        <is>
          <t>1523M59G01</t>
        </is>
      </c>
      <c r="P195" s="31" t="inlineStr">
        <is>
          <t>SRTAS</t>
        </is>
      </c>
    </row>
    <row r="196">
      <c r="B196" s="31" t="inlineStr">
        <is>
          <t>CFM56-5B</t>
        </is>
      </c>
      <c r="C196" s="31" t="inlineStr">
        <is>
          <t>2024-2025</t>
        </is>
      </c>
      <c r="D196" s="31" t="inlineStr">
        <is>
          <t>139354</t>
        </is>
      </c>
      <c r="E196" s="31" t="inlineStr">
        <is>
          <t>72-53-04</t>
        </is>
      </c>
      <c r="F196" s="31" t="inlineStr">
        <is>
          <t>I</t>
        </is>
      </c>
      <c r="G196" s="31" t="inlineStr">
        <is>
          <t>HPT / nozzle</t>
        </is>
      </c>
      <c r="H196" s="27" t="n">
        <v>955</v>
      </c>
      <c r="I196" s="27" t="n">
        <v>1015</v>
      </c>
      <c r="J196" s="154">
        <f>I196/H196-1</f>
        <v/>
      </c>
      <c r="K196" s="31" t="inlineStr">
        <is>
          <t>11</t>
        </is>
      </c>
      <c r="L196" s="31" t="inlineStr">
        <is>
          <t>11</t>
        </is>
      </c>
      <c r="M196" s="31" t="inlineStr">
        <is>
          <t>S1</t>
        </is>
      </c>
      <c r="N196" s="31" t="inlineStr">
        <is>
          <t>S2</t>
        </is>
      </c>
      <c r="O196" s="31" t="inlineStr">
        <is>
          <t>1523M59G01</t>
        </is>
      </c>
      <c r="P196" s="31" t="inlineStr">
        <is>
          <t>SRTAS</t>
        </is>
      </c>
    </row>
    <row r="197">
      <c r="B197" s="31" t="inlineStr">
        <is>
          <t>CFM56-5B</t>
        </is>
      </c>
      <c r="C197" s="31" t="inlineStr">
        <is>
          <t>2024-2025</t>
        </is>
      </c>
      <c r="D197" s="31" t="inlineStr">
        <is>
          <t>139360</t>
        </is>
      </c>
      <c r="E197" s="31" t="inlineStr">
        <is>
          <t>72-32-03</t>
        </is>
      </c>
      <c r="F197" s="31" t="inlineStr">
        <is>
          <t>B</t>
        </is>
      </c>
      <c r="G197" s="31" t="inlineStr">
        <is>
          <t>Compressor</t>
        </is>
      </c>
      <c r="H197" s="27" t="n">
        <v>495</v>
      </c>
      <c r="I197" s="27" t="n">
        <v>535</v>
      </c>
      <c r="J197" s="154">
        <f>I197/H197-1</f>
        <v/>
      </c>
      <c r="K197" s="31" t="inlineStr">
        <is>
          <t>47, 48</t>
        </is>
      </c>
      <c r="L197" s="31" t="inlineStr">
        <is>
          <t>47</t>
        </is>
      </c>
      <c r="M197" s="31" t="inlineStr">
        <is>
          <t>S1</t>
        </is>
      </c>
      <c r="N197" s="31" t="inlineStr">
        <is>
          <t>S2</t>
        </is>
      </c>
      <c r="O197" s="31" t="inlineStr">
        <is>
          <t>1559M14G05</t>
        </is>
      </c>
      <c r="P197" s="31" t="inlineStr">
        <is>
          <t>SRTAS</t>
        </is>
      </c>
    </row>
    <row r="198">
      <c r="B198" s="31" t="inlineStr">
        <is>
          <t>CFM56-5B</t>
        </is>
      </c>
      <c r="C198" s="31" t="inlineStr">
        <is>
          <t>2024-2025</t>
        </is>
      </c>
      <c r="D198" s="31" t="inlineStr">
        <is>
          <t>139360</t>
        </is>
      </c>
      <c r="E198" s="31" t="inlineStr">
        <is>
          <t>72-32-03</t>
        </is>
      </c>
      <c r="F198" s="31" t="inlineStr">
        <is>
          <t>G</t>
        </is>
      </c>
      <c r="G198" s="31" t="inlineStr">
        <is>
          <t>Compressor</t>
        </is>
      </c>
      <c r="H198" s="27" t="n">
        <v>160</v>
      </c>
      <c r="I198" s="27" t="n">
        <v>175</v>
      </c>
      <c r="J198" s="154">
        <f>I198/H198-1</f>
        <v/>
      </c>
      <c r="K198" s="31" t="inlineStr">
        <is>
          <t>48</t>
        </is>
      </c>
      <c r="L198" s="31" t="inlineStr">
        <is>
          <t>47</t>
        </is>
      </c>
      <c r="M198" s="31" t="inlineStr">
        <is>
          <t>S1</t>
        </is>
      </c>
      <c r="N198" s="31" t="inlineStr">
        <is>
          <t>S2</t>
        </is>
      </c>
      <c r="O198" s="31" t="inlineStr">
        <is>
          <t>1559M14G05</t>
        </is>
      </c>
      <c r="P198" s="31" t="inlineStr">
        <is>
          <t>SRTAS</t>
        </is>
      </c>
    </row>
    <row r="199">
      <c r="B199" s="31" t="inlineStr">
        <is>
          <t>CFM56-5B</t>
        </is>
      </c>
      <c r="C199" s="31" t="inlineStr">
        <is>
          <t>2024-2025</t>
        </is>
      </c>
      <c r="D199" s="31" t="inlineStr">
        <is>
          <t>139360</t>
        </is>
      </c>
      <c r="E199" s="31" t="inlineStr">
        <is>
          <t>72-32-03</t>
        </is>
      </c>
      <c r="F199" s="31" t="inlineStr">
        <is>
          <t>H</t>
        </is>
      </c>
      <c r="G199" s="31" t="inlineStr">
        <is>
          <t>Compressor</t>
        </is>
      </c>
      <c r="H199" s="27" t="n">
        <v>850</v>
      </c>
      <c r="I199" s="27" t="n">
        <v>920</v>
      </c>
      <c r="J199" s="154">
        <f>I199/H199-1</f>
        <v/>
      </c>
      <c r="K199" s="31" t="inlineStr">
        <is>
          <t>48</t>
        </is>
      </c>
      <c r="L199" s="31" t="inlineStr">
        <is>
          <t>47</t>
        </is>
      </c>
      <c r="M199" s="31" t="inlineStr">
        <is>
          <t>S1</t>
        </is>
      </c>
      <c r="N199" s="31" t="inlineStr">
        <is>
          <t>S2</t>
        </is>
      </c>
      <c r="O199" s="31" t="inlineStr">
        <is>
          <t>1559M14G05</t>
        </is>
      </c>
      <c r="P199" s="31" t="inlineStr">
        <is>
          <t>SRTAS</t>
        </is>
      </c>
    </row>
    <row r="200">
      <c r="B200" s="31" t="inlineStr">
        <is>
          <t>CFM56-5B</t>
        </is>
      </c>
      <c r="C200" s="31" t="inlineStr">
        <is>
          <t>2024-2025</t>
        </is>
      </c>
      <c r="D200" s="31" t="inlineStr">
        <is>
          <t>139360</t>
        </is>
      </c>
      <c r="E200" s="31" t="inlineStr">
        <is>
          <t>72-32-03</t>
        </is>
      </c>
      <c r="F200" s="31" t="inlineStr">
        <is>
          <t>I</t>
        </is>
      </c>
      <c r="G200" s="31" t="inlineStr">
        <is>
          <t>Compressor</t>
        </is>
      </c>
      <c r="H200" s="27" t="n">
        <v>510</v>
      </c>
      <c r="I200" s="27" t="n">
        <v>555</v>
      </c>
      <c r="J200" s="154">
        <f>I200/H200-1</f>
        <v/>
      </c>
      <c r="K200" s="31" t="inlineStr">
        <is>
          <t>48</t>
        </is>
      </c>
      <c r="L200" s="31" t="inlineStr">
        <is>
          <t>48</t>
        </is>
      </c>
      <c r="M200" s="31" t="inlineStr">
        <is>
          <t>S1</t>
        </is>
      </c>
      <c r="N200" s="31" t="inlineStr">
        <is>
          <t>S2</t>
        </is>
      </c>
      <c r="O200" s="31" t="inlineStr">
        <is>
          <t>1559M14G05</t>
        </is>
      </c>
      <c r="P200" s="31" t="inlineStr">
        <is>
          <t>SRTAS</t>
        </is>
      </c>
    </row>
    <row r="201">
      <c r="B201" s="31" t="inlineStr">
        <is>
          <t>CFM56-5B</t>
        </is>
      </c>
      <c r="C201" s="31" t="inlineStr">
        <is>
          <t>2024-2025</t>
        </is>
      </c>
      <c r="D201" s="31" t="inlineStr">
        <is>
          <t>139360</t>
        </is>
      </c>
      <c r="E201" s="31" t="inlineStr">
        <is>
          <t>72-32-03</t>
        </is>
      </c>
      <c r="F201" s="31" t="inlineStr">
        <is>
          <t>N</t>
        </is>
      </c>
      <c r="G201" s="31" t="inlineStr">
        <is>
          <t>Compressor</t>
        </is>
      </c>
      <c r="H201" s="27" t="n">
        <v>90</v>
      </c>
      <c r="I201" s="27" t="n">
        <v>100</v>
      </c>
      <c r="J201" s="154">
        <f>I201/H201-1</f>
        <v/>
      </c>
      <c r="K201" s="31" t="inlineStr">
        <is>
          <t>48</t>
        </is>
      </c>
      <c r="L201" s="31" t="inlineStr">
        <is>
          <t>48</t>
        </is>
      </c>
      <c r="M201" s="31" t="inlineStr">
        <is>
          <t>S1</t>
        </is>
      </c>
      <c r="N201" s="31" t="inlineStr">
        <is>
          <t>S2</t>
        </is>
      </c>
      <c r="O201" s="31" t="inlineStr">
        <is>
          <t>1559M14G05</t>
        </is>
      </c>
      <c r="P201" s="31" t="inlineStr">
        <is>
          <t>SRTAS</t>
        </is>
      </c>
    </row>
    <row r="202">
      <c r="B202" s="31" t="inlineStr">
        <is>
          <t>CFM56-5B</t>
        </is>
      </c>
      <c r="C202" s="31" t="inlineStr">
        <is>
          <t>2024-2025</t>
        </is>
      </c>
      <c r="D202" s="31" t="inlineStr">
        <is>
          <t>139360</t>
        </is>
      </c>
      <c r="E202" s="31" t="inlineStr">
        <is>
          <t>72-32-03</t>
        </is>
      </c>
      <c r="F202" s="31" t="inlineStr">
        <is>
          <t>O</t>
        </is>
      </c>
      <c r="G202" s="31" t="inlineStr">
        <is>
          <t>Compressor</t>
        </is>
      </c>
      <c r="H202" s="27" t="n">
        <v>880</v>
      </c>
      <c r="I202" s="27" t="n">
        <v>955</v>
      </c>
      <c r="J202" s="154">
        <f>I202/H202-1</f>
        <v/>
      </c>
      <c r="K202" s="31" t="inlineStr">
        <is>
          <t>48</t>
        </is>
      </c>
      <c r="L202" s="31" t="inlineStr">
        <is>
          <t>48</t>
        </is>
      </c>
      <c r="M202" s="31" t="inlineStr">
        <is>
          <t>S1</t>
        </is>
      </c>
      <c r="N202" s="31" t="inlineStr">
        <is>
          <t>S2</t>
        </is>
      </c>
      <c r="O202" s="31" t="inlineStr">
        <is>
          <t>1559M14G05</t>
        </is>
      </c>
      <c r="P202" s="31" t="inlineStr">
        <is>
          <t>SRTAS</t>
        </is>
      </c>
    </row>
    <row r="203">
      <c r="B203" s="31" t="inlineStr">
        <is>
          <t>CFM56-5B</t>
        </is>
      </c>
      <c r="C203" s="31" t="inlineStr">
        <is>
          <t>2024-2025</t>
        </is>
      </c>
      <c r="D203" s="31" t="inlineStr">
        <is>
          <t>139378</t>
        </is>
      </c>
      <c r="E203" s="31" t="inlineStr">
        <is>
          <t>72-55-20</t>
        </is>
      </c>
      <c r="F203" s="31" t="inlineStr">
        <is>
          <t>A</t>
        </is>
      </c>
      <c r="G203" s="31" t="inlineStr">
        <is>
          <t>LPT</t>
        </is>
      </c>
      <c r="H203" s="27" t="n">
        <v>340</v>
      </c>
      <c r="I203" s="27" t="n">
        <v>365</v>
      </c>
      <c r="J203" s="154">
        <f>I203/H203-1</f>
        <v/>
      </c>
      <c r="K203" s="31" t="inlineStr">
        <is>
          <t>48</t>
        </is>
      </c>
      <c r="L203" s="31" t="inlineStr">
        <is>
          <t>48</t>
        </is>
      </c>
      <c r="M203" s="31" t="inlineStr">
        <is>
          <t>S1</t>
        </is>
      </c>
      <c r="N203" s="31" t="inlineStr">
        <is>
          <t>S2</t>
        </is>
      </c>
      <c r="O203" s="31" t="inlineStr">
        <is>
          <t>301-333-307-0</t>
        </is>
      </c>
      <c r="P203" s="31" t="inlineStr">
        <is>
          <t>SR Technics Switzerland</t>
        </is>
      </c>
    </row>
    <row r="204">
      <c r="B204" s="31" t="inlineStr">
        <is>
          <t>CFM56-5B</t>
        </is>
      </c>
      <c r="C204" s="31" t="inlineStr">
        <is>
          <t>2024-2025</t>
        </is>
      </c>
      <c r="D204" s="31" t="inlineStr">
        <is>
          <t>139381</t>
        </is>
      </c>
      <c r="E204" s="31" t="inlineStr">
        <is>
          <t>72-22-14</t>
        </is>
      </c>
      <c r="F204" s="31" t="inlineStr">
        <is>
          <t>A</t>
        </is>
      </c>
      <c r="G204" s="31" t="inlineStr">
        <is>
          <t>Fan / booster</t>
        </is>
      </c>
      <c r="H204" s="27" t="n">
        <v>560</v>
      </c>
      <c r="I204" s="27" t="n">
        <v>595</v>
      </c>
      <c r="J204" s="154">
        <f>I204/H204-1</f>
        <v/>
      </c>
      <c r="K204" s="31" t="inlineStr">
        <is>
          <t>11</t>
        </is>
      </c>
      <c r="L204" s="31" t="inlineStr">
        <is>
          <t>11</t>
        </is>
      </c>
      <c r="M204" s="31" t="inlineStr">
        <is>
          <t>S1</t>
        </is>
      </c>
      <c r="N204" s="31" t="inlineStr">
        <is>
          <t>S2</t>
        </is>
      </c>
      <c r="O204" s="31" t="inlineStr">
        <is>
          <t>301-475-207-6</t>
        </is>
      </c>
      <c r="P204" s="31" t="inlineStr">
        <is>
          <t>SR Technics Switzerland</t>
        </is>
      </c>
    </row>
    <row r="205">
      <c r="B205" s="31" t="inlineStr">
        <is>
          <t>CFM56-5B</t>
        </is>
      </c>
      <c r="C205" s="31" t="inlineStr">
        <is>
          <t>2024-2025</t>
        </is>
      </c>
      <c r="D205" s="31" t="inlineStr">
        <is>
          <t>139381</t>
        </is>
      </c>
      <c r="E205" s="31" t="inlineStr">
        <is>
          <t>72-22-14</t>
        </is>
      </c>
      <c r="F205" s="31" t="inlineStr">
        <is>
          <t>B</t>
        </is>
      </c>
      <c r="G205" s="31" t="inlineStr">
        <is>
          <t>Fan / booster</t>
        </is>
      </c>
      <c r="H205" s="27" t="n">
        <v>4170</v>
      </c>
      <c r="I205" s="27" t="n">
        <v>4425</v>
      </c>
      <c r="J205" s="154">
        <f>I205/H205-1</f>
        <v/>
      </c>
      <c r="K205" s="31" t="inlineStr">
        <is>
          <t>11</t>
        </is>
      </c>
      <c r="L205" s="31" t="inlineStr">
        <is>
          <t>11</t>
        </is>
      </c>
      <c r="M205" s="31" t="inlineStr">
        <is>
          <t>S1</t>
        </is>
      </c>
      <c r="N205" s="31" t="inlineStr">
        <is>
          <t>S2</t>
        </is>
      </c>
      <c r="O205" s="31" t="inlineStr">
        <is>
          <t>301-475-207-6</t>
        </is>
      </c>
      <c r="P205" s="31" t="inlineStr">
        <is>
          <t>SR Technics Switzerland</t>
        </is>
      </c>
    </row>
    <row r="206">
      <c r="B206" s="31" t="inlineStr">
        <is>
          <t>CFM56-5B</t>
        </is>
      </c>
      <c r="C206" s="31" t="inlineStr">
        <is>
          <t>2024-2025</t>
        </is>
      </c>
      <c r="D206" s="31" t="inlineStr">
        <is>
          <t>139381</t>
        </is>
      </c>
      <c r="E206" s="31" t="inlineStr">
        <is>
          <t>72-22-14</t>
        </is>
      </c>
      <c r="F206" s="31" t="inlineStr">
        <is>
          <t>C</t>
        </is>
      </c>
      <c r="G206" s="31" t="inlineStr">
        <is>
          <t>Fan / booster</t>
        </is>
      </c>
      <c r="H206" s="27" t="n">
        <v>795</v>
      </c>
      <c r="I206" s="27" t="n">
        <v>845</v>
      </c>
      <c r="J206" s="154">
        <f>I206/H206-1</f>
        <v/>
      </c>
      <c r="K206" s="31" t="inlineStr">
        <is>
          <t>11</t>
        </is>
      </c>
      <c r="L206" s="31" t="inlineStr">
        <is>
          <t>11</t>
        </is>
      </c>
      <c r="M206" s="31" t="inlineStr">
        <is>
          <t>S1</t>
        </is>
      </c>
      <c r="N206" s="31" t="inlineStr">
        <is>
          <t>S2</t>
        </is>
      </c>
      <c r="O206" s="31" t="inlineStr">
        <is>
          <t>301-475-207-6</t>
        </is>
      </c>
      <c r="P206" s="31" t="inlineStr">
        <is>
          <t>SR Technics Switzerland</t>
        </is>
      </c>
    </row>
    <row r="207">
      <c r="B207" s="31" t="inlineStr">
        <is>
          <t>CFM56-5B</t>
        </is>
      </c>
      <c r="C207" s="31" t="inlineStr">
        <is>
          <t>2024-2025</t>
        </is>
      </c>
      <c r="D207" s="31" t="inlineStr">
        <is>
          <t>139382</t>
        </is>
      </c>
      <c r="E207" s="31" t="inlineStr">
        <is>
          <t>72-22-03</t>
        </is>
      </c>
      <c r="F207" s="31" t="inlineStr">
        <is>
          <t>A</t>
        </is>
      </c>
      <c r="G207" s="31" t="inlineStr">
        <is>
          <t>Fan / booster</t>
        </is>
      </c>
      <c r="H207" s="27" t="n">
        <v>820</v>
      </c>
      <c r="I207" s="27" t="n">
        <v>870</v>
      </c>
      <c r="J207" s="154">
        <f>I207/H207-1</f>
        <v/>
      </c>
      <c r="K207" s="31" t="inlineStr">
        <is>
          <t>11</t>
        </is>
      </c>
      <c r="L207" s="31" t="inlineStr">
        <is>
          <t>11</t>
        </is>
      </c>
      <c r="M207" s="31" t="inlineStr">
        <is>
          <t>S1</t>
        </is>
      </c>
      <c r="N207" s="31" t="inlineStr">
        <is>
          <t>S2</t>
        </is>
      </c>
      <c r="O207" s="31" t="inlineStr">
        <is>
          <t>301-539-211-0</t>
        </is>
      </c>
      <c r="P207" s="31" t="inlineStr">
        <is>
          <t>SR Technics Switzerland</t>
        </is>
      </c>
    </row>
    <row r="208">
      <c r="B208" s="31" t="inlineStr">
        <is>
          <t>CFM56-5B</t>
        </is>
      </c>
      <c r="C208" s="31" t="inlineStr">
        <is>
          <t>2024-2025</t>
        </is>
      </c>
      <c r="D208" s="31" t="inlineStr">
        <is>
          <t>139382</t>
        </is>
      </c>
      <c r="E208" s="31" t="inlineStr">
        <is>
          <t>72-22-03</t>
        </is>
      </c>
      <c r="F208" s="31" t="inlineStr">
        <is>
          <t>B</t>
        </is>
      </c>
      <c r="G208" s="31" t="inlineStr">
        <is>
          <t>Fan / booster</t>
        </is>
      </c>
      <c r="H208" s="27" t="n">
        <v>560</v>
      </c>
      <c r="I208" s="27" t="n">
        <v>595</v>
      </c>
      <c r="J208" s="154">
        <f>I208/H208-1</f>
        <v/>
      </c>
      <c r="K208" s="31" t="inlineStr">
        <is>
          <t>11</t>
        </is>
      </c>
      <c r="L208" s="31" t="inlineStr">
        <is>
          <t>11</t>
        </is>
      </c>
      <c r="M208" s="31" t="inlineStr">
        <is>
          <t>S1</t>
        </is>
      </c>
      <c r="N208" s="31" t="inlineStr">
        <is>
          <t>S2</t>
        </is>
      </c>
      <c r="O208" s="31" t="inlineStr">
        <is>
          <t>301-539-211-0</t>
        </is>
      </c>
      <c r="P208" s="31" t="inlineStr">
        <is>
          <t>SR Technics Switzerland</t>
        </is>
      </c>
    </row>
    <row r="209">
      <c r="B209" s="31" t="inlineStr">
        <is>
          <t>CFM56-5B</t>
        </is>
      </c>
      <c r="C209" s="31" t="inlineStr">
        <is>
          <t>2024-2025</t>
        </is>
      </c>
      <c r="D209" s="31" t="inlineStr">
        <is>
          <t>139388</t>
        </is>
      </c>
      <c r="E209" s="31" t="inlineStr">
        <is>
          <t>72-63-01</t>
        </is>
      </c>
      <c r="F209" s="31" t="inlineStr">
        <is>
          <t>A</t>
        </is>
      </c>
      <c r="G209" s="31" t="inlineStr">
        <is>
          <t>Gearbox</t>
        </is>
      </c>
      <c r="H209" s="27" t="n">
        <v>1275</v>
      </c>
      <c r="I209" s="27" t="n">
        <v>1355</v>
      </c>
      <c r="J209" s="154">
        <f>I209/H209-1</f>
        <v/>
      </c>
      <c r="K209" s="31" t="inlineStr">
        <is>
          <t>11</t>
        </is>
      </c>
      <c r="L209" s="31" t="inlineStr">
        <is>
          <t>11</t>
        </is>
      </c>
      <c r="M209" s="31" t="inlineStr">
        <is>
          <t>S1</t>
        </is>
      </c>
      <c r="N209" s="31" t="inlineStr">
        <is>
          <t>S2</t>
        </is>
      </c>
      <c r="O209" s="31" t="inlineStr">
        <is>
          <t>305-135-904-0</t>
        </is>
      </c>
      <c r="P209" s="31" t="inlineStr">
        <is>
          <t>SR Technics Switzerland</t>
        </is>
      </c>
    </row>
    <row r="210">
      <c r="B210" s="31" t="inlineStr">
        <is>
          <t>CFM56-5B</t>
        </is>
      </c>
      <c r="C210" s="31" t="inlineStr">
        <is>
          <t>2024-2025</t>
        </is>
      </c>
      <c r="D210" s="31" t="inlineStr">
        <is>
          <t>139388</t>
        </is>
      </c>
      <c r="E210" s="31" t="inlineStr">
        <is>
          <t>72-63-01</t>
        </is>
      </c>
      <c r="F210" s="31" t="inlineStr">
        <is>
          <t>C</t>
        </is>
      </c>
      <c r="G210" s="31" t="inlineStr">
        <is>
          <t>Gearbox</t>
        </is>
      </c>
      <c r="H210" s="27" t="n">
        <v>1020</v>
      </c>
      <c r="I210" s="27" t="n">
        <v>1085</v>
      </c>
      <c r="J210" s="154">
        <f>I210/H210-1</f>
        <v/>
      </c>
      <c r="K210" s="31" t="inlineStr">
        <is>
          <t>11</t>
        </is>
      </c>
      <c r="L210" s="31" t="inlineStr">
        <is>
          <t>11</t>
        </is>
      </c>
      <c r="M210" s="31" t="inlineStr">
        <is>
          <t>S1</t>
        </is>
      </c>
      <c r="N210" s="31" t="inlineStr">
        <is>
          <t>S2</t>
        </is>
      </c>
      <c r="O210" s="31" t="inlineStr">
        <is>
          <t>305-135-904-0</t>
        </is>
      </c>
      <c r="P210" s="31" t="inlineStr">
        <is>
          <t>SR Technics Switzerland</t>
        </is>
      </c>
    </row>
    <row r="211">
      <c r="B211" s="31" t="inlineStr">
        <is>
          <t>CFM56-5B</t>
        </is>
      </c>
      <c r="C211" s="31" t="inlineStr">
        <is>
          <t>2024-2025</t>
        </is>
      </c>
      <c r="D211" s="31" t="inlineStr">
        <is>
          <t>139388</t>
        </is>
      </c>
      <c r="E211" s="31" t="inlineStr">
        <is>
          <t>72-63-01</t>
        </is>
      </c>
      <c r="F211" s="31" t="inlineStr">
        <is>
          <t>D</t>
        </is>
      </c>
      <c r="G211" s="31" t="inlineStr">
        <is>
          <t>Gearbox</t>
        </is>
      </c>
      <c r="H211" s="27" t="n">
        <v>890</v>
      </c>
      <c r="I211" s="27" t="n">
        <v>945</v>
      </c>
      <c r="J211" s="154">
        <f>I211/H211-1</f>
        <v/>
      </c>
      <c r="K211" s="31" t="inlineStr">
        <is>
          <t>11</t>
        </is>
      </c>
      <c r="L211" s="31" t="inlineStr">
        <is>
          <t>11</t>
        </is>
      </c>
      <c r="M211" s="31" t="inlineStr">
        <is>
          <t>S1</t>
        </is>
      </c>
      <c r="N211" s="31" t="inlineStr">
        <is>
          <t>S2</t>
        </is>
      </c>
      <c r="O211" s="31" t="inlineStr">
        <is>
          <t>305-135-904-0</t>
        </is>
      </c>
      <c r="P211" s="31" t="inlineStr">
        <is>
          <t>SR Technics Switzerland</t>
        </is>
      </c>
    </row>
    <row r="212">
      <c r="B212" s="31" t="inlineStr">
        <is>
          <t>CFM56-5B</t>
        </is>
      </c>
      <c r="C212" s="31" t="inlineStr">
        <is>
          <t>2024-2025</t>
        </is>
      </c>
      <c r="D212" s="31" t="inlineStr">
        <is>
          <t>139388</t>
        </is>
      </c>
      <c r="E212" s="31" t="inlineStr">
        <is>
          <t>72-63-01</t>
        </is>
      </c>
      <c r="F212" s="31" t="inlineStr">
        <is>
          <t>F</t>
        </is>
      </c>
      <c r="G212" s="31" t="inlineStr">
        <is>
          <t>Gearbox</t>
        </is>
      </c>
      <c r="H212" s="27" t="n">
        <v>875</v>
      </c>
      <c r="I212" s="27" t="n">
        <v>930</v>
      </c>
      <c r="J212" s="154">
        <f>I212/H212-1</f>
        <v/>
      </c>
      <c r="K212" s="31" t="inlineStr">
        <is>
          <t>11</t>
        </is>
      </c>
      <c r="L212" s="31" t="inlineStr">
        <is>
          <t>12</t>
        </is>
      </c>
      <c r="M212" s="31" t="inlineStr">
        <is>
          <t>S1</t>
        </is>
      </c>
      <c r="N212" s="31" t="inlineStr">
        <is>
          <t>S2</t>
        </is>
      </c>
      <c r="O212" s="31" t="inlineStr">
        <is>
          <t>305-135-904-0</t>
        </is>
      </c>
      <c r="P212" s="31" t="inlineStr">
        <is>
          <t>SR Technics Switzerland</t>
        </is>
      </c>
    </row>
    <row r="213">
      <c r="B213" s="31" t="inlineStr">
        <is>
          <t>CFM56-5B</t>
        </is>
      </c>
      <c r="C213" s="31" t="inlineStr">
        <is>
          <t>2024-2025</t>
        </is>
      </c>
      <c r="D213" s="31" t="inlineStr">
        <is>
          <t>139388</t>
        </is>
      </c>
      <c r="E213" s="31" t="inlineStr">
        <is>
          <t>72-63-01</t>
        </is>
      </c>
      <c r="F213" s="31" t="inlineStr">
        <is>
          <t>G</t>
        </is>
      </c>
      <c r="G213" s="31" t="inlineStr">
        <is>
          <t>Gearbox</t>
        </is>
      </c>
      <c r="H213" s="27" t="n">
        <v>2955</v>
      </c>
      <c r="I213" s="27" t="n">
        <v>3135</v>
      </c>
      <c r="J213" s="154">
        <f>I213/H213-1</f>
        <v/>
      </c>
      <c r="K213" s="31" t="inlineStr">
        <is>
          <t>11</t>
        </is>
      </c>
      <c r="L213" s="31" t="inlineStr">
        <is>
          <t>12</t>
        </is>
      </c>
      <c r="M213" s="31" t="inlineStr">
        <is>
          <t>S1</t>
        </is>
      </c>
      <c r="N213" s="31" t="inlineStr">
        <is>
          <t>S2</t>
        </is>
      </c>
      <c r="O213" s="31" t="inlineStr">
        <is>
          <t>305-135-904-0</t>
        </is>
      </c>
      <c r="P213" s="31" t="inlineStr">
        <is>
          <t>SR Technics Switzerland</t>
        </is>
      </c>
    </row>
    <row r="214">
      <c r="B214" s="31" t="inlineStr">
        <is>
          <t>CFM56-5B</t>
        </is>
      </c>
      <c r="C214" s="31" t="inlineStr">
        <is>
          <t>2024-2025</t>
        </is>
      </c>
      <c r="D214" s="31" t="inlineStr">
        <is>
          <t>139388</t>
        </is>
      </c>
      <c r="E214" s="31" t="inlineStr">
        <is>
          <t>72-63-01</t>
        </is>
      </c>
      <c r="F214" s="31" t="inlineStr">
        <is>
          <t>H</t>
        </is>
      </c>
      <c r="G214" s="31" t="inlineStr">
        <is>
          <t>Gearbox</t>
        </is>
      </c>
      <c r="H214" s="27" t="n">
        <v>1500</v>
      </c>
      <c r="I214" s="27" t="n">
        <v>1590</v>
      </c>
      <c r="J214" s="154">
        <f>I214/H214-1</f>
        <v/>
      </c>
      <c r="K214" s="31" t="inlineStr">
        <is>
          <t>11</t>
        </is>
      </c>
      <c r="L214" s="31" t="inlineStr">
        <is>
          <t>12</t>
        </is>
      </c>
      <c r="M214" s="31" t="inlineStr">
        <is>
          <t>S1</t>
        </is>
      </c>
      <c r="N214" s="31" t="inlineStr">
        <is>
          <t>S2</t>
        </is>
      </c>
      <c r="O214" s="31" t="inlineStr">
        <is>
          <t>305-135-904-0</t>
        </is>
      </c>
      <c r="P214" s="31" t="inlineStr">
        <is>
          <t>SR Technics Switzerland</t>
        </is>
      </c>
    </row>
    <row r="215">
      <c r="B215" s="31" t="inlineStr">
        <is>
          <t>CFM56-5B</t>
        </is>
      </c>
      <c r="C215" s="31" t="inlineStr">
        <is>
          <t>2024-2025</t>
        </is>
      </c>
      <c r="D215" s="31" t="inlineStr">
        <is>
          <t>139388</t>
        </is>
      </c>
      <c r="E215" s="31" t="inlineStr">
        <is>
          <t>72-63-01</t>
        </is>
      </c>
      <c r="F215" s="31" t="inlineStr">
        <is>
          <t>I</t>
        </is>
      </c>
      <c r="G215" s="31" t="inlineStr">
        <is>
          <t>Gearbox</t>
        </is>
      </c>
      <c r="H215" s="27" t="n">
        <v>470</v>
      </c>
      <c r="I215" s="27" t="n">
        <v>500</v>
      </c>
      <c r="J215" s="154">
        <f>I215/H215-1</f>
        <v/>
      </c>
      <c r="K215" s="31" t="inlineStr">
        <is>
          <t>11</t>
        </is>
      </c>
      <c r="L215" s="31" t="inlineStr">
        <is>
          <t>12</t>
        </is>
      </c>
      <c r="M215" s="31" t="inlineStr">
        <is>
          <t>S1</t>
        </is>
      </c>
      <c r="N215" s="31" t="inlineStr">
        <is>
          <t>S2</t>
        </is>
      </c>
      <c r="O215" s="31" t="inlineStr">
        <is>
          <t>305-135-904-0</t>
        </is>
      </c>
      <c r="P215" s="31" t="inlineStr">
        <is>
          <t>SR Technics Switzerland</t>
        </is>
      </c>
    </row>
    <row r="216">
      <c r="B216" s="31" t="inlineStr">
        <is>
          <t>CFM56-5B</t>
        </is>
      </c>
      <c r="C216" s="31" t="inlineStr">
        <is>
          <t>2024-2025</t>
        </is>
      </c>
      <c r="D216" s="31" t="inlineStr">
        <is>
          <t>139388</t>
        </is>
      </c>
      <c r="E216" s="31" t="inlineStr">
        <is>
          <t>72-63-01</t>
        </is>
      </c>
      <c r="F216" s="31" t="inlineStr">
        <is>
          <t>N</t>
        </is>
      </c>
      <c r="G216" s="31" t="inlineStr">
        <is>
          <t>Gearbox</t>
        </is>
      </c>
      <c r="H216" s="27" t="n">
        <v>9350</v>
      </c>
      <c r="I216" s="27" t="n">
        <v>9915</v>
      </c>
      <c r="J216" s="154">
        <f>I216/H216-1</f>
        <v/>
      </c>
      <c r="K216" s="31" t="inlineStr">
        <is>
          <t>11</t>
        </is>
      </c>
      <c r="L216" s="31" t="inlineStr">
        <is>
          <t>12</t>
        </is>
      </c>
      <c r="M216" s="31" t="inlineStr">
        <is>
          <t>S1</t>
        </is>
      </c>
      <c r="N216" s="31" t="inlineStr">
        <is>
          <t>S2</t>
        </is>
      </c>
      <c r="O216" s="31" t="inlineStr">
        <is>
          <t>305-135-904-0</t>
        </is>
      </c>
      <c r="P216" s="31" t="inlineStr">
        <is>
          <t>SR Technics Switzerland</t>
        </is>
      </c>
    </row>
    <row r="217">
      <c r="B217" s="31" t="inlineStr">
        <is>
          <t>CFM56-5B</t>
        </is>
      </c>
      <c r="C217" s="31" t="inlineStr">
        <is>
          <t>2024-2025</t>
        </is>
      </c>
      <c r="D217" s="31" t="inlineStr">
        <is>
          <t>139388</t>
        </is>
      </c>
      <c r="E217" s="31" t="inlineStr">
        <is>
          <t>72-63-01</t>
        </is>
      </c>
      <c r="F217" s="31" t="inlineStr">
        <is>
          <t>P</t>
        </is>
      </c>
      <c r="G217" s="31" t="inlineStr">
        <is>
          <t>Gearbox</t>
        </is>
      </c>
      <c r="H217" s="27" t="n">
        <v>340</v>
      </c>
      <c r="I217" s="27" t="n">
        <v>365</v>
      </c>
      <c r="J217" s="154">
        <f>I217/H217-1</f>
        <v/>
      </c>
      <c r="K217" s="31" t="inlineStr">
        <is>
          <t>11</t>
        </is>
      </c>
      <c r="L217" s="31" t="inlineStr">
        <is>
          <t>12</t>
        </is>
      </c>
      <c r="M217" s="31" t="inlineStr">
        <is>
          <t>S1</t>
        </is>
      </c>
      <c r="N217" s="31" t="inlineStr">
        <is>
          <t>S2</t>
        </is>
      </c>
      <c r="O217" s="31" t="inlineStr">
        <is>
          <t>305-135-904-0</t>
        </is>
      </c>
      <c r="P217" s="31" t="inlineStr">
        <is>
          <t>SR Technics Switzerland</t>
        </is>
      </c>
    </row>
    <row r="218">
      <c r="B218" s="31" t="inlineStr">
        <is>
          <t>CFM56-5B</t>
        </is>
      </c>
      <c r="C218" s="31" t="inlineStr">
        <is>
          <t>2024-2025</t>
        </is>
      </c>
      <c r="D218" s="31" t="inlineStr">
        <is>
          <t>139389</t>
        </is>
      </c>
      <c r="E218" s="31" t="inlineStr">
        <is>
          <t>72-62-01</t>
        </is>
      </c>
      <c r="F218" s="31" t="inlineStr">
        <is>
          <t>A</t>
        </is>
      </c>
      <c r="G218" s="31" t="inlineStr">
        <is>
          <t>Gearbox</t>
        </is>
      </c>
      <c r="H218" s="27" t="n">
        <v>1050</v>
      </c>
      <c r="I218" s="27" t="n">
        <v>1115</v>
      </c>
      <c r="J218" s="154">
        <f>I218/H218-1</f>
        <v/>
      </c>
      <c r="K218" s="31" t="inlineStr">
        <is>
          <t>12</t>
        </is>
      </c>
      <c r="L218" s="31" t="inlineStr">
        <is>
          <t>12</t>
        </is>
      </c>
      <c r="M218" s="31" t="inlineStr">
        <is>
          <t>S1</t>
        </is>
      </c>
      <c r="N218" s="31" t="inlineStr">
        <is>
          <t>S2</t>
        </is>
      </c>
      <c r="O218" s="31" t="inlineStr">
        <is>
          <t>305-136-503-0</t>
        </is>
      </c>
      <c r="P218" s="31" t="inlineStr">
        <is>
          <t>SR Technics Switzerland</t>
        </is>
      </c>
    </row>
    <row r="219">
      <c r="B219" s="31" t="inlineStr">
        <is>
          <t>CFM56-5B</t>
        </is>
      </c>
      <c r="C219" s="31" t="inlineStr">
        <is>
          <t>2024-2025</t>
        </is>
      </c>
      <c r="D219" s="31" t="inlineStr">
        <is>
          <t>139389</t>
        </is>
      </c>
      <c r="E219" s="31" t="inlineStr">
        <is>
          <t>72-62-01</t>
        </is>
      </c>
      <c r="F219" s="31" t="inlineStr">
        <is>
          <t>AB</t>
        </is>
      </c>
      <c r="G219" s="31" t="inlineStr">
        <is>
          <t>Gearbox</t>
        </is>
      </c>
      <c r="H219" s="27" t="n">
        <v>2015</v>
      </c>
      <c r="I219" s="27" t="n">
        <v>2140</v>
      </c>
      <c r="J219" s="154">
        <f>I219/H219-1</f>
        <v/>
      </c>
      <c r="K219" s="31" t="inlineStr">
        <is>
          <t>12</t>
        </is>
      </c>
      <c r="L219" s="31" t="inlineStr">
        <is>
          <t>12</t>
        </is>
      </c>
      <c r="M219" s="31" t="inlineStr">
        <is>
          <t>S1</t>
        </is>
      </c>
      <c r="N219" s="31" t="inlineStr">
        <is>
          <t>S2</t>
        </is>
      </c>
      <c r="O219" s="31" t="inlineStr">
        <is>
          <t>305-136-503-0</t>
        </is>
      </c>
      <c r="P219" s="31" t="inlineStr">
        <is>
          <t>SR Technics Switzerland</t>
        </is>
      </c>
    </row>
    <row r="220">
      <c r="B220" s="31" t="inlineStr">
        <is>
          <t>CFM56-5B</t>
        </is>
      </c>
      <c r="C220" s="31" t="inlineStr">
        <is>
          <t>2024-2025</t>
        </is>
      </c>
      <c r="D220" s="31" t="inlineStr">
        <is>
          <t>139389</t>
        </is>
      </c>
      <c r="E220" s="31" t="inlineStr">
        <is>
          <t>72-62-01</t>
        </is>
      </c>
      <c r="F220" s="31" t="inlineStr">
        <is>
          <t>B</t>
        </is>
      </c>
      <c r="G220" s="31" t="inlineStr">
        <is>
          <t>Gearbox</t>
        </is>
      </c>
      <c r="H220" s="27" t="n">
        <v>760</v>
      </c>
      <c r="I220" s="27" t="n">
        <v>810</v>
      </c>
      <c r="J220" s="154">
        <f>I220/H220-1</f>
        <v/>
      </c>
      <c r="K220" s="31" t="inlineStr">
        <is>
          <t>12</t>
        </is>
      </c>
      <c r="L220" s="31" t="inlineStr">
        <is>
          <t>12</t>
        </is>
      </c>
      <c r="M220" s="31" t="inlineStr">
        <is>
          <t>S1</t>
        </is>
      </c>
      <c r="N220" s="31" t="inlineStr">
        <is>
          <t>S2</t>
        </is>
      </c>
      <c r="O220" s="31" t="inlineStr">
        <is>
          <t>305-136-503-0</t>
        </is>
      </c>
      <c r="P220" s="31" t="inlineStr">
        <is>
          <t>SR Technics Switzerland</t>
        </is>
      </c>
    </row>
    <row r="221">
      <c r="B221" s="31" t="inlineStr">
        <is>
          <t>CFM56-5B</t>
        </is>
      </c>
      <c r="C221" s="31" t="inlineStr">
        <is>
          <t>2024-2025</t>
        </is>
      </c>
      <c r="D221" s="31" t="inlineStr">
        <is>
          <t>139389</t>
        </is>
      </c>
      <c r="E221" s="31" t="inlineStr">
        <is>
          <t>72-62-01</t>
        </is>
      </c>
      <c r="F221" s="31" t="inlineStr">
        <is>
          <t>C</t>
        </is>
      </c>
      <c r="G221" s="31" t="inlineStr">
        <is>
          <t>Gearbox</t>
        </is>
      </c>
      <c r="H221" s="27" t="n">
        <v>855</v>
      </c>
      <c r="I221" s="27" t="n">
        <v>910</v>
      </c>
      <c r="J221" s="154">
        <f>I221/H221-1</f>
        <v/>
      </c>
      <c r="K221" s="31" t="inlineStr">
        <is>
          <t>12</t>
        </is>
      </c>
      <c r="L221" s="31" t="inlineStr">
        <is>
          <t>12</t>
        </is>
      </c>
      <c r="M221" s="31" t="inlineStr">
        <is>
          <t>S1</t>
        </is>
      </c>
      <c r="N221" s="31" t="inlineStr">
        <is>
          <t>S2</t>
        </is>
      </c>
      <c r="O221" s="31" t="inlineStr">
        <is>
          <t>305-136-503-0</t>
        </is>
      </c>
      <c r="P221" s="31" t="inlineStr">
        <is>
          <t>SR Technics Switzerland</t>
        </is>
      </c>
    </row>
    <row r="222">
      <c r="B222" s="31" t="inlineStr">
        <is>
          <t>CFM56-5B</t>
        </is>
      </c>
      <c r="C222" s="31" t="inlineStr">
        <is>
          <t>2024-2025</t>
        </is>
      </c>
      <c r="D222" s="31" t="inlineStr">
        <is>
          <t>139389</t>
        </is>
      </c>
      <c r="E222" s="31" t="inlineStr">
        <is>
          <t>72-62-01</t>
        </is>
      </c>
      <c r="F222" s="31" t="inlineStr">
        <is>
          <t>D</t>
        </is>
      </c>
      <c r="G222" s="31" t="inlineStr">
        <is>
          <t>Gearbox</t>
        </is>
      </c>
      <c r="H222" s="27" t="n">
        <v>855</v>
      </c>
      <c r="I222" s="27" t="n">
        <v>910</v>
      </c>
      <c r="J222" s="154">
        <f>I222/H222-1</f>
        <v/>
      </c>
      <c r="K222" s="31" t="inlineStr">
        <is>
          <t>12</t>
        </is>
      </c>
      <c r="L222" s="31" t="inlineStr">
        <is>
          <t>12</t>
        </is>
      </c>
      <c r="M222" s="31" t="inlineStr">
        <is>
          <t>S1</t>
        </is>
      </c>
      <c r="N222" s="31" t="inlineStr">
        <is>
          <t>S2</t>
        </is>
      </c>
      <c r="O222" s="31" t="inlineStr">
        <is>
          <t>305-136-503-0</t>
        </is>
      </c>
      <c r="P222" s="31" t="inlineStr">
        <is>
          <t>SR Technics Switzerland</t>
        </is>
      </c>
    </row>
    <row r="223">
      <c r="B223" s="31" t="inlineStr">
        <is>
          <t>CFM56-5B</t>
        </is>
      </c>
      <c r="C223" s="31" t="inlineStr">
        <is>
          <t>2024-2025</t>
        </is>
      </c>
      <c r="D223" s="31" t="inlineStr">
        <is>
          <t>139389</t>
        </is>
      </c>
      <c r="E223" s="31" t="inlineStr">
        <is>
          <t>72-62-01</t>
        </is>
      </c>
      <c r="F223" s="31" t="inlineStr">
        <is>
          <t>E</t>
        </is>
      </c>
      <c r="G223" s="31" t="inlineStr">
        <is>
          <t>Gearbox</t>
        </is>
      </c>
      <c r="H223" s="27" t="n">
        <v>855</v>
      </c>
      <c r="I223" s="27" t="n">
        <v>910</v>
      </c>
      <c r="J223" s="154">
        <f>I223/H223-1</f>
        <v/>
      </c>
      <c r="K223" s="31" t="inlineStr">
        <is>
          <t>12</t>
        </is>
      </c>
      <c r="L223" s="31" t="inlineStr">
        <is>
          <t>12</t>
        </is>
      </c>
      <c r="M223" s="31" t="inlineStr">
        <is>
          <t>S1</t>
        </is>
      </c>
      <c r="N223" s="31" t="inlineStr">
        <is>
          <t>S2</t>
        </is>
      </c>
      <c r="O223" s="31" t="inlineStr">
        <is>
          <t>305-136-503-0</t>
        </is>
      </c>
      <c r="P223" s="31" t="inlineStr">
        <is>
          <t>SR Technics Switzerland</t>
        </is>
      </c>
    </row>
    <row r="224">
      <c r="B224" s="31" t="inlineStr">
        <is>
          <t>CFM56-5B</t>
        </is>
      </c>
      <c r="C224" s="31" t="inlineStr">
        <is>
          <t>2024-2025</t>
        </is>
      </c>
      <c r="D224" s="31" t="inlineStr">
        <is>
          <t>139389</t>
        </is>
      </c>
      <c r="E224" s="31" t="inlineStr">
        <is>
          <t>72-62-01</t>
        </is>
      </c>
      <c r="F224" s="31" t="inlineStr">
        <is>
          <t>F</t>
        </is>
      </c>
      <c r="G224" s="31" t="inlineStr">
        <is>
          <t>Gearbox</t>
        </is>
      </c>
      <c r="H224" s="27" t="n">
        <v>855</v>
      </c>
      <c r="I224" s="27" t="n">
        <v>910</v>
      </c>
      <c r="J224" s="154">
        <f>I224/H224-1</f>
        <v/>
      </c>
      <c r="K224" s="31" t="inlineStr">
        <is>
          <t>12</t>
        </is>
      </c>
      <c r="L224" s="31" t="inlineStr">
        <is>
          <t>12</t>
        </is>
      </c>
      <c r="M224" s="31" t="inlineStr">
        <is>
          <t>S1</t>
        </is>
      </c>
      <c r="N224" s="31" t="inlineStr">
        <is>
          <t>S2</t>
        </is>
      </c>
      <c r="O224" s="31" t="inlineStr">
        <is>
          <t>305-136-503-0</t>
        </is>
      </c>
      <c r="P224" s="31" t="inlineStr">
        <is>
          <t>SR Technics Switzerland</t>
        </is>
      </c>
    </row>
    <row r="225">
      <c r="B225" s="31" t="inlineStr">
        <is>
          <t>CFM56-5B</t>
        </is>
      </c>
      <c r="C225" s="31" t="inlineStr">
        <is>
          <t>2024-2025</t>
        </is>
      </c>
      <c r="D225" s="31" t="inlineStr">
        <is>
          <t>139389</t>
        </is>
      </c>
      <c r="E225" s="31" t="inlineStr">
        <is>
          <t>72-62-01</t>
        </is>
      </c>
      <c r="F225" s="31" t="inlineStr">
        <is>
          <t>H</t>
        </is>
      </c>
      <c r="G225" s="31" t="inlineStr">
        <is>
          <t>Gearbox</t>
        </is>
      </c>
      <c r="H225" s="27" t="n">
        <v>2015</v>
      </c>
      <c r="I225" s="27" t="n">
        <v>2140</v>
      </c>
      <c r="J225" s="154">
        <f>I225/H225-1</f>
        <v/>
      </c>
      <c r="K225" s="31" t="inlineStr">
        <is>
          <t>12</t>
        </is>
      </c>
      <c r="L225" s="31" t="inlineStr">
        <is>
          <t>12</t>
        </is>
      </c>
      <c r="M225" s="31" t="inlineStr">
        <is>
          <t>S1</t>
        </is>
      </c>
      <c r="N225" s="31" t="inlineStr">
        <is>
          <t>S2</t>
        </is>
      </c>
      <c r="O225" s="31" t="inlineStr">
        <is>
          <t>305-136-503-0</t>
        </is>
      </c>
      <c r="P225" s="31" t="inlineStr">
        <is>
          <t>SR Technics Switzerland</t>
        </is>
      </c>
    </row>
    <row r="226">
      <c r="B226" s="31" t="inlineStr">
        <is>
          <t>CFM56-5B</t>
        </is>
      </c>
      <c r="C226" s="31" t="inlineStr">
        <is>
          <t>2024-2025</t>
        </is>
      </c>
      <c r="D226" s="31" t="inlineStr">
        <is>
          <t>139389</t>
        </is>
      </c>
      <c r="E226" s="31" t="inlineStr">
        <is>
          <t>72-62-01</t>
        </is>
      </c>
      <c r="F226" s="31" t="inlineStr">
        <is>
          <t>I</t>
        </is>
      </c>
      <c r="G226" s="31" t="inlineStr">
        <is>
          <t>Gearbox</t>
        </is>
      </c>
      <c r="H226" s="27" t="n">
        <v>2230</v>
      </c>
      <c r="I226" s="27" t="n">
        <v>2365</v>
      </c>
      <c r="J226" s="154">
        <f>I226/H226-1</f>
        <v/>
      </c>
      <c r="K226" s="31" t="inlineStr">
        <is>
          <t>12</t>
        </is>
      </c>
      <c r="L226" s="31" t="inlineStr">
        <is>
          <t>12</t>
        </is>
      </c>
      <c r="M226" s="31" t="inlineStr">
        <is>
          <t>S1</t>
        </is>
      </c>
      <c r="N226" s="31" t="inlineStr">
        <is>
          <t>S2</t>
        </is>
      </c>
      <c r="O226" s="31" t="inlineStr">
        <is>
          <t>305-136-503-0</t>
        </is>
      </c>
      <c r="P226" s="31" t="inlineStr">
        <is>
          <t>SR Technics Switzerland</t>
        </is>
      </c>
    </row>
    <row r="227">
      <c r="B227" s="31" t="inlineStr">
        <is>
          <t>CFM56-5B</t>
        </is>
      </c>
      <c r="C227" s="31" t="inlineStr">
        <is>
          <t>2024-2025</t>
        </is>
      </c>
      <c r="D227" s="31" t="inlineStr">
        <is>
          <t>139389</t>
        </is>
      </c>
      <c r="E227" s="31" t="inlineStr">
        <is>
          <t>72-62-01</t>
        </is>
      </c>
      <c r="F227" s="31" t="inlineStr">
        <is>
          <t>K</t>
        </is>
      </c>
      <c r="G227" s="31" t="inlineStr">
        <is>
          <t>Gearbox</t>
        </is>
      </c>
      <c r="H227" s="27" t="n">
        <v>790</v>
      </c>
      <c r="I227" s="27" t="n">
        <v>840</v>
      </c>
      <c r="J227" s="154">
        <f>I227/H227-1</f>
        <v/>
      </c>
      <c r="K227" s="31" t="inlineStr">
        <is>
          <t>12</t>
        </is>
      </c>
      <c r="L227" s="31" t="inlineStr">
        <is>
          <t>12</t>
        </is>
      </c>
      <c r="M227" s="31" t="inlineStr">
        <is>
          <t>S1</t>
        </is>
      </c>
      <c r="N227" s="31" t="inlineStr">
        <is>
          <t>S2</t>
        </is>
      </c>
      <c r="O227" s="31" t="inlineStr">
        <is>
          <t>305-136-503-0</t>
        </is>
      </c>
      <c r="P227" s="31" t="inlineStr">
        <is>
          <t>SR Technics Switzerland</t>
        </is>
      </c>
    </row>
    <row r="228">
      <c r="B228" s="31" t="inlineStr">
        <is>
          <t>CFM56-5B</t>
        </is>
      </c>
      <c r="C228" s="31" t="inlineStr">
        <is>
          <t>2024-2025</t>
        </is>
      </c>
      <c r="D228" s="31" t="inlineStr">
        <is>
          <t>139389</t>
        </is>
      </c>
      <c r="E228" s="31" t="inlineStr">
        <is>
          <t>72-62-01</t>
        </is>
      </c>
      <c r="F228" s="31" t="inlineStr">
        <is>
          <t>L</t>
        </is>
      </c>
      <c r="G228" s="31" t="inlineStr">
        <is>
          <t>Gearbox</t>
        </is>
      </c>
      <c r="H228" s="27" t="n">
        <v>1125</v>
      </c>
      <c r="I228" s="27" t="n">
        <v>1195</v>
      </c>
      <c r="J228" s="154">
        <f>I228/H228-1</f>
        <v/>
      </c>
      <c r="K228" s="31" t="inlineStr">
        <is>
          <t>12</t>
        </is>
      </c>
      <c r="L228" s="31" t="inlineStr">
        <is>
          <t>12</t>
        </is>
      </c>
      <c r="M228" s="31" t="inlineStr">
        <is>
          <t>S1</t>
        </is>
      </c>
      <c r="N228" s="31" t="inlineStr">
        <is>
          <t>S2</t>
        </is>
      </c>
      <c r="O228" s="31" t="inlineStr">
        <is>
          <t>305-136-503-0</t>
        </is>
      </c>
      <c r="P228" s="31" t="inlineStr">
        <is>
          <t>SR Technics Switzerland</t>
        </is>
      </c>
    </row>
    <row r="229">
      <c r="B229" s="31" t="inlineStr">
        <is>
          <t>CFM56-5B</t>
        </is>
      </c>
      <c r="C229" s="31" t="inlineStr">
        <is>
          <t>2024-2025</t>
        </is>
      </c>
      <c r="D229" s="31" t="inlineStr">
        <is>
          <t>139389</t>
        </is>
      </c>
      <c r="E229" s="31" t="inlineStr">
        <is>
          <t>72-62-01</t>
        </is>
      </c>
      <c r="F229" s="31" t="inlineStr">
        <is>
          <t>N</t>
        </is>
      </c>
      <c r="G229" s="31" t="inlineStr">
        <is>
          <t>Gearbox</t>
        </is>
      </c>
      <c r="H229" s="27" t="n">
        <v>1645</v>
      </c>
      <c r="I229" s="27" t="n">
        <v>1745</v>
      </c>
      <c r="J229" s="154">
        <f>I229/H229-1</f>
        <v/>
      </c>
      <c r="K229" s="31" t="inlineStr">
        <is>
          <t>12</t>
        </is>
      </c>
      <c r="L229" s="31" t="inlineStr">
        <is>
          <t>12</t>
        </is>
      </c>
      <c r="M229" s="31" t="inlineStr">
        <is>
          <t>S1</t>
        </is>
      </c>
      <c r="N229" s="31" t="inlineStr">
        <is>
          <t>S2</t>
        </is>
      </c>
      <c r="O229" s="31" t="inlineStr">
        <is>
          <t>305-136-503-0</t>
        </is>
      </c>
      <c r="P229" s="31" t="inlineStr">
        <is>
          <t>SR Technics Switzerland</t>
        </is>
      </c>
    </row>
    <row r="230">
      <c r="B230" s="31" t="inlineStr">
        <is>
          <t>CFM56-5B</t>
        </is>
      </c>
      <c r="C230" s="31" t="inlineStr">
        <is>
          <t>2024-2025</t>
        </is>
      </c>
      <c r="D230" s="31" t="inlineStr">
        <is>
          <t>139389</t>
        </is>
      </c>
      <c r="E230" s="31" t="inlineStr">
        <is>
          <t>72-62-01</t>
        </is>
      </c>
      <c r="F230" s="31" t="inlineStr">
        <is>
          <t>R</t>
        </is>
      </c>
      <c r="G230" s="31" t="inlineStr">
        <is>
          <t>Gearbox</t>
        </is>
      </c>
      <c r="H230" s="27" t="n">
        <v>2015</v>
      </c>
      <c r="I230" s="27" t="n">
        <v>2140</v>
      </c>
      <c r="J230" s="154">
        <f>I230/H230-1</f>
        <v/>
      </c>
      <c r="K230" s="31" t="inlineStr">
        <is>
          <t>12</t>
        </is>
      </c>
      <c r="L230" s="31" t="inlineStr">
        <is>
          <t>12</t>
        </is>
      </c>
      <c r="M230" s="31" t="inlineStr">
        <is>
          <t>S1</t>
        </is>
      </c>
      <c r="N230" s="31" t="inlineStr">
        <is>
          <t>S2</t>
        </is>
      </c>
      <c r="O230" s="31" t="inlineStr">
        <is>
          <t>305-136-503-0</t>
        </is>
      </c>
      <c r="P230" s="31" t="inlineStr">
        <is>
          <t>SR Technics Switzerland</t>
        </is>
      </c>
    </row>
    <row r="231">
      <c r="B231" s="31" t="inlineStr">
        <is>
          <t>CFM56-5B</t>
        </is>
      </c>
      <c r="C231" s="31" t="inlineStr">
        <is>
          <t>2024-2025</t>
        </is>
      </c>
      <c r="D231" s="31" t="inlineStr">
        <is>
          <t>139389</t>
        </is>
      </c>
      <c r="E231" s="31" t="inlineStr">
        <is>
          <t>72-62-01</t>
        </is>
      </c>
      <c r="F231" s="31" t="inlineStr">
        <is>
          <t>S</t>
        </is>
      </c>
      <c r="G231" s="31" t="inlineStr">
        <is>
          <t>Gearbox</t>
        </is>
      </c>
      <c r="H231" s="27" t="n">
        <v>2230</v>
      </c>
      <c r="I231" s="27" t="n">
        <v>2365</v>
      </c>
      <c r="J231" s="154">
        <f>I231/H231-1</f>
        <v/>
      </c>
      <c r="K231" s="31" t="inlineStr">
        <is>
          <t>12</t>
        </is>
      </c>
      <c r="L231" s="31" t="inlineStr">
        <is>
          <t>12</t>
        </is>
      </c>
      <c r="M231" s="31" t="inlineStr">
        <is>
          <t>S1</t>
        </is>
      </c>
      <c r="N231" s="31" t="inlineStr">
        <is>
          <t>S2</t>
        </is>
      </c>
      <c r="O231" s="31" t="inlineStr">
        <is>
          <t>305-136-503-0</t>
        </is>
      </c>
      <c r="P231" s="31" t="inlineStr">
        <is>
          <t>SR Technics Switzerland</t>
        </is>
      </c>
    </row>
    <row r="232">
      <c r="B232" s="31" t="inlineStr">
        <is>
          <t>CFM56-5B</t>
        </is>
      </c>
      <c r="C232" s="31" t="inlineStr">
        <is>
          <t>2024-2025</t>
        </is>
      </c>
      <c r="D232" s="31" t="inlineStr">
        <is>
          <t>139389</t>
        </is>
      </c>
      <c r="E232" s="31" t="inlineStr">
        <is>
          <t>72-62-01</t>
        </is>
      </c>
      <c r="F232" s="31" t="inlineStr">
        <is>
          <t>SB00</t>
        </is>
      </c>
      <c r="G232" s="31" t="inlineStr">
        <is>
          <t>Gearbox</t>
        </is>
      </c>
      <c r="H232" s="27" t="n">
        <v>270</v>
      </c>
      <c r="I232" s="27" t="n">
        <v>290</v>
      </c>
      <c r="J232" s="154">
        <f>I232/H232-1</f>
        <v/>
      </c>
      <c r="K232" s="31" t="inlineStr">
        <is>
          <t>12</t>
        </is>
      </c>
      <c r="L232" s="31" t="inlineStr">
        <is>
          <t>12</t>
        </is>
      </c>
      <c r="M232" s="31" t="inlineStr">
        <is>
          <t>S1</t>
        </is>
      </c>
      <c r="N232" s="31" t="inlineStr">
        <is>
          <t>S2</t>
        </is>
      </c>
      <c r="O232" s="31" t="inlineStr">
        <is>
          <t>305-136-503-0</t>
        </is>
      </c>
      <c r="P232" s="31" t="inlineStr">
        <is>
          <t>SR Technics Switzerland</t>
        </is>
      </c>
    </row>
    <row r="233">
      <c r="B233" s="31" t="inlineStr">
        <is>
          <t>CFM56-5B</t>
        </is>
      </c>
      <c r="C233" s="31" t="inlineStr">
        <is>
          <t>2024-2025</t>
        </is>
      </c>
      <c r="D233" s="31" t="inlineStr">
        <is>
          <t>139390</t>
        </is>
      </c>
      <c r="E233" s="31" t="inlineStr">
        <is>
          <t>72-62-02</t>
        </is>
      </c>
      <c r="F233" s="31" t="inlineStr">
        <is>
          <t>A</t>
        </is>
      </c>
      <c r="G233" s="31" t="inlineStr">
        <is>
          <t>Gearbox</t>
        </is>
      </c>
      <c r="H233" s="27" t="n">
        <v>1125</v>
      </c>
      <c r="I233" s="27" t="n">
        <v>1195</v>
      </c>
      <c r="J233" s="154">
        <f>I233/H233-1</f>
        <v/>
      </c>
      <c r="K233" s="31" t="inlineStr">
        <is>
          <t>48</t>
        </is>
      </c>
      <c r="L233" s="31" t="inlineStr">
        <is>
          <t>48</t>
        </is>
      </c>
      <c r="M233" s="31" t="inlineStr">
        <is>
          <t>S1</t>
        </is>
      </c>
      <c r="N233" s="31" t="inlineStr">
        <is>
          <t>S2</t>
        </is>
      </c>
      <c r="O233" s="31" t="inlineStr">
        <is>
          <t>305-136-605-0</t>
        </is>
      </c>
      <c r="P233" s="31" t="inlineStr">
        <is>
          <t>SR Technics Switzerland</t>
        </is>
      </c>
    </row>
    <row r="234">
      <c r="B234" s="31" t="inlineStr">
        <is>
          <t>CFM56-5B</t>
        </is>
      </c>
      <c r="C234" s="31" t="inlineStr">
        <is>
          <t>2024-2025</t>
        </is>
      </c>
      <c r="D234" s="31" t="inlineStr">
        <is>
          <t>139390</t>
        </is>
      </c>
      <c r="E234" s="31" t="inlineStr">
        <is>
          <t>72-62-02</t>
        </is>
      </c>
      <c r="F234" s="31" t="inlineStr">
        <is>
          <t>SB00</t>
        </is>
      </c>
      <c r="G234" s="31" t="inlineStr">
        <is>
          <t>Gearbox</t>
        </is>
      </c>
      <c r="H234" s="27" t="n">
        <v>465</v>
      </c>
      <c r="I234" s="27" t="n">
        <v>495</v>
      </c>
      <c r="J234" s="154">
        <f>I234/H234-1</f>
        <v/>
      </c>
      <c r="K234" s="31" t="inlineStr">
        <is>
          <t>49</t>
        </is>
      </c>
      <c r="L234" s="31" t="inlineStr">
        <is>
          <t>48</t>
        </is>
      </c>
      <c r="M234" s="31" t="inlineStr">
        <is>
          <t>S1</t>
        </is>
      </c>
      <c r="N234" s="31" t="inlineStr">
        <is>
          <t>S2</t>
        </is>
      </c>
      <c r="O234" s="31" t="inlineStr">
        <is>
          <t>305-136-605-0</t>
        </is>
      </c>
      <c r="P234" s="31" t="inlineStr">
        <is>
          <t>SR Technics Switzerland</t>
        </is>
      </c>
    </row>
    <row r="235">
      <c r="B235" s="31" t="inlineStr">
        <is>
          <t>CFM56-5B</t>
        </is>
      </c>
      <c r="C235" s="31" t="inlineStr">
        <is>
          <t>2024-2025</t>
        </is>
      </c>
      <c r="D235" s="31" t="inlineStr">
        <is>
          <t>139400</t>
        </is>
      </c>
      <c r="E235" s="31" t="inlineStr">
        <is>
          <t>72-63-17</t>
        </is>
      </c>
      <c r="F235" s="31" t="inlineStr">
        <is>
          <t>A</t>
        </is>
      </c>
      <c r="G235" s="31" t="inlineStr">
        <is>
          <t>Gearbox</t>
        </is>
      </c>
      <c r="H235" s="27" t="n">
        <v>1165</v>
      </c>
      <c r="I235" s="27" t="n">
        <v>1235</v>
      </c>
      <c r="J235" s="154">
        <f>I235/H235-1</f>
        <v/>
      </c>
      <c r="K235" s="31" t="inlineStr">
        <is>
          <t>12</t>
        </is>
      </c>
      <c r="L235" s="31" t="inlineStr">
        <is>
          <t>12</t>
        </is>
      </c>
      <c r="M235" s="31" t="inlineStr">
        <is>
          <t>S1</t>
        </is>
      </c>
      <c r="N235" s="31" t="inlineStr">
        <is>
          <t>S2</t>
        </is>
      </c>
      <c r="O235" s="31" t="inlineStr">
        <is>
          <t>305-138-602-0</t>
        </is>
      </c>
      <c r="P235" s="31" t="inlineStr">
        <is>
          <t>SR Technics Switzerland</t>
        </is>
      </c>
    </row>
    <row r="236">
      <c r="B236" s="31" t="inlineStr">
        <is>
          <t>CFM56-5B</t>
        </is>
      </c>
      <c r="C236" s="31" t="inlineStr">
        <is>
          <t>2024-2025</t>
        </is>
      </c>
      <c r="D236" s="31" t="inlineStr">
        <is>
          <t>139401</t>
        </is>
      </c>
      <c r="E236" s="31" t="inlineStr">
        <is>
          <t>72-63-02</t>
        </is>
      </c>
      <c r="F236" s="31" t="inlineStr">
        <is>
          <t>A</t>
        </is>
      </c>
      <c r="G236" s="31" t="inlineStr">
        <is>
          <t>Gearbox</t>
        </is>
      </c>
      <c r="H236" s="27" t="n">
        <v>475</v>
      </c>
      <c r="I236" s="27" t="n">
        <v>505</v>
      </c>
      <c r="J236" s="154">
        <f>I236/H236-1</f>
        <v/>
      </c>
      <c r="K236" s="31" t="inlineStr">
        <is>
          <t>49</t>
        </is>
      </c>
      <c r="L236" s="31" t="inlineStr">
        <is>
          <t>49</t>
        </is>
      </c>
      <c r="M236" s="31" t="inlineStr">
        <is>
          <t>S1</t>
        </is>
      </c>
      <c r="N236" s="31" t="inlineStr">
        <is>
          <t>S2</t>
        </is>
      </c>
      <c r="O236" s="31" t="inlineStr">
        <is>
          <t>305-138-805-0</t>
        </is>
      </c>
      <c r="P236" s="31" t="inlineStr">
        <is>
          <t>SR Technics Switzerland</t>
        </is>
      </c>
    </row>
    <row r="237">
      <c r="B237" s="31" t="inlineStr">
        <is>
          <t>CFM56-5B</t>
        </is>
      </c>
      <c r="C237" s="31" t="inlineStr">
        <is>
          <t>2024-2025</t>
        </is>
      </c>
      <c r="D237" s="31" t="inlineStr">
        <is>
          <t>139422</t>
        </is>
      </c>
      <c r="E237" s="31" t="inlineStr">
        <is>
          <t>72-62-04</t>
        </is>
      </c>
      <c r="F237" s="31" t="inlineStr">
        <is>
          <t>A</t>
        </is>
      </c>
      <c r="G237" s="31" t="inlineStr">
        <is>
          <t>Gearbox</t>
        </is>
      </c>
      <c r="H237" s="27" t="n">
        <v>270</v>
      </c>
      <c r="I237" s="27" t="n">
        <v>290</v>
      </c>
      <c r="J237" s="154">
        <f>I237/H237-1</f>
        <v/>
      </c>
      <c r="K237" s="31" t="inlineStr">
        <is>
          <t>12</t>
        </is>
      </c>
      <c r="L237" s="31" t="inlineStr">
        <is>
          <t>12</t>
        </is>
      </c>
      <c r="M237" s="31" t="inlineStr">
        <is>
          <t>S1</t>
        </is>
      </c>
      <c r="N237" s="31" t="inlineStr">
        <is>
          <t>S2</t>
        </is>
      </c>
      <c r="O237" s="31" t="inlineStr">
        <is>
          <t>305-148-801-0</t>
        </is>
      </c>
      <c r="P237" s="31" t="inlineStr">
        <is>
          <t>SR Technics Switzerland</t>
        </is>
      </c>
    </row>
    <row r="238">
      <c r="B238" s="31" t="inlineStr">
        <is>
          <t>CFM56-5B</t>
        </is>
      </c>
      <c r="C238" s="31" t="inlineStr">
        <is>
          <t>2024-2025</t>
        </is>
      </c>
      <c r="D238" s="31" t="inlineStr">
        <is>
          <t>139422</t>
        </is>
      </c>
      <c r="E238" s="31" t="inlineStr">
        <is>
          <t>72-62-04</t>
        </is>
      </c>
      <c r="F238" s="31" t="inlineStr">
        <is>
          <t>B</t>
        </is>
      </c>
      <c r="G238" s="31" t="inlineStr">
        <is>
          <t>Gearbox</t>
        </is>
      </c>
      <c r="H238" s="27" t="n">
        <v>1480</v>
      </c>
      <c r="I238" s="27" t="n">
        <v>1570</v>
      </c>
      <c r="J238" s="154">
        <f>I238/H238-1</f>
        <v/>
      </c>
      <c r="K238" s="31" t="inlineStr">
        <is>
          <t>12</t>
        </is>
      </c>
      <c r="L238" s="31" t="inlineStr">
        <is>
          <t>12</t>
        </is>
      </c>
      <c r="M238" s="31" t="inlineStr">
        <is>
          <t>S1</t>
        </is>
      </c>
      <c r="N238" s="31" t="inlineStr">
        <is>
          <t>S2</t>
        </is>
      </c>
      <c r="O238" s="31" t="inlineStr">
        <is>
          <t>305-148-801-0</t>
        </is>
      </c>
      <c r="P238" s="31" t="inlineStr">
        <is>
          <t>SR Technics Switzerland</t>
        </is>
      </c>
    </row>
    <row r="239">
      <c r="B239" s="31" t="inlineStr">
        <is>
          <t>CFM56-5B</t>
        </is>
      </c>
      <c r="C239" s="31" t="inlineStr">
        <is>
          <t>2024-2025</t>
        </is>
      </c>
      <c r="D239" s="31" t="inlineStr">
        <is>
          <t>139422</t>
        </is>
      </c>
      <c r="E239" s="31" t="inlineStr">
        <is>
          <t>72-62-04</t>
        </is>
      </c>
      <c r="F239" s="31" t="inlineStr">
        <is>
          <t>C</t>
        </is>
      </c>
      <c r="G239" s="31" t="inlineStr">
        <is>
          <t>Gearbox</t>
        </is>
      </c>
      <c r="H239" s="27" t="n">
        <v>595</v>
      </c>
      <c r="I239" s="27" t="n">
        <v>635</v>
      </c>
      <c r="J239" s="154">
        <f>I239/H239-1</f>
        <v/>
      </c>
      <c r="K239" s="31" t="inlineStr">
        <is>
          <t>12</t>
        </is>
      </c>
      <c r="L239" s="31" t="inlineStr">
        <is>
          <t>12</t>
        </is>
      </c>
      <c r="M239" s="31" t="inlineStr">
        <is>
          <t>S1</t>
        </is>
      </c>
      <c r="N239" s="31" t="inlineStr">
        <is>
          <t>S2</t>
        </is>
      </c>
      <c r="O239" s="31" t="inlineStr">
        <is>
          <t>305-148-801-0</t>
        </is>
      </c>
      <c r="P239" s="31" t="inlineStr">
        <is>
          <t>SR Technics Switzerland</t>
        </is>
      </c>
    </row>
    <row r="240">
      <c r="B240" s="31" t="inlineStr">
        <is>
          <t>CFM56-5B</t>
        </is>
      </c>
      <c r="C240" s="31" t="inlineStr">
        <is>
          <t>2024-2025</t>
        </is>
      </c>
      <c r="D240" s="31" t="inlineStr">
        <is>
          <t>139422</t>
        </is>
      </c>
      <c r="E240" s="31" t="inlineStr">
        <is>
          <t>72-62-04</t>
        </is>
      </c>
      <c r="F240" s="31" t="inlineStr">
        <is>
          <t>D</t>
        </is>
      </c>
      <c r="G240" s="31" t="inlineStr">
        <is>
          <t>Gearbox</t>
        </is>
      </c>
      <c r="H240" s="27" t="n">
        <v>630</v>
      </c>
      <c r="I240" s="27" t="n">
        <v>670</v>
      </c>
      <c r="J240" s="154">
        <f>I240/H240-1</f>
        <v/>
      </c>
      <c r="K240" s="31" t="inlineStr">
        <is>
          <t>12</t>
        </is>
      </c>
      <c r="L240" s="31" t="inlineStr">
        <is>
          <t>12</t>
        </is>
      </c>
      <c r="M240" s="31" t="inlineStr">
        <is>
          <t>S1</t>
        </is>
      </c>
      <c r="N240" s="31" t="inlineStr">
        <is>
          <t>S2</t>
        </is>
      </c>
      <c r="O240" s="31" t="inlineStr">
        <is>
          <t>305-148-801-0</t>
        </is>
      </c>
      <c r="P240" s="31" t="inlineStr">
        <is>
          <t>SR Technics Switzerland</t>
        </is>
      </c>
    </row>
    <row r="241">
      <c r="B241" s="31" t="inlineStr">
        <is>
          <t>CFM56-5B</t>
        </is>
      </c>
      <c r="C241" s="31" t="inlineStr">
        <is>
          <t>2024-2025</t>
        </is>
      </c>
      <c r="D241" s="31" t="inlineStr">
        <is>
          <t>139422</t>
        </is>
      </c>
      <c r="E241" s="31" t="inlineStr">
        <is>
          <t>72-62-04</t>
        </is>
      </c>
      <c r="F241" s="31" t="inlineStr">
        <is>
          <t>E</t>
        </is>
      </c>
      <c r="G241" s="31" t="inlineStr">
        <is>
          <t>Gearbox</t>
        </is>
      </c>
      <c r="H241" s="27" t="n">
        <v>680</v>
      </c>
      <c r="I241" s="27" t="n">
        <v>725</v>
      </c>
      <c r="J241" s="154">
        <f>I241/H241-1</f>
        <v/>
      </c>
      <c r="K241" s="31" t="inlineStr">
        <is>
          <t>12</t>
        </is>
      </c>
      <c r="L241" s="31" t="inlineStr">
        <is>
          <t>12</t>
        </is>
      </c>
      <c r="M241" s="31" t="inlineStr">
        <is>
          <t>S1</t>
        </is>
      </c>
      <c r="N241" s="31" t="inlineStr">
        <is>
          <t>S2</t>
        </is>
      </c>
      <c r="O241" s="31" t="inlineStr">
        <is>
          <t>305-148-801-0</t>
        </is>
      </c>
      <c r="P241" s="31" t="inlineStr">
        <is>
          <t>SR Technics Switzerland</t>
        </is>
      </c>
    </row>
    <row r="242">
      <c r="B242" s="31" t="inlineStr">
        <is>
          <t>CFM56-5B</t>
        </is>
      </c>
      <c r="C242" s="31" t="inlineStr">
        <is>
          <t>2024-2025</t>
        </is>
      </c>
      <c r="D242" s="31" t="inlineStr">
        <is>
          <t>139422</t>
        </is>
      </c>
      <c r="E242" s="31" t="inlineStr">
        <is>
          <t>72-62-04</t>
        </is>
      </c>
      <c r="F242" s="31" t="inlineStr">
        <is>
          <t>F</t>
        </is>
      </c>
      <c r="G242" s="31" t="inlineStr">
        <is>
          <t>Gearbox</t>
        </is>
      </c>
      <c r="H242" s="27" t="n">
        <v>600</v>
      </c>
      <c r="I242" s="27" t="n">
        <v>640</v>
      </c>
      <c r="J242" s="154">
        <f>I242/H242-1</f>
        <v/>
      </c>
      <c r="K242" s="31" t="inlineStr">
        <is>
          <t>12</t>
        </is>
      </c>
      <c r="L242" s="31" t="inlineStr">
        <is>
          <t>12</t>
        </is>
      </c>
      <c r="M242" s="31" t="inlineStr">
        <is>
          <t>S1</t>
        </is>
      </c>
      <c r="N242" s="31" t="inlineStr">
        <is>
          <t>S2</t>
        </is>
      </c>
      <c r="O242" s="31" t="inlineStr">
        <is>
          <t>305-148-801-0</t>
        </is>
      </c>
      <c r="P242" s="31" t="inlineStr">
        <is>
          <t>SR Technics Switzerland</t>
        </is>
      </c>
    </row>
    <row r="243">
      <c r="B243" s="31" t="inlineStr">
        <is>
          <t>CFM56-5B</t>
        </is>
      </c>
      <c r="C243" s="31" t="inlineStr">
        <is>
          <t>2024-2025</t>
        </is>
      </c>
      <c r="D243" s="31" t="inlineStr">
        <is>
          <t>139422</t>
        </is>
      </c>
      <c r="E243" s="31" t="inlineStr">
        <is>
          <t>72-62-04</t>
        </is>
      </c>
      <c r="F243" s="31" t="inlineStr">
        <is>
          <t>H</t>
        </is>
      </c>
      <c r="G243" s="31" t="inlineStr">
        <is>
          <t>Gearbox</t>
        </is>
      </c>
      <c r="H243" s="27" t="n">
        <v>760</v>
      </c>
      <c r="I243" s="27" t="n">
        <v>810</v>
      </c>
      <c r="J243" s="154">
        <f>I243/H243-1</f>
        <v/>
      </c>
      <c r="K243" s="31" t="inlineStr">
        <is>
          <t>12</t>
        </is>
      </c>
      <c r="L243" s="31" t="inlineStr">
        <is>
          <t>12</t>
        </is>
      </c>
      <c r="M243" s="31" t="inlineStr">
        <is>
          <t>S1</t>
        </is>
      </c>
      <c r="N243" s="31" t="inlineStr">
        <is>
          <t>S2</t>
        </is>
      </c>
      <c r="O243" s="31" t="inlineStr">
        <is>
          <t>305-148-801-0</t>
        </is>
      </c>
      <c r="P243" s="31" t="inlineStr">
        <is>
          <t>SR Technics Switzerland</t>
        </is>
      </c>
    </row>
    <row r="244">
      <c r="B244" s="31" t="inlineStr">
        <is>
          <t>CFM56-5B</t>
        </is>
      </c>
      <c r="C244" s="31" t="inlineStr">
        <is>
          <t>2024-2025</t>
        </is>
      </c>
      <c r="D244" s="31" t="inlineStr">
        <is>
          <t>139423</t>
        </is>
      </c>
      <c r="E244" s="31" t="inlineStr">
        <is>
          <t>72-63-03</t>
        </is>
      </c>
      <c r="F244" s="31" t="inlineStr">
        <is>
          <t>A</t>
        </is>
      </c>
      <c r="G244" s="31" t="inlineStr">
        <is>
          <t>Gearbox</t>
        </is>
      </c>
      <c r="H244" s="27" t="n">
        <v>1140</v>
      </c>
      <c r="I244" s="27" t="n">
        <v>1210</v>
      </c>
      <c r="J244" s="154">
        <f>I244/H244-1</f>
        <v/>
      </c>
      <c r="K244" s="31" t="inlineStr">
        <is>
          <t>49</t>
        </is>
      </c>
      <c r="L244" s="31" t="inlineStr">
        <is>
          <t>49</t>
        </is>
      </c>
      <c r="M244" s="31" t="inlineStr">
        <is>
          <t>S1</t>
        </is>
      </c>
      <c r="N244" s="31" t="inlineStr">
        <is>
          <t>S2</t>
        </is>
      </c>
      <c r="O244" s="31" t="inlineStr">
        <is>
          <t>305-137-101-0</t>
        </is>
      </c>
      <c r="P244" s="31" t="inlineStr">
        <is>
          <t>SR Technics Switzerland</t>
        </is>
      </c>
    </row>
    <row r="245">
      <c r="B245" s="31" t="inlineStr">
        <is>
          <t>CFM56-5B</t>
        </is>
      </c>
      <c r="C245" s="31" t="inlineStr">
        <is>
          <t>2024-2025</t>
        </is>
      </c>
      <c r="D245" s="31" t="inlineStr">
        <is>
          <t>139423</t>
        </is>
      </c>
      <c r="E245" s="31" t="inlineStr">
        <is>
          <t>72-63-03</t>
        </is>
      </c>
      <c r="F245" s="31" t="inlineStr">
        <is>
          <t>C</t>
        </is>
      </c>
      <c r="G245" s="31" t="inlineStr">
        <is>
          <t>Gearbox</t>
        </is>
      </c>
      <c r="H245" s="27" t="n">
        <v>1270</v>
      </c>
      <c r="I245" s="27" t="n">
        <v>1350</v>
      </c>
      <c r="J245" s="154">
        <f>I245/H245-1</f>
        <v/>
      </c>
      <c r="K245" s="31" t="inlineStr">
        <is>
          <t>49</t>
        </is>
      </c>
      <c r="L245" s="31" t="inlineStr">
        <is>
          <t>49</t>
        </is>
      </c>
      <c r="M245" s="31" t="inlineStr">
        <is>
          <t>S1</t>
        </is>
      </c>
      <c r="N245" s="31" t="inlineStr">
        <is>
          <t>S2</t>
        </is>
      </c>
      <c r="O245" s="31" t="inlineStr">
        <is>
          <t>305-137-101-0</t>
        </is>
      </c>
      <c r="P245" s="31" t="inlineStr">
        <is>
          <t>SR Technics Switzerland</t>
        </is>
      </c>
    </row>
    <row r="246">
      <c r="B246" s="31" t="inlineStr">
        <is>
          <t>CFM56-5B</t>
        </is>
      </c>
      <c r="C246" s="31" t="inlineStr">
        <is>
          <t>2024-2025</t>
        </is>
      </c>
      <c r="D246" s="31" t="inlineStr">
        <is>
          <t>139423</t>
        </is>
      </c>
      <c r="E246" s="31" t="inlineStr">
        <is>
          <t>72-63-03</t>
        </is>
      </c>
      <c r="F246" s="31" t="inlineStr">
        <is>
          <t>E</t>
        </is>
      </c>
      <c r="G246" s="31" t="inlineStr">
        <is>
          <t>Gearbox</t>
        </is>
      </c>
      <c r="H246" s="27" t="n">
        <v>760</v>
      </c>
      <c r="I246" s="27" t="n">
        <v>810</v>
      </c>
      <c r="J246" s="154">
        <f>I246/H246-1</f>
        <v/>
      </c>
      <c r="K246" s="31" t="inlineStr">
        <is>
          <t>49</t>
        </is>
      </c>
      <c r="L246" s="31" t="inlineStr">
        <is>
          <t>49</t>
        </is>
      </c>
      <c r="M246" s="31" t="inlineStr">
        <is>
          <t>S1</t>
        </is>
      </c>
      <c r="N246" s="31" t="inlineStr">
        <is>
          <t>S2</t>
        </is>
      </c>
      <c r="O246" s="31" t="inlineStr">
        <is>
          <t>305-137-101-0</t>
        </is>
      </c>
      <c r="P246" s="31" t="inlineStr">
        <is>
          <t>SR Technics Switzerland</t>
        </is>
      </c>
    </row>
    <row r="247">
      <c r="B247" s="31" t="inlineStr">
        <is>
          <t>CFM56-5B</t>
        </is>
      </c>
      <c r="C247" s="31" t="inlineStr">
        <is>
          <t>2024-2025</t>
        </is>
      </c>
      <c r="D247" s="31" t="inlineStr">
        <is>
          <t>139424</t>
        </is>
      </c>
      <c r="E247" s="31" t="inlineStr">
        <is>
          <t>72-63-25</t>
        </is>
      </c>
      <c r="F247" s="31" t="inlineStr">
        <is>
          <t>A</t>
        </is>
      </c>
      <c r="G247" s="31" t="inlineStr">
        <is>
          <t>Gearbox</t>
        </is>
      </c>
      <c r="H247" s="27" t="n">
        <v>340</v>
      </c>
      <c r="I247" s="27" t="n">
        <v>365</v>
      </c>
      <c r="J247" s="154">
        <f>I247/H247-1</f>
        <v/>
      </c>
      <c r="K247" s="31" t="inlineStr">
        <is>
          <t>50</t>
        </is>
      </c>
      <c r="L247" s="31" t="inlineStr">
        <is>
          <t>50</t>
        </is>
      </c>
      <c r="M247" s="31" t="inlineStr">
        <is>
          <t>S1</t>
        </is>
      </c>
      <c r="N247" s="31" t="inlineStr">
        <is>
          <t>S2</t>
        </is>
      </c>
      <c r="O247" s="31" t="inlineStr">
        <is>
          <t>305-140-501-0</t>
        </is>
      </c>
      <c r="P247" s="31" t="inlineStr">
        <is>
          <t>SR Technics Switzerland</t>
        </is>
      </c>
    </row>
    <row r="248">
      <c r="B248" s="31" t="inlineStr">
        <is>
          <t>CFM56-5B</t>
        </is>
      </c>
      <c r="C248" s="31" t="inlineStr">
        <is>
          <t>2024-2025</t>
        </is>
      </c>
      <c r="D248" s="31" t="inlineStr">
        <is>
          <t>139424</t>
        </is>
      </c>
      <c r="E248" s="31" t="inlineStr">
        <is>
          <t>72-63-25</t>
        </is>
      </c>
      <c r="F248" s="31" t="inlineStr">
        <is>
          <t>B</t>
        </is>
      </c>
      <c r="G248" s="31" t="inlineStr">
        <is>
          <t>Gearbox</t>
        </is>
      </c>
      <c r="H248" s="27" t="n">
        <v>290</v>
      </c>
      <c r="I248" s="27" t="n">
        <v>310</v>
      </c>
      <c r="J248" s="154">
        <f>I248/H248-1</f>
        <v/>
      </c>
      <c r="K248" s="31" t="inlineStr">
        <is>
          <t>50</t>
        </is>
      </c>
      <c r="L248" s="31" t="inlineStr">
        <is>
          <t>50</t>
        </is>
      </c>
      <c r="M248" s="31" t="inlineStr">
        <is>
          <t>S1</t>
        </is>
      </c>
      <c r="N248" s="31" t="inlineStr">
        <is>
          <t>S2</t>
        </is>
      </c>
      <c r="O248" s="31" t="inlineStr">
        <is>
          <t>305-140-501-0</t>
        </is>
      </c>
      <c r="P248" s="31" t="inlineStr">
        <is>
          <t>SR Technics Switzerland</t>
        </is>
      </c>
    </row>
    <row r="249">
      <c r="B249" s="31" t="inlineStr">
        <is>
          <t>CFM56-5B</t>
        </is>
      </c>
      <c r="C249" s="31" t="inlineStr">
        <is>
          <t>2024-2025</t>
        </is>
      </c>
      <c r="D249" s="31" t="inlineStr">
        <is>
          <t>139429</t>
        </is>
      </c>
      <c r="E249" s="31" t="inlineStr">
        <is>
          <t>72-22-05</t>
        </is>
      </c>
      <c r="F249" s="31" t="inlineStr">
        <is>
          <t>A</t>
        </is>
      </c>
      <c r="G249" s="31" t="inlineStr">
        <is>
          <t>Fan / booster</t>
        </is>
      </c>
      <c r="H249" s="27" t="n">
        <v>355</v>
      </c>
      <c r="I249" s="27" t="n">
        <v>380</v>
      </c>
      <c r="J249" s="154">
        <f>I249/H249-1</f>
        <v/>
      </c>
      <c r="K249" s="31" t="inlineStr">
        <is>
          <t>12</t>
        </is>
      </c>
      <c r="L249" s="31" t="inlineStr">
        <is>
          <t>12</t>
        </is>
      </c>
      <c r="M249" s="31" t="inlineStr">
        <is>
          <t>S1</t>
        </is>
      </c>
      <c r="N249" s="31" t="inlineStr">
        <is>
          <t>S2</t>
        </is>
      </c>
      <c r="O249" s="31" t="inlineStr">
        <is>
          <t>305-396-303-0</t>
        </is>
      </c>
      <c r="P249" s="31" t="inlineStr">
        <is>
          <t>SR Technics Switzerland</t>
        </is>
      </c>
    </row>
    <row r="250">
      <c r="B250" s="31" t="inlineStr">
        <is>
          <t>CFM56-5B</t>
        </is>
      </c>
      <c r="C250" s="31" t="inlineStr">
        <is>
          <t>2024-2025</t>
        </is>
      </c>
      <c r="D250" s="31" t="inlineStr">
        <is>
          <t>139429</t>
        </is>
      </c>
      <c r="E250" s="31" t="inlineStr">
        <is>
          <t>72-22-05</t>
        </is>
      </c>
      <c r="F250" s="31" t="inlineStr">
        <is>
          <t>B</t>
        </is>
      </c>
      <c r="G250" s="31" t="inlineStr">
        <is>
          <t>Fan / booster</t>
        </is>
      </c>
      <c r="H250" s="27" t="n">
        <v>2570</v>
      </c>
      <c r="I250" s="27" t="n">
        <v>2725</v>
      </c>
      <c r="J250" s="154">
        <f>I250/H250-1</f>
        <v/>
      </c>
      <c r="K250" s="31" t="inlineStr">
        <is>
          <t>12</t>
        </is>
      </c>
      <c r="L250" s="31" t="inlineStr">
        <is>
          <t>12</t>
        </is>
      </c>
      <c r="M250" s="31" t="inlineStr">
        <is>
          <t>S1</t>
        </is>
      </c>
      <c r="N250" s="31" t="inlineStr">
        <is>
          <t>S2</t>
        </is>
      </c>
      <c r="O250" s="31" t="inlineStr">
        <is>
          <t>305-396-303-0</t>
        </is>
      </c>
      <c r="P250" s="31" t="inlineStr">
        <is>
          <t>SR Technics Switzerland</t>
        </is>
      </c>
    </row>
    <row r="251">
      <c r="B251" s="31" t="inlineStr">
        <is>
          <t>CFM56-5B</t>
        </is>
      </c>
      <c r="C251" s="31" t="inlineStr">
        <is>
          <t>2024-2025</t>
        </is>
      </c>
      <c r="D251" s="31" t="inlineStr">
        <is>
          <t>139430</t>
        </is>
      </c>
      <c r="E251" s="31" t="inlineStr">
        <is>
          <t>72-55-10</t>
        </is>
      </c>
      <c r="F251" s="31" t="inlineStr">
        <is>
          <t>A</t>
        </is>
      </c>
      <c r="G251" s="31" t="inlineStr">
        <is>
          <t>LPT</t>
        </is>
      </c>
      <c r="H251" s="27" t="n">
        <v>695</v>
      </c>
      <c r="I251" s="27" t="n">
        <v>740</v>
      </c>
      <c r="J251" s="154">
        <f>I251/H251-1</f>
        <v/>
      </c>
      <c r="K251" s="31" t="inlineStr">
        <is>
          <t>12</t>
        </is>
      </c>
      <c r="L251" s="31" t="inlineStr">
        <is>
          <t>12</t>
        </is>
      </c>
      <c r="M251" s="31" t="inlineStr">
        <is>
          <t>S1</t>
        </is>
      </c>
      <c r="N251" s="31" t="inlineStr">
        <is>
          <t>S2</t>
        </is>
      </c>
      <c r="O251" s="31" t="inlineStr">
        <is>
          <t>305-408-301-0</t>
        </is>
      </c>
      <c r="P251" s="31" t="inlineStr">
        <is>
          <t>SR Technics Switzerland</t>
        </is>
      </c>
    </row>
    <row r="252">
      <c r="B252" s="31" t="inlineStr">
        <is>
          <t>CFM56-5B</t>
        </is>
      </c>
      <c r="C252" s="31" t="inlineStr">
        <is>
          <t>2024-2025</t>
        </is>
      </c>
      <c r="D252" s="31" t="inlineStr">
        <is>
          <t>139430</t>
        </is>
      </c>
      <c r="E252" s="31" t="inlineStr">
        <is>
          <t>72-55-10</t>
        </is>
      </c>
      <c r="F252" s="31" t="inlineStr">
        <is>
          <t>B</t>
        </is>
      </c>
      <c r="G252" s="31" t="inlineStr">
        <is>
          <t>LPT</t>
        </is>
      </c>
      <c r="H252" s="27" t="n">
        <v>920</v>
      </c>
      <c r="I252" s="27" t="n">
        <v>980</v>
      </c>
      <c r="J252" s="154">
        <f>I252/H252-1</f>
        <v/>
      </c>
      <c r="K252" s="31" t="inlineStr">
        <is>
          <t>12</t>
        </is>
      </c>
      <c r="L252" s="31" t="inlineStr">
        <is>
          <t>12</t>
        </is>
      </c>
      <c r="M252" s="31" t="inlineStr">
        <is>
          <t>S1</t>
        </is>
      </c>
      <c r="N252" s="31" t="inlineStr">
        <is>
          <t>S2</t>
        </is>
      </c>
      <c r="O252" s="31" t="inlineStr">
        <is>
          <t>305-408-301-0</t>
        </is>
      </c>
      <c r="P252" s="31" t="inlineStr">
        <is>
          <t>SR Technics Switzerland</t>
        </is>
      </c>
    </row>
    <row r="253">
      <c r="B253" s="31" t="inlineStr">
        <is>
          <t>CFM56-5B</t>
        </is>
      </c>
      <c r="C253" s="31" t="inlineStr">
        <is>
          <t>2024-2025</t>
        </is>
      </c>
      <c r="D253" s="31" t="inlineStr">
        <is>
          <t>139430</t>
        </is>
      </c>
      <c r="E253" s="31" t="inlineStr">
        <is>
          <t>72-55-10</t>
        </is>
      </c>
      <c r="F253" s="31" t="inlineStr">
        <is>
          <t>C</t>
        </is>
      </c>
      <c r="G253" s="31" t="inlineStr">
        <is>
          <t>LPT</t>
        </is>
      </c>
      <c r="H253" s="27" t="n">
        <v>2935</v>
      </c>
      <c r="I253" s="27" t="n">
        <v>3115</v>
      </c>
      <c r="J253" s="154">
        <f>I253/H253-1</f>
        <v/>
      </c>
      <c r="K253" s="31" t="inlineStr">
        <is>
          <t>12</t>
        </is>
      </c>
      <c r="L253" s="31" t="inlineStr">
        <is>
          <t>12</t>
        </is>
      </c>
      <c r="M253" s="31" t="inlineStr">
        <is>
          <t>S1</t>
        </is>
      </c>
      <c r="N253" s="31" t="inlineStr">
        <is>
          <t>S2</t>
        </is>
      </c>
      <c r="O253" s="31" t="inlineStr">
        <is>
          <t>305-408-301-0</t>
        </is>
      </c>
      <c r="P253" s="31" t="inlineStr">
        <is>
          <t>SR Technics Switzerland</t>
        </is>
      </c>
    </row>
    <row r="254">
      <c r="B254" s="31" t="inlineStr">
        <is>
          <t>CFM56-5B</t>
        </is>
      </c>
      <c r="C254" s="31" t="inlineStr">
        <is>
          <t>2024-2025</t>
        </is>
      </c>
      <c r="D254" s="31" t="inlineStr">
        <is>
          <t>139430</t>
        </is>
      </c>
      <c r="E254" s="31" t="inlineStr">
        <is>
          <t>72-55-10</t>
        </is>
      </c>
      <c r="F254" s="31" t="inlineStr">
        <is>
          <t>D</t>
        </is>
      </c>
      <c r="G254" s="31" t="inlineStr">
        <is>
          <t>LPT</t>
        </is>
      </c>
      <c r="H254" s="27" t="n">
        <v>4425</v>
      </c>
      <c r="I254" s="27" t="n">
        <v>4695</v>
      </c>
      <c r="J254" s="154">
        <f>I254/H254-1</f>
        <v/>
      </c>
      <c r="K254" s="31" t="inlineStr">
        <is>
          <t>12</t>
        </is>
      </c>
      <c r="L254" s="31" t="inlineStr">
        <is>
          <t>12</t>
        </is>
      </c>
      <c r="M254" s="31" t="inlineStr">
        <is>
          <t>S1</t>
        </is>
      </c>
      <c r="N254" s="31" t="inlineStr">
        <is>
          <t>S2</t>
        </is>
      </c>
      <c r="O254" s="31" t="inlineStr">
        <is>
          <t>305-408-301-0</t>
        </is>
      </c>
      <c r="P254" s="31" t="inlineStr">
        <is>
          <t>SR Technics Switzerland</t>
        </is>
      </c>
    </row>
    <row r="255">
      <c r="B255" s="31" t="inlineStr">
        <is>
          <t>CFM56-5B</t>
        </is>
      </c>
      <c r="C255" s="31" t="inlineStr">
        <is>
          <t>2024-2025</t>
        </is>
      </c>
      <c r="D255" s="31" t="inlineStr">
        <is>
          <t>139430</t>
        </is>
      </c>
      <c r="E255" s="31" t="inlineStr">
        <is>
          <t>72-55-10</t>
        </is>
      </c>
      <c r="F255" s="31" t="inlineStr">
        <is>
          <t>I</t>
        </is>
      </c>
      <c r="G255" s="31" t="inlineStr">
        <is>
          <t>LPT</t>
        </is>
      </c>
      <c r="H255" s="27" t="n">
        <v>1015</v>
      </c>
      <c r="I255" s="27" t="n">
        <v>1080</v>
      </c>
      <c r="J255" s="154">
        <f>I255/H255-1</f>
        <v/>
      </c>
      <c r="K255" s="31" t="inlineStr">
        <is>
          <t>12</t>
        </is>
      </c>
      <c r="L255" s="31" t="inlineStr">
        <is>
          <t>12</t>
        </is>
      </c>
      <c r="M255" s="31" t="inlineStr">
        <is>
          <t>S1</t>
        </is>
      </c>
      <c r="N255" s="31" t="inlineStr">
        <is>
          <t>S2</t>
        </is>
      </c>
      <c r="O255" s="31" t="inlineStr">
        <is>
          <t>305-408-301-0</t>
        </is>
      </c>
      <c r="P255" s="31" t="inlineStr">
        <is>
          <t>SR Technics Switzerland</t>
        </is>
      </c>
    </row>
    <row r="256">
      <c r="B256" s="31" t="inlineStr">
        <is>
          <t>CFM56-5B</t>
        </is>
      </c>
      <c r="C256" s="31" t="inlineStr">
        <is>
          <t>2024-2025</t>
        </is>
      </c>
      <c r="D256" s="31" t="inlineStr">
        <is>
          <t>139432</t>
        </is>
      </c>
      <c r="E256" s="31" t="inlineStr">
        <is>
          <t>72-54-03</t>
        </is>
      </c>
      <c r="F256" s="31" t="inlineStr">
        <is>
          <t>A</t>
        </is>
      </c>
      <c r="G256" s="31" t="inlineStr">
        <is>
          <t>LPT</t>
        </is>
      </c>
      <c r="H256" s="27" t="n">
        <v>1110</v>
      </c>
      <c r="I256" s="27" t="n">
        <v>1180</v>
      </c>
      <c r="J256" s="154">
        <f>I256/H256-1</f>
        <v/>
      </c>
      <c r="K256" s="31" t="inlineStr">
        <is>
          <t>12</t>
        </is>
      </c>
      <c r="L256" s="31" t="inlineStr">
        <is>
          <t>12</t>
        </is>
      </c>
      <c r="M256" s="31" t="inlineStr">
        <is>
          <t>S1</t>
        </is>
      </c>
      <c r="N256" s="31" t="inlineStr">
        <is>
          <t>S2</t>
        </is>
      </c>
      <c r="O256" s="31" t="inlineStr">
        <is>
          <t>336-001-804-0</t>
        </is>
      </c>
      <c r="P256" s="31" t="inlineStr">
        <is>
          <t>SR Technics Switzerland</t>
        </is>
      </c>
    </row>
    <row r="257">
      <c r="B257" s="31" t="inlineStr">
        <is>
          <t>CFM56-5B</t>
        </is>
      </c>
      <c r="C257" s="31" t="inlineStr">
        <is>
          <t>2024-2025</t>
        </is>
      </c>
      <c r="D257" s="31" t="inlineStr">
        <is>
          <t>139432</t>
        </is>
      </c>
      <c r="E257" s="31" t="inlineStr">
        <is>
          <t>72-54-03</t>
        </is>
      </c>
      <c r="F257" s="31" t="inlineStr">
        <is>
          <t>B</t>
        </is>
      </c>
      <c r="G257" s="31" t="inlineStr">
        <is>
          <t>LPT</t>
        </is>
      </c>
      <c r="H257" s="27" t="n">
        <v>3005</v>
      </c>
      <c r="I257" s="27" t="n">
        <v>3190</v>
      </c>
      <c r="J257" s="154">
        <f>I257/H257-1</f>
        <v/>
      </c>
      <c r="K257" s="31" t="inlineStr">
        <is>
          <t>12</t>
        </is>
      </c>
      <c r="L257" s="31" t="inlineStr">
        <is>
          <t>12</t>
        </is>
      </c>
      <c r="M257" s="31" t="inlineStr">
        <is>
          <t>S1</t>
        </is>
      </c>
      <c r="N257" s="31" t="inlineStr">
        <is>
          <t>S2</t>
        </is>
      </c>
      <c r="O257" s="31" t="inlineStr">
        <is>
          <t>336-001-804-0</t>
        </is>
      </c>
      <c r="P257" s="31" t="inlineStr">
        <is>
          <t>SR Technics Switzerland</t>
        </is>
      </c>
    </row>
    <row r="258">
      <c r="B258" s="31" t="inlineStr">
        <is>
          <t>CFM56-5B</t>
        </is>
      </c>
      <c r="C258" s="31" t="inlineStr">
        <is>
          <t>2024-2025</t>
        </is>
      </c>
      <c r="D258" s="31" t="inlineStr">
        <is>
          <t>139432</t>
        </is>
      </c>
      <c r="E258" s="31" t="inlineStr">
        <is>
          <t>72-54-03</t>
        </is>
      </c>
      <c r="F258" s="31" t="inlineStr">
        <is>
          <t>C</t>
        </is>
      </c>
      <c r="G258" s="31" t="inlineStr">
        <is>
          <t>LPT</t>
        </is>
      </c>
      <c r="H258" s="27" t="n">
        <v>620</v>
      </c>
      <c r="I258" s="27" t="n">
        <v>660</v>
      </c>
      <c r="J258" s="154">
        <f>I258/H258-1</f>
        <v/>
      </c>
      <c r="K258" s="31" t="inlineStr">
        <is>
          <t>12</t>
        </is>
      </c>
      <c r="L258" s="31" t="inlineStr">
        <is>
          <t>12</t>
        </is>
      </c>
      <c r="M258" s="31" t="inlineStr">
        <is>
          <t>S1</t>
        </is>
      </c>
      <c r="N258" s="31" t="inlineStr">
        <is>
          <t>S2</t>
        </is>
      </c>
      <c r="O258" s="31" t="inlineStr">
        <is>
          <t>336-001-804-0</t>
        </is>
      </c>
      <c r="P258" s="31" t="inlineStr">
        <is>
          <t>SR Technics Switzerland</t>
        </is>
      </c>
    </row>
    <row r="259">
      <c r="B259" s="31" t="inlineStr">
        <is>
          <t>CFM56-5B</t>
        </is>
      </c>
      <c r="C259" s="31" t="inlineStr">
        <is>
          <t>2024-2025</t>
        </is>
      </c>
      <c r="D259" s="31" t="inlineStr">
        <is>
          <t>139432</t>
        </is>
      </c>
      <c r="E259" s="31" t="inlineStr">
        <is>
          <t>72-54-03</t>
        </is>
      </c>
      <c r="F259" s="31" t="inlineStr">
        <is>
          <t>D</t>
        </is>
      </c>
      <c r="G259" s="31" t="inlineStr">
        <is>
          <t>LPT</t>
        </is>
      </c>
      <c r="H259" s="27" t="n">
        <v>1595</v>
      </c>
      <c r="I259" s="27" t="n">
        <v>1695</v>
      </c>
      <c r="J259" s="154">
        <f>I259/H259-1</f>
        <v/>
      </c>
      <c r="K259" s="31" t="inlineStr">
        <is>
          <t>12</t>
        </is>
      </c>
      <c r="L259" s="31" t="inlineStr">
        <is>
          <t>12</t>
        </is>
      </c>
      <c r="M259" s="31" t="inlineStr">
        <is>
          <t>S1</t>
        </is>
      </c>
      <c r="N259" s="31" t="inlineStr">
        <is>
          <t>S2</t>
        </is>
      </c>
      <c r="O259" s="31" t="inlineStr">
        <is>
          <t>336-001-804-0</t>
        </is>
      </c>
      <c r="P259" s="31" t="inlineStr">
        <is>
          <t>SR Technics Switzerland</t>
        </is>
      </c>
    </row>
    <row r="260">
      <c r="B260" s="31" t="inlineStr">
        <is>
          <t>CFM56-5B</t>
        </is>
      </c>
      <c r="C260" s="31" t="inlineStr">
        <is>
          <t>2024-2025</t>
        </is>
      </c>
      <c r="D260" s="31" t="inlineStr">
        <is>
          <t>139432</t>
        </is>
      </c>
      <c r="E260" s="31" t="inlineStr">
        <is>
          <t>72-54-03</t>
        </is>
      </c>
      <c r="F260" s="31" t="inlineStr">
        <is>
          <t>F</t>
        </is>
      </c>
      <c r="G260" s="31" t="inlineStr">
        <is>
          <t>LPT</t>
        </is>
      </c>
      <c r="H260" s="27" t="n">
        <v>3865</v>
      </c>
      <c r="I260" s="27" t="n">
        <v>4100</v>
      </c>
      <c r="J260" s="154">
        <f>I260/H260-1</f>
        <v/>
      </c>
      <c r="K260" s="31" t="inlineStr">
        <is>
          <t>12</t>
        </is>
      </c>
      <c r="L260" s="31" t="inlineStr">
        <is>
          <t>12</t>
        </is>
      </c>
      <c r="M260" s="31" t="inlineStr">
        <is>
          <t>S1</t>
        </is>
      </c>
      <c r="N260" s="31" t="inlineStr">
        <is>
          <t>S2</t>
        </is>
      </c>
      <c r="O260" s="31" t="inlineStr">
        <is>
          <t>336-001-804-0</t>
        </is>
      </c>
      <c r="P260" s="31" t="inlineStr">
        <is>
          <t>SR Technics Switzerland</t>
        </is>
      </c>
    </row>
    <row r="261">
      <c r="B261" s="31" t="inlineStr">
        <is>
          <t>CFM56-5B</t>
        </is>
      </c>
      <c r="C261" s="31" t="inlineStr">
        <is>
          <t>2024-2025</t>
        </is>
      </c>
      <c r="D261" s="31" t="inlineStr">
        <is>
          <t>139432</t>
        </is>
      </c>
      <c r="E261" s="31" t="inlineStr">
        <is>
          <t>72-54-03</t>
        </is>
      </c>
      <c r="F261" s="31" t="inlineStr">
        <is>
          <t>G</t>
        </is>
      </c>
      <c r="G261" s="31" t="inlineStr">
        <is>
          <t>LPT</t>
        </is>
      </c>
      <c r="H261" s="27" t="n">
        <v>5040</v>
      </c>
      <c r="I261" s="27" t="n">
        <v>5345</v>
      </c>
      <c r="J261" s="154">
        <f>I261/H261-1</f>
        <v/>
      </c>
      <c r="K261" s="31" t="inlineStr">
        <is>
          <t>12</t>
        </is>
      </c>
      <c r="L261" s="31" t="inlineStr">
        <is>
          <t>12</t>
        </is>
      </c>
      <c r="M261" s="31" t="inlineStr">
        <is>
          <t>S1</t>
        </is>
      </c>
      <c r="N261" s="31" t="inlineStr">
        <is>
          <t>S2</t>
        </is>
      </c>
      <c r="O261" s="31" t="inlineStr">
        <is>
          <t>336-001-804-0</t>
        </is>
      </c>
      <c r="P261" s="31" t="inlineStr">
        <is>
          <t>SR Technics Switzerland</t>
        </is>
      </c>
    </row>
    <row r="262">
      <c r="B262" s="31" t="inlineStr">
        <is>
          <t>CFM56-5B</t>
        </is>
      </c>
      <c r="C262" s="31" t="inlineStr">
        <is>
          <t>2024-2025</t>
        </is>
      </c>
      <c r="D262" s="31" t="inlineStr">
        <is>
          <t>139432</t>
        </is>
      </c>
      <c r="E262" s="31" t="inlineStr">
        <is>
          <t>72-54-03</t>
        </is>
      </c>
      <c r="F262" s="31" t="inlineStr">
        <is>
          <t>J</t>
        </is>
      </c>
      <c r="G262" s="31" t="inlineStr">
        <is>
          <t>LPT</t>
        </is>
      </c>
      <c r="H262" s="27" t="n">
        <v>1840</v>
      </c>
      <c r="I262" s="27" t="n">
        <v>1955</v>
      </c>
      <c r="J262" s="154">
        <f>I262/H262-1</f>
        <v/>
      </c>
      <c r="K262" s="31" t="inlineStr">
        <is>
          <t>12</t>
        </is>
      </c>
      <c r="L262" s="31" t="inlineStr">
        <is>
          <t>12</t>
        </is>
      </c>
      <c r="M262" s="31" t="inlineStr">
        <is>
          <t>S1</t>
        </is>
      </c>
      <c r="N262" s="31" t="inlineStr">
        <is>
          <t>S2</t>
        </is>
      </c>
      <c r="O262" s="31" t="inlineStr">
        <is>
          <t>336-001-804-0</t>
        </is>
      </c>
      <c r="P262" s="31" t="inlineStr">
        <is>
          <t>SR Technics Switzerland</t>
        </is>
      </c>
    </row>
    <row r="263">
      <c r="B263" s="31" t="inlineStr">
        <is>
          <t>CFM56-5B</t>
        </is>
      </c>
      <c r="C263" s="31" t="inlineStr">
        <is>
          <t>2024-2025</t>
        </is>
      </c>
      <c r="D263" s="31" t="inlineStr">
        <is>
          <t>139432</t>
        </is>
      </c>
      <c r="E263" s="31" t="inlineStr">
        <is>
          <t>72-54-03</t>
        </is>
      </c>
      <c r="F263" s="31" t="inlineStr">
        <is>
          <t>K</t>
        </is>
      </c>
      <c r="G263" s="31" t="inlineStr">
        <is>
          <t>LPT</t>
        </is>
      </c>
      <c r="H263" s="27" t="n">
        <v>1840</v>
      </c>
      <c r="I263" s="27" t="n">
        <v>1955</v>
      </c>
      <c r="J263" s="154">
        <f>I263/H263-1</f>
        <v/>
      </c>
      <c r="K263" s="31" t="inlineStr">
        <is>
          <t>12</t>
        </is>
      </c>
      <c r="L263" s="31" t="inlineStr">
        <is>
          <t>12</t>
        </is>
      </c>
      <c r="M263" s="31" t="inlineStr">
        <is>
          <t>S1</t>
        </is>
      </c>
      <c r="N263" s="31" t="inlineStr">
        <is>
          <t>S2</t>
        </is>
      </c>
      <c r="O263" s="31" t="inlineStr">
        <is>
          <t>336-001-804-0</t>
        </is>
      </c>
      <c r="P263" s="31" t="inlineStr">
        <is>
          <t>SR Technics Switzerland</t>
        </is>
      </c>
    </row>
    <row r="264">
      <c r="B264" s="31" t="inlineStr">
        <is>
          <t>CFM56-5B</t>
        </is>
      </c>
      <c r="C264" s="31" t="inlineStr">
        <is>
          <t>2024-2025</t>
        </is>
      </c>
      <c r="D264" s="31" t="inlineStr">
        <is>
          <t>139432</t>
        </is>
      </c>
      <c r="E264" s="31" t="inlineStr">
        <is>
          <t>72-54-03</t>
        </is>
      </c>
      <c r="F264" s="31" t="inlineStr">
        <is>
          <t>L</t>
        </is>
      </c>
      <c r="G264" s="31" t="inlineStr">
        <is>
          <t>LPT</t>
        </is>
      </c>
      <c r="H264" s="27" t="n">
        <v>1840</v>
      </c>
      <c r="I264" s="27" t="n">
        <v>1955</v>
      </c>
      <c r="J264" s="154">
        <f>I264/H264-1</f>
        <v/>
      </c>
      <c r="K264" s="31" t="inlineStr">
        <is>
          <t>12</t>
        </is>
      </c>
      <c r="L264" s="31" t="inlineStr">
        <is>
          <t>12</t>
        </is>
      </c>
      <c r="M264" s="31" t="inlineStr">
        <is>
          <t>S1</t>
        </is>
      </c>
      <c r="N264" s="31" t="inlineStr">
        <is>
          <t>S2</t>
        </is>
      </c>
      <c r="O264" s="31" t="inlineStr">
        <is>
          <t>336-001-804-0</t>
        </is>
      </c>
      <c r="P264" s="31" t="inlineStr">
        <is>
          <t>SR Technics Switzerland</t>
        </is>
      </c>
    </row>
    <row r="265">
      <c r="B265" s="31" t="inlineStr">
        <is>
          <t>CFM56-5B</t>
        </is>
      </c>
      <c r="C265" s="31" t="inlineStr">
        <is>
          <t>2024-2025</t>
        </is>
      </c>
      <c r="D265" s="31" t="inlineStr">
        <is>
          <t>139432</t>
        </is>
      </c>
      <c r="E265" s="31" t="inlineStr">
        <is>
          <t>72-54-03</t>
        </is>
      </c>
      <c r="F265" s="31" t="inlineStr">
        <is>
          <t>M</t>
        </is>
      </c>
      <c r="G265" s="31" t="inlineStr">
        <is>
          <t>LPT</t>
        </is>
      </c>
      <c r="H265" s="27" t="n">
        <v>1840</v>
      </c>
      <c r="I265" s="27" t="n">
        <v>1955</v>
      </c>
      <c r="J265" s="154">
        <f>I265/H265-1</f>
        <v/>
      </c>
      <c r="K265" s="31" t="inlineStr">
        <is>
          <t>12</t>
        </is>
      </c>
      <c r="L265" s="31" t="inlineStr">
        <is>
          <t>13</t>
        </is>
      </c>
      <c r="M265" s="31" t="inlineStr">
        <is>
          <t>S1</t>
        </is>
      </c>
      <c r="N265" s="31" t="inlineStr">
        <is>
          <t>S2</t>
        </is>
      </c>
      <c r="O265" s="31" t="inlineStr">
        <is>
          <t>336-001-804-0</t>
        </is>
      </c>
      <c r="P265" s="31" t="inlineStr">
        <is>
          <t>SR Technics Switzerland</t>
        </is>
      </c>
    </row>
    <row r="266">
      <c r="B266" s="31" t="inlineStr">
        <is>
          <t>CFM56-5B</t>
        </is>
      </c>
      <c r="C266" s="31" t="inlineStr">
        <is>
          <t>2024-2025</t>
        </is>
      </c>
      <c r="D266" s="31" t="inlineStr">
        <is>
          <t>139432</t>
        </is>
      </c>
      <c r="E266" s="31" t="inlineStr">
        <is>
          <t>72-54-03</t>
        </is>
      </c>
      <c r="F266" s="31" t="inlineStr">
        <is>
          <t>O</t>
        </is>
      </c>
      <c r="G266" s="31" t="inlineStr">
        <is>
          <t>LPT</t>
        </is>
      </c>
      <c r="H266" s="27" t="n">
        <v>7940</v>
      </c>
      <c r="I266" s="27" t="n">
        <v>8420</v>
      </c>
      <c r="J266" s="154">
        <f>I266/H266-1</f>
        <v/>
      </c>
      <c r="K266" s="31" t="inlineStr">
        <is>
          <t>12</t>
        </is>
      </c>
      <c r="L266" s="31" t="inlineStr">
        <is>
          <t>13</t>
        </is>
      </c>
      <c r="M266" s="31" t="inlineStr">
        <is>
          <t>S1</t>
        </is>
      </c>
      <c r="N266" s="31" t="inlineStr">
        <is>
          <t>S2</t>
        </is>
      </c>
      <c r="O266" s="31" t="inlineStr">
        <is>
          <t>336-001-804-0</t>
        </is>
      </c>
      <c r="P266" s="31" t="inlineStr">
        <is>
          <t>SR Technics Switzerland</t>
        </is>
      </c>
    </row>
    <row r="267">
      <c r="B267" s="31" t="inlineStr">
        <is>
          <t>CFM56-5B</t>
        </is>
      </c>
      <c r="C267" s="31" t="inlineStr">
        <is>
          <t>2024-2025</t>
        </is>
      </c>
      <c r="D267" s="31" t="inlineStr">
        <is>
          <t>139432</t>
        </is>
      </c>
      <c r="E267" s="31" t="inlineStr">
        <is>
          <t>72-54-03</t>
        </is>
      </c>
      <c r="F267" s="31" t="inlineStr">
        <is>
          <t>P</t>
        </is>
      </c>
      <c r="G267" s="31" t="inlineStr">
        <is>
          <t>LPT</t>
        </is>
      </c>
      <c r="H267" s="27" t="n">
        <v>7940</v>
      </c>
      <c r="I267" s="27" t="n">
        <v>8420</v>
      </c>
      <c r="J267" s="154">
        <f>I267/H267-1</f>
        <v/>
      </c>
      <c r="K267" s="31" t="inlineStr">
        <is>
          <t>12</t>
        </is>
      </c>
      <c r="L267" s="31" t="inlineStr">
        <is>
          <t>13</t>
        </is>
      </c>
      <c r="M267" s="31" t="inlineStr">
        <is>
          <t>S1</t>
        </is>
      </c>
      <c r="N267" s="31" t="inlineStr">
        <is>
          <t>S2</t>
        </is>
      </c>
      <c r="O267" s="31" t="inlineStr">
        <is>
          <t>336-001-804-0</t>
        </is>
      </c>
      <c r="P267" s="31" t="inlineStr">
        <is>
          <t>SR Technics Switzerland</t>
        </is>
      </c>
    </row>
    <row r="268">
      <c r="B268" s="31" t="inlineStr">
        <is>
          <t>CFM56-5B</t>
        </is>
      </c>
      <c r="C268" s="31" t="inlineStr">
        <is>
          <t>2024-2025</t>
        </is>
      </c>
      <c r="D268" s="31" t="inlineStr">
        <is>
          <t>139432</t>
        </is>
      </c>
      <c r="E268" s="31" t="inlineStr">
        <is>
          <t>72-54-03</t>
        </is>
      </c>
      <c r="F268" s="31" t="inlineStr">
        <is>
          <t>Q</t>
        </is>
      </c>
      <c r="G268" s="31" t="inlineStr">
        <is>
          <t>LPT</t>
        </is>
      </c>
      <c r="H268" s="27" t="n">
        <v>7940</v>
      </c>
      <c r="I268" s="27" t="n">
        <v>8420</v>
      </c>
      <c r="J268" s="154">
        <f>I268/H268-1</f>
        <v/>
      </c>
      <c r="K268" s="31" t="inlineStr">
        <is>
          <t>12</t>
        </is>
      </c>
      <c r="L268" s="31" t="inlineStr">
        <is>
          <t>13</t>
        </is>
      </c>
      <c r="M268" s="31" t="inlineStr">
        <is>
          <t>S1</t>
        </is>
      </c>
      <c r="N268" s="31" t="inlineStr">
        <is>
          <t>S2</t>
        </is>
      </c>
      <c r="O268" s="31" t="inlineStr">
        <is>
          <t>336-001-804-0</t>
        </is>
      </c>
      <c r="P268" s="31" t="inlineStr">
        <is>
          <t>SR Technics Switzerland</t>
        </is>
      </c>
    </row>
    <row r="269">
      <c r="B269" s="31" t="inlineStr">
        <is>
          <t>CFM56-5B</t>
        </is>
      </c>
      <c r="C269" s="31" t="inlineStr">
        <is>
          <t>2024-2025</t>
        </is>
      </c>
      <c r="D269" s="31" t="inlineStr">
        <is>
          <t>139432</t>
        </is>
      </c>
      <c r="E269" s="31" t="inlineStr">
        <is>
          <t>72-54-03</t>
        </is>
      </c>
      <c r="F269" s="31" t="inlineStr">
        <is>
          <t>R</t>
        </is>
      </c>
      <c r="G269" s="31" t="inlineStr">
        <is>
          <t>LPT</t>
        </is>
      </c>
      <c r="H269" s="27" t="n">
        <v>7940</v>
      </c>
      <c r="I269" s="27" t="n">
        <v>8420</v>
      </c>
      <c r="J269" s="154">
        <f>I269/H269-1</f>
        <v/>
      </c>
      <c r="K269" s="31" t="inlineStr">
        <is>
          <t>12</t>
        </is>
      </c>
      <c r="L269" s="31" t="inlineStr">
        <is>
          <t>13</t>
        </is>
      </c>
      <c r="M269" s="31" t="inlineStr">
        <is>
          <t>S1</t>
        </is>
      </c>
      <c r="N269" s="31" t="inlineStr">
        <is>
          <t>S2</t>
        </is>
      </c>
      <c r="O269" s="31" t="inlineStr">
        <is>
          <t>336-001-804-0</t>
        </is>
      </c>
      <c r="P269" s="31" t="inlineStr">
        <is>
          <t>SR Technics Switzerland</t>
        </is>
      </c>
    </row>
    <row r="270">
      <c r="B270" s="31" t="inlineStr">
        <is>
          <t>CFM56-5B</t>
        </is>
      </c>
      <c r="C270" s="31" t="inlineStr">
        <is>
          <t>2024-2025</t>
        </is>
      </c>
      <c r="D270" s="31" t="inlineStr">
        <is>
          <t>139432</t>
        </is>
      </c>
      <c r="E270" s="31" t="inlineStr">
        <is>
          <t>72-54-03</t>
        </is>
      </c>
      <c r="F270" s="31" t="inlineStr">
        <is>
          <t>SB00</t>
        </is>
      </c>
      <c r="G270" s="31" t="inlineStr">
        <is>
          <t>LPT</t>
        </is>
      </c>
      <c r="H270" s="27" t="n">
        <v>445</v>
      </c>
      <c r="I270" s="27" t="n">
        <v>475</v>
      </c>
      <c r="J270" s="154">
        <f>I270/H270-1</f>
        <v/>
      </c>
      <c r="K270" s="31" t="inlineStr">
        <is>
          <t>12</t>
        </is>
      </c>
      <c r="L270" s="31" t="inlineStr">
        <is>
          <t>13</t>
        </is>
      </c>
      <c r="M270" s="31" t="inlineStr">
        <is>
          <t>S1</t>
        </is>
      </c>
      <c r="N270" s="31" t="inlineStr">
        <is>
          <t>S2</t>
        </is>
      </c>
      <c r="O270" s="31" t="inlineStr">
        <is>
          <t>336-001-804-0</t>
        </is>
      </c>
      <c r="P270" s="31" t="inlineStr">
        <is>
          <t>SR Technics Switzerland</t>
        </is>
      </c>
    </row>
    <row r="271">
      <c r="B271" s="31" t="inlineStr">
        <is>
          <t>CFM56-5B</t>
        </is>
      </c>
      <c r="C271" s="31" t="inlineStr">
        <is>
          <t>2024-2025</t>
        </is>
      </c>
      <c r="D271" s="31" t="inlineStr">
        <is>
          <t>139432</t>
        </is>
      </c>
      <c r="E271" s="31" t="inlineStr">
        <is>
          <t>72-54-03</t>
        </is>
      </c>
      <c r="F271" s="31" t="inlineStr">
        <is>
          <t>SB01</t>
        </is>
      </c>
      <c r="G271" s="31" t="inlineStr">
        <is>
          <t>LPT</t>
        </is>
      </c>
      <c r="H271" s="27" t="n">
        <v>445</v>
      </c>
      <c r="I271" s="27" t="n">
        <v>475</v>
      </c>
      <c r="J271" s="154">
        <f>I271/H271-1</f>
        <v/>
      </c>
      <c r="K271" s="31" t="inlineStr">
        <is>
          <t>12</t>
        </is>
      </c>
      <c r="L271" s="31" t="inlineStr">
        <is>
          <t>13</t>
        </is>
      </c>
      <c r="M271" s="31" t="inlineStr">
        <is>
          <t>S1</t>
        </is>
      </c>
      <c r="N271" s="31" t="inlineStr">
        <is>
          <t>S2</t>
        </is>
      </c>
      <c r="O271" s="31" t="inlineStr">
        <is>
          <t>336-001-804-0</t>
        </is>
      </c>
      <c r="P271" s="31" t="inlineStr">
        <is>
          <t>SR Technics Switzerland</t>
        </is>
      </c>
    </row>
    <row r="272">
      <c r="B272" s="31" t="inlineStr">
        <is>
          <t>CFM56-5B</t>
        </is>
      </c>
      <c r="C272" s="31" t="inlineStr">
        <is>
          <t>2024-2025</t>
        </is>
      </c>
      <c r="D272" s="31" t="inlineStr">
        <is>
          <t>139432</t>
        </is>
      </c>
      <c r="E272" s="31" t="inlineStr">
        <is>
          <t>72-54-03</t>
        </is>
      </c>
      <c r="F272" s="31" t="inlineStr">
        <is>
          <t>SB02</t>
        </is>
      </c>
      <c r="G272" s="31" t="inlineStr">
        <is>
          <t>LPT</t>
        </is>
      </c>
      <c r="H272" s="27" t="n">
        <v>445</v>
      </c>
      <c r="I272" s="27" t="n">
        <v>475</v>
      </c>
      <c r="J272" s="154">
        <f>I272/H272-1</f>
        <v/>
      </c>
      <c r="K272" s="31" t="inlineStr">
        <is>
          <t>12</t>
        </is>
      </c>
      <c r="L272" s="31" t="inlineStr">
        <is>
          <t>13</t>
        </is>
      </c>
      <c r="M272" s="31" t="inlineStr">
        <is>
          <t>S1</t>
        </is>
      </c>
      <c r="N272" s="31" t="inlineStr">
        <is>
          <t>S2</t>
        </is>
      </c>
      <c r="O272" s="31" t="inlineStr">
        <is>
          <t>336-001-804-0</t>
        </is>
      </c>
      <c r="P272" s="31" t="inlineStr">
        <is>
          <t>SR Technics Switzerland</t>
        </is>
      </c>
    </row>
    <row r="273">
      <c r="B273" s="31" t="inlineStr">
        <is>
          <t>CFM56-5B</t>
        </is>
      </c>
      <c r="C273" s="31" t="inlineStr">
        <is>
          <t>2024-2025</t>
        </is>
      </c>
      <c r="D273" s="31" t="inlineStr">
        <is>
          <t>139432</t>
        </is>
      </c>
      <c r="E273" s="31" t="inlineStr">
        <is>
          <t>72-54-03</t>
        </is>
      </c>
      <c r="F273" s="31" t="inlineStr">
        <is>
          <t>SB03</t>
        </is>
      </c>
      <c r="G273" s="31" t="inlineStr">
        <is>
          <t>LPT</t>
        </is>
      </c>
      <c r="H273" s="27" t="n">
        <v>445</v>
      </c>
      <c r="I273" s="27" t="n">
        <v>475</v>
      </c>
      <c r="J273" s="154">
        <f>I273/H273-1</f>
        <v/>
      </c>
      <c r="K273" s="31" t="inlineStr">
        <is>
          <t>13</t>
        </is>
      </c>
      <c r="L273" s="31" t="inlineStr">
        <is>
          <t>13</t>
        </is>
      </c>
      <c r="M273" s="31" t="inlineStr">
        <is>
          <t>S1</t>
        </is>
      </c>
      <c r="N273" s="31" t="inlineStr">
        <is>
          <t>S2</t>
        </is>
      </c>
      <c r="O273" s="31" t="inlineStr">
        <is>
          <t>336-001-804-0</t>
        </is>
      </c>
      <c r="P273" s="31" t="inlineStr">
        <is>
          <t>SR Technics Switzerland</t>
        </is>
      </c>
    </row>
    <row r="274">
      <c r="B274" s="31" t="inlineStr">
        <is>
          <t>CFM56-5B</t>
        </is>
      </c>
      <c r="C274" s="31" t="inlineStr">
        <is>
          <t>2024-2025</t>
        </is>
      </c>
      <c r="D274" s="31" t="inlineStr">
        <is>
          <t>139432</t>
        </is>
      </c>
      <c r="E274" s="31" t="inlineStr">
        <is>
          <t>72-54-03</t>
        </is>
      </c>
      <c r="F274" s="31" t="inlineStr">
        <is>
          <t>SB04</t>
        </is>
      </c>
      <c r="G274" s="31" t="inlineStr">
        <is>
          <t>LPT</t>
        </is>
      </c>
      <c r="H274" s="27" t="n">
        <v>125</v>
      </c>
      <c r="I274" s="27" t="n">
        <v>135</v>
      </c>
      <c r="J274" s="154">
        <f>I274/H274-1</f>
        <v/>
      </c>
      <c r="K274" s="31" t="inlineStr">
        <is>
          <t>13</t>
        </is>
      </c>
      <c r="L274" s="31" t="inlineStr">
        <is>
          <t>13</t>
        </is>
      </c>
      <c r="M274" s="31" t="inlineStr">
        <is>
          <t>S1</t>
        </is>
      </c>
      <c r="N274" s="31" t="inlineStr">
        <is>
          <t>S2</t>
        </is>
      </c>
      <c r="O274" s="31" t="inlineStr">
        <is>
          <t>336-001-804-0</t>
        </is>
      </c>
      <c r="P274" s="31" t="inlineStr">
        <is>
          <t>SR Technics Switzerland</t>
        </is>
      </c>
    </row>
    <row r="275">
      <c r="B275" s="31" t="inlineStr">
        <is>
          <t>CFM56-5B</t>
        </is>
      </c>
      <c r="C275" s="31" t="inlineStr">
        <is>
          <t>2024-2025</t>
        </is>
      </c>
      <c r="D275" s="31" t="inlineStr">
        <is>
          <t>139432</t>
        </is>
      </c>
      <c r="E275" s="31" t="inlineStr">
        <is>
          <t>72-54-03</t>
        </is>
      </c>
      <c r="F275" s="31" t="inlineStr">
        <is>
          <t>SB05</t>
        </is>
      </c>
      <c r="G275" s="31" t="inlineStr">
        <is>
          <t>LPT</t>
        </is>
      </c>
      <c r="H275" s="27" t="n">
        <v>330</v>
      </c>
      <c r="I275" s="27" t="n">
        <v>350</v>
      </c>
      <c r="J275" s="154">
        <f>I275/H275-1</f>
        <v/>
      </c>
      <c r="K275" s="31" t="inlineStr">
        <is>
          <t>13</t>
        </is>
      </c>
      <c r="L275" s="31" t="inlineStr">
        <is>
          <t>13</t>
        </is>
      </c>
      <c r="M275" s="31" t="inlineStr">
        <is>
          <t>S1</t>
        </is>
      </c>
      <c r="N275" s="31" t="inlineStr">
        <is>
          <t>S2</t>
        </is>
      </c>
      <c r="O275" s="31" t="inlineStr">
        <is>
          <t>336-001-804-0</t>
        </is>
      </c>
      <c r="P275" s="31" t="inlineStr">
        <is>
          <t>SR Technics Switzerland</t>
        </is>
      </c>
    </row>
    <row r="276">
      <c r="B276" s="31" t="inlineStr">
        <is>
          <t>CFM56-5B</t>
        </is>
      </c>
      <c r="C276" s="31" t="inlineStr">
        <is>
          <t>2024-2025</t>
        </is>
      </c>
      <c r="D276" s="31" t="inlineStr">
        <is>
          <t>139432</t>
        </is>
      </c>
      <c r="E276" s="31" t="inlineStr">
        <is>
          <t>72-54-03</t>
        </is>
      </c>
      <c r="F276" s="31" t="inlineStr">
        <is>
          <t>T</t>
        </is>
      </c>
      <c r="G276" s="31" t="inlineStr">
        <is>
          <t>LPT</t>
        </is>
      </c>
      <c r="H276" s="27" t="n">
        <v>7940</v>
      </c>
      <c r="I276" s="27" t="n">
        <v>8420</v>
      </c>
      <c r="J276" s="154">
        <f>I276/H276-1</f>
        <v/>
      </c>
      <c r="K276" s="31" t="inlineStr">
        <is>
          <t>13</t>
        </is>
      </c>
      <c r="L276" s="31" t="inlineStr">
        <is>
          <t>13</t>
        </is>
      </c>
      <c r="M276" s="31" t="inlineStr">
        <is>
          <t>S1</t>
        </is>
      </c>
      <c r="N276" s="31" t="inlineStr">
        <is>
          <t>S2</t>
        </is>
      </c>
      <c r="O276" s="31" t="inlineStr">
        <is>
          <t>336-001-804-0</t>
        </is>
      </c>
      <c r="P276" s="31" t="inlineStr">
        <is>
          <t>SR Technics Switzerland</t>
        </is>
      </c>
    </row>
    <row r="277">
      <c r="B277" s="31" t="inlineStr">
        <is>
          <t>CFM56-5B</t>
        </is>
      </c>
      <c r="C277" s="31" t="inlineStr">
        <is>
          <t>2024-2025</t>
        </is>
      </c>
      <c r="D277" s="31" t="inlineStr">
        <is>
          <t>139440</t>
        </is>
      </c>
      <c r="E277" s="31" t="inlineStr">
        <is>
          <t>72-54-06</t>
        </is>
      </c>
      <c r="F277" s="31" t="inlineStr">
        <is>
          <t>A</t>
        </is>
      </c>
      <c r="G277" s="31" t="inlineStr">
        <is>
          <t>LPT</t>
        </is>
      </c>
      <c r="H277" s="27" t="n">
        <v>560</v>
      </c>
      <c r="I277" s="27" t="n">
        <v>595</v>
      </c>
      <c r="J277" s="154">
        <f>I277/H277-1</f>
        <v/>
      </c>
      <c r="K277" s="31" t="inlineStr">
        <is>
          <t>50</t>
        </is>
      </c>
      <c r="L277" s="31" t="inlineStr">
        <is>
          <t>50</t>
        </is>
      </c>
      <c r="M277" s="31" t="inlineStr">
        <is>
          <t>S1</t>
        </is>
      </c>
      <c r="N277" s="31" t="inlineStr">
        <is>
          <t>S2</t>
        </is>
      </c>
      <c r="O277" s="31" t="inlineStr">
        <is>
          <t>336-002-203-0</t>
        </is>
      </c>
      <c r="P277" s="31" t="inlineStr">
        <is>
          <t>SR Technics Switzerland</t>
        </is>
      </c>
    </row>
    <row r="278">
      <c r="B278" s="31" t="inlineStr">
        <is>
          <t>CFM56-5B</t>
        </is>
      </c>
      <c r="C278" s="31" t="inlineStr">
        <is>
          <t>2024-2025</t>
        </is>
      </c>
      <c r="D278" s="31" t="inlineStr">
        <is>
          <t>139440</t>
        </is>
      </c>
      <c r="E278" s="31" t="inlineStr">
        <is>
          <t>72-54-06</t>
        </is>
      </c>
      <c r="F278" s="31" t="inlineStr">
        <is>
          <t>AN</t>
        </is>
      </c>
      <c r="G278" s="31" t="inlineStr">
        <is>
          <t>LPT</t>
        </is>
      </c>
      <c r="H278" s="27" t="n">
        <v>245</v>
      </c>
      <c r="I278" s="27" t="n">
        <v>260</v>
      </c>
      <c r="J278" s="154">
        <f>I278/H278-1</f>
        <v/>
      </c>
      <c r="K278" s="31" t="inlineStr">
        <is>
          <t>50</t>
        </is>
      </c>
      <c r="L278" s="31" t="inlineStr">
        <is>
          <t>50</t>
        </is>
      </c>
      <c r="M278" s="31" t="inlineStr">
        <is>
          <t>S1</t>
        </is>
      </c>
      <c r="N278" s="31" t="inlineStr">
        <is>
          <t>S2</t>
        </is>
      </c>
      <c r="O278" s="31" t="inlineStr">
        <is>
          <t>336-002-203-0</t>
        </is>
      </c>
      <c r="P278" s="31" t="inlineStr">
        <is>
          <t>SR Technics Switzerland</t>
        </is>
      </c>
    </row>
    <row r="279">
      <c r="B279" s="31" t="inlineStr">
        <is>
          <t>CFM56-5B</t>
        </is>
      </c>
      <c r="C279" s="31" t="inlineStr">
        <is>
          <t>2024-2025</t>
        </is>
      </c>
      <c r="D279" s="31" t="inlineStr">
        <is>
          <t>139440</t>
        </is>
      </c>
      <c r="E279" s="31" t="inlineStr">
        <is>
          <t>72-54-06</t>
        </is>
      </c>
      <c r="F279" s="31" t="inlineStr">
        <is>
          <t>C</t>
        </is>
      </c>
      <c r="G279" s="31" t="inlineStr">
        <is>
          <t>LPT</t>
        </is>
      </c>
      <c r="H279" s="27" t="n">
        <v>3095</v>
      </c>
      <c r="I279" s="27" t="n">
        <v>3285</v>
      </c>
      <c r="J279" s="154">
        <f>I279/H279-1</f>
        <v/>
      </c>
      <c r="K279" s="31" t="inlineStr">
        <is>
          <t>50</t>
        </is>
      </c>
      <c r="L279" s="31" t="inlineStr">
        <is>
          <t>50</t>
        </is>
      </c>
      <c r="M279" s="31" t="inlineStr">
        <is>
          <t>S1</t>
        </is>
      </c>
      <c r="N279" s="31" t="inlineStr">
        <is>
          <t>S2</t>
        </is>
      </c>
      <c r="O279" s="31" t="inlineStr">
        <is>
          <t>336-002-203-0</t>
        </is>
      </c>
      <c r="P279" s="31" t="inlineStr">
        <is>
          <t>SR Technics Switzerland</t>
        </is>
      </c>
    </row>
    <row r="280">
      <c r="B280" s="31" t="inlineStr">
        <is>
          <t>CFM56-5B</t>
        </is>
      </c>
      <c r="C280" s="31" t="inlineStr">
        <is>
          <t>2024-2025</t>
        </is>
      </c>
      <c r="D280" s="31" t="inlineStr">
        <is>
          <t>139440</t>
        </is>
      </c>
      <c r="E280" s="31" t="inlineStr">
        <is>
          <t>72-54-06</t>
        </is>
      </c>
      <c r="F280" s="31" t="inlineStr">
        <is>
          <t>D</t>
        </is>
      </c>
      <c r="G280" s="31" t="inlineStr">
        <is>
          <t>LPT</t>
        </is>
      </c>
      <c r="H280" s="27" t="n">
        <v>2695</v>
      </c>
      <c r="I280" s="27" t="n">
        <v>2860</v>
      </c>
      <c r="J280" s="154">
        <f>I280/H280-1</f>
        <v/>
      </c>
      <c r="K280" s="31" t="inlineStr">
        <is>
          <t>50</t>
        </is>
      </c>
      <c r="L280" s="31" t="inlineStr">
        <is>
          <t>50</t>
        </is>
      </c>
      <c r="M280" s="31" t="inlineStr">
        <is>
          <t>S1</t>
        </is>
      </c>
      <c r="N280" s="31" t="inlineStr">
        <is>
          <t>S2</t>
        </is>
      </c>
      <c r="O280" s="31" t="inlineStr">
        <is>
          <t>336-002-203-0</t>
        </is>
      </c>
      <c r="P280" s="31" t="inlineStr">
        <is>
          <t>SR Technics Switzerland</t>
        </is>
      </c>
    </row>
    <row r="281">
      <c r="B281" s="31" t="inlineStr">
        <is>
          <t>CFM56-5B</t>
        </is>
      </c>
      <c r="C281" s="31" t="inlineStr">
        <is>
          <t>2024-2025</t>
        </is>
      </c>
      <c r="D281" s="31" t="inlineStr">
        <is>
          <t>139440</t>
        </is>
      </c>
      <c r="E281" s="31" t="inlineStr">
        <is>
          <t>72-54-06</t>
        </is>
      </c>
      <c r="F281" s="31" t="inlineStr">
        <is>
          <t>E</t>
        </is>
      </c>
      <c r="G281" s="31" t="inlineStr">
        <is>
          <t>LPT</t>
        </is>
      </c>
      <c r="H281" s="27" t="n">
        <v>985</v>
      </c>
      <c r="I281" s="27" t="n">
        <v>1045</v>
      </c>
      <c r="J281" s="154">
        <f>I281/H281-1</f>
        <v/>
      </c>
      <c r="K281" s="31" t="inlineStr">
        <is>
          <t>50</t>
        </is>
      </c>
      <c r="L281" s="31" t="inlineStr">
        <is>
          <t>50</t>
        </is>
      </c>
      <c r="M281" s="31" t="inlineStr">
        <is>
          <t>S1</t>
        </is>
      </c>
      <c r="N281" s="31" t="inlineStr">
        <is>
          <t>S2</t>
        </is>
      </c>
      <c r="O281" s="31" t="inlineStr">
        <is>
          <t>336-002-203-0</t>
        </is>
      </c>
      <c r="P281" s="31" t="inlineStr">
        <is>
          <t>SR Technics Switzerland</t>
        </is>
      </c>
    </row>
    <row r="282">
      <c r="B282" s="31" t="inlineStr">
        <is>
          <t>CFM56-5B</t>
        </is>
      </c>
      <c r="C282" s="31" t="inlineStr">
        <is>
          <t>2024-2025</t>
        </is>
      </c>
      <c r="D282" s="31" t="inlineStr">
        <is>
          <t>139443</t>
        </is>
      </c>
      <c r="E282" s="31" t="inlineStr">
        <is>
          <t>72-54-17</t>
        </is>
      </c>
      <c r="F282" s="31" t="inlineStr">
        <is>
          <t>A</t>
        </is>
      </c>
      <c r="G282" s="31" t="inlineStr">
        <is>
          <t>LPT</t>
        </is>
      </c>
      <c r="H282" s="27" t="n">
        <v>830</v>
      </c>
      <c r="I282" s="27" t="n">
        <v>880</v>
      </c>
      <c r="J282" s="154">
        <f>I282/H282-1</f>
        <v/>
      </c>
      <c r="K282" s="31" t="inlineStr">
        <is>
          <t>13</t>
        </is>
      </c>
      <c r="L282" s="31" t="inlineStr">
        <is>
          <t>13</t>
        </is>
      </c>
      <c r="M282" s="31" t="inlineStr">
        <is>
          <t>S1</t>
        </is>
      </c>
      <c r="N282" s="31" t="inlineStr">
        <is>
          <t>S2</t>
        </is>
      </c>
      <c r="O282" s="31" t="inlineStr">
        <is>
          <t>336-013-101-0</t>
        </is>
      </c>
      <c r="P282" s="31" t="inlineStr">
        <is>
          <t>SR Technics Switzerland</t>
        </is>
      </c>
    </row>
    <row r="283">
      <c r="B283" s="31" t="inlineStr">
        <is>
          <t>CFM56-5B</t>
        </is>
      </c>
      <c r="C283" s="31" t="inlineStr">
        <is>
          <t>2024-2025</t>
        </is>
      </c>
      <c r="D283" s="31" t="inlineStr">
        <is>
          <t>139443</t>
        </is>
      </c>
      <c r="E283" s="31" t="inlineStr">
        <is>
          <t>72-54-17</t>
        </is>
      </c>
      <c r="F283" s="31" t="inlineStr">
        <is>
          <t>B</t>
        </is>
      </c>
      <c r="G283" s="31" t="inlineStr">
        <is>
          <t>LPT</t>
        </is>
      </c>
      <c r="H283" s="27" t="n">
        <v>2510</v>
      </c>
      <c r="I283" s="27" t="n">
        <v>2665</v>
      </c>
      <c r="J283" s="154">
        <f>I283/H283-1</f>
        <v/>
      </c>
      <c r="K283" s="31" t="inlineStr">
        <is>
          <t>13</t>
        </is>
      </c>
      <c r="L283" s="31" t="inlineStr">
        <is>
          <t>13</t>
        </is>
      </c>
      <c r="M283" s="31" t="inlineStr">
        <is>
          <t>S1</t>
        </is>
      </c>
      <c r="N283" s="31" t="inlineStr">
        <is>
          <t>S2</t>
        </is>
      </c>
      <c r="O283" s="31" t="inlineStr">
        <is>
          <t>336-013-101-0</t>
        </is>
      </c>
      <c r="P283" s="31" t="inlineStr">
        <is>
          <t>SR Technics Switzerland</t>
        </is>
      </c>
    </row>
    <row r="284">
      <c r="B284" s="31" t="inlineStr">
        <is>
          <t>CFM56-5B</t>
        </is>
      </c>
      <c r="C284" s="31" t="inlineStr">
        <is>
          <t>2024-2025</t>
        </is>
      </c>
      <c r="D284" s="31" t="inlineStr">
        <is>
          <t>139443</t>
        </is>
      </c>
      <c r="E284" s="31" t="inlineStr">
        <is>
          <t>72-54-17</t>
        </is>
      </c>
      <c r="F284" s="31" t="inlineStr">
        <is>
          <t>C</t>
        </is>
      </c>
      <c r="G284" s="31" t="inlineStr">
        <is>
          <t>LPT</t>
        </is>
      </c>
      <c r="H284" s="27" t="n">
        <v>2520</v>
      </c>
      <c r="I284" s="27" t="n">
        <v>2675</v>
      </c>
      <c r="J284" s="154">
        <f>I284/H284-1</f>
        <v/>
      </c>
      <c r="K284" s="31" t="inlineStr">
        <is>
          <t>13</t>
        </is>
      </c>
      <c r="L284" s="31" t="inlineStr">
        <is>
          <t>13</t>
        </is>
      </c>
      <c r="M284" s="31" t="inlineStr">
        <is>
          <t>S1</t>
        </is>
      </c>
      <c r="N284" s="31" t="inlineStr">
        <is>
          <t>S2</t>
        </is>
      </c>
      <c r="O284" s="31" t="inlineStr">
        <is>
          <t>336-013-101-0</t>
        </is>
      </c>
      <c r="P284" s="31" t="inlineStr">
        <is>
          <t>SR Technics Switzerland</t>
        </is>
      </c>
    </row>
    <row r="285">
      <c r="B285" s="31" t="inlineStr">
        <is>
          <t>CFM56-5B</t>
        </is>
      </c>
      <c r="C285" s="31" t="inlineStr">
        <is>
          <t>2024-2025</t>
        </is>
      </c>
      <c r="D285" s="31" t="inlineStr">
        <is>
          <t>139447</t>
        </is>
      </c>
      <c r="E285" s="31" t="inlineStr">
        <is>
          <t>72-23-27</t>
        </is>
      </c>
      <c r="F285" s="31" t="inlineStr">
        <is>
          <t>A</t>
        </is>
      </c>
      <c r="G285" s="31" t="inlineStr">
        <is>
          <t>Fan / booster</t>
        </is>
      </c>
      <c r="H285" s="27" t="n">
        <v>95</v>
      </c>
      <c r="I285" s="27" t="n">
        <v>105</v>
      </c>
      <c r="J285" s="154">
        <f>I285/H285-1</f>
        <v/>
      </c>
      <c r="K285" s="31" t="inlineStr">
        <is>
          <t>50</t>
        </is>
      </c>
      <c r="L285" s="31" t="inlineStr">
        <is>
          <t>50</t>
        </is>
      </c>
      <c r="M285" s="31" t="inlineStr">
        <is>
          <t>S1</t>
        </is>
      </c>
      <c r="N285" s="31" t="inlineStr">
        <is>
          <t>S2</t>
        </is>
      </c>
      <c r="O285" s="31" t="inlineStr">
        <is>
          <t>337-123-301-0</t>
        </is>
      </c>
      <c r="P285" s="31" t="inlineStr">
        <is>
          <t>SR Technics Switzerland</t>
        </is>
      </c>
    </row>
    <row r="286">
      <c r="B286" s="31" t="inlineStr">
        <is>
          <t>CFM56-5B</t>
        </is>
      </c>
      <c r="C286" s="31" t="inlineStr">
        <is>
          <t>2024-2025</t>
        </is>
      </c>
      <c r="D286" s="31" t="inlineStr">
        <is>
          <t>139448</t>
        </is>
      </c>
      <c r="E286" s="31" t="inlineStr">
        <is>
          <t>72-54-01</t>
        </is>
      </c>
      <c r="F286" s="31" t="inlineStr">
        <is>
          <t>B</t>
        </is>
      </c>
      <c r="G286" s="31" t="inlineStr">
        <is>
          <t>LPT</t>
        </is>
      </c>
      <c r="H286" s="27" t="n">
        <v>300</v>
      </c>
      <c r="I286" s="27" t="n">
        <v>320</v>
      </c>
      <c r="J286" s="154">
        <f>I286/H286-1</f>
        <v/>
      </c>
      <c r="K286" s="31" t="inlineStr">
        <is>
          <t>50</t>
        </is>
      </c>
      <c r="L286" s="31" t="inlineStr">
        <is>
          <t>50</t>
        </is>
      </c>
      <c r="M286" s="31" t="inlineStr">
        <is>
          <t>S1</t>
        </is>
      </c>
      <c r="N286" s="31" t="inlineStr">
        <is>
          <t>S2</t>
        </is>
      </c>
      <c r="O286" s="31" t="inlineStr">
        <is>
          <t>338-000-405-0</t>
        </is>
      </c>
      <c r="P286" s="31" t="inlineStr">
        <is>
          <t>SRTAS</t>
        </is>
      </c>
    </row>
    <row r="287">
      <c r="B287" s="31" t="inlineStr">
        <is>
          <t>CFM56-5B</t>
        </is>
      </c>
      <c r="C287" s="31" t="inlineStr">
        <is>
          <t>2024-2025</t>
        </is>
      </c>
      <c r="D287" s="31" t="inlineStr">
        <is>
          <t>139448</t>
        </is>
      </c>
      <c r="E287" s="31" t="inlineStr">
        <is>
          <t>72-54-01</t>
        </is>
      </c>
      <c r="F287" s="31" t="inlineStr">
        <is>
          <t>C</t>
        </is>
      </c>
      <c r="G287" s="31" t="inlineStr">
        <is>
          <t>LPT</t>
        </is>
      </c>
      <c r="H287" s="27" t="n">
        <v>135</v>
      </c>
      <c r="I287" s="27" t="n">
        <v>145</v>
      </c>
      <c r="J287" s="154">
        <f>I287/H287-1</f>
        <v/>
      </c>
      <c r="K287" s="31" t="inlineStr">
        <is>
          <t>50</t>
        </is>
      </c>
      <c r="L287" s="31" t="inlineStr">
        <is>
          <t>50</t>
        </is>
      </c>
      <c r="M287" s="31" t="inlineStr">
        <is>
          <t>S1</t>
        </is>
      </c>
      <c r="N287" s="31" t="inlineStr">
        <is>
          <t>S2</t>
        </is>
      </c>
      <c r="O287" s="31" t="inlineStr">
        <is>
          <t>338-000-405-0</t>
        </is>
      </c>
      <c r="P287" s="31" t="inlineStr">
        <is>
          <t>SRTAS</t>
        </is>
      </c>
    </row>
    <row r="288">
      <c r="B288" s="31" t="inlineStr">
        <is>
          <t>CFM56-5B</t>
        </is>
      </c>
      <c r="C288" s="31" t="inlineStr">
        <is>
          <t>2024-2025</t>
        </is>
      </c>
      <c r="D288" s="31" t="inlineStr">
        <is>
          <t>139483</t>
        </is>
      </c>
      <c r="E288" s="31" t="inlineStr">
        <is>
          <t>72-22-11</t>
        </is>
      </c>
      <c r="F288" s="31" t="inlineStr">
        <is>
          <t>A</t>
        </is>
      </c>
      <c r="G288" s="31" t="inlineStr">
        <is>
          <t>Fan / booster</t>
        </is>
      </c>
      <c r="H288" s="27" t="n">
        <v>755</v>
      </c>
      <c r="I288" s="27" t="n">
        <v>805</v>
      </c>
      <c r="J288" s="154">
        <f>I288/H288-1</f>
        <v/>
      </c>
      <c r="K288" s="31" t="inlineStr">
        <is>
          <t>50</t>
        </is>
      </c>
      <c r="L288" s="31" t="inlineStr">
        <is>
          <t>50</t>
        </is>
      </c>
      <c r="M288" s="31" t="inlineStr">
        <is>
          <t>S1</t>
        </is>
      </c>
      <c r="N288" s="31" t="inlineStr">
        <is>
          <t>S2</t>
        </is>
      </c>
      <c r="O288" s="31" t="inlineStr">
        <is>
          <t>337-011-001-0</t>
        </is>
      </c>
      <c r="P288" s="31" t="inlineStr">
        <is>
          <t>SR Technics Switzerland</t>
        </is>
      </c>
    </row>
    <row r="289">
      <c r="B289" s="31" t="inlineStr">
        <is>
          <t>CFM56-5B</t>
        </is>
      </c>
      <c r="C289" s="31" t="inlineStr">
        <is>
          <t>2024-2025</t>
        </is>
      </c>
      <c r="D289" s="31" t="inlineStr">
        <is>
          <t>139485</t>
        </is>
      </c>
      <c r="E289" s="31" t="inlineStr">
        <is>
          <t>72-09-02</t>
        </is>
      </c>
      <c r="F289" s="31" t="inlineStr">
        <is>
          <t>A</t>
        </is>
      </c>
      <c r="G289" s="31" t="inlineStr">
        <is>
          <t>Other / assembly</t>
        </is>
      </c>
      <c r="H289" s="27" t="n">
        <v>430</v>
      </c>
      <c r="I289" s="27" t="n">
        <v>460</v>
      </c>
      <c r="J289" s="154">
        <f>I289/H289-1</f>
        <v/>
      </c>
      <c r="K289" s="31" t="inlineStr">
        <is>
          <t>51</t>
        </is>
      </c>
      <c r="L289" s="31" t="inlineStr">
        <is>
          <t>51</t>
        </is>
      </c>
      <c r="M289" s="31" t="inlineStr">
        <is>
          <t>S1</t>
        </is>
      </c>
      <c r="N289" s="31" t="inlineStr">
        <is>
          <t>S2</t>
        </is>
      </c>
      <c r="O289" s="31" t="inlineStr">
        <is>
          <t>1585M80G01</t>
        </is>
      </c>
      <c r="P289" s="31" t="inlineStr">
        <is>
          <t>SR Technics Switzerland</t>
        </is>
      </c>
    </row>
    <row r="290">
      <c r="B290" s="31" t="inlineStr">
        <is>
          <t>CFM56-5B</t>
        </is>
      </c>
      <c r="C290" s="31" t="inlineStr">
        <is>
          <t>2024-2025</t>
        </is>
      </c>
      <c r="D290" s="31" t="inlineStr">
        <is>
          <t>139488</t>
        </is>
      </c>
      <c r="E290" s="31" t="inlineStr">
        <is>
          <t>72-23-30</t>
        </is>
      </c>
      <c r="F290" s="31" t="inlineStr">
        <is>
          <t>A</t>
        </is>
      </c>
      <c r="G290" s="31" t="inlineStr">
        <is>
          <t>Fan / booster</t>
        </is>
      </c>
      <c r="H290" s="27" t="n">
        <v>4900</v>
      </c>
      <c r="I290" s="27" t="n">
        <v>5195</v>
      </c>
      <c r="J290" s="154">
        <f>I290/H290-1</f>
        <v/>
      </c>
      <c r="K290" s="31" t="inlineStr">
        <is>
          <t>13</t>
        </is>
      </c>
      <c r="L290" s="31" t="inlineStr">
        <is>
          <t>13</t>
        </is>
      </c>
      <c r="M290" s="31" t="inlineStr">
        <is>
          <t>S1</t>
        </is>
      </c>
      <c r="N290" s="31" t="inlineStr">
        <is>
          <t>S2</t>
        </is>
      </c>
      <c r="O290" s="31" t="inlineStr">
        <is>
          <t>2423M30G01</t>
        </is>
      </c>
      <c r="P290" s="31" t="inlineStr">
        <is>
          <t>SR Technics Switzerland</t>
        </is>
      </c>
    </row>
    <row r="291">
      <c r="B291" s="31" t="inlineStr">
        <is>
          <t>CFM56-5B</t>
        </is>
      </c>
      <c r="C291" s="31" t="inlineStr">
        <is>
          <t>2024-2025</t>
        </is>
      </c>
      <c r="D291" s="31" t="inlineStr">
        <is>
          <t>139488</t>
        </is>
      </c>
      <c r="E291" s="31" t="inlineStr">
        <is>
          <t>72-23-30</t>
        </is>
      </c>
      <c r="F291" s="31" t="inlineStr">
        <is>
          <t>B</t>
        </is>
      </c>
      <c r="G291" s="31" t="inlineStr">
        <is>
          <t>Fan / booster</t>
        </is>
      </c>
      <c r="H291" s="27" t="n">
        <v>685</v>
      </c>
      <c r="I291" s="27" t="n">
        <v>730</v>
      </c>
      <c r="J291" s="154">
        <f>I291/H291-1</f>
        <v/>
      </c>
      <c r="K291" s="31" t="inlineStr">
        <is>
          <t>13</t>
        </is>
      </c>
      <c r="L291" s="31" t="inlineStr">
        <is>
          <t>13</t>
        </is>
      </c>
      <c r="M291" s="31" t="inlineStr">
        <is>
          <t>S1</t>
        </is>
      </c>
      <c r="N291" s="31" t="inlineStr">
        <is>
          <t>S2</t>
        </is>
      </c>
      <c r="O291" s="31" t="inlineStr">
        <is>
          <t>2423M30G01</t>
        </is>
      </c>
      <c r="P291" s="31" t="inlineStr">
        <is>
          <t>SR Technics Switzerland</t>
        </is>
      </c>
    </row>
    <row r="292">
      <c r="B292" s="31" t="inlineStr">
        <is>
          <t>CFM56-5B</t>
        </is>
      </c>
      <c r="C292" s="31" t="inlineStr">
        <is>
          <t>2024-2025</t>
        </is>
      </c>
      <c r="D292" s="31" t="inlineStr">
        <is>
          <t>139488</t>
        </is>
      </c>
      <c r="E292" s="31" t="inlineStr">
        <is>
          <t>72-23-30</t>
        </is>
      </c>
      <c r="F292" s="31" t="inlineStr">
        <is>
          <t>C</t>
        </is>
      </c>
      <c r="G292" s="31" t="inlineStr">
        <is>
          <t>Fan / booster</t>
        </is>
      </c>
      <c r="H292" s="27" t="n">
        <v>820</v>
      </c>
      <c r="I292" s="27" t="n">
        <v>870</v>
      </c>
      <c r="J292" s="154">
        <f>I292/H292-1</f>
        <v/>
      </c>
      <c r="K292" s="31" t="inlineStr">
        <is>
          <t>13</t>
        </is>
      </c>
      <c r="L292" s="31" t="inlineStr">
        <is>
          <t>13</t>
        </is>
      </c>
      <c r="M292" s="31" t="inlineStr">
        <is>
          <t>S1</t>
        </is>
      </c>
      <c r="N292" s="31" t="inlineStr">
        <is>
          <t>S2</t>
        </is>
      </c>
      <c r="O292" s="31" t="inlineStr">
        <is>
          <t>2423M30G01</t>
        </is>
      </c>
      <c r="P292" s="31" t="inlineStr">
        <is>
          <t>SR Technics Switzerland</t>
        </is>
      </c>
    </row>
    <row r="293">
      <c r="B293" s="31" t="inlineStr">
        <is>
          <t>CFM56-5B</t>
        </is>
      </c>
      <c r="C293" s="31" t="inlineStr">
        <is>
          <t>2024-2025</t>
        </is>
      </c>
      <c r="D293" s="31" t="inlineStr">
        <is>
          <t>139488</t>
        </is>
      </c>
      <c r="E293" s="31" t="inlineStr">
        <is>
          <t>72-23-30</t>
        </is>
      </c>
      <c r="F293" s="31" t="inlineStr">
        <is>
          <t>E</t>
        </is>
      </c>
      <c r="G293" s="31" t="inlineStr">
        <is>
          <t>Fan / booster</t>
        </is>
      </c>
      <c r="H293" s="27" t="n">
        <v>645</v>
      </c>
      <c r="I293" s="27" t="n">
        <v>685</v>
      </c>
      <c r="J293" s="154">
        <f>I293/H293-1</f>
        <v/>
      </c>
      <c r="K293" s="31" t="inlineStr">
        <is>
          <t>13</t>
        </is>
      </c>
      <c r="L293" s="31" t="inlineStr">
        <is>
          <t>13</t>
        </is>
      </c>
      <c r="M293" s="31" t="inlineStr">
        <is>
          <t>S1</t>
        </is>
      </c>
      <c r="N293" s="31" t="inlineStr">
        <is>
          <t>S2</t>
        </is>
      </c>
      <c r="O293" s="31" t="inlineStr">
        <is>
          <t>2423M30G01</t>
        </is>
      </c>
      <c r="P293" s="31" t="inlineStr">
        <is>
          <t>SR Technics Switzerland</t>
        </is>
      </c>
    </row>
    <row r="294">
      <c r="B294" s="31" t="inlineStr">
        <is>
          <t>CFM56-5B</t>
        </is>
      </c>
      <c r="C294" s="31" t="inlineStr">
        <is>
          <t>2024-2025</t>
        </is>
      </c>
      <c r="D294" s="31" t="inlineStr">
        <is>
          <t>139488</t>
        </is>
      </c>
      <c r="E294" s="31" t="inlineStr">
        <is>
          <t>72-23-30</t>
        </is>
      </c>
      <c r="F294" s="31" t="inlineStr">
        <is>
          <t>I</t>
        </is>
      </c>
      <c r="G294" s="31" t="inlineStr">
        <is>
          <t>Fan / booster</t>
        </is>
      </c>
      <c r="H294" s="27" t="n">
        <v>1005</v>
      </c>
      <c r="I294" s="27" t="n">
        <v>1070</v>
      </c>
      <c r="J294" s="154">
        <f>I294/H294-1</f>
        <v/>
      </c>
      <c r="K294" s="31" t="inlineStr">
        <is>
          <t>13</t>
        </is>
      </c>
      <c r="L294" s="31" t="inlineStr">
        <is>
          <t>13</t>
        </is>
      </c>
      <c r="M294" s="31" t="inlineStr">
        <is>
          <t>S1</t>
        </is>
      </c>
      <c r="N294" s="31" t="inlineStr">
        <is>
          <t>S2</t>
        </is>
      </c>
      <c r="O294" s="31" t="inlineStr">
        <is>
          <t>2423M30G01</t>
        </is>
      </c>
      <c r="P294" s="31" t="inlineStr">
        <is>
          <t>SR Technics Switzerland</t>
        </is>
      </c>
    </row>
    <row r="295">
      <c r="B295" s="31" t="inlineStr">
        <is>
          <t>CFM56-5B</t>
        </is>
      </c>
      <c r="C295" s="31" t="inlineStr">
        <is>
          <t>2024-2025</t>
        </is>
      </c>
      <c r="D295" s="31" t="inlineStr">
        <is>
          <t>139488</t>
        </is>
      </c>
      <c r="E295" s="31" t="inlineStr">
        <is>
          <t>72-23-30</t>
        </is>
      </c>
      <c r="F295" s="31" t="inlineStr">
        <is>
          <t>K</t>
        </is>
      </c>
      <c r="G295" s="31" t="inlineStr">
        <is>
          <t>Fan / booster</t>
        </is>
      </c>
      <c r="H295" s="27" t="n">
        <v>700</v>
      </c>
      <c r="I295" s="27" t="n">
        <v>745</v>
      </c>
      <c r="J295" s="154">
        <f>I295/H295-1</f>
        <v/>
      </c>
      <c r="K295" s="31" t="inlineStr">
        <is>
          <t>13</t>
        </is>
      </c>
      <c r="L295" s="31" t="inlineStr">
        <is>
          <t>13</t>
        </is>
      </c>
      <c r="M295" s="31" t="inlineStr">
        <is>
          <t>S1</t>
        </is>
      </c>
      <c r="N295" s="31" t="inlineStr">
        <is>
          <t>S2</t>
        </is>
      </c>
      <c r="O295" s="31" t="inlineStr">
        <is>
          <t>2423M30G01</t>
        </is>
      </c>
      <c r="P295" s="31" t="inlineStr">
        <is>
          <t>SR Technics Switzerland</t>
        </is>
      </c>
    </row>
    <row r="296">
      <c r="B296" s="31" t="inlineStr">
        <is>
          <t>CFM56-5B</t>
        </is>
      </c>
      <c r="C296" s="31" t="inlineStr">
        <is>
          <t>2024-2025</t>
        </is>
      </c>
      <c r="D296" s="31" t="inlineStr">
        <is>
          <t>139488</t>
        </is>
      </c>
      <c r="E296" s="31" t="inlineStr">
        <is>
          <t>72-23-30</t>
        </is>
      </c>
      <c r="F296" s="31" t="inlineStr">
        <is>
          <t>L</t>
        </is>
      </c>
      <c r="G296" s="31" t="inlineStr">
        <is>
          <t>Fan / booster</t>
        </is>
      </c>
      <c r="H296" s="27" t="n">
        <v>4825</v>
      </c>
      <c r="I296" s="27" t="n">
        <v>5115</v>
      </c>
      <c r="J296" s="154">
        <f>I296/H296-1</f>
        <v/>
      </c>
      <c r="K296" s="31" t="inlineStr">
        <is>
          <t>13</t>
        </is>
      </c>
      <c r="L296" s="31" t="inlineStr">
        <is>
          <t>13</t>
        </is>
      </c>
      <c r="M296" s="31" t="inlineStr">
        <is>
          <t>S1</t>
        </is>
      </c>
      <c r="N296" s="31" t="inlineStr">
        <is>
          <t>S2</t>
        </is>
      </c>
      <c r="O296" s="31" t="inlineStr">
        <is>
          <t>2423M30G01</t>
        </is>
      </c>
      <c r="P296" s="31" t="inlineStr">
        <is>
          <t>SR Technics Switzerland</t>
        </is>
      </c>
    </row>
    <row r="297">
      <c r="B297" s="31" t="inlineStr">
        <is>
          <t>CFM56-5B</t>
        </is>
      </c>
      <c r="C297" s="31" t="inlineStr">
        <is>
          <t>2024-2025</t>
        </is>
      </c>
      <c r="D297" s="31" t="inlineStr">
        <is>
          <t>139488</t>
        </is>
      </c>
      <c r="E297" s="31" t="inlineStr">
        <is>
          <t>72-23-30</t>
        </is>
      </c>
      <c r="F297" s="31" t="inlineStr">
        <is>
          <t>M</t>
        </is>
      </c>
      <c r="G297" s="31" t="inlineStr">
        <is>
          <t>Fan / booster</t>
        </is>
      </c>
      <c r="H297" s="27" t="n">
        <v>3055</v>
      </c>
      <c r="I297" s="27" t="n">
        <v>3240</v>
      </c>
      <c r="J297" s="154">
        <f>I297/H297-1</f>
        <v/>
      </c>
      <c r="K297" s="31" t="inlineStr">
        <is>
          <t>13</t>
        </is>
      </c>
      <c r="L297" s="31" t="inlineStr">
        <is>
          <t>13</t>
        </is>
      </c>
      <c r="M297" s="31" t="inlineStr">
        <is>
          <t>S1</t>
        </is>
      </c>
      <c r="N297" s="31" t="inlineStr">
        <is>
          <t>S2</t>
        </is>
      </c>
      <c r="O297" s="31" t="inlineStr">
        <is>
          <t>2423M30G01</t>
        </is>
      </c>
      <c r="P297" s="31" t="inlineStr">
        <is>
          <t>SR Technics Switzerland</t>
        </is>
      </c>
    </row>
    <row r="298">
      <c r="B298" s="31" t="inlineStr">
        <is>
          <t>CFM56-5B</t>
        </is>
      </c>
      <c r="C298" s="31" t="inlineStr">
        <is>
          <t>2024-2025</t>
        </is>
      </c>
      <c r="D298" s="31" t="inlineStr">
        <is>
          <t>139488</t>
        </is>
      </c>
      <c r="E298" s="31" t="inlineStr">
        <is>
          <t>72-23-30</t>
        </is>
      </c>
      <c r="F298" s="31" t="inlineStr">
        <is>
          <t>N</t>
        </is>
      </c>
      <c r="G298" s="31" t="inlineStr">
        <is>
          <t>Fan / booster</t>
        </is>
      </c>
      <c r="H298" s="27" t="n">
        <v>8625</v>
      </c>
      <c r="I298" s="27" t="n">
        <v>9145</v>
      </c>
      <c r="J298" s="154">
        <f>I298/H298-1</f>
        <v/>
      </c>
      <c r="K298" s="31" t="inlineStr">
        <is>
          <t>13</t>
        </is>
      </c>
      <c r="L298" s="31" t="inlineStr">
        <is>
          <t>13</t>
        </is>
      </c>
      <c r="M298" s="31" t="inlineStr">
        <is>
          <t>S1</t>
        </is>
      </c>
      <c r="N298" s="31" t="inlineStr">
        <is>
          <t>S2</t>
        </is>
      </c>
      <c r="O298" s="31" t="inlineStr">
        <is>
          <t>2423M30G01</t>
        </is>
      </c>
      <c r="P298" s="31" t="inlineStr">
        <is>
          <t>SR Technics Switzerland</t>
        </is>
      </c>
    </row>
    <row r="299">
      <c r="B299" s="31" t="inlineStr">
        <is>
          <t>CFM56-5B</t>
        </is>
      </c>
      <c r="C299" s="31" t="inlineStr">
        <is>
          <t>2024-2025</t>
        </is>
      </c>
      <c r="D299" s="31" t="inlineStr">
        <is>
          <t>139488</t>
        </is>
      </c>
      <c r="E299" s="31" t="inlineStr">
        <is>
          <t>72-23-30</t>
        </is>
      </c>
      <c r="F299" s="31" t="inlineStr">
        <is>
          <t>O</t>
        </is>
      </c>
      <c r="G299" s="31" t="inlineStr">
        <is>
          <t>Fan / booster</t>
        </is>
      </c>
      <c r="H299" s="27" t="n">
        <v>4440</v>
      </c>
      <c r="I299" s="27" t="n">
        <v>4710</v>
      </c>
      <c r="J299" s="154">
        <f>I299/H299-1</f>
        <v/>
      </c>
      <c r="K299" s="31" t="inlineStr">
        <is>
          <t>13</t>
        </is>
      </c>
      <c r="L299" s="31" t="inlineStr">
        <is>
          <t>13</t>
        </is>
      </c>
      <c r="M299" s="31" t="inlineStr">
        <is>
          <t>S1</t>
        </is>
      </c>
      <c r="N299" s="31" t="inlineStr">
        <is>
          <t>S2</t>
        </is>
      </c>
      <c r="O299" s="31" t="inlineStr">
        <is>
          <t>2423M30G01</t>
        </is>
      </c>
      <c r="P299" s="31" t="inlineStr">
        <is>
          <t>SR Technics Switzerland</t>
        </is>
      </c>
    </row>
    <row r="300">
      <c r="B300" s="31" t="inlineStr">
        <is>
          <t>CFM56-5B</t>
        </is>
      </c>
      <c r="C300" s="31" t="inlineStr">
        <is>
          <t>2024-2025</t>
        </is>
      </c>
      <c r="D300" s="31" t="inlineStr">
        <is>
          <t>139488</t>
        </is>
      </c>
      <c r="E300" s="31" t="inlineStr">
        <is>
          <t>72-23-30</t>
        </is>
      </c>
      <c r="F300" s="31" t="inlineStr">
        <is>
          <t>P</t>
        </is>
      </c>
      <c r="G300" s="31" t="inlineStr">
        <is>
          <t>Fan / booster</t>
        </is>
      </c>
      <c r="H300" s="27" t="n">
        <v>1250</v>
      </c>
      <c r="I300" s="27" t="n">
        <v>1325</v>
      </c>
      <c r="J300" s="154">
        <f>I300/H300-1</f>
        <v/>
      </c>
      <c r="K300" s="31" t="inlineStr">
        <is>
          <t>13</t>
        </is>
      </c>
      <c r="L300" s="31" t="inlineStr">
        <is>
          <t>13</t>
        </is>
      </c>
      <c r="M300" s="31" t="inlineStr">
        <is>
          <t>S1</t>
        </is>
      </c>
      <c r="N300" s="31" t="inlineStr">
        <is>
          <t>S2</t>
        </is>
      </c>
      <c r="O300" s="31" t="inlineStr">
        <is>
          <t>2423M30G01</t>
        </is>
      </c>
      <c r="P300" s="31" t="inlineStr">
        <is>
          <t>SR Technics Switzerland</t>
        </is>
      </c>
    </row>
    <row r="301">
      <c r="B301" s="31" t="inlineStr">
        <is>
          <t>CFM56-5B</t>
        </is>
      </c>
      <c r="C301" s="31" t="inlineStr">
        <is>
          <t>2024-2025</t>
        </is>
      </c>
      <c r="D301" s="31" t="inlineStr">
        <is>
          <t>139488</t>
        </is>
      </c>
      <c r="E301" s="31" t="inlineStr">
        <is>
          <t>72-23-30</t>
        </is>
      </c>
      <c r="F301" s="31" t="inlineStr">
        <is>
          <t>R</t>
        </is>
      </c>
      <c r="G301" s="31" t="inlineStr">
        <is>
          <t>Fan / booster</t>
        </is>
      </c>
      <c r="H301" s="27" t="n">
        <v>1385</v>
      </c>
      <c r="I301" s="27" t="n">
        <v>1470</v>
      </c>
      <c r="J301" s="154">
        <f>I301/H301-1</f>
        <v/>
      </c>
      <c r="K301" s="31" t="inlineStr">
        <is>
          <t>13</t>
        </is>
      </c>
      <c r="L301" s="31" t="inlineStr">
        <is>
          <t>13</t>
        </is>
      </c>
      <c r="M301" s="31" t="inlineStr">
        <is>
          <t>S1</t>
        </is>
      </c>
      <c r="N301" s="31" t="inlineStr">
        <is>
          <t>S2</t>
        </is>
      </c>
      <c r="O301" s="31" t="inlineStr">
        <is>
          <t>2423M30G01</t>
        </is>
      </c>
      <c r="P301" s="31" t="inlineStr">
        <is>
          <t>SR Technics Switzerland</t>
        </is>
      </c>
    </row>
    <row r="302">
      <c r="B302" s="31" t="inlineStr">
        <is>
          <t>CFM56-5B</t>
        </is>
      </c>
      <c r="C302" s="31" t="inlineStr">
        <is>
          <t>2024-2025</t>
        </is>
      </c>
      <c r="D302" s="31" t="inlineStr">
        <is>
          <t>139488</t>
        </is>
      </c>
      <c r="E302" s="31" t="inlineStr">
        <is>
          <t>72-23-30</t>
        </is>
      </c>
      <c r="F302" s="31" t="inlineStr">
        <is>
          <t>SB00</t>
        </is>
      </c>
      <c r="G302" s="31" t="inlineStr">
        <is>
          <t>Fan / booster</t>
        </is>
      </c>
      <c r="H302" s="27" t="n">
        <v>460</v>
      </c>
      <c r="I302" s="27" t="n">
        <v>490</v>
      </c>
      <c r="J302" s="154">
        <f>I302/H302-1</f>
        <v/>
      </c>
      <c r="K302" s="31" t="inlineStr">
        <is>
          <t>13</t>
        </is>
      </c>
      <c r="L302" s="31" t="inlineStr">
        <is>
          <t>13</t>
        </is>
      </c>
      <c r="M302" s="31" t="inlineStr">
        <is>
          <t>S1</t>
        </is>
      </c>
      <c r="N302" s="31" t="inlineStr">
        <is>
          <t>S2</t>
        </is>
      </c>
      <c r="O302" s="31" t="inlineStr">
        <is>
          <t>2423M30G01</t>
        </is>
      </c>
      <c r="P302" s="31" t="inlineStr">
        <is>
          <t>SR Technics Switzerland</t>
        </is>
      </c>
    </row>
    <row r="303">
      <c r="B303" s="31" t="inlineStr">
        <is>
          <t>CFM56-5B</t>
        </is>
      </c>
      <c r="C303" s="31" t="inlineStr">
        <is>
          <t>2024-2025</t>
        </is>
      </c>
      <c r="D303" s="31" t="inlineStr">
        <is>
          <t>139488</t>
        </is>
      </c>
      <c r="E303" s="31" t="inlineStr">
        <is>
          <t>72-23-30</t>
        </is>
      </c>
      <c r="F303" s="31" t="inlineStr">
        <is>
          <t>SB01</t>
        </is>
      </c>
      <c r="G303" s="31" t="inlineStr">
        <is>
          <t>Fan / booster</t>
        </is>
      </c>
      <c r="H303" s="27" t="n">
        <v>3345</v>
      </c>
      <c r="I303" s="27" t="n">
        <v>3550</v>
      </c>
      <c r="J303" s="154">
        <f>I303/H303-1</f>
        <v/>
      </c>
      <c r="K303" s="31" t="inlineStr">
        <is>
          <t>13</t>
        </is>
      </c>
      <c r="L303" s="31" t="inlineStr">
        <is>
          <t>13</t>
        </is>
      </c>
      <c r="M303" s="31" t="inlineStr">
        <is>
          <t>S1</t>
        </is>
      </c>
      <c r="N303" s="31" t="inlineStr">
        <is>
          <t>S2</t>
        </is>
      </c>
      <c r="O303" s="31" t="inlineStr">
        <is>
          <t>2423M30G01</t>
        </is>
      </c>
      <c r="P303" s="31" t="inlineStr">
        <is>
          <t>SR Technics Switzerland</t>
        </is>
      </c>
    </row>
    <row r="304">
      <c r="B304" s="31" t="inlineStr">
        <is>
          <t>CFM56-5B</t>
        </is>
      </c>
      <c r="C304" s="31" t="inlineStr">
        <is>
          <t>2024-2025</t>
        </is>
      </c>
      <c r="D304" s="31" t="inlineStr">
        <is>
          <t>139488</t>
        </is>
      </c>
      <c r="E304" s="31" t="inlineStr">
        <is>
          <t>72-23-30</t>
        </is>
      </c>
      <c r="F304" s="31" t="inlineStr">
        <is>
          <t>T</t>
        </is>
      </c>
      <c r="G304" s="31" t="inlineStr">
        <is>
          <t>Fan / booster</t>
        </is>
      </c>
      <c r="H304" s="27" t="n">
        <v>1100</v>
      </c>
      <c r="I304" s="27" t="n">
        <v>1170</v>
      </c>
      <c r="J304" s="154">
        <f>I304/H304-1</f>
        <v/>
      </c>
      <c r="K304" s="31" t="inlineStr">
        <is>
          <t>13</t>
        </is>
      </c>
      <c r="L304" s="31" t="inlineStr">
        <is>
          <t>13</t>
        </is>
      </c>
      <c r="M304" s="31" t="inlineStr">
        <is>
          <t>S1</t>
        </is>
      </c>
      <c r="N304" s="31" t="inlineStr">
        <is>
          <t>S2</t>
        </is>
      </c>
      <c r="O304" s="31" t="inlineStr">
        <is>
          <t>2423M30G01</t>
        </is>
      </c>
      <c r="P304" s="31" t="inlineStr">
        <is>
          <t>SR Technics Switzerland</t>
        </is>
      </c>
    </row>
    <row r="305">
      <c r="B305" s="31" t="inlineStr">
        <is>
          <t>CFM56-5B</t>
        </is>
      </c>
      <c r="C305" s="31" t="inlineStr">
        <is>
          <t>2024-2025</t>
        </is>
      </c>
      <c r="D305" s="31" t="inlineStr">
        <is>
          <t>139488</t>
        </is>
      </c>
      <c r="E305" s="31" t="inlineStr">
        <is>
          <t>72-23-30</t>
        </is>
      </c>
      <c r="F305" s="31" t="inlineStr">
        <is>
          <t>U</t>
        </is>
      </c>
      <c r="G305" s="31" t="inlineStr">
        <is>
          <t>Fan / booster</t>
        </is>
      </c>
      <c r="H305" s="27" t="n">
        <v>2500</v>
      </c>
      <c r="I305" s="27" t="n">
        <v>2650</v>
      </c>
      <c r="J305" s="154">
        <f>I305/H305-1</f>
        <v/>
      </c>
      <c r="K305" s="31" t="inlineStr">
        <is>
          <t>13</t>
        </is>
      </c>
      <c r="L305" s="31" t="inlineStr">
        <is>
          <t>13</t>
        </is>
      </c>
      <c r="M305" s="31" t="inlineStr">
        <is>
          <t>S1</t>
        </is>
      </c>
      <c r="N305" s="31" t="inlineStr">
        <is>
          <t>S2</t>
        </is>
      </c>
      <c r="O305" s="31" t="inlineStr">
        <is>
          <t>2423M30G01</t>
        </is>
      </c>
      <c r="P305" s="31" t="inlineStr">
        <is>
          <t>SR Technics Switzerland</t>
        </is>
      </c>
    </row>
    <row r="306">
      <c r="B306" s="31" t="inlineStr">
        <is>
          <t>CFM56-5B</t>
        </is>
      </c>
      <c r="C306" s="31" t="inlineStr">
        <is>
          <t>2024-2025</t>
        </is>
      </c>
      <c r="D306" s="31" t="inlineStr">
        <is>
          <t>139505</t>
        </is>
      </c>
      <c r="E306" s="31" t="inlineStr">
        <is>
          <t>72-56-10</t>
        </is>
      </c>
      <c r="F306" s="31" t="inlineStr">
        <is>
          <t>A</t>
        </is>
      </c>
      <c r="G306" s="31" t="inlineStr">
        <is>
          <t>LPT</t>
        </is>
      </c>
      <c r="H306" s="27" t="n">
        <v>835</v>
      </c>
      <c r="I306" s="27" t="n">
        <v>890</v>
      </c>
      <c r="J306" s="154">
        <f>I306/H306-1</f>
        <v/>
      </c>
      <c r="K306" s="31" t="inlineStr">
        <is>
          <t>13</t>
        </is>
      </c>
      <c r="L306" s="31" t="inlineStr">
        <is>
          <t>13</t>
        </is>
      </c>
      <c r="M306" s="31" t="inlineStr">
        <is>
          <t>S1</t>
        </is>
      </c>
      <c r="N306" s="31" t="inlineStr">
        <is>
          <t>S2</t>
        </is>
      </c>
      <c r="O306" s="31" t="inlineStr">
        <is>
          <t>338-086-601-0</t>
        </is>
      </c>
      <c r="P306" s="31" t="inlineStr">
        <is>
          <t>SR Technics Switzerland</t>
        </is>
      </c>
    </row>
    <row r="307">
      <c r="B307" s="31" t="inlineStr">
        <is>
          <t>CFM56-5B</t>
        </is>
      </c>
      <c r="C307" s="31" t="inlineStr">
        <is>
          <t>2024-2025</t>
        </is>
      </c>
      <c r="D307" s="31" t="inlineStr">
        <is>
          <t>139505</t>
        </is>
      </c>
      <c r="E307" s="31" t="inlineStr">
        <is>
          <t>72-56-10</t>
        </is>
      </c>
      <c r="F307" s="31" t="inlineStr">
        <is>
          <t>B</t>
        </is>
      </c>
      <c r="G307" s="31" t="inlineStr">
        <is>
          <t>LPT</t>
        </is>
      </c>
      <c r="H307" s="27" t="n">
        <v>1050</v>
      </c>
      <c r="I307" s="27" t="n">
        <v>1115</v>
      </c>
      <c r="J307" s="154">
        <f>I307/H307-1</f>
        <v/>
      </c>
      <c r="K307" s="31" t="inlineStr">
        <is>
          <t>13</t>
        </is>
      </c>
      <c r="L307" s="31" t="inlineStr">
        <is>
          <t>13</t>
        </is>
      </c>
      <c r="M307" s="31" t="inlineStr">
        <is>
          <t>S1</t>
        </is>
      </c>
      <c r="N307" s="31" t="inlineStr">
        <is>
          <t>S2</t>
        </is>
      </c>
      <c r="O307" s="31" t="inlineStr">
        <is>
          <t>338-086-601-0</t>
        </is>
      </c>
      <c r="P307" s="31" t="inlineStr">
        <is>
          <t>SR Technics Switzerland</t>
        </is>
      </c>
    </row>
    <row r="308">
      <c r="B308" s="31" t="inlineStr">
        <is>
          <t>CFM56-5B</t>
        </is>
      </c>
      <c r="C308" s="31" t="inlineStr">
        <is>
          <t>2024-2025</t>
        </is>
      </c>
      <c r="D308" s="31" t="inlineStr">
        <is>
          <t>139515</t>
        </is>
      </c>
      <c r="E308" s="31" t="inlineStr">
        <is>
          <t>72-61-02</t>
        </is>
      </c>
      <c r="F308" s="31" t="inlineStr">
        <is>
          <t>A</t>
        </is>
      </c>
      <c r="G308" s="31" t="inlineStr">
        <is>
          <t>Gearbox</t>
        </is>
      </c>
      <c r="H308" s="27" t="n">
        <v>1065</v>
      </c>
      <c r="I308" s="27" t="n">
        <v>1130</v>
      </c>
      <c r="J308" s="154">
        <f>I308/H308-1</f>
        <v/>
      </c>
      <c r="K308" s="31" t="inlineStr">
        <is>
          <t>13</t>
        </is>
      </c>
      <c r="L308" s="31" t="inlineStr">
        <is>
          <t>13</t>
        </is>
      </c>
      <c r="M308" s="31" t="inlineStr">
        <is>
          <t>S1</t>
        </is>
      </c>
      <c r="N308" s="31" t="inlineStr">
        <is>
          <t>S2</t>
        </is>
      </c>
      <c r="O308" s="31" t="inlineStr">
        <is>
          <t>9542M67P01</t>
        </is>
      </c>
      <c r="P308" s="31" t="inlineStr">
        <is>
          <t>SR Technics Switzerland</t>
        </is>
      </c>
    </row>
    <row r="309">
      <c r="B309" s="31" t="inlineStr">
        <is>
          <t>CFM56-5B</t>
        </is>
      </c>
      <c r="C309" s="31" t="inlineStr">
        <is>
          <t>2024-2025</t>
        </is>
      </c>
      <c r="D309" s="31" t="inlineStr">
        <is>
          <t>139515</t>
        </is>
      </c>
      <c r="E309" s="31" t="inlineStr">
        <is>
          <t>72-61-02</t>
        </is>
      </c>
      <c r="F309" s="31" t="inlineStr">
        <is>
          <t>B</t>
        </is>
      </c>
      <c r="G309" s="31" t="inlineStr">
        <is>
          <t>Gearbox</t>
        </is>
      </c>
      <c r="H309" s="27" t="n">
        <v>2865</v>
      </c>
      <c r="I309" s="27" t="n">
        <v>3040</v>
      </c>
      <c r="J309" s="154">
        <f>I309/H309-1</f>
        <v/>
      </c>
      <c r="K309" s="31" t="inlineStr">
        <is>
          <t>13</t>
        </is>
      </c>
      <c r="L309" s="31" t="inlineStr">
        <is>
          <t>13</t>
        </is>
      </c>
      <c r="M309" s="31" t="inlineStr">
        <is>
          <t>S1</t>
        </is>
      </c>
      <c r="N309" s="31" t="inlineStr">
        <is>
          <t>S2</t>
        </is>
      </c>
      <c r="O309" s="31" t="inlineStr">
        <is>
          <t>9542M67P01</t>
        </is>
      </c>
      <c r="P309" s="31" t="inlineStr">
        <is>
          <t>SR Technics Switzerland</t>
        </is>
      </c>
    </row>
    <row r="310">
      <c r="B310" s="31" t="inlineStr">
        <is>
          <t>CFM56-5B</t>
        </is>
      </c>
      <c r="C310" s="31" t="inlineStr">
        <is>
          <t>2024-2025</t>
        </is>
      </c>
      <c r="D310" s="31" t="inlineStr">
        <is>
          <t>139515</t>
        </is>
      </c>
      <c r="E310" s="31" t="inlineStr">
        <is>
          <t>72-61-02</t>
        </is>
      </c>
      <c r="F310" s="31" t="inlineStr">
        <is>
          <t>C</t>
        </is>
      </c>
      <c r="G310" s="31" t="inlineStr">
        <is>
          <t>Gearbox</t>
        </is>
      </c>
      <c r="H310" s="27" t="n">
        <v>2865</v>
      </c>
      <c r="I310" s="27" t="n">
        <v>3040</v>
      </c>
      <c r="J310" s="154">
        <f>I310/H310-1</f>
        <v/>
      </c>
      <c r="K310" s="31" t="inlineStr">
        <is>
          <t>13</t>
        </is>
      </c>
      <c r="L310" s="31" t="inlineStr">
        <is>
          <t>13</t>
        </is>
      </c>
      <c r="M310" s="31" t="inlineStr">
        <is>
          <t>S1</t>
        </is>
      </c>
      <c r="N310" s="31" t="inlineStr">
        <is>
          <t>S2</t>
        </is>
      </c>
      <c r="O310" s="31" t="inlineStr">
        <is>
          <t>9542M67P01</t>
        </is>
      </c>
      <c r="P310" s="31" t="inlineStr">
        <is>
          <t>SR Technics Switzerland</t>
        </is>
      </c>
    </row>
    <row r="311">
      <c r="B311" s="31" t="inlineStr">
        <is>
          <t>CFM56-5B</t>
        </is>
      </c>
      <c r="C311" s="31" t="inlineStr">
        <is>
          <t>2024-2025</t>
        </is>
      </c>
      <c r="D311" s="31" t="inlineStr">
        <is>
          <t>139515</t>
        </is>
      </c>
      <c r="E311" s="31" t="inlineStr">
        <is>
          <t>72-61-02</t>
        </is>
      </c>
      <c r="F311" s="31" t="inlineStr">
        <is>
          <t>D</t>
        </is>
      </c>
      <c r="G311" s="31" t="inlineStr">
        <is>
          <t>Gearbox</t>
        </is>
      </c>
      <c r="H311" s="27" t="n">
        <v>2865</v>
      </c>
      <c r="I311" s="27" t="n">
        <v>3040</v>
      </c>
      <c r="J311" s="154">
        <f>I311/H311-1</f>
        <v/>
      </c>
      <c r="K311" s="31" t="inlineStr">
        <is>
          <t>13</t>
        </is>
      </c>
      <c r="L311" s="31" t="inlineStr">
        <is>
          <t>13</t>
        </is>
      </c>
      <c r="M311" s="31" t="inlineStr">
        <is>
          <t>S1</t>
        </is>
      </c>
      <c r="N311" s="31" t="inlineStr">
        <is>
          <t>S2</t>
        </is>
      </c>
      <c r="O311" s="31" t="inlineStr">
        <is>
          <t>9542M67P01</t>
        </is>
      </c>
      <c r="P311" s="31" t="inlineStr">
        <is>
          <t>SR Technics Switzerland</t>
        </is>
      </c>
    </row>
    <row r="312">
      <c r="B312" s="31" t="inlineStr">
        <is>
          <t>CFM56-5B</t>
        </is>
      </c>
      <c r="C312" s="31" t="inlineStr">
        <is>
          <t>2024-2025</t>
        </is>
      </c>
      <c r="D312" s="31" t="inlineStr">
        <is>
          <t>139515</t>
        </is>
      </c>
      <c r="E312" s="31" t="inlineStr">
        <is>
          <t>72-61-02</t>
        </is>
      </c>
      <c r="F312" s="31" t="inlineStr">
        <is>
          <t>E</t>
        </is>
      </c>
      <c r="G312" s="31" t="inlineStr">
        <is>
          <t>Gearbox</t>
        </is>
      </c>
      <c r="H312" s="27" t="n">
        <v>2865</v>
      </c>
      <c r="I312" s="27" t="n">
        <v>3040</v>
      </c>
      <c r="J312" s="154">
        <f>I312/H312-1</f>
        <v/>
      </c>
      <c r="K312" s="31" t="inlineStr">
        <is>
          <t>13</t>
        </is>
      </c>
      <c r="L312" s="31" t="inlineStr">
        <is>
          <t>13</t>
        </is>
      </c>
      <c r="M312" s="31" t="inlineStr">
        <is>
          <t>S1</t>
        </is>
      </c>
      <c r="N312" s="31" t="inlineStr">
        <is>
          <t>S2</t>
        </is>
      </c>
      <c r="O312" s="31" t="inlineStr">
        <is>
          <t>9542M67P01</t>
        </is>
      </c>
      <c r="P312" s="31" t="inlineStr">
        <is>
          <t>SR Technics Switzerland</t>
        </is>
      </c>
    </row>
    <row r="313">
      <c r="B313" s="31" t="inlineStr">
        <is>
          <t>CFM56-5B</t>
        </is>
      </c>
      <c r="C313" s="31" t="inlineStr">
        <is>
          <t>2024-2025</t>
        </is>
      </c>
      <c r="D313" s="31" t="inlineStr">
        <is>
          <t>139515</t>
        </is>
      </c>
      <c r="E313" s="31" t="inlineStr">
        <is>
          <t>72-61-02</t>
        </is>
      </c>
      <c r="F313" s="31" t="inlineStr">
        <is>
          <t>F</t>
        </is>
      </c>
      <c r="G313" s="31" t="inlineStr">
        <is>
          <t>Gearbox</t>
        </is>
      </c>
      <c r="H313" s="27" t="n">
        <v>1020</v>
      </c>
      <c r="I313" s="27" t="n">
        <v>1085</v>
      </c>
      <c r="J313" s="154">
        <f>I313/H313-1</f>
        <v/>
      </c>
      <c r="K313" s="31" t="inlineStr">
        <is>
          <t>13</t>
        </is>
      </c>
      <c r="L313" s="31" t="inlineStr">
        <is>
          <t>13</t>
        </is>
      </c>
      <c r="M313" s="31" t="inlineStr">
        <is>
          <t>S1</t>
        </is>
      </c>
      <c r="N313" s="31" t="inlineStr">
        <is>
          <t>S2</t>
        </is>
      </c>
      <c r="O313" s="31" t="inlineStr">
        <is>
          <t>9542M67P01</t>
        </is>
      </c>
      <c r="P313" s="31" t="inlineStr">
        <is>
          <t>SR Technics Switzerland</t>
        </is>
      </c>
    </row>
    <row r="314">
      <c r="B314" s="31" t="inlineStr">
        <is>
          <t>CFM56-5B</t>
        </is>
      </c>
      <c r="C314" s="31" t="inlineStr">
        <is>
          <t>2024-2025</t>
        </is>
      </c>
      <c r="D314" s="31" t="inlineStr">
        <is>
          <t>139517</t>
        </is>
      </c>
      <c r="E314" s="31" t="inlineStr">
        <is>
          <t>72-61-03</t>
        </is>
      </c>
      <c r="F314" s="31" t="inlineStr">
        <is>
          <t>A</t>
        </is>
      </c>
      <c r="G314" s="31" t="inlineStr">
        <is>
          <t>Gearbox</t>
        </is>
      </c>
      <c r="H314" s="27" t="n">
        <v>780</v>
      </c>
      <c r="I314" s="27" t="n">
        <v>830</v>
      </c>
      <c r="J314" s="154">
        <f>I314/H314-1</f>
        <v/>
      </c>
      <c r="K314" s="31" t="inlineStr">
        <is>
          <t>13</t>
        </is>
      </c>
      <c r="L314" s="31" t="inlineStr">
        <is>
          <t>13</t>
        </is>
      </c>
      <c r="M314" s="31" t="inlineStr">
        <is>
          <t>S1</t>
        </is>
      </c>
      <c r="N314" s="31" t="inlineStr">
        <is>
          <t>S2</t>
        </is>
      </c>
      <c r="O314" s="31" t="inlineStr">
        <is>
          <t>9972M31G03</t>
        </is>
      </c>
      <c r="P314" s="31" t="inlineStr">
        <is>
          <t>SR Technics Switzerland</t>
        </is>
      </c>
    </row>
    <row r="315">
      <c r="B315" s="31" t="inlineStr">
        <is>
          <t>CFM56-5B</t>
        </is>
      </c>
      <c r="C315" s="31" t="inlineStr">
        <is>
          <t>2024-2025</t>
        </is>
      </c>
      <c r="D315" s="31" t="inlineStr">
        <is>
          <t>139517</t>
        </is>
      </c>
      <c r="E315" s="31" t="inlineStr">
        <is>
          <t>72-61-03</t>
        </is>
      </c>
      <c r="F315" s="31" t="inlineStr">
        <is>
          <t>B</t>
        </is>
      </c>
      <c r="G315" s="31" t="inlineStr">
        <is>
          <t>Gearbox</t>
        </is>
      </c>
      <c r="H315" s="27" t="n">
        <v>1230</v>
      </c>
      <c r="I315" s="27" t="n">
        <v>1305</v>
      </c>
      <c r="J315" s="154">
        <f>I315/H315-1</f>
        <v/>
      </c>
      <c r="K315" s="31" t="inlineStr">
        <is>
          <t>13</t>
        </is>
      </c>
      <c r="L315" s="31" t="inlineStr">
        <is>
          <t>13</t>
        </is>
      </c>
      <c r="M315" s="31" t="inlineStr">
        <is>
          <t>S1</t>
        </is>
      </c>
      <c r="N315" s="31" t="inlineStr">
        <is>
          <t>S2</t>
        </is>
      </c>
      <c r="O315" s="31" t="inlineStr">
        <is>
          <t>9972M31G03</t>
        </is>
      </c>
      <c r="P315" s="31" t="inlineStr">
        <is>
          <t>SR Technics Switzerland</t>
        </is>
      </c>
    </row>
    <row r="316">
      <c r="B316" s="31" t="inlineStr">
        <is>
          <t>CFM56-5B</t>
        </is>
      </c>
      <c r="C316" s="31" t="inlineStr">
        <is>
          <t>2024-2025</t>
        </is>
      </c>
      <c r="D316" s="31" t="inlineStr">
        <is>
          <t>139520</t>
        </is>
      </c>
      <c r="E316" s="31" t="inlineStr">
        <is>
          <t>72-61-07</t>
        </is>
      </c>
      <c r="F316" s="31" t="inlineStr">
        <is>
          <t>A</t>
        </is>
      </c>
      <c r="G316" s="31" t="inlineStr">
        <is>
          <t>Gearbox</t>
        </is>
      </c>
      <c r="H316" s="27" t="n">
        <v>1000</v>
      </c>
      <c r="I316" s="27" t="n">
        <v>1060</v>
      </c>
      <c r="J316" s="154">
        <f>I316/H316-1</f>
        <v/>
      </c>
      <c r="K316" s="31" t="inlineStr">
        <is>
          <t>13</t>
        </is>
      </c>
      <c r="L316" s="31" t="inlineStr">
        <is>
          <t>13</t>
        </is>
      </c>
      <c r="M316" s="31" t="inlineStr">
        <is>
          <t>S1</t>
        </is>
      </c>
      <c r="N316" s="31" t="inlineStr">
        <is>
          <t>S2</t>
        </is>
      </c>
      <c r="O316" s="31" t="inlineStr">
        <is>
          <t>9972M49G02</t>
        </is>
      </c>
      <c r="P316" s="31" t="inlineStr">
        <is>
          <t>SR Technics Switzerland</t>
        </is>
      </c>
    </row>
    <row r="317">
      <c r="B317" s="31" t="inlineStr">
        <is>
          <t>CFM56-5B</t>
        </is>
      </c>
      <c r="C317" s="31" t="inlineStr">
        <is>
          <t>2024-2025</t>
        </is>
      </c>
      <c r="D317" s="31" t="inlineStr">
        <is>
          <t>139530</t>
        </is>
      </c>
      <c r="E317" s="31" t="inlineStr">
        <is>
          <t>71-21-08</t>
        </is>
      </c>
      <c r="F317" s="31" t="inlineStr">
        <is>
          <t>A</t>
        </is>
      </c>
      <c r="G317" s="31" t="inlineStr">
        <is>
          <t>Other / assembly</t>
        </is>
      </c>
      <c r="H317" s="27" t="n">
        <v>1360</v>
      </c>
      <c r="I317" s="27" t="n">
        <v>1445</v>
      </c>
      <c r="J317" s="154">
        <f>I317/H317-1</f>
        <v/>
      </c>
      <c r="K317" s="31" t="inlineStr">
        <is>
          <t>13</t>
        </is>
      </c>
      <c r="L317" s="31" t="inlineStr">
        <is>
          <t>13</t>
        </is>
      </c>
      <c r="M317" s="31" t="inlineStr">
        <is>
          <t>S1</t>
        </is>
      </c>
      <c r="N317" s="31" t="inlineStr">
        <is>
          <t>S2</t>
        </is>
      </c>
      <c r="O317" s="31" t="inlineStr">
        <is>
          <t>238-0210-505</t>
        </is>
      </c>
      <c r="P317" s="31" t="inlineStr">
        <is>
          <t>SR Technics Switzerland</t>
        </is>
      </c>
    </row>
    <row r="318">
      <c r="B318" s="31" t="inlineStr">
        <is>
          <t>CFM56-5B</t>
        </is>
      </c>
      <c r="C318" s="31" t="inlineStr">
        <is>
          <t>2024-2025</t>
        </is>
      </c>
      <c r="D318" s="31" t="inlineStr">
        <is>
          <t>139530</t>
        </is>
      </c>
      <c r="E318" s="31" t="inlineStr">
        <is>
          <t>71-21-08</t>
        </is>
      </c>
      <c r="F318" s="31" t="inlineStr">
        <is>
          <t>D</t>
        </is>
      </c>
      <c r="G318" s="31" t="inlineStr">
        <is>
          <t>Other / assembly</t>
        </is>
      </c>
      <c r="H318" s="27" t="n">
        <v>1385</v>
      </c>
      <c r="I318" s="27" t="n">
        <v>1470</v>
      </c>
      <c r="J318" s="154">
        <f>I318/H318-1</f>
        <v/>
      </c>
      <c r="K318" s="31" t="inlineStr">
        <is>
          <t>13</t>
        </is>
      </c>
      <c r="L318" s="31" t="inlineStr">
        <is>
          <t>14</t>
        </is>
      </c>
      <c r="M318" s="31" t="inlineStr">
        <is>
          <t>S1</t>
        </is>
      </c>
      <c r="N318" s="31" t="inlineStr">
        <is>
          <t>S2</t>
        </is>
      </c>
      <c r="O318" s="31" t="inlineStr">
        <is>
          <t>238-0210-505</t>
        </is>
      </c>
      <c r="P318" s="31" t="inlineStr">
        <is>
          <t>SR Technics Switzerland</t>
        </is>
      </c>
    </row>
    <row r="319">
      <c r="B319" s="31" t="inlineStr">
        <is>
          <t>CFM56-5B</t>
        </is>
      </c>
      <c r="C319" s="31" t="inlineStr">
        <is>
          <t>2024-2025</t>
        </is>
      </c>
      <c r="D319" s="31" t="inlineStr">
        <is>
          <t>139530</t>
        </is>
      </c>
      <c r="E319" s="31" t="inlineStr">
        <is>
          <t>71-21-08</t>
        </is>
      </c>
      <c r="F319" s="31" t="inlineStr">
        <is>
          <t>E</t>
        </is>
      </c>
      <c r="G319" s="31" t="inlineStr">
        <is>
          <t>Other / assembly</t>
        </is>
      </c>
      <c r="H319" s="27" t="n">
        <v>755</v>
      </c>
      <c r="I319" s="27" t="n">
        <v>805</v>
      </c>
      <c r="J319" s="154">
        <f>I319/H319-1</f>
        <v/>
      </c>
      <c r="K319" s="31" t="inlineStr">
        <is>
          <t>13</t>
        </is>
      </c>
      <c r="L319" s="31" t="inlineStr">
        <is>
          <t>14</t>
        </is>
      </c>
      <c r="M319" s="31" t="inlineStr">
        <is>
          <t>S1</t>
        </is>
      </c>
      <c r="N319" s="31" t="inlineStr">
        <is>
          <t>S2</t>
        </is>
      </c>
      <c r="O319" s="31" t="inlineStr">
        <is>
          <t>238-0210-505</t>
        </is>
      </c>
      <c r="P319" s="31" t="inlineStr">
        <is>
          <t>SR Technics Switzerland</t>
        </is>
      </c>
    </row>
    <row r="320">
      <c r="B320" s="31" t="inlineStr">
        <is>
          <t>CFM56-5B</t>
        </is>
      </c>
      <c r="C320" s="31" t="inlineStr">
        <is>
          <t>2024-2025</t>
        </is>
      </c>
      <c r="D320" s="31" t="inlineStr">
        <is>
          <t>139530</t>
        </is>
      </c>
      <c r="E320" s="31" t="inlineStr">
        <is>
          <t>71-21-08</t>
        </is>
      </c>
      <c r="F320" s="31" t="inlineStr">
        <is>
          <t>F</t>
        </is>
      </c>
      <c r="G320" s="31" t="inlineStr">
        <is>
          <t>Other / assembly</t>
        </is>
      </c>
      <c r="H320" s="27" t="n">
        <v>150</v>
      </c>
      <c r="I320" s="27" t="n">
        <v>160</v>
      </c>
      <c r="J320" s="154">
        <f>I320/H320-1</f>
        <v/>
      </c>
      <c r="K320" s="31" t="inlineStr">
        <is>
          <t>13</t>
        </is>
      </c>
      <c r="L320" s="31" t="inlineStr">
        <is>
          <t>14</t>
        </is>
      </c>
      <c r="M320" s="31" t="inlineStr">
        <is>
          <t>S1</t>
        </is>
      </c>
      <c r="N320" s="31" t="inlineStr">
        <is>
          <t>S2</t>
        </is>
      </c>
      <c r="O320" s="31" t="inlineStr">
        <is>
          <t>238-0210-505</t>
        </is>
      </c>
      <c r="P320" s="31" t="inlineStr">
        <is>
          <t>SR Technics Switzerland</t>
        </is>
      </c>
    </row>
    <row r="321">
      <c r="B321" s="31" t="inlineStr">
        <is>
          <t>CFM56-5B</t>
        </is>
      </c>
      <c r="C321" s="31" t="inlineStr">
        <is>
          <t>2024-2025</t>
        </is>
      </c>
      <c r="D321" s="31" t="inlineStr">
        <is>
          <t>139531</t>
        </is>
      </c>
      <c r="E321" s="31" t="inlineStr">
        <is>
          <t>71-21-08</t>
        </is>
      </c>
      <c r="F321" s="31" t="inlineStr">
        <is>
          <t>A</t>
        </is>
      </c>
      <c r="G321" s="31" t="inlineStr">
        <is>
          <t>Other / assembly</t>
        </is>
      </c>
      <c r="H321" s="27" t="n">
        <v>1140</v>
      </c>
      <c r="I321" s="27" t="n">
        <v>1210</v>
      </c>
      <c r="J321" s="154">
        <f>I321/H321-1</f>
        <v/>
      </c>
      <c r="K321" s="31" t="inlineStr">
        <is>
          <t>13</t>
        </is>
      </c>
      <c r="L321" s="31" t="inlineStr">
        <is>
          <t>14</t>
        </is>
      </c>
      <c r="M321" s="31" t="inlineStr">
        <is>
          <t>S1</t>
        </is>
      </c>
      <c r="N321" s="31" t="inlineStr">
        <is>
          <t>S2</t>
        </is>
      </c>
      <c r="O321" s="31" t="inlineStr">
        <is>
          <t>642-2002-503</t>
        </is>
      </c>
      <c r="P321" s="31" t="inlineStr">
        <is>
          <t>SR Technics Switzerland</t>
        </is>
      </c>
    </row>
    <row r="322">
      <c r="B322" s="31" t="inlineStr">
        <is>
          <t>CFM56-5B</t>
        </is>
      </c>
      <c r="C322" s="31" t="inlineStr">
        <is>
          <t>2024-2025</t>
        </is>
      </c>
      <c r="D322" s="31" t="inlineStr">
        <is>
          <t>139531</t>
        </is>
      </c>
      <c r="E322" s="31" t="inlineStr">
        <is>
          <t>71-21-08</t>
        </is>
      </c>
      <c r="F322" s="31" t="inlineStr">
        <is>
          <t>O</t>
        </is>
      </c>
      <c r="G322" s="31" t="inlineStr">
        <is>
          <t>Other / assembly</t>
        </is>
      </c>
      <c r="H322" s="27" t="n">
        <v>755</v>
      </c>
      <c r="I322" s="27" t="n">
        <v>805</v>
      </c>
      <c r="J322" s="154">
        <f>I322/H322-1</f>
        <v/>
      </c>
      <c r="K322" s="31" t="inlineStr">
        <is>
          <t>13</t>
        </is>
      </c>
      <c r="L322" s="31" t="inlineStr">
        <is>
          <t>14</t>
        </is>
      </c>
      <c r="M322" s="31" t="inlineStr">
        <is>
          <t>S1</t>
        </is>
      </c>
      <c r="N322" s="31" t="inlineStr">
        <is>
          <t>S2</t>
        </is>
      </c>
      <c r="O322" s="31" t="inlineStr">
        <is>
          <t>642-2002-503</t>
        </is>
      </c>
      <c r="P322" s="31" t="inlineStr">
        <is>
          <t>SR Technics Switzerland</t>
        </is>
      </c>
    </row>
    <row r="323">
      <c r="B323" s="31" t="inlineStr">
        <is>
          <t>CFM56-5B</t>
        </is>
      </c>
      <c r="C323" s="31" t="inlineStr">
        <is>
          <t>2024-2025</t>
        </is>
      </c>
      <c r="D323" s="31" t="inlineStr">
        <is>
          <t>139531</t>
        </is>
      </c>
      <c r="E323" s="31" t="inlineStr">
        <is>
          <t>71-21-08</t>
        </is>
      </c>
      <c r="F323" s="31" t="inlineStr">
        <is>
          <t>Q</t>
        </is>
      </c>
      <c r="G323" s="31" t="inlineStr">
        <is>
          <t>Other / assembly</t>
        </is>
      </c>
      <c r="H323" s="27" t="n">
        <v>1885</v>
      </c>
      <c r="I323" s="27" t="n">
        <v>2000</v>
      </c>
      <c r="J323" s="154">
        <f>I323/H323-1</f>
        <v/>
      </c>
      <c r="K323" s="31" t="inlineStr">
        <is>
          <t>13</t>
        </is>
      </c>
      <c r="L323" s="31" t="inlineStr">
        <is>
          <t>14</t>
        </is>
      </c>
      <c r="M323" s="31" t="inlineStr">
        <is>
          <t>S1</t>
        </is>
      </c>
      <c r="N323" s="31" t="inlineStr">
        <is>
          <t>S2</t>
        </is>
      </c>
      <c r="O323" s="31" t="inlineStr">
        <is>
          <t>642-2002-503</t>
        </is>
      </c>
      <c r="P323" s="31" t="inlineStr">
        <is>
          <t>SR Technics Switzerland</t>
        </is>
      </c>
    </row>
    <row r="324">
      <c r="B324" s="31" t="inlineStr">
        <is>
          <t>CFM56-5B</t>
        </is>
      </c>
      <c r="C324" s="31" t="inlineStr">
        <is>
          <t>2024-2025</t>
        </is>
      </c>
      <c r="D324" s="31" t="inlineStr">
        <is>
          <t>139531</t>
        </is>
      </c>
      <c r="E324" s="31" t="inlineStr">
        <is>
          <t>71-21-08</t>
        </is>
      </c>
      <c r="F324" s="31" t="inlineStr">
        <is>
          <t>R</t>
        </is>
      </c>
      <c r="G324" s="31" t="inlineStr">
        <is>
          <t>Other / assembly</t>
        </is>
      </c>
      <c r="H324" s="27" t="n">
        <v>2135</v>
      </c>
      <c r="I324" s="27" t="n">
        <v>2265</v>
      </c>
      <c r="J324" s="154">
        <f>I324/H324-1</f>
        <v/>
      </c>
      <c r="K324" s="31" t="inlineStr">
        <is>
          <t>13</t>
        </is>
      </c>
      <c r="L324" s="31" t="inlineStr">
        <is>
          <t>14</t>
        </is>
      </c>
      <c r="M324" s="31" t="inlineStr">
        <is>
          <t>S1</t>
        </is>
      </c>
      <c r="N324" s="31" t="inlineStr">
        <is>
          <t>S2</t>
        </is>
      </c>
      <c r="O324" s="31" t="inlineStr">
        <is>
          <t>642-2002-503</t>
        </is>
      </c>
      <c r="P324" s="31" t="inlineStr">
        <is>
          <t>SR Technics Switzerland</t>
        </is>
      </c>
    </row>
    <row r="325">
      <c r="B325" s="31" t="inlineStr">
        <is>
          <t>CFM56-5B</t>
        </is>
      </c>
      <c r="C325" s="31" t="inlineStr">
        <is>
          <t>2024-2025</t>
        </is>
      </c>
      <c r="D325" s="31" t="inlineStr">
        <is>
          <t>139532</t>
        </is>
      </c>
      <c r="E325" s="31" t="inlineStr">
        <is>
          <t>71-21-08</t>
        </is>
      </c>
      <c r="F325" s="31" t="inlineStr">
        <is>
          <t>A</t>
        </is>
      </c>
      <c r="G325" s="31" t="inlineStr">
        <is>
          <t>Other / assembly</t>
        </is>
      </c>
      <c r="H325" s="27" t="n">
        <v>1175</v>
      </c>
      <c r="I325" s="27" t="n">
        <v>1250</v>
      </c>
      <c r="J325" s="154">
        <f>I325/H325-1</f>
        <v/>
      </c>
      <c r="K325" s="31" t="inlineStr">
        <is>
          <t>13</t>
        </is>
      </c>
      <c r="L325" s="31" t="inlineStr">
        <is>
          <t>14</t>
        </is>
      </c>
      <c r="M325" s="31" t="inlineStr">
        <is>
          <t>S1</t>
        </is>
      </c>
      <c r="N325" s="31" t="inlineStr">
        <is>
          <t>S2</t>
        </is>
      </c>
      <c r="O325" s="31" t="inlineStr">
        <is>
          <t>642-2006-501</t>
        </is>
      </c>
      <c r="P325" s="31" t="inlineStr">
        <is>
          <t>SR Technics Switzerland</t>
        </is>
      </c>
    </row>
    <row r="326">
      <c r="B326" s="31" t="inlineStr">
        <is>
          <t>CFM56-5B</t>
        </is>
      </c>
      <c r="C326" s="31" t="inlineStr">
        <is>
          <t>2024-2025</t>
        </is>
      </c>
      <c r="D326" s="31" t="inlineStr">
        <is>
          <t>139532</t>
        </is>
      </c>
      <c r="E326" s="31" t="inlineStr">
        <is>
          <t>71-21-08</t>
        </is>
      </c>
      <c r="F326" s="31" t="inlineStr">
        <is>
          <t>B</t>
        </is>
      </c>
      <c r="G326" s="31" t="inlineStr">
        <is>
          <t>Other / assembly</t>
        </is>
      </c>
      <c r="H326" s="27" t="n">
        <v>500</v>
      </c>
      <c r="I326" s="27" t="n">
        <v>530</v>
      </c>
      <c r="J326" s="154">
        <f>I326/H326-1</f>
        <v/>
      </c>
      <c r="K326" s="31" t="inlineStr">
        <is>
          <t>13</t>
        </is>
      </c>
      <c r="L326" s="31" t="inlineStr">
        <is>
          <t>14</t>
        </is>
      </c>
      <c r="M326" s="31" t="inlineStr">
        <is>
          <t>S1</t>
        </is>
      </c>
      <c r="N326" s="31" t="inlineStr">
        <is>
          <t>S2</t>
        </is>
      </c>
      <c r="O326" s="31" t="inlineStr">
        <is>
          <t>642-2006-501</t>
        </is>
      </c>
      <c r="P326" s="31" t="inlineStr">
        <is>
          <t>SR Technics Switzerland</t>
        </is>
      </c>
    </row>
    <row r="327">
      <c r="B327" s="31" t="inlineStr">
        <is>
          <t>CFM56-5B</t>
        </is>
      </c>
      <c r="C327" s="31" t="inlineStr">
        <is>
          <t>2024-2025</t>
        </is>
      </c>
      <c r="D327" s="31" t="inlineStr">
        <is>
          <t>139532</t>
        </is>
      </c>
      <c r="E327" s="31" t="inlineStr">
        <is>
          <t>71-21-08</t>
        </is>
      </c>
      <c r="F327" s="31" t="inlineStr">
        <is>
          <t>F</t>
        </is>
      </c>
      <c r="G327" s="31" t="inlineStr">
        <is>
          <t>Other / assembly</t>
        </is>
      </c>
      <c r="H327" s="27" t="n">
        <v>340</v>
      </c>
      <c r="I327" s="27" t="n">
        <v>365</v>
      </c>
      <c r="J327" s="154">
        <f>I327/H327-1</f>
        <v/>
      </c>
      <c r="K327" s="31" t="inlineStr">
        <is>
          <t>14</t>
        </is>
      </c>
      <c r="L327" s="31" t="inlineStr">
        <is>
          <t>14</t>
        </is>
      </c>
      <c r="M327" s="31" t="inlineStr">
        <is>
          <t>S1</t>
        </is>
      </c>
      <c r="N327" s="31" t="inlineStr">
        <is>
          <t>S2</t>
        </is>
      </c>
      <c r="O327" s="31" t="inlineStr">
        <is>
          <t>642-2006-501</t>
        </is>
      </c>
      <c r="P327" s="31" t="inlineStr">
        <is>
          <t>SR Technics Switzerland</t>
        </is>
      </c>
    </row>
    <row r="328">
      <c r="B328" s="31" t="inlineStr">
        <is>
          <t>CFM56-5B</t>
        </is>
      </c>
      <c r="C328" s="31" t="inlineStr">
        <is>
          <t>2024-2025</t>
        </is>
      </c>
      <c r="D328" s="31" t="inlineStr">
        <is>
          <t>139532</t>
        </is>
      </c>
      <c r="E328" s="31" t="inlineStr">
        <is>
          <t>71-21-08</t>
        </is>
      </c>
      <c r="F328" s="31" t="inlineStr">
        <is>
          <t>K</t>
        </is>
      </c>
      <c r="G328" s="31" t="inlineStr">
        <is>
          <t>Other / assembly</t>
        </is>
      </c>
      <c r="H328" s="27" t="n">
        <v>1075</v>
      </c>
      <c r="I328" s="27" t="n">
        <v>1140</v>
      </c>
      <c r="J328" s="154">
        <f>I328/H328-1</f>
        <v/>
      </c>
      <c r="K328" s="31" t="inlineStr">
        <is>
          <t>14</t>
        </is>
      </c>
      <c r="L328" s="31" t="inlineStr">
        <is>
          <t>14</t>
        </is>
      </c>
      <c r="M328" s="31" t="inlineStr">
        <is>
          <t>S1</t>
        </is>
      </c>
      <c r="N328" s="31" t="inlineStr">
        <is>
          <t>S2</t>
        </is>
      </c>
      <c r="O328" s="31" t="inlineStr">
        <is>
          <t>642-2006-501</t>
        </is>
      </c>
      <c r="P328" s="31" t="inlineStr">
        <is>
          <t>SR Technics Switzerland</t>
        </is>
      </c>
    </row>
    <row r="329">
      <c r="B329" s="31" t="inlineStr">
        <is>
          <t>CFM56-5B</t>
        </is>
      </c>
      <c r="C329" s="31" t="inlineStr">
        <is>
          <t>2024-2025</t>
        </is>
      </c>
      <c r="D329" s="31" t="inlineStr">
        <is>
          <t>139532</t>
        </is>
      </c>
      <c r="E329" s="31" t="inlineStr">
        <is>
          <t>71-21-08</t>
        </is>
      </c>
      <c r="F329" s="31" t="inlineStr">
        <is>
          <t>L</t>
        </is>
      </c>
      <c r="G329" s="31" t="inlineStr">
        <is>
          <t>Other / assembly</t>
        </is>
      </c>
      <c r="H329" s="27" t="n">
        <v>1730</v>
      </c>
      <c r="I329" s="27" t="n">
        <v>1835</v>
      </c>
      <c r="J329" s="154">
        <f>I329/H329-1</f>
        <v/>
      </c>
      <c r="K329" s="31" t="inlineStr">
        <is>
          <t>14</t>
        </is>
      </c>
      <c r="L329" s="31" t="inlineStr">
        <is>
          <t>14</t>
        </is>
      </c>
      <c r="M329" s="31" t="inlineStr">
        <is>
          <t>S1</t>
        </is>
      </c>
      <c r="N329" s="31" t="inlineStr">
        <is>
          <t>S2</t>
        </is>
      </c>
      <c r="O329" s="31" t="inlineStr">
        <is>
          <t>642-2006-501</t>
        </is>
      </c>
      <c r="P329" s="31" t="inlineStr">
        <is>
          <t>SR Technics Switzerland</t>
        </is>
      </c>
    </row>
    <row r="330">
      <c r="B330" s="31" t="inlineStr">
        <is>
          <t>CFM56-5B</t>
        </is>
      </c>
      <c r="C330" s="31" t="inlineStr">
        <is>
          <t>2024-2025</t>
        </is>
      </c>
      <c r="D330" s="31" t="inlineStr">
        <is>
          <t>139532</t>
        </is>
      </c>
      <c r="E330" s="31" t="inlineStr">
        <is>
          <t>71-21-08</t>
        </is>
      </c>
      <c r="F330" s="31" t="inlineStr">
        <is>
          <t>N</t>
        </is>
      </c>
      <c r="G330" s="31" t="inlineStr">
        <is>
          <t>Other / assembly</t>
        </is>
      </c>
      <c r="H330" s="27" t="n">
        <v>745</v>
      </c>
      <c r="I330" s="27" t="n">
        <v>790</v>
      </c>
      <c r="J330" s="154">
        <f>I330/H330-1</f>
        <v/>
      </c>
      <c r="K330" s="31" t="inlineStr">
        <is>
          <t>14</t>
        </is>
      </c>
      <c r="L330" s="31" t="inlineStr">
        <is>
          <t>14</t>
        </is>
      </c>
      <c r="M330" s="31" t="inlineStr">
        <is>
          <t>S1</t>
        </is>
      </c>
      <c r="N330" s="31" t="inlineStr">
        <is>
          <t>S2</t>
        </is>
      </c>
      <c r="O330" s="31" t="inlineStr">
        <is>
          <t>642-2006-501</t>
        </is>
      </c>
      <c r="P330" s="31" t="inlineStr">
        <is>
          <t>SR Technics Switzerland</t>
        </is>
      </c>
    </row>
    <row r="331">
      <c r="B331" s="31" t="inlineStr">
        <is>
          <t>CFM56-5B</t>
        </is>
      </c>
      <c r="C331" s="31" t="inlineStr">
        <is>
          <t>2024-2025</t>
        </is>
      </c>
      <c r="D331" s="31" t="inlineStr">
        <is>
          <t>139532</t>
        </is>
      </c>
      <c r="E331" s="31" t="inlineStr">
        <is>
          <t>71-21-08</t>
        </is>
      </c>
      <c r="F331" s="31" t="inlineStr">
        <is>
          <t>SB00</t>
        </is>
      </c>
      <c r="G331" s="31" t="inlineStr">
        <is>
          <t>Other / assembly</t>
        </is>
      </c>
      <c r="H331" s="27" t="n">
        <v>1265</v>
      </c>
      <c r="I331" s="27" t="n">
        <v>1345</v>
      </c>
      <c r="J331" s="154">
        <f>I331/H331-1</f>
        <v/>
      </c>
      <c r="K331" s="31" t="inlineStr">
        <is>
          <t>14</t>
        </is>
      </c>
      <c r="L331" s="31" t="inlineStr">
        <is>
          <t>14</t>
        </is>
      </c>
      <c r="M331" s="31" t="inlineStr">
        <is>
          <t>S1</t>
        </is>
      </c>
      <c r="N331" s="31" t="inlineStr">
        <is>
          <t>S2</t>
        </is>
      </c>
      <c r="O331" s="31" t="inlineStr">
        <is>
          <t>642-2006-501</t>
        </is>
      </c>
      <c r="P331" s="31" t="inlineStr">
        <is>
          <t>SR Technics Switzerland</t>
        </is>
      </c>
    </row>
    <row r="332">
      <c r="B332" s="31" t="inlineStr">
        <is>
          <t>CFM56-5B</t>
        </is>
      </c>
      <c r="C332" s="31" t="inlineStr">
        <is>
          <t>2024-2025</t>
        </is>
      </c>
      <c r="D332" s="31" t="inlineStr">
        <is>
          <t>139533</t>
        </is>
      </c>
      <c r="E332" s="31" t="inlineStr">
        <is>
          <t>71-21-08</t>
        </is>
      </c>
      <c r="F332" s="31" t="inlineStr">
        <is>
          <t>A</t>
        </is>
      </c>
      <c r="G332" s="31" t="inlineStr">
        <is>
          <t>Other / assembly</t>
        </is>
      </c>
      <c r="H332" s="27" t="n">
        <v>1140</v>
      </c>
      <c r="I332" s="27" t="n">
        <v>1210</v>
      </c>
      <c r="J332" s="154">
        <f>I332/H332-1</f>
        <v/>
      </c>
      <c r="K332" s="31" t="inlineStr">
        <is>
          <t>52</t>
        </is>
      </c>
      <c r="L332" s="31" t="inlineStr">
        <is>
          <t>52</t>
        </is>
      </c>
      <c r="M332" s="31" t="inlineStr">
        <is>
          <t>S1</t>
        </is>
      </c>
      <c r="N332" s="31" t="inlineStr">
        <is>
          <t>S2</t>
        </is>
      </c>
      <c r="O332" s="31" t="inlineStr">
        <is>
          <t>238-0207-503</t>
        </is>
      </c>
      <c r="P332" s="31" t="inlineStr">
        <is>
          <t>SR Technics Switzerland</t>
        </is>
      </c>
    </row>
    <row r="333">
      <c r="B333" s="31" t="inlineStr">
        <is>
          <t>CFM56-5B</t>
        </is>
      </c>
      <c r="C333" s="31" t="inlineStr">
        <is>
          <t>2024-2025</t>
        </is>
      </c>
      <c r="D333" s="31" t="inlineStr">
        <is>
          <t>139533</t>
        </is>
      </c>
      <c r="E333" s="31" t="inlineStr">
        <is>
          <t>71-21-08</t>
        </is>
      </c>
      <c r="F333" s="31" t="inlineStr">
        <is>
          <t>F</t>
        </is>
      </c>
      <c r="G333" s="31" t="inlineStr">
        <is>
          <t>Other / assembly</t>
        </is>
      </c>
      <c r="H333" s="27" t="n">
        <v>75</v>
      </c>
      <c r="I333" s="27" t="n">
        <v>80</v>
      </c>
      <c r="J333" s="154">
        <f>I333/H333-1</f>
        <v/>
      </c>
      <c r="K333" s="31" t="inlineStr">
        <is>
          <t>52</t>
        </is>
      </c>
      <c r="L333" s="31" t="inlineStr">
        <is>
          <t>52</t>
        </is>
      </c>
      <c r="M333" s="31" t="inlineStr">
        <is>
          <t>S1</t>
        </is>
      </c>
      <c r="N333" s="31" t="inlineStr">
        <is>
          <t>S2</t>
        </is>
      </c>
      <c r="O333" s="31" t="inlineStr">
        <is>
          <t>238-0207-503</t>
        </is>
      </c>
      <c r="P333" s="31" t="inlineStr">
        <is>
          <t>SR Technics Switzerland</t>
        </is>
      </c>
    </row>
    <row r="334">
      <c r="B334" s="31" t="inlineStr">
        <is>
          <t>CFM56-5B</t>
        </is>
      </c>
      <c r="C334" s="31" t="inlineStr">
        <is>
          <t>2024-2025</t>
        </is>
      </c>
      <c r="D334" s="31" t="inlineStr">
        <is>
          <t>139533</t>
        </is>
      </c>
      <c r="E334" s="31" t="inlineStr">
        <is>
          <t>71-21-08</t>
        </is>
      </c>
      <c r="F334" s="31" t="inlineStr">
        <is>
          <t>G</t>
        </is>
      </c>
      <c r="G334" s="31" t="inlineStr">
        <is>
          <t>Other / assembly</t>
        </is>
      </c>
      <c r="H334" s="27" t="n">
        <v>1135</v>
      </c>
      <c r="I334" s="27" t="n">
        <v>1205</v>
      </c>
      <c r="J334" s="154">
        <f>I334/H334-1</f>
        <v/>
      </c>
      <c r="K334" s="31" t="inlineStr">
        <is>
          <t>52</t>
        </is>
      </c>
      <c r="L334" s="31" t="inlineStr">
        <is>
          <t>52</t>
        </is>
      </c>
      <c r="M334" s="31" t="inlineStr">
        <is>
          <t>S1</t>
        </is>
      </c>
      <c r="N334" s="31" t="inlineStr">
        <is>
          <t>S2</t>
        </is>
      </c>
      <c r="O334" s="31" t="inlineStr">
        <is>
          <t>238-0207-503</t>
        </is>
      </c>
      <c r="P334" s="31" t="inlineStr">
        <is>
          <t>SR Technics Switzerland</t>
        </is>
      </c>
    </row>
    <row r="335">
      <c r="B335" s="31" t="inlineStr">
        <is>
          <t>CFM56-5B</t>
        </is>
      </c>
      <c r="C335" s="31" t="inlineStr">
        <is>
          <t>2024-2025</t>
        </is>
      </c>
      <c r="D335" s="31" t="inlineStr">
        <is>
          <t>139533</t>
        </is>
      </c>
      <c r="E335" s="31" t="inlineStr">
        <is>
          <t>71-21-08</t>
        </is>
      </c>
      <c r="F335" s="31" t="inlineStr">
        <is>
          <t>P</t>
        </is>
      </c>
      <c r="G335" s="31" t="inlineStr">
        <is>
          <t>Other / assembly</t>
        </is>
      </c>
      <c r="H335" s="27" t="n">
        <v>465</v>
      </c>
      <c r="I335" s="27" t="n">
        <v>495</v>
      </c>
      <c r="J335" s="154">
        <f>I335/H335-1</f>
        <v/>
      </c>
      <c r="K335" s="31" t="inlineStr">
        <is>
          <t>52</t>
        </is>
      </c>
      <c r="L335" s="31" t="inlineStr">
        <is>
          <t>52</t>
        </is>
      </c>
      <c r="M335" s="31" t="inlineStr">
        <is>
          <t>S1</t>
        </is>
      </c>
      <c r="N335" s="31" t="inlineStr">
        <is>
          <t>S2</t>
        </is>
      </c>
      <c r="O335" s="31" t="inlineStr">
        <is>
          <t>238-0207-503</t>
        </is>
      </c>
      <c r="P335" s="31" t="inlineStr">
        <is>
          <t>SR Technics Switzerland</t>
        </is>
      </c>
    </row>
    <row r="336">
      <c r="B336" s="31" t="inlineStr">
        <is>
          <t>CFM56-5B</t>
        </is>
      </c>
      <c r="C336" s="31" t="inlineStr">
        <is>
          <t>2024-2025</t>
        </is>
      </c>
      <c r="D336" s="31" t="inlineStr">
        <is>
          <t>139535</t>
        </is>
      </c>
      <c r="E336" s="31" t="inlineStr">
        <is>
          <t>71-22-07</t>
        </is>
      </c>
      <c r="F336" s="31" t="inlineStr">
        <is>
          <t>A</t>
        </is>
      </c>
      <c r="G336" s="31" t="inlineStr">
        <is>
          <t>Other / assembly</t>
        </is>
      </c>
      <c r="H336" s="27" t="n">
        <v>1250</v>
      </c>
      <c r="I336" s="27" t="n">
        <v>1325</v>
      </c>
      <c r="J336" s="154">
        <f>I336/H336-1</f>
        <v/>
      </c>
      <c r="K336" s="31" t="inlineStr">
        <is>
          <t>14</t>
        </is>
      </c>
      <c r="L336" s="31" t="inlineStr">
        <is>
          <t>14</t>
        </is>
      </c>
      <c r="M336" s="31" t="inlineStr">
        <is>
          <t>S1</t>
        </is>
      </c>
      <c r="N336" s="31" t="inlineStr">
        <is>
          <t>S2</t>
        </is>
      </c>
      <c r="O336" s="31" t="inlineStr">
        <is>
          <t>238-0234-505</t>
        </is>
      </c>
      <c r="P336" s="31" t="inlineStr">
        <is>
          <t>SR Technics Switzerland</t>
        </is>
      </c>
    </row>
    <row r="337">
      <c r="B337" s="31" t="inlineStr">
        <is>
          <t>CFM56-5B</t>
        </is>
      </c>
      <c r="C337" s="31" t="inlineStr">
        <is>
          <t>2024-2025</t>
        </is>
      </c>
      <c r="D337" s="31" t="inlineStr">
        <is>
          <t>139535</t>
        </is>
      </c>
      <c r="E337" s="31" t="inlineStr">
        <is>
          <t>71-22-07</t>
        </is>
      </c>
      <c r="F337" s="31" t="inlineStr">
        <is>
          <t>C</t>
        </is>
      </c>
      <c r="G337" s="31" t="inlineStr">
        <is>
          <t>Other / assembly</t>
        </is>
      </c>
      <c r="H337" s="27" t="n">
        <v>1125</v>
      </c>
      <c r="I337" s="27" t="n">
        <v>1195</v>
      </c>
      <c r="J337" s="154">
        <f>I337/H337-1</f>
        <v/>
      </c>
      <c r="K337" s="31" t="inlineStr">
        <is>
          <t>14</t>
        </is>
      </c>
      <c r="L337" s="31" t="inlineStr">
        <is>
          <t>14</t>
        </is>
      </c>
      <c r="M337" s="31" t="inlineStr">
        <is>
          <t>S1</t>
        </is>
      </c>
      <c r="N337" s="31" t="inlineStr">
        <is>
          <t>S2</t>
        </is>
      </c>
      <c r="O337" s="31" t="inlineStr">
        <is>
          <t>238-0234-505</t>
        </is>
      </c>
      <c r="P337" s="31" t="inlineStr">
        <is>
          <t>SR Technics Switzerland</t>
        </is>
      </c>
    </row>
    <row r="338">
      <c r="B338" s="31" t="inlineStr">
        <is>
          <t>CFM56-5B</t>
        </is>
      </c>
      <c r="C338" s="31" t="inlineStr">
        <is>
          <t>2024-2025</t>
        </is>
      </c>
      <c r="D338" s="31" t="inlineStr">
        <is>
          <t>139535</t>
        </is>
      </c>
      <c r="E338" s="31" t="inlineStr">
        <is>
          <t>71-22-07</t>
        </is>
      </c>
      <c r="F338" s="31" t="inlineStr">
        <is>
          <t>D</t>
        </is>
      </c>
      <c r="G338" s="31" t="inlineStr">
        <is>
          <t>Other / assembly</t>
        </is>
      </c>
      <c r="H338" s="27" t="n">
        <v>645</v>
      </c>
      <c r="I338" s="27" t="n">
        <v>685</v>
      </c>
      <c r="J338" s="154">
        <f>I338/H338-1</f>
        <v/>
      </c>
      <c r="K338" s="31" t="inlineStr">
        <is>
          <t>14</t>
        </is>
      </c>
      <c r="L338" s="31" t="inlineStr">
        <is>
          <t>14</t>
        </is>
      </c>
      <c r="M338" s="31" t="inlineStr">
        <is>
          <t>S1</t>
        </is>
      </c>
      <c r="N338" s="31" t="inlineStr">
        <is>
          <t>S2</t>
        </is>
      </c>
      <c r="O338" s="31" t="inlineStr">
        <is>
          <t>238-0234-505</t>
        </is>
      </c>
      <c r="P338" s="31" t="inlineStr">
        <is>
          <t>SR Technics Switzerland</t>
        </is>
      </c>
    </row>
    <row r="339">
      <c r="B339" s="31" t="inlineStr">
        <is>
          <t>CFM56-5B</t>
        </is>
      </c>
      <c r="C339" s="31" t="inlineStr">
        <is>
          <t>2024-2025</t>
        </is>
      </c>
      <c r="D339" s="31" t="inlineStr">
        <is>
          <t>139535</t>
        </is>
      </c>
      <c r="E339" s="31" t="inlineStr">
        <is>
          <t>71-22-07</t>
        </is>
      </c>
      <c r="F339" s="31" t="inlineStr">
        <is>
          <t>F</t>
        </is>
      </c>
      <c r="G339" s="31" t="inlineStr">
        <is>
          <t>Other / assembly</t>
        </is>
      </c>
      <c r="H339" s="27" t="n">
        <v>365</v>
      </c>
      <c r="I339" s="27" t="n">
        <v>390</v>
      </c>
      <c r="J339" s="154">
        <f>I339/H339-1</f>
        <v/>
      </c>
      <c r="K339" s="31" t="inlineStr">
        <is>
          <t>14</t>
        </is>
      </c>
      <c r="L339" s="31" t="inlineStr">
        <is>
          <t>14</t>
        </is>
      </c>
      <c r="M339" s="31" t="inlineStr">
        <is>
          <t>S1</t>
        </is>
      </c>
      <c r="N339" s="31" t="inlineStr">
        <is>
          <t>S2</t>
        </is>
      </c>
      <c r="O339" s="31" t="inlineStr">
        <is>
          <t>238-0234-505</t>
        </is>
      </c>
      <c r="P339" s="31" t="inlineStr">
        <is>
          <t>SR Technics Switzerland</t>
        </is>
      </c>
    </row>
    <row r="340">
      <c r="B340" s="31" t="inlineStr">
        <is>
          <t>CFM56-5B</t>
        </is>
      </c>
      <c r="C340" s="31" t="inlineStr">
        <is>
          <t>2024-2025</t>
        </is>
      </c>
      <c r="D340" s="31" t="inlineStr">
        <is>
          <t>139535</t>
        </is>
      </c>
      <c r="E340" s="31" t="inlineStr">
        <is>
          <t>71-22-07</t>
        </is>
      </c>
      <c r="F340" s="31" t="inlineStr">
        <is>
          <t>G</t>
        </is>
      </c>
      <c r="G340" s="31" t="inlineStr">
        <is>
          <t>Other / assembly</t>
        </is>
      </c>
      <c r="H340" s="27" t="n">
        <v>340</v>
      </c>
      <c r="I340" s="27" t="n">
        <v>365</v>
      </c>
      <c r="J340" s="154">
        <f>I340/H340-1</f>
        <v/>
      </c>
      <c r="K340" s="31" t="inlineStr">
        <is>
          <t>14</t>
        </is>
      </c>
      <c r="L340" s="31" t="inlineStr">
        <is>
          <t>14</t>
        </is>
      </c>
      <c r="M340" s="31" t="inlineStr">
        <is>
          <t>S1</t>
        </is>
      </c>
      <c r="N340" s="31" t="inlineStr">
        <is>
          <t>S2</t>
        </is>
      </c>
      <c r="O340" s="31" t="inlineStr">
        <is>
          <t>238-0234-505</t>
        </is>
      </c>
      <c r="P340" s="31" t="inlineStr">
        <is>
          <t>SR Technics Switzerland</t>
        </is>
      </c>
    </row>
    <row r="341">
      <c r="B341" s="31" t="inlineStr">
        <is>
          <t>CFM56-5B</t>
        </is>
      </c>
      <c r="C341" s="31" t="inlineStr">
        <is>
          <t>2024-2025</t>
        </is>
      </c>
      <c r="D341" s="31" t="inlineStr">
        <is>
          <t>139535</t>
        </is>
      </c>
      <c r="E341" s="31" t="inlineStr">
        <is>
          <t>71-22-07</t>
        </is>
      </c>
      <c r="F341" s="31" t="inlineStr">
        <is>
          <t>SB00</t>
        </is>
      </c>
      <c r="G341" s="31" t="inlineStr">
        <is>
          <t>Other / assembly</t>
        </is>
      </c>
      <c r="H341" s="27" t="n">
        <v>1210</v>
      </c>
      <c r="I341" s="27" t="n">
        <v>1285</v>
      </c>
      <c r="J341" s="154">
        <f>I341/H341-1</f>
        <v/>
      </c>
      <c r="K341" s="31" t="inlineStr">
        <is>
          <t>14</t>
        </is>
      </c>
      <c r="L341" s="31" t="inlineStr">
        <is>
          <t>14</t>
        </is>
      </c>
      <c r="M341" s="31" t="inlineStr">
        <is>
          <t>S1</t>
        </is>
      </c>
      <c r="N341" s="31" t="inlineStr">
        <is>
          <t>S2</t>
        </is>
      </c>
      <c r="O341" s="31" t="inlineStr">
        <is>
          <t>238-0234-505</t>
        </is>
      </c>
      <c r="P341" s="31" t="inlineStr">
        <is>
          <t>SR Technics Switzerland</t>
        </is>
      </c>
    </row>
    <row r="342">
      <c r="B342" s="31" t="inlineStr">
        <is>
          <t>CFM56-5B</t>
        </is>
      </c>
      <c r="C342" s="31" t="inlineStr">
        <is>
          <t>2024-2025</t>
        </is>
      </c>
      <c r="D342" s="31" t="inlineStr">
        <is>
          <t>139536</t>
        </is>
      </c>
      <c r="E342" s="31" t="inlineStr">
        <is>
          <t>71-22-07</t>
        </is>
      </c>
      <c r="F342" s="31" t="inlineStr">
        <is>
          <t>A</t>
        </is>
      </c>
      <c r="G342" s="31" t="inlineStr">
        <is>
          <t>Other / assembly</t>
        </is>
      </c>
      <c r="H342" s="27" t="n">
        <v>1140</v>
      </c>
      <c r="I342" s="27" t="n">
        <v>1210</v>
      </c>
      <c r="J342" s="154">
        <f>I342/H342-1</f>
        <v/>
      </c>
      <c r="K342" s="31" t="inlineStr">
        <is>
          <t>14</t>
        </is>
      </c>
      <c r="L342" s="31" t="inlineStr">
        <is>
          <t>14</t>
        </is>
      </c>
      <c r="M342" s="31" t="inlineStr">
        <is>
          <t>S1</t>
        </is>
      </c>
      <c r="N342" s="31" t="inlineStr">
        <is>
          <t>S2</t>
        </is>
      </c>
      <c r="O342" s="31" t="inlineStr">
        <is>
          <t>238-0231-505</t>
        </is>
      </c>
      <c r="P342" s="31" t="inlineStr">
        <is>
          <t>SR Technics Switzerland</t>
        </is>
      </c>
    </row>
    <row r="343">
      <c r="B343" s="31" t="inlineStr">
        <is>
          <t>CFM56-5B</t>
        </is>
      </c>
      <c r="C343" s="31" t="inlineStr">
        <is>
          <t>2024-2025</t>
        </is>
      </c>
      <c r="D343" s="31" t="inlineStr">
        <is>
          <t>139536</t>
        </is>
      </c>
      <c r="E343" s="31" t="inlineStr">
        <is>
          <t>71-22-07</t>
        </is>
      </c>
      <c r="F343" s="31" t="inlineStr">
        <is>
          <t>B</t>
        </is>
      </c>
      <c r="G343" s="31" t="inlineStr">
        <is>
          <t>Other / assembly</t>
        </is>
      </c>
      <c r="H343" s="27" t="n">
        <v>1765</v>
      </c>
      <c r="I343" s="27" t="n">
        <v>1875</v>
      </c>
      <c r="J343" s="154">
        <f>I343/H343-1</f>
        <v/>
      </c>
      <c r="K343" s="31" t="inlineStr">
        <is>
          <t>14</t>
        </is>
      </c>
      <c r="L343" s="31" t="inlineStr">
        <is>
          <t>14</t>
        </is>
      </c>
      <c r="M343" s="31" t="inlineStr">
        <is>
          <t>S1</t>
        </is>
      </c>
      <c r="N343" s="31" t="inlineStr">
        <is>
          <t>S2</t>
        </is>
      </c>
      <c r="O343" s="31" t="inlineStr">
        <is>
          <t>238-0231-505</t>
        </is>
      </c>
      <c r="P343" s="31" t="inlineStr">
        <is>
          <t>SR Technics Switzerland</t>
        </is>
      </c>
    </row>
    <row r="344">
      <c r="B344" s="31" t="inlineStr">
        <is>
          <t>CFM56-5B</t>
        </is>
      </c>
      <c r="C344" s="31" t="inlineStr">
        <is>
          <t>2024-2025</t>
        </is>
      </c>
      <c r="D344" s="31" t="inlineStr">
        <is>
          <t>139536</t>
        </is>
      </c>
      <c r="E344" s="31" t="inlineStr">
        <is>
          <t>71-22-07</t>
        </is>
      </c>
      <c r="F344" s="31" t="inlineStr">
        <is>
          <t>C</t>
        </is>
      </c>
      <c r="G344" s="31" t="inlineStr">
        <is>
          <t>Other / assembly</t>
        </is>
      </c>
      <c r="H344" s="27" t="n">
        <v>3645</v>
      </c>
      <c r="I344" s="27" t="n">
        <v>3865</v>
      </c>
      <c r="J344" s="154">
        <f>I344/H344-1</f>
        <v/>
      </c>
      <c r="K344" s="31" t="inlineStr">
        <is>
          <t>14</t>
        </is>
      </c>
      <c r="L344" s="31" t="inlineStr">
        <is>
          <t>14</t>
        </is>
      </c>
      <c r="M344" s="31" t="inlineStr">
        <is>
          <t>S1</t>
        </is>
      </c>
      <c r="N344" s="31" t="inlineStr">
        <is>
          <t>S2</t>
        </is>
      </c>
      <c r="O344" s="31" t="inlineStr">
        <is>
          <t>238-0231-505</t>
        </is>
      </c>
      <c r="P344" s="31" t="inlineStr">
        <is>
          <t>SR Technics Switzerland</t>
        </is>
      </c>
    </row>
    <row r="345">
      <c r="B345" s="31" t="inlineStr">
        <is>
          <t>CFM56-5B</t>
        </is>
      </c>
      <c r="C345" s="31" t="inlineStr">
        <is>
          <t>2024-2025</t>
        </is>
      </c>
      <c r="D345" s="31" t="inlineStr">
        <is>
          <t>139536</t>
        </is>
      </c>
      <c r="E345" s="31" t="inlineStr">
        <is>
          <t>71-22-07</t>
        </is>
      </c>
      <c r="F345" s="31" t="inlineStr">
        <is>
          <t>D</t>
        </is>
      </c>
      <c r="G345" s="31" t="inlineStr">
        <is>
          <t>Other / assembly</t>
        </is>
      </c>
      <c r="H345" s="27" t="n">
        <v>4900</v>
      </c>
      <c r="I345" s="27" t="n">
        <v>5195</v>
      </c>
      <c r="J345" s="154">
        <f>I345/H345-1</f>
        <v/>
      </c>
      <c r="K345" s="31" t="inlineStr">
        <is>
          <t>14</t>
        </is>
      </c>
      <c r="L345" s="31" t="inlineStr">
        <is>
          <t>14</t>
        </is>
      </c>
      <c r="M345" s="31" t="inlineStr">
        <is>
          <t>S1</t>
        </is>
      </c>
      <c r="N345" s="31" t="inlineStr">
        <is>
          <t>S2</t>
        </is>
      </c>
      <c r="O345" s="31" t="inlineStr">
        <is>
          <t>238-0231-505</t>
        </is>
      </c>
      <c r="P345" s="31" t="inlineStr">
        <is>
          <t>SR Technics Switzerland</t>
        </is>
      </c>
    </row>
    <row r="346">
      <c r="B346" s="31" t="inlineStr">
        <is>
          <t>CFM56-5B</t>
        </is>
      </c>
      <c r="C346" s="31" t="inlineStr">
        <is>
          <t>2024-2025</t>
        </is>
      </c>
      <c r="D346" s="31" t="inlineStr">
        <is>
          <t>139536</t>
        </is>
      </c>
      <c r="E346" s="31" t="inlineStr">
        <is>
          <t>71-22-07</t>
        </is>
      </c>
      <c r="F346" s="31" t="inlineStr">
        <is>
          <t>E</t>
        </is>
      </c>
      <c r="G346" s="31" t="inlineStr">
        <is>
          <t>Other / assembly</t>
        </is>
      </c>
      <c r="H346" s="27" t="n">
        <v>645</v>
      </c>
      <c r="I346" s="27" t="n">
        <v>685</v>
      </c>
      <c r="J346" s="154">
        <f>I346/H346-1</f>
        <v/>
      </c>
      <c r="K346" s="31" t="inlineStr">
        <is>
          <t>14</t>
        </is>
      </c>
      <c r="L346" s="31" t="inlineStr">
        <is>
          <t>14</t>
        </is>
      </c>
      <c r="M346" s="31" t="inlineStr">
        <is>
          <t>S1</t>
        </is>
      </c>
      <c r="N346" s="31" t="inlineStr">
        <is>
          <t>S2</t>
        </is>
      </c>
      <c r="O346" s="31" t="inlineStr">
        <is>
          <t>238-0231-505</t>
        </is>
      </c>
      <c r="P346" s="31" t="inlineStr">
        <is>
          <t>SR Technics Switzerland</t>
        </is>
      </c>
    </row>
    <row r="347">
      <c r="B347" s="31" t="inlineStr">
        <is>
          <t>CFM56-5B</t>
        </is>
      </c>
      <c r="C347" s="31" t="inlineStr">
        <is>
          <t>2024-2025</t>
        </is>
      </c>
      <c r="D347" s="31" t="inlineStr">
        <is>
          <t>139536</t>
        </is>
      </c>
      <c r="E347" s="31" t="inlineStr">
        <is>
          <t>71-22-07</t>
        </is>
      </c>
      <c r="F347" s="31" t="inlineStr">
        <is>
          <t>G</t>
        </is>
      </c>
      <c r="G347" s="31" t="inlineStr">
        <is>
          <t>Other / assembly</t>
        </is>
      </c>
      <c r="H347" s="27" t="n">
        <v>330</v>
      </c>
      <c r="I347" s="27" t="n">
        <v>350</v>
      </c>
      <c r="J347" s="154">
        <f>I347/H347-1</f>
        <v/>
      </c>
      <c r="K347" s="31" t="inlineStr">
        <is>
          <t>14</t>
        </is>
      </c>
      <c r="L347" s="31" t="inlineStr">
        <is>
          <t>14</t>
        </is>
      </c>
      <c r="M347" s="31" t="inlineStr">
        <is>
          <t>S1</t>
        </is>
      </c>
      <c r="N347" s="31" t="inlineStr">
        <is>
          <t>S2</t>
        </is>
      </c>
      <c r="O347" s="31" t="inlineStr">
        <is>
          <t>238-0231-505</t>
        </is>
      </c>
      <c r="P347" s="31" t="inlineStr">
        <is>
          <t>SR Technics Switzerland</t>
        </is>
      </c>
    </row>
    <row r="348">
      <c r="B348" s="31" t="inlineStr">
        <is>
          <t>CFM56-5B</t>
        </is>
      </c>
      <c r="C348" s="31" t="inlineStr">
        <is>
          <t>2024-2025</t>
        </is>
      </c>
      <c r="D348" s="31" t="inlineStr">
        <is>
          <t>139536</t>
        </is>
      </c>
      <c r="E348" s="31" t="inlineStr">
        <is>
          <t>71-22-07</t>
        </is>
      </c>
      <c r="F348" s="31" t="inlineStr">
        <is>
          <t>SB00</t>
        </is>
      </c>
      <c r="G348" s="31" t="inlineStr">
        <is>
          <t>Other / assembly</t>
        </is>
      </c>
      <c r="H348" s="27" t="n">
        <v>1210</v>
      </c>
      <c r="I348" s="27" t="n">
        <v>1285</v>
      </c>
      <c r="J348" s="154">
        <f>I348/H348-1</f>
        <v/>
      </c>
      <c r="K348" s="31" t="inlineStr">
        <is>
          <t>14</t>
        </is>
      </c>
      <c r="L348" s="31" t="inlineStr">
        <is>
          <t>14</t>
        </is>
      </c>
      <c r="M348" s="31" t="inlineStr">
        <is>
          <t>S1</t>
        </is>
      </c>
      <c r="N348" s="31" t="inlineStr">
        <is>
          <t>S2</t>
        </is>
      </c>
      <c r="O348" s="31" t="inlineStr">
        <is>
          <t>238-0231-505</t>
        </is>
      </c>
      <c r="P348" s="31" t="inlineStr">
        <is>
          <t>SR Technics Switzerland</t>
        </is>
      </c>
    </row>
    <row r="349">
      <c r="B349" s="31" t="inlineStr">
        <is>
          <t>CFM56-5B</t>
        </is>
      </c>
      <c r="C349" s="31" t="inlineStr">
        <is>
          <t>2024-2025</t>
        </is>
      </c>
      <c r="D349" s="31" t="inlineStr">
        <is>
          <t>139537</t>
        </is>
      </c>
      <c r="E349" s="31" t="inlineStr">
        <is>
          <t>26-10-82</t>
        </is>
      </c>
      <c r="F349" s="31" t="inlineStr">
        <is>
          <t>B</t>
        </is>
      </c>
      <c r="G349" s="31" t="inlineStr">
        <is>
          <t>Other / assembly</t>
        </is>
      </c>
      <c r="H349" s="27" t="n">
        <v>165</v>
      </c>
      <c r="I349" s="27" t="n">
        <v>175</v>
      </c>
      <c r="J349" s="154">
        <f>I349/H349-1</f>
        <v/>
      </c>
      <c r="K349" s="31" t="inlineStr">
        <is>
          <t>52</t>
        </is>
      </c>
      <c r="L349" s="31" t="inlineStr">
        <is>
          <t>52</t>
        </is>
      </c>
      <c r="M349" s="31" t="inlineStr">
        <is>
          <t>S1</t>
        </is>
      </c>
      <c r="N349" s="31" t="inlineStr">
        <is>
          <t>S2</t>
        </is>
      </c>
      <c r="O349" s="31" t="inlineStr">
        <is>
          <t>8862-01-1150-707-9</t>
        </is>
      </c>
      <c r="P349" s="31" t="inlineStr">
        <is>
          <t>SR Technics Switzerland</t>
        </is>
      </c>
    </row>
    <row r="350">
      <c r="B350" s="31" t="inlineStr">
        <is>
          <t>CFM56-5B</t>
        </is>
      </c>
      <c r="C350" s="31" t="inlineStr">
        <is>
          <t>2024-2025</t>
        </is>
      </c>
      <c r="D350" s="31" t="inlineStr">
        <is>
          <t>139541</t>
        </is>
      </c>
      <c r="E350" s="31" t="inlineStr">
        <is>
          <t>72-31-06</t>
        </is>
      </c>
      <c r="F350" s="31" t="inlineStr">
        <is>
          <t>A</t>
        </is>
      </c>
      <c r="G350" s="31" t="inlineStr">
        <is>
          <t>Compressor</t>
        </is>
      </c>
      <c r="H350" s="27" t="n">
        <v>2505</v>
      </c>
      <c r="I350" s="27" t="n">
        <v>2660</v>
      </c>
      <c r="J350" s="154">
        <f>I350/H350-1</f>
        <v/>
      </c>
      <c r="K350" s="31" t="inlineStr">
        <is>
          <t>14</t>
        </is>
      </c>
      <c r="L350" s="31" t="inlineStr">
        <is>
          <t>14</t>
        </is>
      </c>
      <c r="M350" s="31" t="inlineStr">
        <is>
          <t>S1</t>
        </is>
      </c>
      <c r="N350" s="31" t="inlineStr">
        <is>
          <t>S2</t>
        </is>
      </c>
      <c r="O350" s="31" t="inlineStr">
        <is>
          <t>1588M89G02</t>
        </is>
      </c>
      <c r="P350" s="31" t="inlineStr">
        <is>
          <t>SR Technics Switzerland</t>
        </is>
      </c>
    </row>
    <row r="351">
      <c r="B351" s="31" t="inlineStr">
        <is>
          <t>CFM56-5B</t>
        </is>
      </c>
      <c r="C351" s="31" t="inlineStr">
        <is>
          <t>2024-2025</t>
        </is>
      </c>
      <c r="D351" s="31" t="inlineStr">
        <is>
          <t>139541</t>
        </is>
      </c>
      <c r="E351" s="31" t="inlineStr">
        <is>
          <t>72-31-06</t>
        </is>
      </c>
      <c r="F351" s="31" t="inlineStr">
        <is>
          <t>B</t>
        </is>
      </c>
      <c r="G351" s="31" t="inlineStr">
        <is>
          <t>Compressor</t>
        </is>
      </c>
      <c r="H351" s="27" t="n">
        <v>1495</v>
      </c>
      <c r="I351" s="27" t="n">
        <v>1585</v>
      </c>
      <c r="J351" s="154">
        <f>I351/H351-1</f>
        <v/>
      </c>
      <c r="K351" s="31" t="inlineStr">
        <is>
          <t>14</t>
        </is>
      </c>
      <c r="L351" s="31" t="inlineStr">
        <is>
          <t>14</t>
        </is>
      </c>
      <c r="M351" s="31" t="inlineStr">
        <is>
          <t>S1</t>
        </is>
      </c>
      <c r="N351" s="31" t="inlineStr">
        <is>
          <t>S2</t>
        </is>
      </c>
      <c r="O351" s="31" t="inlineStr">
        <is>
          <t>1588M89G02</t>
        </is>
      </c>
      <c r="P351" s="31" t="inlineStr">
        <is>
          <t>SR Technics Switzerland</t>
        </is>
      </c>
    </row>
    <row r="352">
      <c r="B352" s="31" t="inlineStr">
        <is>
          <t>CFM56-5B</t>
        </is>
      </c>
      <c r="C352" s="31" t="inlineStr">
        <is>
          <t>2024-2025</t>
        </is>
      </c>
      <c r="D352" s="31" t="inlineStr">
        <is>
          <t>139541</t>
        </is>
      </c>
      <c r="E352" s="31" t="inlineStr">
        <is>
          <t>72-31-06</t>
        </is>
      </c>
      <c r="F352" s="31" t="inlineStr">
        <is>
          <t>C</t>
        </is>
      </c>
      <c r="G352" s="31" t="inlineStr">
        <is>
          <t>Compressor</t>
        </is>
      </c>
      <c r="H352" s="27" t="n">
        <v>1545</v>
      </c>
      <c r="I352" s="27" t="n">
        <v>1640</v>
      </c>
      <c r="J352" s="154">
        <f>I352/H352-1</f>
        <v/>
      </c>
      <c r="K352" s="31" t="inlineStr">
        <is>
          <t>14</t>
        </is>
      </c>
      <c r="L352" s="31" t="inlineStr">
        <is>
          <t>14</t>
        </is>
      </c>
      <c r="M352" s="31" t="inlineStr">
        <is>
          <t>S1</t>
        </is>
      </c>
      <c r="N352" s="31" t="inlineStr">
        <is>
          <t>S2</t>
        </is>
      </c>
      <c r="O352" s="31" t="inlineStr">
        <is>
          <t>1588M89G02</t>
        </is>
      </c>
      <c r="P352" s="31" t="inlineStr">
        <is>
          <t>SR Technics Switzerland</t>
        </is>
      </c>
    </row>
    <row r="353">
      <c r="B353" s="31" t="inlineStr">
        <is>
          <t>CFM56-5B</t>
        </is>
      </c>
      <c r="C353" s="31" t="inlineStr">
        <is>
          <t>2024-2025</t>
        </is>
      </c>
      <c r="D353" s="31" t="inlineStr">
        <is>
          <t>139541</t>
        </is>
      </c>
      <c r="E353" s="31" t="inlineStr">
        <is>
          <t>72-31-06</t>
        </is>
      </c>
      <c r="F353" s="31" t="inlineStr">
        <is>
          <t>E</t>
        </is>
      </c>
      <c r="G353" s="31" t="inlineStr">
        <is>
          <t>Compressor</t>
        </is>
      </c>
      <c r="H353" s="27" t="n">
        <v>7090</v>
      </c>
      <c r="I353" s="27" t="n">
        <v>7520</v>
      </c>
      <c r="J353" s="154">
        <f>I353/H353-1</f>
        <v/>
      </c>
      <c r="K353" s="31" t="inlineStr">
        <is>
          <t>14</t>
        </is>
      </c>
      <c r="L353" s="31" t="inlineStr">
        <is>
          <t>14</t>
        </is>
      </c>
      <c r="M353" s="31" t="inlineStr">
        <is>
          <t>S1</t>
        </is>
      </c>
      <c r="N353" s="31" t="inlineStr">
        <is>
          <t>S2</t>
        </is>
      </c>
      <c r="O353" s="31" t="inlineStr">
        <is>
          <t>1588M89G02</t>
        </is>
      </c>
      <c r="P353" s="31" t="inlineStr">
        <is>
          <t>SR Technics Switzerland</t>
        </is>
      </c>
    </row>
    <row r="354">
      <c r="B354" s="31" t="inlineStr">
        <is>
          <t>CFM56-5B</t>
        </is>
      </c>
      <c r="C354" s="31" t="inlineStr">
        <is>
          <t>2024-2025</t>
        </is>
      </c>
      <c r="D354" s="31" t="inlineStr">
        <is>
          <t>139541</t>
        </is>
      </c>
      <c r="E354" s="31" t="inlineStr">
        <is>
          <t>72-31-06</t>
        </is>
      </c>
      <c r="F354" s="31" t="inlineStr">
        <is>
          <t>F</t>
        </is>
      </c>
      <c r="G354" s="31" t="inlineStr">
        <is>
          <t>Compressor</t>
        </is>
      </c>
      <c r="H354" s="27" t="n">
        <v>170</v>
      </c>
      <c r="I354" s="27" t="n">
        <v>185</v>
      </c>
      <c r="J354" s="154">
        <f>I354/H354-1</f>
        <v/>
      </c>
      <c r="K354" s="31" t="inlineStr">
        <is>
          <t>14</t>
        </is>
      </c>
      <c r="L354" s="31" t="inlineStr">
        <is>
          <t>14</t>
        </is>
      </c>
      <c r="M354" s="31" t="inlineStr">
        <is>
          <t>S1</t>
        </is>
      </c>
      <c r="N354" s="31" t="inlineStr">
        <is>
          <t>S2</t>
        </is>
      </c>
      <c r="O354" s="31" t="inlineStr">
        <is>
          <t>1588M89G02</t>
        </is>
      </c>
      <c r="P354" s="31" t="inlineStr">
        <is>
          <t>SR Technics Switzerland</t>
        </is>
      </c>
    </row>
    <row r="355">
      <c r="B355" s="31" t="inlineStr">
        <is>
          <t>CFM56-5B</t>
        </is>
      </c>
      <c r="C355" s="31" t="inlineStr">
        <is>
          <t>2024-2025</t>
        </is>
      </c>
      <c r="D355" s="31" t="inlineStr">
        <is>
          <t>139541</t>
        </is>
      </c>
      <c r="E355" s="31" t="inlineStr">
        <is>
          <t>72-31-06</t>
        </is>
      </c>
      <c r="F355" s="31" t="inlineStr">
        <is>
          <t>G</t>
        </is>
      </c>
      <c r="G355" s="31" t="inlineStr">
        <is>
          <t>Compressor</t>
        </is>
      </c>
      <c r="H355" s="27" t="n">
        <v>3880</v>
      </c>
      <c r="I355" s="27" t="n">
        <v>4115</v>
      </c>
      <c r="J355" s="154">
        <f>I355/H355-1</f>
        <v/>
      </c>
      <c r="K355" s="31" t="inlineStr">
        <is>
          <t>14</t>
        </is>
      </c>
      <c r="L355" s="31" t="inlineStr">
        <is>
          <t>14</t>
        </is>
      </c>
      <c r="M355" s="31" t="inlineStr">
        <is>
          <t>S1</t>
        </is>
      </c>
      <c r="N355" s="31" t="inlineStr">
        <is>
          <t>S2</t>
        </is>
      </c>
      <c r="O355" s="31" t="inlineStr">
        <is>
          <t>1588M89G02</t>
        </is>
      </c>
      <c r="P355" s="31" t="inlineStr">
        <is>
          <t>SR Technics Switzerland</t>
        </is>
      </c>
    </row>
    <row r="356">
      <c r="B356" s="31" t="inlineStr">
        <is>
          <t>CFM56-5B</t>
        </is>
      </c>
      <c r="C356" s="31" t="inlineStr">
        <is>
          <t>2024-2025</t>
        </is>
      </c>
      <c r="D356" s="31" t="inlineStr">
        <is>
          <t>139541</t>
        </is>
      </c>
      <c r="E356" s="31" t="inlineStr">
        <is>
          <t>72-31-06</t>
        </is>
      </c>
      <c r="F356" s="31" t="inlineStr">
        <is>
          <t>H</t>
        </is>
      </c>
      <c r="G356" s="31" t="inlineStr">
        <is>
          <t>Compressor</t>
        </is>
      </c>
      <c r="H356" s="27" t="n">
        <v>1815</v>
      </c>
      <c r="I356" s="27" t="n">
        <v>1925</v>
      </c>
      <c r="J356" s="154">
        <f>I356/H356-1</f>
        <v/>
      </c>
      <c r="K356" s="31" t="inlineStr">
        <is>
          <t>14</t>
        </is>
      </c>
      <c r="L356" s="31" t="inlineStr">
        <is>
          <t>14</t>
        </is>
      </c>
      <c r="M356" s="31" t="inlineStr">
        <is>
          <t>S1</t>
        </is>
      </c>
      <c r="N356" s="31" t="inlineStr">
        <is>
          <t>S2</t>
        </is>
      </c>
      <c r="O356" s="31" t="inlineStr">
        <is>
          <t>1588M89G02</t>
        </is>
      </c>
      <c r="P356" s="31" t="inlineStr">
        <is>
          <t>SR Technics Switzerland</t>
        </is>
      </c>
    </row>
    <row r="357">
      <c r="B357" s="31" t="inlineStr">
        <is>
          <t>CFM56-5B</t>
        </is>
      </c>
      <c r="C357" s="31" t="inlineStr">
        <is>
          <t>2024-2025</t>
        </is>
      </c>
      <c r="D357" s="31" t="inlineStr">
        <is>
          <t>139541</t>
        </is>
      </c>
      <c r="E357" s="31" t="inlineStr">
        <is>
          <t>72-31-06</t>
        </is>
      </c>
      <c r="F357" s="31" t="inlineStr">
        <is>
          <t>I</t>
        </is>
      </c>
      <c r="G357" s="31" t="inlineStr">
        <is>
          <t>Compressor</t>
        </is>
      </c>
      <c r="H357" s="27" t="n">
        <v>5165</v>
      </c>
      <c r="I357" s="27" t="n">
        <v>5475</v>
      </c>
      <c r="J357" s="154">
        <f>I357/H357-1</f>
        <v/>
      </c>
      <c r="K357" s="31" t="inlineStr">
        <is>
          <t>14</t>
        </is>
      </c>
      <c r="L357" s="31" t="inlineStr">
        <is>
          <t>14</t>
        </is>
      </c>
      <c r="M357" s="31" t="inlineStr">
        <is>
          <t>S1</t>
        </is>
      </c>
      <c r="N357" s="31" t="inlineStr">
        <is>
          <t>S2</t>
        </is>
      </c>
      <c r="O357" s="31" t="inlineStr">
        <is>
          <t>1588M89G02</t>
        </is>
      </c>
      <c r="P357" s="31" t="inlineStr">
        <is>
          <t>SR Technics Switzerland</t>
        </is>
      </c>
    </row>
    <row r="358">
      <c r="B358" s="31" t="inlineStr">
        <is>
          <t>CFM56-5B</t>
        </is>
      </c>
      <c r="C358" s="31" t="inlineStr">
        <is>
          <t>2024-2025</t>
        </is>
      </c>
      <c r="D358" s="31" t="inlineStr">
        <is>
          <t>139541</t>
        </is>
      </c>
      <c r="E358" s="31" t="inlineStr">
        <is>
          <t>72-31-06</t>
        </is>
      </c>
      <c r="F358" s="31" t="inlineStr">
        <is>
          <t>SB00</t>
        </is>
      </c>
      <c r="G358" s="31" t="inlineStr">
        <is>
          <t>Compressor</t>
        </is>
      </c>
      <c r="H358" s="27" t="n">
        <v>1745</v>
      </c>
      <c r="I358" s="27" t="n">
        <v>1850</v>
      </c>
      <c r="J358" s="154">
        <f>I358/H358-1</f>
        <v/>
      </c>
      <c r="K358" s="31" t="inlineStr">
        <is>
          <t>14</t>
        </is>
      </c>
      <c r="L358" s="31" t="inlineStr">
        <is>
          <t>14</t>
        </is>
      </c>
      <c r="M358" s="31" t="inlineStr">
        <is>
          <t>S1</t>
        </is>
      </c>
      <c r="N358" s="31" t="inlineStr">
        <is>
          <t>S2</t>
        </is>
      </c>
      <c r="O358" s="31" t="inlineStr">
        <is>
          <t>1588M89G02</t>
        </is>
      </c>
      <c r="P358" s="31" t="inlineStr">
        <is>
          <t>SR Technics Switzerland</t>
        </is>
      </c>
    </row>
    <row r="359">
      <c r="B359" s="31" t="inlineStr">
        <is>
          <t>CFM56-5B</t>
        </is>
      </c>
      <c r="C359" s="31" t="inlineStr">
        <is>
          <t>2024-2025</t>
        </is>
      </c>
      <c r="D359" s="31" t="inlineStr">
        <is>
          <t>139550</t>
        </is>
      </c>
      <c r="E359" s="31" t="inlineStr">
        <is>
          <t>72-21-02</t>
        </is>
      </c>
      <c r="F359" s="31" t="inlineStr">
        <is>
          <t>A</t>
        </is>
      </c>
      <c r="G359" s="31" t="inlineStr">
        <is>
          <t>Fan / booster</t>
        </is>
      </c>
      <c r="H359" s="27" t="n">
        <v>40</v>
      </c>
      <c r="I359" s="27" t="n">
        <v>45</v>
      </c>
      <c r="J359" s="154">
        <f>I359/H359-1</f>
        <v/>
      </c>
      <c r="K359" s="31" t="inlineStr">
        <is>
          <t>52</t>
        </is>
      </c>
      <c r="L359" s="31" t="inlineStr">
        <is>
          <t>52</t>
        </is>
      </c>
      <c r="M359" s="31" t="inlineStr">
        <is>
          <t>S1</t>
        </is>
      </c>
      <c r="N359" s="31" t="inlineStr">
        <is>
          <t>S2</t>
        </is>
      </c>
      <c r="O359" s="31" t="inlineStr">
        <is>
          <t>335-191-202-0</t>
        </is>
      </c>
      <c r="P359" s="31" t="inlineStr">
        <is>
          <t>SR Technics Switzerland</t>
        </is>
      </c>
    </row>
    <row r="360">
      <c r="B360" s="31" t="inlineStr">
        <is>
          <t>CFM56-5B</t>
        </is>
      </c>
      <c r="C360" s="31" t="inlineStr">
        <is>
          <t>2024-2025</t>
        </is>
      </c>
      <c r="D360" s="31" t="inlineStr">
        <is>
          <t>139550</t>
        </is>
      </c>
      <c r="E360" s="31" t="inlineStr">
        <is>
          <t>72-21-02</t>
        </is>
      </c>
      <c r="F360" s="31" t="inlineStr">
        <is>
          <t>E</t>
        </is>
      </c>
      <c r="G360" s="31" t="inlineStr">
        <is>
          <t>Fan / booster</t>
        </is>
      </c>
      <c r="H360" s="27" t="n">
        <v>40</v>
      </c>
      <c r="I360" s="27" t="n">
        <v>45</v>
      </c>
      <c r="J360" s="154">
        <f>I360/H360-1</f>
        <v/>
      </c>
      <c r="K360" s="31" t="inlineStr">
        <is>
          <t>52</t>
        </is>
      </c>
      <c r="L360" s="31" t="inlineStr">
        <is>
          <t>52</t>
        </is>
      </c>
      <c r="M360" s="31" t="inlineStr">
        <is>
          <t>S1</t>
        </is>
      </c>
      <c r="N360" s="31" t="inlineStr">
        <is>
          <t>S2</t>
        </is>
      </c>
      <c r="O360" s="31" t="inlineStr">
        <is>
          <t>335-191-202-0</t>
        </is>
      </c>
      <c r="P360" s="31" t="inlineStr">
        <is>
          <t>SR Technics Switzerland</t>
        </is>
      </c>
    </row>
    <row r="361">
      <c r="B361" s="31" t="inlineStr">
        <is>
          <t>CFM56-5B</t>
        </is>
      </c>
      <c r="C361" s="31" t="inlineStr">
        <is>
          <t>2024-2025</t>
        </is>
      </c>
      <c r="D361" s="31" t="inlineStr">
        <is>
          <t>139576</t>
        </is>
      </c>
      <c r="E361" s="31" t="inlineStr">
        <is>
          <t>72-23-04</t>
        </is>
      </c>
      <c r="F361" s="31" t="inlineStr">
        <is>
          <t>A</t>
        </is>
      </c>
      <c r="G361" s="31" t="inlineStr">
        <is>
          <t>Fan / booster</t>
        </is>
      </c>
      <c r="H361" s="27" t="n">
        <v>835</v>
      </c>
      <c r="I361" s="27" t="n">
        <v>890</v>
      </c>
      <c r="J361" s="154">
        <f>I361/H361-1</f>
        <v/>
      </c>
      <c r="K361" s="31" t="inlineStr">
        <is>
          <t>14</t>
        </is>
      </c>
      <c r="L361" s="31" t="inlineStr">
        <is>
          <t>14</t>
        </is>
      </c>
      <c r="M361" s="31" t="inlineStr">
        <is>
          <t>S1</t>
        </is>
      </c>
      <c r="N361" s="31" t="inlineStr">
        <is>
          <t>S2</t>
        </is>
      </c>
      <c r="O361" s="31" t="inlineStr">
        <is>
          <t>2423M70G01</t>
        </is>
      </c>
      <c r="P361" s="31" t="inlineStr">
        <is>
          <t>SR Technics Switzerland</t>
        </is>
      </c>
    </row>
    <row r="362">
      <c r="B362" s="31" t="inlineStr">
        <is>
          <t>CFM56-5B</t>
        </is>
      </c>
      <c r="C362" s="31" t="inlineStr">
        <is>
          <t>2024-2025</t>
        </is>
      </c>
      <c r="D362" s="31" t="inlineStr">
        <is>
          <t>139576</t>
        </is>
      </c>
      <c r="E362" s="31" t="inlineStr">
        <is>
          <t>72-23-04</t>
        </is>
      </c>
      <c r="F362" s="31" t="inlineStr">
        <is>
          <t>B</t>
        </is>
      </c>
      <c r="G362" s="31" t="inlineStr">
        <is>
          <t>Fan / booster</t>
        </is>
      </c>
      <c r="H362" s="27" t="n">
        <v>820</v>
      </c>
      <c r="I362" s="27" t="n">
        <v>870</v>
      </c>
      <c r="J362" s="154">
        <f>I362/H362-1</f>
        <v/>
      </c>
      <c r="K362" s="31" t="inlineStr">
        <is>
          <t>14</t>
        </is>
      </c>
      <c r="L362" s="31" t="inlineStr">
        <is>
          <t>14</t>
        </is>
      </c>
      <c r="M362" s="31" t="inlineStr">
        <is>
          <t>S1</t>
        </is>
      </c>
      <c r="N362" s="31" t="inlineStr">
        <is>
          <t>S2</t>
        </is>
      </c>
      <c r="O362" s="31" t="inlineStr">
        <is>
          <t>2423M70G01</t>
        </is>
      </c>
      <c r="P362" s="31" t="inlineStr">
        <is>
          <t>SR Technics Switzerland</t>
        </is>
      </c>
    </row>
    <row r="363">
      <c r="B363" s="31" t="inlineStr">
        <is>
          <t>CFM56-5B</t>
        </is>
      </c>
      <c r="C363" s="31" t="inlineStr">
        <is>
          <t>2024-2025</t>
        </is>
      </c>
      <c r="D363" s="31" t="inlineStr">
        <is>
          <t>139576</t>
        </is>
      </c>
      <c r="E363" s="31" t="inlineStr">
        <is>
          <t>72-23-04</t>
        </is>
      </c>
      <c r="F363" s="31" t="inlineStr">
        <is>
          <t>C</t>
        </is>
      </c>
      <c r="G363" s="31" t="inlineStr">
        <is>
          <t>Fan / booster</t>
        </is>
      </c>
      <c r="H363" s="27" t="n">
        <v>810</v>
      </c>
      <c r="I363" s="27" t="n">
        <v>860</v>
      </c>
      <c r="J363" s="154">
        <f>I363/H363-1</f>
        <v/>
      </c>
      <c r="K363" s="31" t="inlineStr">
        <is>
          <t>14</t>
        </is>
      </c>
      <c r="L363" s="31" t="inlineStr">
        <is>
          <t>14</t>
        </is>
      </c>
      <c r="M363" s="31" t="inlineStr">
        <is>
          <t>S1</t>
        </is>
      </c>
      <c r="N363" s="31" t="inlineStr">
        <is>
          <t>S2</t>
        </is>
      </c>
      <c r="O363" s="31" t="inlineStr">
        <is>
          <t>2423M70G01</t>
        </is>
      </c>
      <c r="P363" s="31" t="inlineStr">
        <is>
          <t>SR Technics Switzerland</t>
        </is>
      </c>
    </row>
    <row r="364">
      <c r="B364" s="31" t="inlineStr">
        <is>
          <t>CFM56-5B</t>
        </is>
      </c>
      <c r="C364" s="31" t="inlineStr">
        <is>
          <t>2024-2025</t>
        </is>
      </c>
      <c r="D364" s="31" t="inlineStr">
        <is>
          <t>139576</t>
        </is>
      </c>
      <c r="E364" s="31" t="inlineStr">
        <is>
          <t>72-23-04</t>
        </is>
      </c>
      <c r="F364" s="31" t="inlineStr">
        <is>
          <t>E</t>
        </is>
      </c>
      <c r="G364" s="31" t="inlineStr">
        <is>
          <t>Fan / booster</t>
        </is>
      </c>
      <c r="H364" s="27" t="n">
        <v>635</v>
      </c>
      <c r="I364" s="27" t="n">
        <v>675</v>
      </c>
      <c r="J364" s="154">
        <f>I364/H364-1</f>
        <v/>
      </c>
      <c r="K364" s="31" t="inlineStr">
        <is>
          <t>14</t>
        </is>
      </c>
      <c r="L364" s="31" t="inlineStr">
        <is>
          <t>14</t>
        </is>
      </c>
      <c r="M364" s="31" t="inlineStr">
        <is>
          <t>S1</t>
        </is>
      </c>
      <c r="N364" s="31" t="inlineStr">
        <is>
          <t>S2</t>
        </is>
      </c>
      <c r="O364" s="31" t="inlineStr">
        <is>
          <t>2423M70G01</t>
        </is>
      </c>
      <c r="P364" s="31" t="inlineStr">
        <is>
          <t>SR Technics Switzerland</t>
        </is>
      </c>
    </row>
    <row r="365">
      <c r="B365" s="31" t="inlineStr">
        <is>
          <t>CFM56-5B</t>
        </is>
      </c>
      <c r="C365" s="31" t="inlineStr">
        <is>
          <t>2024-2025</t>
        </is>
      </c>
      <c r="D365" s="31" t="inlineStr">
        <is>
          <t>139576</t>
        </is>
      </c>
      <c r="E365" s="31" t="inlineStr">
        <is>
          <t>72-23-04</t>
        </is>
      </c>
      <c r="F365" s="31" t="inlineStr">
        <is>
          <t>P</t>
        </is>
      </c>
      <c r="G365" s="31" t="inlineStr">
        <is>
          <t>Fan / booster</t>
        </is>
      </c>
      <c r="H365" s="27" t="n">
        <v>1305</v>
      </c>
      <c r="I365" s="27" t="n">
        <v>1385</v>
      </c>
      <c r="J365" s="154">
        <f>I365/H365-1</f>
        <v/>
      </c>
      <c r="K365" s="31" t="inlineStr">
        <is>
          <t>14</t>
        </is>
      </c>
      <c r="L365" s="31" t="inlineStr">
        <is>
          <t>14</t>
        </is>
      </c>
      <c r="M365" s="31" t="inlineStr">
        <is>
          <t>S1</t>
        </is>
      </c>
      <c r="N365" s="31" t="inlineStr">
        <is>
          <t>S2</t>
        </is>
      </c>
      <c r="O365" s="31" t="inlineStr">
        <is>
          <t>2423M70G01</t>
        </is>
      </c>
      <c r="P365" s="31" t="inlineStr">
        <is>
          <t>SR Technics Switzerland</t>
        </is>
      </c>
    </row>
    <row r="366">
      <c r="B366" s="31" t="inlineStr">
        <is>
          <t>CFM56-5B</t>
        </is>
      </c>
      <c r="C366" s="31" t="inlineStr">
        <is>
          <t>2024-2025</t>
        </is>
      </c>
      <c r="D366" s="31" t="inlineStr">
        <is>
          <t>139963</t>
        </is>
      </c>
      <c r="E366" s="31" t="inlineStr">
        <is>
          <t>72-31-00</t>
        </is>
      </c>
      <c r="F366" s="31" t="inlineStr">
        <is>
          <t>B</t>
        </is>
      </c>
      <c r="G366" s="31" t="inlineStr">
        <is>
          <t>Compressor</t>
        </is>
      </c>
      <c r="H366" s="27" t="n">
        <v>9660</v>
      </c>
      <c r="I366" s="27" t="n">
        <v>10240</v>
      </c>
      <c r="J366" s="154">
        <f>I366/H366-1</f>
        <v/>
      </c>
      <c r="K366" s="31" t="inlineStr">
        <is>
          <t>88</t>
        </is>
      </c>
      <c r="L366" s="31" t="inlineStr">
        <is>
          <t>90</t>
        </is>
      </c>
      <c r="M366" s="31" t="inlineStr">
        <is>
          <t>S1</t>
        </is>
      </c>
      <c r="N366" s="31" t="inlineStr">
        <is>
          <t>S2</t>
        </is>
      </c>
      <c r="O366" s="31" t="inlineStr">
        <is>
          <t>COMPRESSOR</t>
        </is>
      </c>
      <c r="P366" s="31" t="inlineStr">
        <is>
          <t>SR Technics Switzerland</t>
        </is>
      </c>
    </row>
    <row r="367">
      <c r="B367" s="31" t="inlineStr">
        <is>
          <t>CFM56-5B</t>
        </is>
      </c>
      <c r="C367" s="31" t="inlineStr">
        <is>
          <t>2024-2025</t>
        </is>
      </c>
      <c r="D367" s="31" t="inlineStr">
        <is>
          <t>139966</t>
        </is>
      </c>
      <c r="E367" s="31" t="inlineStr">
        <is>
          <t>72-23-01</t>
        </is>
      </c>
      <c r="F367" s="31" t="inlineStr">
        <is>
          <t>A</t>
        </is>
      </c>
      <c r="G367" s="31" t="inlineStr">
        <is>
          <t>Fan / booster</t>
        </is>
      </c>
      <c r="H367" s="27" t="n">
        <v>3490</v>
      </c>
      <c r="I367" s="27" t="n">
        <v>3700</v>
      </c>
      <c r="J367" s="154">
        <f>I367/H367-1</f>
        <v/>
      </c>
      <c r="K367" s="31" t="inlineStr">
        <is>
          <t>14</t>
        </is>
      </c>
      <c r="L367" s="31" t="inlineStr">
        <is>
          <t>14</t>
        </is>
      </c>
      <c r="M367" s="31" t="inlineStr">
        <is>
          <t>S1</t>
        </is>
      </c>
      <c r="N367" s="31" t="inlineStr">
        <is>
          <t>S2</t>
        </is>
      </c>
      <c r="O367" s="31" t="inlineStr">
        <is>
          <t>338-077-904-0</t>
        </is>
      </c>
      <c r="P367" s="31" t="inlineStr">
        <is>
          <t>SR Technics Switzerland</t>
        </is>
      </c>
    </row>
    <row r="368">
      <c r="B368" s="31" t="inlineStr">
        <is>
          <t>CFM56-5B</t>
        </is>
      </c>
      <c r="C368" s="31" t="inlineStr">
        <is>
          <t>2024-2025</t>
        </is>
      </c>
      <c r="D368" s="31" t="inlineStr">
        <is>
          <t>139966</t>
        </is>
      </c>
      <c r="E368" s="31" t="inlineStr">
        <is>
          <t>72-23-01</t>
        </is>
      </c>
      <c r="F368" s="31" t="inlineStr">
        <is>
          <t>AG</t>
        </is>
      </c>
      <c r="G368" s="31" t="inlineStr">
        <is>
          <t>Fan / booster</t>
        </is>
      </c>
      <c r="H368" s="27" t="n">
        <v>790</v>
      </c>
      <c r="I368" s="27" t="n">
        <v>840</v>
      </c>
      <c r="J368" s="154">
        <f>I368/H368-1</f>
        <v/>
      </c>
      <c r="K368" s="31" t="inlineStr">
        <is>
          <t>14</t>
        </is>
      </c>
      <c r="L368" s="31" t="inlineStr">
        <is>
          <t>15</t>
        </is>
      </c>
      <c r="M368" s="31" t="inlineStr">
        <is>
          <t>S1</t>
        </is>
      </c>
      <c r="N368" s="31" t="inlineStr">
        <is>
          <t>S2</t>
        </is>
      </c>
      <c r="O368" s="31" t="inlineStr">
        <is>
          <t>338-077-904-0</t>
        </is>
      </c>
      <c r="P368" s="31" t="inlineStr">
        <is>
          <t>SR Technics Switzerland</t>
        </is>
      </c>
    </row>
    <row r="369">
      <c r="B369" s="31" t="inlineStr">
        <is>
          <t>CFM56-5B</t>
        </is>
      </c>
      <c r="C369" s="31" t="inlineStr">
        <is>
          <t>2024-2025</t>
        </is>
      </c>
      <c r="D369" s="31" t="inlineStr">
        <is>
          <t>139966</t>
        </is>
      </c>
      <c r="E369" s="31" t="inlineStr">
        <is>
          <t>72-23-01</t>
        </is>
      </c>
      <c r="F369" s="31" t="inlineStr">
        <is>
          <t>AH</t>
        </is>
      </c>
      <c r="G369" s="31" t="inlineStr">
        <is>
          <t>Fan / booster</t>
        </is>
      </c>
      <c r="H369" s="27" t="n">
        <v>1900</v>
      </c>
      <c r="I369" s="27" t="n">
        <v>2015</v>
      </c>
      <c r="J369" s="154">
        <f>I369/H369-1</f>
        <v/>
      </c>
      <c r="K369" s="31" t="inlineStr">
        <is>
          <t>14</t>
        </is>
      </c>
      <c r="L369" s="31" t="inlineStr">
        <is>
          <t>15</t>
        </is>
      </c>
      <c r="M369" s="31" t="inlineStr">
        <is>
          <t>S1</t>
        </is>
      </c>
      <c r="N369" s="31" t="inlineStr">
        <is>
          <t>S2</t>
        </is>
      </c>
      <c r="O369" s="31" t="inlineStr">
        <is>
          <t>338-077-904-0</t>
        </is>
      </c>
      <c r="P369" s="31" t="inlineStr">
        <is>
          <t>SR Technics Switzerland</t>
        </is>
      </c>
    </row>
    <row r="370">
      <c r="B370" s="31" t="inlineStr">
        <is>
          <t>CFM56-5B</t>
        </is>
      </c>
      <c r="C370" s="31" t="inlineStr">
        <is>
          <t>2024-2025</t>
        </is>
      </c>
      <c r="D370" s="31" t="inlineStr">
        <is>
          <t>139966</t>
        </is>
      </c>
      <c r="E370" s="31" t="inlineStr">
        <is>
          <t>72-23-01</t>
        </is>
      </c>
      <c r="F370" s="31" t="inlineStr">
        <is>
          <t>AL</t>
        </is>
      </c>
      <c r="G370" s="31" t="inlineStr">
        <is>
          <t>Fan / booster</t>
        </is>
      </c>
      <c r="H370" s="27" t="n">
        <v>350</v>
      </c>
      <c r="I370" s="27" t="n">
        <v>375</v>
      </c>
      <c r="J370" s="154">
        <f>I370/H370-1</f>
        <v/>
      </c>
      <c r="K370" s="31" t="inlineStr">
        <is>
          <t>14</t>
        </is>
      </c>
      <c r="L370" s="31" t="inlineStr">
        <is>
          <t>15</t>
        </is>
      </c>
      <c r="M370" s="31" t="inlineStr">
        <is>
          <t>S1</t>
        </is>
      </c>
      <c r="N370" s="31" t="inlineStr">
        <is>
          <t>S2</t>
        </is>
      </c>
      <c r="O370" s="31" t="inlineStr">
        <is>
          <t>338-077-904-0</t>
        </is>
      </c>
      <c r="P370" s="31" t="inlineStr">
        <is>
          <t>SR Technics Switzerland</t>
        </is>
      </c>
    </row>
    <row r="371">
      <c r="B371" s="31" t="inlineStr">
        <is>
          <t>CFM56-5B</t>
        </is>
      </c>
      <c r="C371" s="31" t="inlineStr">
        <is>
          <t>2024-2025</t>
        </is>
      </c>
      <c r="D371" s="31" t="inlineStr">
        <is>
          <t>139966</t>
        </is>
      </c>
      <c r="E371" s="31" t="inlineStr">
        <is>
          <t>72-23-01</t>
        </is>
      </c>
      <c r="F371" s="31" t="inlineStr">
        <is>
          <t>AM</t>
        </is>
      </c>
      <c r="G371" s="31" t="inlineStr">
        <is>
          <t>Fan / booster</t>
        </is>
      </c>
      <c r="H371" s="27" t="n">
        <v>520</v>
      </c>
      <c r="I371" s="27" t="n">
        <v>555</v>
      </c>
      <c r="J371" s="154">
        <f>I371/H371-1</f>
        <v/>
      </c>
      <c r="K371" s="31" t="inlineStr">
        <is>
          <t>14</t>
        </is>
      </c>
      <c r="L371" s="31" t="inlineStr">
        <is>
          <t>15</t>
        </is>
      </c>
      <c r="M371" s="31" t="inlineStr">
        <is>
          <t>S1</t>
        </is>
      </c>
      <c r="N371" s="31" t="inlineStr">
        <is>
          <t>S2</t>
        </is>
      </c>
      <c r="O371" s="31" t="inlineStr">
        <is>
          <t>338-077-904-0</t>
        </is>
      </c>
      <c r="P371" s="31" t="inlineStr">
        <is>
          <t>SR Technics Switzerland</t>
        </is>
      </c>
    </row>
    <row r="372">
      <c r="B372" s="31" t="inlineStr">
        <is>
          <t>CFM56-5B</t>
        </is>
      </c>
      <c r="C372" s="31" t="inlineStr">
        <is>
          <t>2024-2025</t>
        </is>
      </c>
      <c r="D372" s="31" t="inlineStr">
        <is>
          <t>139966</t>
        </is>
      </c>
      <c r="E372" s="31" t="inlineStr">
        <is>
          <t>72-23-01</t>
        </is>
      </c>
      <c r="F372" s="31" t="inlineStr">
        <is>
          <t>AN</t>
        </is>
      </c>
      <c r="G372" s="31" t="inlineStr">
        <is>
          <t>Fan / booster</t>
        </is>
      </c>
      <c r="H372" s="27" t="n">
        <v>350</v>
      </c>
      <c r="I372" s="27" t="n">
        <v>375</v>
      </c>
      <c r="J372" s="154">
        <f>I372/H372-1</f>
        <v/>
      </c>
      <c r="K372" s="31" t="inlineStr">
        <is>
          <t>14</t>
        </is>
      </c>
      <c r="L372" s="31" t="inlineStr">
        <is>
          <t>15</t>
        </is>
      </c>
      <c r="M372" s="31" t="inlineStr">
        <is>
          <t>S1</t>
        </is>
      </c>
      <c r="N372" s="31" t="inlineStr">
        <is>
          <t>S2</t>
        </is>
      </c>
      <c r="O372" s="31" t="inlineStr">
        <is>
          <t>338-077-904-0</t>
        </is>
      </c>
      <c r="P372" s="31" t="inlineStr">
        <is>
          <t>SR Technics Switzerland</t>
        </is>
      </c>
    </row>
    <row r="373">
      <c r="B373" s="31" t="inlineStr">
        <is>
          <t>CFM56-5B</t>
        </is>
      </c>
      <c r="C373" s="31" t="inlineStr">
        <is>
          <t>2024-2025</t>
        </is>
      </c>
      <c r="D373" s="31" t="inlineStr">
        <is>
          <t>139966</t>
        </is>
      </c>
      <c r="E373" s="31" t="inlineStr">
        <is>
          <t>72-23-01</t>
        </is>
      </c>
      <c r="F373" s="31" t="inlineStr">
        <is>
          <t>C</t>
        </is>
      </c>
      <c r="G373" s="31" t="inlineStr">
        <is>
          <t>Fan / booster</t>
        </is>
      </c>
      <c r="H373" s="27" t="n">
        <v>1135</v>
      </c>
      <c r="I373" s="27" t="n">
        <v>1205</v>
      </c>
      <c r="J373" s="154">
        <f>I373/H373-1</f>
        <v/>
      </c>
      <c r="K373" s="31" t="inlineStr">
        <is>
          <t>14</t>
        </is>
      </c>
      <c r="L373" s="31" t="inlineStr">
        <is>
          <t>15</t>
        </is>
      </c>
      <c r="M373" s="31" t="inlineStr">
        <is>
          <t>S1</t>
        </is>
      </c>
      <c r="N373" s="31" t="inlineStr">
        <is>
          <t>S2</t>
        </is>
      </c>
      <c r="O373" s="31" t="inlineStr">
        <is>
          <t>338-077-904-0</t>
        </is>
      </c>
      <c r="P373" s="31" t="inlineStr">
        <is>
          <t>SR Technics Switzerland</t>
        </is>
      </c>
    </row>
    <row r="374">
      <c r="B374" s="31" t="inlineStr">
        <is>
          <t>CFM56-5B</t>
        </is>
      </c>
      <c r="C374" s="31" t="inlineStr">
        <is>
          <t>2024-2025</t>
        </is>
      </c>
      <c r="D374" s="31" t="inlineStr">
        <is>
          <t>139966</t>
        </is>
      </c>
      <c r="E374" s="31" t="inlineStr">
        <is>
          <t>72-23-01</t>
        </is>
      </c>
      <c r="F374" s="31" t="inlineStr">
        <is>
          <t>D</t>
        </is>
      </c>
      <c r="G374" s="31" t="inlineStr">
        <is>
          <t>Fan / booster</t>
        </is>
      </c>
      <c r="H374" s="27" t="n">
        <v>660</v>
      </c>
      <c r="I374" s="27" t="n">
        <v>700</v>
      </c>
      <c r="J374" s="154">
        <f>I374/H374-1</f>
        <v/>
      </c>
      <c r="K374" s="31" t="inlineStr">
        <is>
          <t>14</t>
        </is>
      </c>
      <c r="L374" s="31" t="inlineStr">
        <is>
          <t>15</t>
        </is>
      </c>
      <c r="M374" s="31" t="inlineStr">
        <is>
          <t>S1</t>
        </is>
      </c>
      <c r="N374" s="31" t="inlineStr">
        <is>
          <t>S2</t>
        </is>
      </c>
      <c r="O374" s="31" t="inlineStr">
        <is>
          <t>338-077-904-0</t>
        </is>
      </c>
      <c r="P374" s="31" t="inlineStr">
        <is>
          <t>SR Technics Switzerland</t>
        </is>
      </c>
    </row>
    <row r="375">
      <c r="B375" s="31" t="inlineStr">
        <is>
          <t>CFM56-5B</t>
        </is>
      </c>
      <c r="C375" s="31" t="inlineStr">
        <is>
          <t>2024-2025</t>
        </is>
      </c>
      <c r="D375" s="31" t="inlineStr">
        <is>
          <t>139966</t>
        </is>
      </c>
      <c r="E375" s="31" t="inlineStr">
        <is>
          <t>72-23-01</t>
        </is>
      </c>
      <c r="F375" s="31" t="inlineStr">
        <is>
          <t>SB00</t>
        </is>
      </c>
      <c r="G375" s="31" t="inlineStr">
        <is>
          <t>Fan / booster</t>
        </is>
      </c>
      <c r="H375" s="27" t="n">
        <v>920</v>
      </c>
      <c r="I375" s="27" t="n">
        <v>980</v>
      </c>
      <c r="J375" s="154">
        <f>I375/H375-1</f>
        <v/>
      </c>
      <c r="K375" s="31" t="inlineStr">
        <is>
          <t>14</t>
        </is>
      </c>
      <c r="L375" s="31" t="inlineStr">
        <is>
          <t>15</t>
        </is>
      </c>
      <c r="M375" s="31" t="inlineStr">
        <is>
          <t>S1</t>
        </is>
      </c>
      <c r="N375" s="31" t="inlineStr">
        <is>
          <t>S2</t>
        </is>
      </c>
      <c r="O375" s="31" t="inlineStr">
        <is>
          <t>338-077-904-0</t>
        </is>
      </c>
      <c r="P375" s="31" t="inlineStr">
        <is>
          <t>SR Technics Switzerland</t>
        </is>
      </c>
    </row>
    <row r="376">
      <c r="B376" s="31" t="inlineStr">
        <is>
          <t>CFM56-5B</t>
        </is>
      </c>
      <c r="C376" s="31" t="inlineStr">
        <is>
          <t>2024-2025</t>
        </is>
      </c>
      <c r="D376" s="31" t="inlineStr">
        <is>
          <t>139966</t>
        </is>
      </c>
      <c r="E376" s="31" t="inlineStr">
        <is>
          <t>72-23-01</t>
        </is>
      </c>
      <c r="F376" s="31" t="inlineStr">
        <is>
          <t>SB01</t>
        </is>
      </c>
      <c r="G376" s="31" t="inlineStr">
        <is>
          <t>Fan / booster</t>
        </is>
      </c>
      <c r="H376" s="27" t="n">
        <v>645</v>
      </c>
      <c r="I376" s="27" t="n">
        <v>685</v>
      </c>
      <c r="J376" s="154">
        <f>I376/H376-1</f>
        <v/>
      </c>
      <c r="K376" s="31" t="inlineStr">
        <is>
          <t>14</t>
        </is>
      </c>
      <c r="L376" s="31" t="inlineStr">
        <is>
          <t>15</t>
        </is>
      </c>
      <c r="M376" s="31" t="inlineStr">
        <is>
          <t>S1</t>
        </is>
      </c>
      <c r="N376" s="31" t="inlineStr">
        <is>
          <t>S2</t>
        </is>
      </c>
      <c r="O376" s="31" t="inlineStr">
        <is>
          <t>338-077-904-0</t>
        </is>
      </c>
      <c r="P376" s="31" t="inlineStr">
        <is>
          <t>SR Technics Switzerland</t>
        </is>
      </c>
    </row>
    <row r="377">
      <c r="B377" s="31" t="inlineStr">
        <is>
          <t>CFM56-5B</t>
        </is>
      </c>
      <c r="C377" s="31" t="inlineStr">
        <is>
          <t>2024-2025</t>
        </is>
      </c>
      <c r="D377" s="31" t="inlineStr">
        <is>
          <t>139966</t>
        </is>
      </c>
      <c r="E377" s="31" t="inlineStr">
        <is>
          <t>72-23-01</t>
        </is>
      </c>
      <c r="F377" s="31" t="inlineStr">
        <is>
          <t>SB02</t>
        </is>
      </c>
      <c r="G377" s="31" t="inlineStr">
        <is>
          <t>Fan / booster</t>
        </is>
      </c>
      <c r="H377" s="27" t="n">
        <v>1015</v>
      </c>
      <c r="I377" s="27" t="n">
        <v>1080</v>
      </c>
      <c r="J377" s="154">
        <f>I377/H377-1</f>
        <v/>
      </c>
      <c r="K377" s="31" t="inlineStr">
        <is>
          <t>14</t>
        </is>
      </c>
      <c r="L377" s="31" t="inlineStr">
        <is>
          <t>15</t>
        </is>
      </c>
      <c r="M377" s="31" t="inlineStr">
        <is>
          <t>S1</t>
        </is>
      </c>
      <c r="N377" s="31" t="inlineStr">
        <is>
          <t>S2</t>
        </is>
      </c>
      <c r="O377" s="31" t="inlineStr">
        <is>
          <t>338-077-904-0</t>
        </is>
      </c>
      <c r="P377" s="31" t="inlineStr">
        <is>
          <t>SR Technics Switzerland</t>
        </is>
      </c>
    </row>
    <row r="378">
      <c r="B378" s="31" t="inlineStr">
        <is>
          <t>CFM56-5B</t>
        </is>
      </c>
      <c r="C378" s="31" t="inlineStr">
        <is>
          <t>2024-2025</t>
        </is>
      </c>
      <c r="D378" s="31" t="inlineStr">
        <is>
          <t>139996</t>
        </is>
      </c>
      <c r="E378" s="31" t="inlineStr">
        <is>
          <t>72-21-05</t>
        </is>
      </c>
      <c r="F378" s="31" t="inlineStr">
        <is>
          <t>A</t>
        </is>
      </c>
      <c r="G378" s="31" t="inlineStr">
        <is>
          <t>Fan / booster</t>
        </is>
      </c>
      <c r="H378" s="27" t="n">
        <v>590</v>
      </c>
      <c r="I378" s="27" t="n">
        <v>630</v>
      </c>
      <c r="J378" s="154">
        <f>I378/H378-1</f>
        <v/>
      </c>
      <c r="K378" s="31" t="inlineStr">
        <is>
          <t>14</t>
        </is>
      </c>
      <c r="L378" s="31" t="inlineStr">
        <is>
          <t>15</t>
        </is>
      </c>
      <c r="M378" s="31" t="inlineStr">
        <is>
          <t>S1</t>
        </is>
      </c>
      <c r="N378" s="31" t="inlineStr">
        <is>
          <t>S2</t>
        </is>
      </c>
      <c r="O378" s="31" t="inlineStr">
        <is>
          <t>2406M74G01</t>
        </is>
      </c>
      <c r="P378" s="31" t="inlineStr">
        <is>
          <t>SR Technics Switzerland</t>
        </is>
      </c>
    </row>
    <row r="379">
      <c r="B379" s="31" t="inlineStr">
        <is>
          <t>CFM56-5B</t>
        </is>
      </c>
      <c r="C379" s="31" t="inlineStr">
        <is>
          <t>2024-2025</t>
        </is>
      </c>
      <c r="D379" s="31" t="inlineStr">
        <is>
          <t>139996</t>
        </is>
      </c>
      <c r="E379" s="31" t="inlineStr">
        <is>
          <t>72-21-05</t>
        </is>
      </c>
      <c r="F379" s="31" t="inlineStr">
        <is>
          <t>AA</t>
        </is>
      </c>
      <c r="G379" s="31" t="inlineStr">
        <is>
          <t>Fan / booster</t>
        </is>
      </c>
      <c r="H379" s="27" t="n">
        <v>840</v>
      </c>
      <c r="I379" s="27" t="n">
        <v>895</v>
      </c>
      <c r="J379" s="154">
        <f>I379/H379-1</f>
        <v/>
      </c>
      <c r="K379" s="31" t="inlineStr">
        <is>
          <t>14</t>
        </is>
      </c>
      <c r="L379" s="31" t="inlineStr">
        <is>
          <t>15</t>
        </is>
      </c>
      <c r="M379" s="31" t="inlineStr">
        <is>
          <t>S1</t>
        </is>
      </c>
      <c r="N379" s="31" t="inlineStr">
        <is>
          <t>S2</t>
        </is>
      </c>
      <c r="O379" s="31" t="inlineStr">
        <is>
          <t>2406M74G01</t>
        </is>
      </c>
      <c r="P379" s="31" t="inlineStr">
        <is>
          <t>SR Technics Switzerland</t>
        </is>
      </c>
    </row>
    <row r="380">
      <c r="B380" s="31" t="inlineStr">
        <is>
          <t>CFM56-5B</t>
        </is>
      </c>
      <c r="C380" s="31" t="inlineStr">
        <is>
          <t>2024-2025</t>
        </is>
      </c>
      <c r="D380" s="31" t="inlineStr">
        <is>
          <t>139996</t>
        </is>
      </c>
      <c r="E380" s="31" t="inlineStr">
        <is>
          <t>72-21-05</t>
        </is>
      </c>
      <c r="F380" s="31" t="inlineStr">
        <is>
          <t>AC</t>
        </is>
      </c>
      <c r="G380" s="31" t="inlineStr">
        <is>
          <t>Fan / booster</t>
        </is>
      </c>
      <c r="H380" s="27" t="n">
        <v>1950</v>
      </c>
      <c r="I380" s="27" t="n">
        <v>2070</v>
      </c>
      <c r="J380" s="154">
        <f>I380/H380-1</f>
        <v/>
      </c>
      <c r="K380" s="31" t="inlineStr">
        <is>
          <t>14</t>
        </is>
      </c>
      <c r="L380" s="31" t="inlineStr">
        <is>
          <t>15</t>
        </is>
      </c>
      <c r="M380" s="31" t="inlineStr">
        <is>
          <t>S1</t>
        </is>
      </c>
      <c r="N380" s="31" t="inlineStr">
        <is>
          <t>S2</t>
        </is>
      </c>
      <c r="O380" s="31" t="inlineStr">
        <is>
          <t>2406M74G01</t>
        </is>
      </c>
      <c r="P380" s="31" t="inlineStr">
        <is>
          <t>SR Technics Switzerland</t>
        </is>
      </c>
    </row>
    <row r="381">
      <c r="B381" s="31" t="inlineStr">
        <is>
          <t>CFM56-5B</t>
        </is>
      </c>
      <c r="C381" s="31" t="inlineStr">
        <is>
          <t>2024-2025</t>
        </is>
      </c>
      <c r="D381" s="31" t="inlineStr">
        <is>
          <t>139996</t>
        </is>
      </c>
      <c r="E381" s="31" t="inlineStr">
        <is>
          <t>72-21-05</t>
        </is>
      </c>
      <c r="F381" s="31" t="inlineStr">
        <is>
          <t>AF</t>
        </is>
      </c>
      <c r="G381" s="31" t="inlineStr">
        <is>
          <t>Fan / booster</t>
        </is>
      </c>
      <c r="H381" s="27" t="n">
        <v>1270</v>
      </c>
      <c r="I381" s="27" t="n">
        <v>1350</v>
      </c>
      <c r="J381" s="154">
        <f>I381/H381-1</f>
        <v/>
      </c>
      <c r="K381" s="31" t="inlineStr">
        <is>
          <t>15</t>
        </is>
      </c>
      <c r="L381" s="31" t="inlineStr">
        <is>
          <t>15</t>
        </is>
      </c>
      <c r="M381" s="31" t="inlineStr">
        <is>
          <t>S1</t>
        </is>
      </c>
      <c r="N381" s="31" t="inlineStr">
        <is>
          <t>S2</t>
        </is>
      </c>
      <c r="O381" s="31" t="inlineStr">
        <is>
          <t>2406M74G01</t>
        </is>
      </c>
      <c r="P381" s="31" t="inlineStr">
        <is>
          <t>SR Technics Switzerland</t>
        </is>
      </c>
    </row>
    <row r="382">
      <c r="B382" s="31" t="inlineStr">
        <is>
          <t>CFM56-5B</t>
        </is>
      </c>
      <c r="C382" s="31" t="inlineStr">
        <is>
          <t>2024-2025</t>
        </is>
      </c>
      <c r="D382" s="31" t="inlineStr">
        <is>
          <t>139996</t>
        </is>
      </c>
      <c r="E382" s="31" t="inlineStr">
        <is>
          <t>72-21-05</t>
        </is>
      </c>
      <c r="F382" s="31" t="inlineStr">
        <is>
          <t>AI</t>
        </is>
      </c>
      <c r="G382" s="31" t="inlineStr">
        <is>
          <t>Fan / booster</t>
        </is>
      </c>
      <c r="H382" s="27" t="n">
        <v>595</v>
      </c>
      <c r="I382" s="27" t="n">
        <v>635</v>
      </c>
      <c r="J382" s="154">
        <f>I382/H382-1</f>
        <v/>
      </c>
      <c r="K382" s="31" t="inlineStr">
        <is>
          <t>15</t>
        </is>
      </c>
      <c r="L382" s="31" t="inlineStr">
        <is>
          <t>15</t>
        </is>
      </c>
      <c r="M382" s="31" t="inlineStr">
        <is>
          <t>S1</t>
        </is>
      </c>
      <c r="N382" s="31" t="inlineStr">
        <is>
          <t>S2</t>
        </is>
      </c>
      <c r="O382" s="31" t="inlineStr">
        <is>
          <t>2406M74G01</t>
        </is>
      </c>
      <c r="P382" s="31" t="inlineStr">
        <is>
          <t>SR Technics Switzerland</t>
        </is>
      </c>
    </row>
    <row r="383">
      <c r="B383" s="31" t="inlineStr">
        <is>
          <t>CFM56-5B</t>
        </is>
      </c>
      <c r="C383" s="31" t="inlineStr">
        <is>
          <t>2024-2025</t>
        </is>
      </c>
      <c r="D383" s="31" t="inlineStr">
        <is>
          <t>139996</t>
        </is>
      </c>
      <c r="E383" s="31" t="inlineStr">
        <is>
          <t>72-21-05</t>
        </is>
      </c>
      <c r="F383" s="31" t="inlineStr">
        <is>
          <t>D</t>
        </is>
      </c>
      <c r="G383" s="31" t="inlineStr">
        <is>
          <t>Fan / booster</t>
        </is>
      </c>
      <c r="H383" s="27" t="n">
        <v>1185</v>
      </c>
      <c r="I383" s="27" t="n">
        <v>1260</v>
      </c>
      <c r="J383" s="154">
        <f>I383/H383-1</f>
        <v/>
      </c>
      <c r="K383" s="31" t="inlineStr">
        <is>
          <t>15</t>
        </is>
      </c>
      <c r="L383" s="31" t="inlineStr">
        <is>
          <t>15</t>
        </is>
      </c>
      <c r="M383" s="31" t="inlineStr">
        <is>
          <t>S1</t>
        </is>
      </c>
      <c r="N383" s="31" t="inlineStr">
        <is>
          <t>S2</t>
        </is>
      </c>
      <c r="O383" s="31" t="inlineStr">
        <is>
          <t>2406M74G01</t>
        </is>
      </c>
      <c r="P383" s="31" t="inlineStr">
        <is>
          <t>SR Technics Switzerland</t>
        </is>
      </c>
    </row>
    <row r="384">
      <c r="B384" s="31" t="inlineStr">
        <is>
          <t>CFM56-5B</t>
        </is>
      </c>
      <c r="C384" s="31" t="inlineStr">
        <is>
          <t>2024-2025</t>
        </is>
      </c>
      <c r="D384" s="31" t="inlineStr">
        <is>
          <t>139996</t>
        </is>
      </c>
      <c r="E384" s="31" t="inlineStr">
        <is>
          <t>72-21-05</t>
        </is>
      </c>
      <c r="F384" s="31" t="inlineStr">
        <is>
          <t>E</t>
        </is>
      </c>
      <c r="G384" s="31" t="inlineStr">
        <is>
          <t>Fan / booster</t>
        </is>
      </c>
      <c r="H384" s="27" t="n">
        <v>1560</v>
      </c>
      <c r="I384" s="27" t="n">
        <v>1655</v>
      </c>
      <c r="J384" s="154">
        <f>I384/H384-1</f>
        <v/>
      </c>
      <c r="K384" s="31" t="inlineStr">
        <is>
          <t>15</t>
        </is>
      </c>
      <c r="L384" s="31" t="inlineStr">
        <is>
          <t>15</t>
        </is>
      </c>
      <c r="M384" s="31" t="inlineStr">
        <is>
          <t>S1</t>
        </is>
      </c>
      <c r="N384" s="31" t="inlineStr">
        <is>
          <t>S2</t>
        </is>
      </c>
      <c r="O384" s="31" t="inlineStr">
        <is>
          <t>2406M74G01</t>
        </is>
      </c>
      <c r="P384" s="31" t="inlineStr">
        <is>
          <t>SR Technics Switzerland</t>
        </is>
      </c>
    </row>
    <row r="385">
      <c r="B385" s="31" t="inlineStr">
        <is>
          <t>CFM56-5B</t>
        </is>
      </c>
      <c r="C385" s="31" t="inlineStr">
        <is>
          <t>2024-2025</t>
        </is>
      </c>
      <c r="D385" s="31" t="inlineStr">
        <is>
          <t>139996</t>
        </is>
      </c>
      <c r="E385" s="31" t="inlineStr">
        <is>
          <t>72-21-05</t>
        </is>
      </c>
      <c r="F385" s="31" t="inlineStr">
        <is>
          <t>I</t>
        </is>
      </c>
      <c r="G385" s="31" t="inlineStr">
        <is>
          <t>Fan / booster</t>
        </is>
      </c>
      <c r="H385" s="27" t="n">
        <v>1180</v>
      </c>
      <c r="I385" s="27" t="n">
        <v>1255</v>
      </c>
      <c r="J385" s="154">
        <f>I385/H385-1</f>
        <v/>
      </c>
      <c r="K385" s="31" t="inlineStr">
        <is>
          <t>15</t>
        </is>
      </c>
      <c r="L385" s="31" t="inlineStr">
        <is>
          <t>15</t>
        </is>
      </c>
      <c r="M385" s="31" t="inlineStr">
        <is>
          <t>S1</t>
        </is>
      </c>
      <c r="N385" s="31" t="inlineStr">
        <is>
          <t>S2</t>
        </is>
      </c>
      <c r="O385" s="31" t="inlineStr">
        <is>
          <t>2406M74G01</t>
        </is>
      </c>
      <c r="P385" s="31" t="inlineStr">
        <is>
          <t>SR Technics Switzerland</t>
        </is>
      </c>
    </row>
    <row r="386">
      <c r="B386" s="31" t="inlineStr">
        <is>
          <t>CFM56-5B</t>
        </is>
      </c>
      <c r="C386" s="31" t="inlineStr">
        <is>
          <t>2024-2025</t>
        </is>
      </c>
      <c r="D386" s="31" t="inlineStr">
        <is>
          <t>139996</t>
        </is>
      </c>
      <c r="E386" s="31" t="inlineStr">
        <is>
          <t>72-21-05</t>
        </is>
      </c>
      <c r="F386" s="31" t="inlineStr">
        <is>
          <t>O</t>
        </is>
      </c>
      <c r="G386" s="31" t="inlineStr">
        <is>
          <t>Fan / booster</t>
        </is>
      </c>
      <c r="H386" s="27" t="n">
        <v>2250</v>
      </c>
      <c r="I386" s="27" t="n">
        <v>2385</v>
      </c>
      <c r="J386" s="154">
        <f>I386/H386-1</f>
        <v/>
      </c>
      <c r="K386" s="31" t="inlineStr">
        <is>
          <t>15</t>
        </is>
      </c>
      <c r="L386" s="31" t="inlineStr">
        <is>
          <t>15</t>
        </is>
      </c>
      <c r="M386" s="31" t="inlineStr">
        <is>
          <t>S1</t>
        </is>
      </c>
      <c r="N386" s="31" t="inlineStr">
        <is>
          <t>S2</t>
        </is>
      </c>
      <c r="O386" s="31" t="inlineStr">
        <is>
          <t>2406M74G01</t>
        </is>
      </c>
      <c r="P386" s="31" t="inlineStr">
        <is>
          <t>SR Technics Switzerland</t>
        </is>
      </c>
    </row>
    <row r="387">
      <c r="B387" s="31" t="inlineStr">
        <is>
          <t>CFM56-5B</t>
        </is>
      </c>
      <c r="C387" s="31" t="inlineStr">
        <is>
          <t>2024-2025</t>
        </is>
      </c>
      <c r="D387" s="31" t="inlineStr">
        <is>
          <t>139996</t>
        </is>
      </c>
      <c r="E387" s="31" t="inlineStr">
        <is>
          <t>72-21-05</t>
        </is>
      </c>
      <c r="F387" s="31" t="inlineStr">
        <is>
          <t>Q</t>
        </is>
      </c>
      <c r="G387" s="31" t="inlineStr">
        <is>
          <t>Fan / booster</t>
        </is>
      </c>
      <c r="H387" s="27" t="n">
        <v>1300</v>
      </c>
      <c r="I387" s="27" t="n">
        <v>1380</v>
      </c>
      <c r="J387" s="154">
        <f>I387/H387-1</f>
        <v/>
      </c>
      <c r="K387" s="31" t="inlineStr">
        <is>
          <t>15</t>
        </is>
      </c>
      <c r="L387" s="31" t="inlineStr">
        <is>
          <t>15</t>
        </is>
      </c>
      <c r="M387" s="31" t="inlineStr">
        <is>
          <t>S1</t>
        </is>
      </c>
      <c r="N387" s="31" t="inlineStr">
        <is>
          <t>S2</t>
        </is>
      </c>
      <c r="O387" s="31" t="inlineStr">
        <is>
          <t>2406M74G01</t>
        </is>
      </c>
      <c r="P387" s="31" t="inlineStr">
        <is>
          <t>SR Technics Switzerland</t>
        </is>
      </c>
    </row>
    <row r="388">
      <c r="B388" s="31" t="inlineStr">
        <is>
          <t>CFM56-5B</t>
        </is>
      </c>
      <c r="C388" s="31" t="inlineStr">
        <is>
          <t>2024-2025</t>
        </is>
      </c>
      <c r="D388" s="31" t="inlineStr">
        <is>
          <t>139996</t>
        </is>
      </c>
      <c r="E388" s="31" t="inlineStr">
        <is>
          <t>72-21-05</t>
        </is>
      </c>
      <c r="F388" s="31" t="inlineStr">
        <is>
          <t>W</t>
        </is>
      </c>
      <c r="G388" s="31" t="inlineStr">
        <is>
          <t>Fan / booster</t>
        </is>
      </c>
      <c r="H388" s="27" t="n">
        <v>1145</v>
      </c>
      <c r="I388" s="27" t="n">
        <v>1215</v>
      </c>
      <c r="J388" s="154">
        <f>I388/H388-1</f>
        <v/>
      </c>
      <c r="K388" s="31" t="inlineStr">
        <is>
          <t>15</t>
        </is>
      </c>
      <c r="L388" s="31" t="inlineStr">
        <is>
          <t>15</t>
        </is>
      </c>
      <c r="M388" s="31" t="inlineStr">
        <is>
          <t>S1</t>
        </is>
      </c>
      <c r="N388" s="31" t="inlineStr">
        <is>
          <t>S2</t>
        </is>
      </c>
      <c r="O388" s="31" t="inlineStr">
        <is>
          <t>2406M74G01</t>
        </is>
      </c>
      <c r="P388" s="31" t="inlineStr">
        <is>
          <t>SR Technics Switzerland</t>
        </is>
      </c>
    </row>
    <row r="389">
      <c r="B389" s="31" t="inlineStr">
        <is>
          <t>CFM56-5B</t>
        </is>
      </c>
      <c r="C389" s="31" t="inlineStr">
        <is>
          <t>2024-2025</t>
        </is>
      </c>
      <c r="D389" s="31" t="inlineStr">
        <is>
          <t>140019</t>
        </is>
      </c>
      <c r="E389" s="31" t="inlineStr">
        <is>
          <t>72-52-06</t>
        </is>
      </c>
      <c r="F389" s="31" t="inlineStr">
        <is>
          <t>A</t>
        </is>
      </c>
      <c r="G389" s="31" t="inlineStr">
        <is>
          <t>HPT / nozzle</t>
        </is>
      </c>
      <c r="H389" s="27" t="n">
        <v>1010</v>
      </c>
      <c r="I389" s="27" t="n">
        <v>1075</v>
      </c>
      <c r="J389" s="154">
        <f>I389/H389-1</f>
        <v/>
      </c>
      <c r="K389" s="31" t="inlineStr">
        <is>
          <t>15</t>
        </is>
      </c>
      <c r="L389" s="31" t="inlineStr">
        <is>
          <t>15</t>
        </is>
      </c>
      <c r="M389" s="31" t="inlineStr">
        <is>
          <t>S1</t>
        </is>
      </c>
      <c r="N389" s="31" t="inlineStr">
        <is>
          <t>S2</t>
        </is>
      </c>
      <c r="O389" s="31" t="inlineStr">
        <is>
          <t>1795M66P01</t>
        </is>
      </c>
      <c r="P389" s="31" t="inlineStr">
        <is>
          <t>SR Technics Switzerland</t>
        </is>
      </c>
    </row>
    <row r="390">
      <c r="B390" s="31" t="inlineStr">
        <is>
          <t>CFM56-5B</t>
        </is>
      </c>
      <c r="C390" s="31" t="inlineStr">
        <is>
          <t>2024-2025</t>
        </is>
      </c>
      <c r="D390" s="31" t="inlineStr">
        <is>
          <t>140019</t>
        </is>
      </c>
      <c r="E390" s="31" t="inlineStr">
        <is>
          <t>72-52-06</t>
        </is>
      </c>
      <c r="F390" s="31" t="inlineStr">
        <is>
          <t>B</t>
        </is>
      </c>
      <c r="G390" s="31" t="inlineStr">
        <is>
          <t>HPT / nozzle</t>
        </is>
      </c>
      <c r="H390" s="27" t="n">
        <v>1040</v>
      </c>
      <c r="I390" s="27" t="n">
        <v>1105</v>
      </c>
      <c r="J390" s="154">
        <f>I390/H390-1</f>
        <v/>
      </c>
      <c r="K390" s="31" t="inlineStr">
        <is>
          <t>15</t>
        </is>
      </c>
      <c r="L390" s="31" t="inlineStr">
        <is>
          <t>15</t>
        </is>
      </c>
      <c r="M390" s="31" t="inlineStr">
        <is>
          <t>S1</t>
        </is>
      </c>
      <c r="N390" s="31" t="inlineStr">
        <is>
          <t>S2</t>
        </is>
      </c>
      <c r="O390" s="31" t="inlineStr">
        <is>
          <t>1795M66P01</t>
        </is>
      </c>
      <c r="P390" s="31" t="inlineStr">
        <is>
          <t>SR Technics Switzerland</t>
        </is>
      </c>
    </row>
    <row r="391">
      <c r="B391" s="31" t="inlineStr">
        <is>
          <t>CFM56-5B</t>
        </is>
      </c>
      <c r="C391" s="31" t="inlineStr">
        <is>
          <t>2024-2025</t>
        </is>
      </c>
      <c r="D391" s="31" t="inlineStr">
        <is>
          <t>140019</t>
        </is>
      </c>
      <c r="E391" s="31" t="inlineStr">
        <is>
          <t>72-52-06</t>
        </is>
      </c>
      <c r="F391" s="31" t="inlineStr">
        <is>
          <t>C</t>
        </is>
      </c>
      <c r="G391" s="31" t="inlineStr">
        <is>
          <t>HPT / nozzle</t>
        </is>
      </c>
      <c r="H391" s="27" t="n">
        <v>340</v>
      </c>
      <c r="I391" s="27" t="n">
        <v>365</v>
      </c>
      <c r="J391" s="154">
        <f>I391/H391-1</f>
        <v/>
      </c>
      <c r="K391" s="31" t="inlineStr">
        <is>
          <t>15</t>
        </is>
      </c>
      <c r="L391" s="31" t="inlineStr">
        <is>
          <t>15</t>
        </is>
      </c>
      <c r="M391" s="31" t="inlineStr">
        <is>
          <t>S1</t>
        </is>
      </c>
      <c r="N391" s="31" t="inlineStr">
        <is>
          <t>S2</t>
        </is>
      </c>
      <c r="O391" s="31" t="inlineStr">
        <is>
          <t>1795M66P01</t>
        </is>
      </c>
      <c r="P391" s="31" t="inlineStr">
        <is>
          <t>SR Technics Switzerland</t>
        </is>
      </c>
    </row>
    <row r="392">
      <c r="B392" s="31" t="inlineStr">
        <is>
          <t>CFM56-5B</t>
        </is>
      </c>
      <c r="C392" s="31" t="inlineStr">
        <is>
          <t>2024-2025</t>
        </is>
      </c>
      <c r="D392" s="31" t="inlineStr">
        <is>
          <t>140019</t>
        </is>
      </c>
      <c r="E392" s="31" t="inlineStr">
        <is>
          <t>72-52-06</t>
        </is>
      </c>
      <c r="F392" s="31" t="inlineStr">
        <is>
          <t>D</t>
        </is>
      </c>
      <c r="G392" s="31" t="inlineStr">
        <is>
          <t>HPT / nozzle</t>
        </is>
      </c>
      <c r="H392" s="27" t="n">
        <v>7200</v>
      </c>
      <c r="I392" s="27" t="n">
        <v>7635</v>
      </c>
      <c r="J392" s="154">
        <f>I392/H392-1</f>
        <v/>
      </c>
      <c r="K392" s="31" t="inlineStr">
        <is>
          <t>15</t>
        </is>
      </c>
      <c r="L392" s="31" t="inlineStr">
        <is>
          <t>15</t>
        </is>
      </c>
      <c r="M392" s="31" t="inlineStr">
        <is>
          <t>S1</t>
        </is>
      </c>
      <c r="N392" s="31" t="inlineStr">
        <is>
          <t>S2</t>
        </is>
      </c>
      <c r="O392" s="31" t="inlineStr">
        <is>
          <t>1795M66P01</t>
        </is>
      </c>
      <c r="P392" s="31" t="inlineStr">
        <is>
          <t>SR Technics Switzerland</t>
        </is>
      </c>
    </row>
    <row r="393">
      <c r="B393" s="31" t="inlineStr">
        <is>
          <t>CFM56-5B</t>
        </is>
      </c>
      <c r="C393" s="31" t="inlineStr">
        <is>
          <t>2024-2025</t>
        </is>
      </c>
      <c r="D393" s="31" t="inlineStr">
        <is>
          <t>140037</t>
        </is>
      </c>
      <c r="E393" s="31" t="inlineStr">
        <is>
          <t>72-54-08</t>
        </is>
      </c>
      <c r="F393" s="31" t="inlineStr">
        <is>
          <t>A</t>
        </is>
      </c>
      <c r="G393" s="31" t="inlineStr">
        <is>
          <t>LPT</t>
        </is>
      </c>
      <c r="H393" s="27" t="n">
        <v>250</v>
      </c>
      <c r="I393" s="27" t="n">
        <v>270</v>
      </c>
      <c r="J393" s="154">
        <f>I393/H393-1</f>
        <v/>
      </c>
      <c r="K393" s="31" t="inlineStr">
        <is>
          <t>53</t>
        </is>
      </c>
      <c r="L393" s="31" t="inlineStr">
        <is>
          <t>53</t>
        </is>
      </c>
      <c r="M393" s="31" t="inlineStr">
        <is>
          <t>S1</t>
        </is>
      </c>
      <c r="N393" s="31" t="inlineStr">
        <is>
          <t>S2</t>
        </is>
      </c>
      <c r="O393" s="31" t="inlineStr">
        <is>
          <t>338-083-003-0</t>
        </is>
      </c>
      <c r="P393" s="31" t="inlineStr">
        <is>
          <t>SRTAS</t>
        </is>
      </c>
    </row>
    <row r="394">
      <c r="B394" s="31" t="inlineStr">
        <is>
          <t>CFM56-5B</t>
        </is>
      </c>
      <c r="C394" s="31" t="inlineStr">
        <is>
          <t>2024-2025</t>
        </is>
      </c>
      <c r="D394" s="31" t="inlineStr">
        <is>
          <t>140037</t>
        </is>
      </c>
      <c r="E394" s="31" t="inlineStr">
        <is>
          <t>72-54-08</t>
        </is>
      </c>
      <c r="F394" s="31" t="inlineStr">
        <is>
          <t>C</t>
        </is>
      </c>
      <c r="G394" s="31" t="inlineStr">
        <is>
          <t>LPT</t>
        </is>
      </c>
      <c r="H394" s="27" t="n">
        <v>1460</v>
      </c>
      <c r="I394" s="27" t="n">
        <v>1580</v>
      </c>
      <c r="J394" s="154">
        <f>I394/H394-1</f>
        <v/>
      </c>
      <c r="K394" s="31" t="inlineStr">
        <is>
          <t>53</t>
        </is>
      </c>
      <c r="L394" s="31" t="inlineStr">
        <is>
          <t>53</t>
        </is>
      </c>
      <c r="M394" s="31" t="inlineStr">
        <is>
          <t>S1</t>
        </is>
      </c>
      <c r="N394" s="31" t="inlineStr">
        <is>
          <t>S2</t>
        </is>
      </c>
      <c r="O394" s="31" t="inlineStr">
        <is>
          <t>338-083-003-0</t>
        </is>
      </c>
      <c r="P394" s="31" t="inlineStr">
        <is>
          <t>SRTAS</t>
        </is>
      </c>
    </row>
    <row r="395">
      <c r="B395" s="31" t="inlineStr">
        <is>
          <t>CFM56-5B</t>
        </is>
      </c>
      <c r="C395" s="31" t="inlineStr">
        <is>
          <t>2024-2025</t>
        </is>
      </c>
      <c r="D395" s="31" t="inlineStr">
        <is>
          <t>140037</t>
        </is>
      </c>
      <c r="E395" s="31" t="inlineStr">
        <is>
          <t>72-54-08</t>
        </is>
      </c>
      <c r="F395" s="31" t="inlineStr">
        <is>
          <t>D</t>
        </is>
      </c>
      <c r="G395" s="31" t="inlineStr">
        <is>
          <t>LPT</t>
        </is>
      </c>
      <c r="H395" s="27" t="n">
        <v>3060</v>
      </c>
      <c r="I395" s="27" t="n">
        <v>3305</v>
      </c>
      <c r="J395" s="154">
        <f>I395/H395-1</f>
        <v/>
      </c>
      <c r="K395" s="31" t="inlineStr">
        <is>
          <t>53</t>
        </is>
      </c>
      <c r="L395" s="31" t="inlineStr">
        <is>
          <t>53, 54</t>
        </is>
      </c>
      <c r="M395" s="31" t="inlineStr">
        <is>
          <t>S1</t>
        </is>
      </c>
      <c r="N395" s="31" t="inlineStr">
        <is>
          <t>S2</t>
        </is>
      </c>
      <c r="O395" s="31" t="inlineStr">
        <is>
          <t>338-083-003-0</t>
        </is>
      </c>
      <c r="P395" s="31" t="inlineStr">
        <is>
          <t>SRTAS</t>
        </is>
      </c>
    </row>
    <row r="396">
      <c r="B396" s="31" t="inlineStr">
        <is>
          <t>CFM56-5B</t>
        </is>
      </c>
      <c r="C396" s="31" t="inlineStr">
        <is>
          <t>2024-2025</t>
        </is>
      </c>
      <c r="D396" s="31" t="inlineStr">
        <is>
          <t>140037</t>
        </is>
      </c>
      <c r="E396" s="31" t="inlineStr">
        <is>
          <t>72-54-08</t>
        </is>
      </c>
      <c r="F396" s="31" t="inlineStr">
        <is>
          <t>E</t>
        </is>
      </c>
      <c r="G396" s="31" t="inlineStr">
        <is>
          <t>LPT</t>
        </is>
      </c>
      <c r="H396" s="27" t="n">
        <v>775</v>
      </c>
      <c r="I396" s="27" t="n">
        <v>840</v>
      </c>
      <c r="J396" s="154">
        <f>I396/H396-1</f>
        <v/>
      </c>
      <c r="K396" s="31" t="inlineStr">
        <is>
          <t>54</t>
        </is>
      </c>
      <c r="L396" s="31" t="inlineStr">
        <is>
          <t>54</t>
        </is>
      </c>
      <c r="M396" s="31" t="inlineStr">
        <is>
          <t>S1</t>
        </is>
      </c>
      <c r="N396" s="31" t="inlineStr">
        <is>
          <t>S2</t>
        </is>
      </c>
      <c r="O396" s="31" t="inlineStr">
        <is>
          <t>338-083-003-0</t>
        </is>
      </c>
      <c r="P396" s="31" t="inlineStr">
        <is>
          <t>SRTAS</t>
        </is>
      </c>
    </row>
    <row r="397">
      <c r="B397" s="31" t="inlineStr">
        <is>
          <t>CFM56-5B</t>
        </is>
      </c>
      <c r="C397" s="31" t="inlineStr">
        <is>
          <t>2024-2025</t>
        </is>
      </c>
      <c r="D397" s="31" t="inlineStr">
        <is>
          <t>140037</t>
        </is>
      </c>
      <c r="E397" s="31" t="inlineStr">
        <is>
          <t>72-54-08</t>
        </is>
      </c>
      <c r="F397" s="31" t="inlineStr">
        <is>
          <t>F</t>
        </is>
      </c>
      <c r="G397" s="31" t="inlineStr">
        <is>
          <t>LPT</t>
        </is>
      </c>
      <c r="H397" s="27" t="n">
        <v>770</v>
      </c>
      <c r="I397" s="27" t="n">
        <v>835</v>
      </c>
      <c r="J397" s="154">
        <f>I397/H397-1</f>
        <v/>
      </c>
      <c r="K397" s="31" t="inlineStr">
        <is>
          <t>54</t>
        </is>
      </c>
      <c r="L397" s="31" t="inlineStr">
        <is>
          <t>54</t>
        </is>
      </c>
      <c r="M397" s="31" t="inlineStr">
        <is>
          <t>S1</t>
        </is>
      </c>
      <c r="N397" s="31" t="inlineStr">
        <is>
          <t>S2</t>
        </is>
      </c>
      <c r="O397" s="31" t="inlineStr">
        <is>
          <t>338-083-003-0</t>
        </is>
      </c>
      <c r="P397" s="31" t="inlineStr">
        <is>
          <t>SRTAS</t>
        </is>
      </c>
    </row>
    <row r="398">
      <c r="B398" s="31" t="inlineStr">
        <is>
          <t>CFM56-5B</t>
        </is>
      </c>
      <c r="C398" s="31" t="inlineStr">
        <is>
          <t>2024-2025</t>
        </is>
      </c>
      <c r="D398" s="31" t="inlineStr">
        <is>
          <t>140037</t>
        </is>
      </c>
      <c r="E398" s="31" t="inlineStr">
        <is>
          <t>72-54-08</t>
        </is>
      </c>
      <c r="F398" s="31" t="inlineStr">
        <is>
          <t>G</t>
        </is>
      </c>
      <c r="G398" s="31" t="inlineStr">
        <is>
          <t>LPT</t>
        </is>
      </c>
      <c r="H398" s="27" t="n">
        <v>645</v>
      </c>
      <c r="I398" s="27" t="n">
        <v>700</v>
      </c>
      <c r="J398" s="154">
        <f>I398/H398-1</f>
        <v/>
      </c>
      <c r="K398" s="31" t="inlineStr">
        <is>
          <t>54</t>
        </is>
      </c>
      <c r="L398" s="31" t="inlineStr">
        <is>
          <t>54</t>
        </is>
      </c>
      <c r="M398" s="31" t="inlineStr">
        <is>
          <t>S1</t>
        </is>
      </c>
      <c r="N398" s="31" t="inlineStr">
        <is>
          <t>S2</t>
        </is>
      </c>
      <c r="O398" s="31" t="inlineStr">
        <is>
          <t>338-083-003-0</t>
        </is>
      </c>
      <c r="P398" s="31" t="inlineStr">
        <is>
          <t>SRTAS</t>
        </is>
      </c>
    </row>
    <row r="399">
      <c r="B399" s="31" t="inlineStr">
        <is>
          <t>CFM56-5B</t>
        </is>
      </c>
      <c r="C399" s="31" t="inlineStr">
        <is>
          <t>2024-2025</t>
        </is>
      </c>
      <c r="D399" s="31" t="inlineStr">
        <is>
          <t>140037</t>
        </is>
      </c>
      <c r="E399" s="31" t="inlineStr">
        <is>
          <t>72-54-08</t>
        </is>
      </c>
      <c r="F399" s="31" t="inlineStr">
        <is>
          <t>H</t>
        </is>
      </c>
      <c r="G399" s="31" t="inlineStr">
        <is>
          <t>LPT</t>
        </is>
      </c>
      <c r="H399" s="27" t="n">
        <v>885</v>
      </c>
      <c r="I399" s="27" t="n">
        <v>960</v>
      </c>
      <c r="J399" s="154">
        <f>I399/H399-1</f>
        <v/>
      </c>
      <c r="K399" s="31" t="inlineStr">
        <is>
          <t>54</t>
        </is>
      </c>
      <c r="L399" s="31" t="inlineStr">
        <is>
          <t>54</t>
        </is>
      </c>
      <c r="M399" s="31" t="inlineStr">
        <is>
          <t>S1</t>
        </is>
      </c>
      <c r="N399" s="31" t="inlineStr">
        <is>
          <t>S2</t>
        </is>
      </c>
      <c r="O399" s="31" t="inlineStr">
        <is>
          <t>338-083-003-0</t>
        </is>
      </c>
      <c r="P399" s="31" t="inlineStr">
        <is>
          <t>SRTAS</t>
        </is>
      </c>
    </row>
    <row r="400">
      <c r="B400" s="31" t="inlineStr">
        <is>
          <t>CFM56-5B</t>
        </is>
      </c>
      <c r="C400" s="31" t="inlineStr">
        <is>
          <t>2024-2025</t>
        </is>
      </c>
      <c r="D400" s="31" t="inlineStr">
        <is>
          <t>140077</t>
        </is>
      </c>
      <c r="E400" s="31" t="inlineStr">
        <is>
          <t>73-11-14</t>
        </is>
      </c>
      <c r="F400" s="31" t="inlineStr">
        <is>
          <t>B</t>
        </is>
      </c>
      <c r="G400" s="31" t="inlineStr">
        <is>
          <t>Fuel system</t>
        </is>
      </c>
      <c r="H400" s="27" t="n">
        <v>1055</v>
      </c>
      <c r="I400" s="27" t="n">
        <v>1120</v>
      </c>
      <c r="J400" s="154">
        <f>I400/H400-1</f>
        <v/>
      </c>
      <c r="K400" s="31" t="inlineStr">
        <is>
          <t>15</t>
        </is>
      </c>
      <c r="L400" s="31" t="inlineStr">
        <is>
          <t>15</t>
        </is>
      </c>
      <c r="M400" s="31" t="inlineStr">
        <is>
          <t>S1</t>
        </is>
      </c>
      <c r="N400" s="31" t="inlineStr">
        <is>
          <t>S2</t>
        </is>
      </c>
      <c r="O400" s="31" t="inlineStr">
        <is>
          <t>215371</t>
        </is>
      </c>
      <c r="P400" s="31" t="inlineStr">
        <is>
          <t>SR Technics Switzerland</t>
        </is>
      </c>
    </row>
    <row r="401">
      <c r="B401" s="31" t="inlineStr">
        <is>
          <t>CFM56-5B</t>
        </is>
      </c>
      <c r="C401" s="31" t="inlineStr">
        <is>
          <t>2024-2025</t>
        </is>
      </c>
      <c r="D401" s="31" t="inlineStr">
        <is>
          <t>140078</t>
        </is>
      </c>
      <c r="E401" s="31" t="inlineStr">
        <is>
          <t>73-11-14</t>
        </is>
      </c>
      <c r="F401" s="31" t="inlineStr">
        <is>
          <t>B</t>
        </is>
      </c>
      <c r="G401" s="31" t="inlineStr">
        <is>
          <t>Fuel system</t>
        </is>
      </c>
      <c r="H401" s="27" t="n">
        <v>265</v>
      </c>
      <c r="I401" s="27" t="n">
        <v>285</v>
      </c>
      <c r="J401" s="154">
        <f>I401/H401-1</f>
        <v/>
      </c>
      <c r="K401" s="31" t="inlineStr">
        <is>
          <t>15</t>
        </is>
      </c>
      <c r="L401" s="31" t="inlineStr">
        <is>
          <t>15</t>
        </is>
      </c>
      <c r="M401" s="31" t="inlineStr">
        <is>
          <t>S1</t>
        </is>
      </c>
      <c r="N401" s="31" t="inlineStr">
        <is>
          <t>S2</t>
        </is>
      </c>
      <c r="O401" s="31" t="inlineStr">
        <is>
          <t>215372</t>
        </is>
      </c>
      <c r="P401" s="31" t="inlineStr">
        <is>
          <t>SR Technics Switzerland</t>
        </is>
      </c>
    </row>
    <row r="402">
      <c r="B402" s="31" t="inlineStr">
        <is>
          <t>CFM56-5B</t>
        </is>
      </c>
      <c r="C402" s="31" t="inlineStr">
        <is>
          <t>2024-2025</t>
        </is>
      </c>
      <c r="D402" s="31" t="inlineStr">
        <is>
          <t>140121</t>
        </is>
      </c>
      <c r="E402" s="31" t="inlineStr">
        <is>
          <t>72-32-15</t>
        </is>
      </c>
      <c r="F402" s="31" t="inlineStr">
        <is>
          <t>A</t>
        </is>
      </c>
      <c r="G402" s="31" t="inlineStr">
        <is>
          <t>Compressor</t>
        </is>
      </c>
      <c r="H402" s="27" t="n">
        <v>675</v>
      </c>
      <c r="I402" s="27" t="n">
        <v>720</v>
      </c>
      <c r="J402" s="154">
        <f>I402/H402-1</f>
        <v/>
      </c>
      <c r="K402" s="31" t="inlineStr">
        <is>
          <t>54</t>
        </is>
      </c>
      <c r="L402" s="31" t="inlineStr">
        <is>
          <t>54</t>
        </is>
      </c>
      <c r="M402" s="31" t="inlineStr">
        <is>
          <t>S1</t>
        </is>
      </c>
      <c r="N402" s="31" t="inlineStr">
        <is>
          <t>S2</t>
        </is>
      </c>
      <c r="O402" s="31" t="inlineStr">
        <is>
          <t>1276M85P05</t>
        </is>
      </c>
      <c r="P402" s="31" t="inlineStr">
        <is>
          <t>SR Technics Switzerland</t>
        </is>
      </c>
    </row>
    <row r="403">
      <c r="B403" s="31" t="inlineStr">
        <is>
          <t>CFM56-5B</t>
        </is>
      </c>
      <c r="C403" s="31" t="inlineStr">
        <is>
          <t>2024-2025</t>
        </is>
      </c>
      <c r="D403" s="31" t="inlineStr">
        <is>
          <t>140131</t>
        </is>
      </c>
      <c r="E403" s="31" t="inlineStr">
        <is>
          <t>72-52-08</t>
        </is>
      </c>
      <c r="F403" s="31" t="inlineStr">
        <is>
          <t>A</t>
        </is>
      </c>
      <c r="G403" s="31" t="inlineStr">
        <is>
          <t>HPT / nozzle</t>
        </is>
      </c>
      <c r="H403" s="27" t="n">
        <v>600</v>
      </c>
      <c r="I403" s="27" t="n">
        <v>640</v>
      </c>
      <c r="J403" s="154">
        <f>I403/H403-1</f>
        <v/>
      </c>
      <c r="K403" s="31" t="inlineStr">
        <is>
          <t>15</t>
        </is>
      </c>
      <c r="L403" s="31" t="inlineStr">
        <is>
          <t>15</t>
        </is>
      </c>
      <c r="M403" s="31" t="inlineStr">
        <is>
          <t>S1</t>
        </is>
      </c>
      <c r="N403" s="31" t="inlineStr">
        <is>
          <t>S2</t>
        </is>
      </c>
      <c r="O403" s="31" t="inlineStr">
        <is>
          <t>1851M59P01</t>
        </is>
      </c>
      <c r="P403" s="31" t="inlineStr">
        <is>
          <t>SR Technics Switzerland</t>
        </is>
      </c>
    </row>
    <row r="404">
      <c r="B404" s="31" t="inlineStr">
        <is>
          <t>CFM56-5B</t>
        </is>
      </c>
      <c r="C404" s="31" t="inlineStr">
        <is>
          <t>2024-2025</t>
        </is>
      </c>
      <c r="D404" s="31" t="inlineStr">
        <is>
          <t>140131</t>
        </is>
      </c>
      <c r="E404" s="31" t="inlineStr">
        <is>
          <t>72-52-08</t>
        </is>
      </c>
      <c r="F404" s="31" t="inlineStr">
        <is>
          <t>B</t>
        </is>
      </c>
      <c r="G404" s="31" t="inlineStr">
        <is>
          <t>HPT / nozzle</t>
        </is>
      </c>
      <c r="H404" s="27" t="n">
        <v>4045</v>
      </c>
      <c r="I404" s="27" t="n">
        <v>4290</v>
      </c>
      <c r="J404" s="154">
        <f>I404/H404-1</f>
        <v/>
      </c>
      <c r="K404" s="31" t="inlineStr">
        <is>
          <t>15</t>
        </is>
      </c>
      <c r="L404" s="31" t="inlineStr">
        <is>
          <t>15</t>
        </is>
      </c>
      <c r="M404" s="31" t="inlineStr">
        <is>
          <t>S1</t>
        </is>
      </c>
      <c r="N404" s="31" t="inlineStr">
        <is>
          <t>S2</t>
        </is>
      </c>
      <c r="O404" s="31" t="inlineStr">
        <is>
          <t>1851M59P01</t>
        </is>
      </c>
      <c r="P404" s="31" t="inlineStr">
        <is>
          <t>SR Technics Switzerland</t>
        </is>
      </c>
    </row>
    <row r="405">
      <c r="B405" s="31" t="inlineStr">
        <is>
          <t>CFM56-5B</t>
        </is>
      </c>
      <c r="C405" s="31" t="inlineStr">
        <is>
          <t>2024-2025</t>
        </is>
      </c>
      <c r="D405" s="31" t="inlineStr">
        <is>
          <t>140131</t>
        </is>
      </c>
      <c r="E405" s="31" t="inlineStr">
        <is>
          <t>72-52-08</t>
        </is>
      </c>
      <c r="F405" s="31" t="inlineStr">
        <is>
          <t>C</t>
        </is>
      </c>
      <c r="G405" s="31" t="inlineStr">
        <is>
          <t>HPT / nozzle</t>
        </is>
      </c>
      <c r="H405" s="27" t="n">
        <v>815</v>
      </c>
      <c r="I405" s="27" t="n">
        <v>865</v>
      </c>
      <c r="J405" s="154">
        <f>I405/H405-1</f>
        <v/>
      </c>
      <c r="K405" s="31" t="inlineStr">
        <is>
          <t>15</t>
        </is>
      </c>
      <c r="L405" s="31" t="inlineStr">
        <is>
          <t>15</t>
        </is>
      </c>
      <c r="M405" s="31" t="inlineStr">
        <is>
          <t>S1</t>
        </is>
      </c>
      <c r="N405" s="31" t="inlineStr">
        <is>
          <t>S2</t>
        </is>
      </c>
      <c r="O405" s="31" t="inlineStr">
        <is>
          <t>1851M59P01</t>
        </is>
      </c>
      <c r="P405" s="31" t="inlineStr">
        <is>
          <t>SR Technics Switzerland</t>
        </is>
      </c>
    </row>
    <row r="406">
      <c r="B406" s="31" t="inlineStr">
        <is>
          <t>CFM56-5B</t>
        </is>
      </c>
      <c r="C406" s="31" t="inlineStr">
        <is>
          <t>2024-2025</t>
        </is>
      </c>
      <c r="D406" s="31" t="inlineStr">
        <is>
          <t>140149</t>
        </is>
      </c>
      <c r="E406" s="31" t="inlineStr">
        <is>
          <t>72-23-03</t>
        </is>
      </c>
      <c r="F406" s="31" t="inlineStr">
        <is>
          <t>A</t>
        </is>
      </c>
      <c r="G406" s="31" t="inlineStr">
        <is>
          <t>Fan / booster</t>
        </is>
      </c>
      <c r="H406" s="27" t="n">
        <v>335</v>
      </c>
      <c r="I406" s="27" t="n">
        <v>360</v>
      </c>
      <c r="J406" s="154">
        <f>I406/H406-1</f>
        <v/>
      </c>
      <c r="K406" s="31" t="inlineStr">
        <is>
          <t>54</t>
        </is>
      </c>
      <c r="L406" s="31" t="inlineStr">
        <is>
          <t>54</t>
        </is>
      </c>
      <c r="M406" s="31" t="inlineStr">
        <is>
          <t>S1</t>
        </is>
      </c>
      <c r="N406" s="31" t="inlineStr">
        <is>
          <t>S2</t>
        </is>
      </c>
      <c r="O406" s="31" t="inlineStr">
        <is>
          <t>338-067-007-0</t>
        </is>
      </c>
      <c r="P406" s="31" t="inlineStr">
        <is>
          <t>SR Technics Switzerland</t>
        </is>
      </c>
    </row>
    <row r="407">
      <c r="B407" s="31" t="inlineStr">
        <is>
          <t>CFM56-5B</t>
        </is>
      </c>
      <c r="C407" s="31" t="inlineStr">
        <is>
          <t>2024-2025</t>
        </is>
      </c>
      <c r="D407" s="31" t="inlineStr">
        <is>
          <t>140149</t>
        </is>
      </c>
      <c r="E407" s="31" t="inlineStr">
        <is>
          <t>72-23-03</t>
        </is>
      </c>
      <c r="F407" s="31" t="inlineStr">
        <is>
          <t>H</t>
        </is>
      </c>
      <c r="G407" s="31" t="inlineStr">
        <is>
          <t>Fan / booster</t>
        </is>
      </c>
      <c r="H407" s="27" t="n">
        <v>680</v>
      </c>
      <c r="I407" s="27" t="n">
        <v>725</v>
      </c>
      <c r="J407" s="154">
        <f>I407/H407-1</f>
        <v/>
      </c>
      <c r="K407" s="31" t="inlineStr">
        <is>
          <t>54</t>
        </is>
      </c>
      <c r="L407" s="31" t="inlineStr">
        <is>
          <t>54</t>
        </is>
      </c>
      <c r="M407" s="31" t="inlineStr">
        <is>
          <t>S1</t>
        </is>
      </c>
      <c r="N407" s="31" t="inlineStr">
        <is>
          <t>S2</t>
        </is>
      </c>
      <c r="O407" s="31" t="inlineStr">
        <is>
          <t>338-067-007-0</t>
        </is>
      </c>
      <c r="P407" s="31" t="inlineStr">
        <is>
          <t>SR Technics Switzerland</t>
        </is>
      </c>
    </row>
    <row r="408">
      <c r="B408" s="31" t="inlineStr">
        <is>
          <t>CFM56-5B</t>
        </is>
      </c>
      <c r="C408" s="31" t="inlineStr">
        <is>
          <t>2024-2025</t>
        </is>
      </c>
      <c r="D408" s="31" t="inlineStr">
        <is>
          <t>140150</t>
        </is>
      </c>
      <c r="E408" s="31" t="inlineStr">
        <is>
          <t>72-23-23</t>
        </is>
      </c>
      <c r="F408" s="31" t="inlineStr">
        <is>
          <t>A</t>
        </is>
      </c>
      <c r="G408" s="31" t="inlineStr">
        <is>
          <t>Fan / booster</t>
        </is>
      </c>
      <c r="H408" s="27" t="n">
        <v>1010</v>
      </c>
      <c r="I408" s="27" t="n">
        <v>1075</v>
      </c>
      <c r="J408" s="154">
        <f>I408/H408-1</f>
        <v/>
      </c>
      <c r="K408" s="31" t="inlineStr">
        <is>
          <t>15</t>
        </is>
      </c>
      <c r="L408" s="31" t="inlineStr">
        <is>
          <t>15</t>
        </is>
      </c>
      <c r="M408" s="31" t="inlineStr">
        <is>
          <t>S1</t>
        </is>
      </c>
      <c r="N408" s="31" t="inlineStr">
        <is>
          <t>S2</t>
        </is>
      </c>
      <c r="O408" s="31" t="inlineStr">
        <is>
          <t>338-007-103-0</t>
        </is>
      </c>
      <c r="P408" s="31" t="inlineStr">
        <is>
          <t>SR Technics Switzerland</t>
        </is>
      </c>
    </row>
    <row r="409">
      <c r="B409" s="31" t="inlineStr">
        <is>
          <t>CFM56-5B</t>
        </is>
      </c>
      <c r="C409" s="31" t="inlineStr">
        <is>
          <t>2024-2025</t>
        </is>
      </c>
      <c r="D409" s="31" t="inlineStr">
        <is>
          <t>140150</t>
        </is>
      </c>
      <c r="E409" s="31" t="inlineStr">
        <is>
          <t>72-23-23</t>
        </is>
      </c>
      <c r="F409" s="31" t="inlineStr">
        <is>
          <t>B</t>
        </is>
      </c>
      <c r="G409" s="31" t="inlineStr">
        <is>
          <t>Fan / booster</t>
        </is>
      </c>
      <c r="H409" s="27" t="n">
        <v>1260</v>
      </c>
      <c r="I409" s="27" t="n">
        <v>1340</v>
      </c>
      <c r="J409" s="154">
        <f>I409/H409-1</f>
        <v/>
      </c>
      <c r="K409" s="31" t="inlineStr">
        <is>
          <t>15</t>
        </is>
      </c>
      <c r="L409" s="31" t="inlineStr">
        <is>
          <t>15</t>
        </is>
      </c>
      <c r="M409" s="31" t="inlineStr">
        <is>
          <t>S1</t>
        </is>
      </c>
      <c r="N409" s="31" t="inlineStr">
        <is>
          <t>S2</t>
        </is>
      </c>
      <c r="O409" s="31" t="inlineStr">
        <is>
          <t>338-007-103-0</t>
        </is>
      </c>
      <c r="P409" s="31" t="inlineStr">
        <is>
          <t>SR Technics Switzerland</t>
        </is>
      </c>
    </row>
    <row r="410">
      <c r="B410" s="31" t="inlineStr">
        <is>
          <t>CFM56-5B</t>
        </is>
      </c>
      <c r="C410" s="31" t="inlineStr">
        <is>
          <t>2024-2025</t>
        </is>
      </c>
      <c r="D410" s="31" t="inlineStr">
        <is>
          <t>140150</t>
        </is>
      </c>
      <c r="E410" s="31" t="inlineStr">
        <is>
          <t>72-23-23</t>
        </is>
      </c>
      <c r="F410" s="31" t="inlineStr">
        <is>
          <t>E</t>
        </is>
      </c>
      <c r="G410" s="31" t="inlineStr">
        <is>
          <t>Fan / booster</t>
        </is>
      </c>
      <c r="H410" s="27" t="n">
        <v>5370</v>
      </c>
      <c r="I410" s="27" t="n">
        <v>5695</v>
      </c>
      <c r="J410" s="154">
        <f>I410/H410-1</f>
        <v/>
      </c>
      <c r="K410" s="31" t="inlineStr">
        <is>
          <t>15</t>
        </is>
      </c>
      <c r="L410" s="31" t="inlineStr">
        <is>
          <t>15</t>
        </is>
      </c>
      <c r="M410" s="31" t="inlineStr">
        <is>
          <t>S1</t>
        </is>
      </c>
      <c r="N410" s="31" t="inlineStr">
        <is>
          <t>S2</t>
        </is>
      </c>
      <c r="O410" s="31" t="inlineStr">
        <is>
          <t>338-007-103-0</t>
        </is>
      </c>
      <c r="P410" s="31" t="inlineStr">
        <is>
          <t>SR Technics Switzerland</t>
        </is>
      </c>
    </row>
    <row r="411">
      <c r="B411" s="31" t="inlineStr">
        <is>
          <t>CFM56-5B</t>
        </is>
      </c>
      <c r="C411" s="31" t="inlineStr">
        <is>
          <t>2024-2025</t>
        </is>
      </c>
      <c r="D411" s="31" t="inlineStr">
        <is>
          <t>140150</t>
        </is>
      </c>
      <c r="E411" s="31" t="inlineStr">
        <is>
          <t>72-23-23</t>
        </is>
      </c>
      <c r="F411" s="31" t="inlineStr">
        <is>
          <t>F</t>
        </is>
      </c>
      <c r="G411" s="31" t="inlineStr">
        <is>
          <t>Fan / booster</t>
        </is>
      </c>
      <c r="H411" s="27" t="n">
        <v>5100</v>
      </c>
      <c r="I411" s="27" t="n">
        <v>5410</v>
      </c>
      <c r="J411" s="154">
        <f>I411/H411-1</f>
        <v/>
      </c>
      <c r="K411" s="31" t="inlineStr">
        <is>
          <t>15</t>
        </is>
      </c>
      <c r="L411" s="31" t="inlineStr">
        <is>
          <t>15</t>
        </is>
      </c>
      <c r="M411" s="31" t="inlineStr">
        <is>
          <t>S1</t>
        </is>
      </c>
      <c r="N411" s="31" t="inlineStr">
        <is>
          <t>S2</t>
        </is>
      </c>
      <c r="O411" s="31" t="inlineStr">
        <is>
          <t>338-007-103-0</t>
        </is>
      </c>
      <c r="P411" s="31" t="inlineStr">
        <is>
          <t>SR Technics Switzerland</t>
        </is>
      </c>
    </row>
    <row r="412">
      <c r="B412" s="31" t="inlineStr">
        <is>
          <t>CFM56-5B</t>
        </is>
      </c>
      <c r="C412" s="31" t="inlineStr">
        <is>
          <t>2024-2025</t>
        </is>
      </c>
      <c r="D412" s="31" t="inlineStr">
        <is>
          <t>140150</t>
        </is>
      </c>
      <c r="E412" s="31" t="inlineStr">
        <is>
          <t>72-23-23</t>
        </is>
      </c>
      <c r="F412" s="31" t="inlineStr">
        <is>
          <t>G</t>
        </is>
      </c>
      <c r="G412" s="31" t="inlineStr">
        <is>
          <t>Fan / booster</t>
        </is>
      </c>
      <c r="H412" s="27" t="n">
        <v>2825</v>
      </c>
      <c r="I412" s="27" t="n">
        <v>2995</v>
      </c>
      <c r="J412" s="154">
        <f>I412/H412-1</f>
        <v/>
      </c>
      <c r="K412" s="31" t="inlineStr">
        <is>
          <t>15</t>
        </is>
      </c>
      <c r="L412" s="31" t="inlineStr">
        <is>
          <t>15</t>
        </is>
      </c>
      <c r="M412" s="31" t="inlineStr">
        <is>
          <t>S1</t>
        </is>
      </c>
      <c r="N412" s="31" t="inlineStr">
        <is>
          <t>S2</t>
        </is>
      </c>
      <c r="O412" s="31" t="inlineStr">
        <is>
          <t>338-007-103-0</t>
        </is>
      </c>
      <c r="P412" s="31" t="inlineStr">
        <is>
          <t>SR Technics Switzerland</t>
        </is>
      </c>
    </row>
    <row r="413">
      <c r="B413" s="31" t="inlineStr">
        <is>
          <t>CFM56-5B</t>
        </is>
      </c>
      <c r="C413" s="31" t="inlineStr">
        <is>
          <t>2024-2025</t>
        </is>
      </c>
      <c r="D413" s="31" t="inlineStr">
        <is>
          <t>140213</t>
        </is>
      </c>
      <c r="E413" s="31" t="inlineStr">
        <is>
          <t>72-00-03</t>
        </is>
      </c>
      <c r="F413" s="31" t="inlineStr">
        <is>
          <t>A</t>
        </is>
      </c>
      <c r="G413" s="31" t="inlineStr">
        <is>
          <t>Other / assembly</t>
        </is>
      </c>
      <c r="H413" s="27" t="n">
        <v>385</v>
      </c>
      <c r="I413" s="27" t="n">
        <v>410</v>
      </c>
      <c r="J413" s="154">
        <f>I413/H413-1</f>
        <v/>
      </c>
      <c r="K413" s="31" t="inlineStr">
        <is>
          <t>88</t>
        </is>
      </c>
      <c r="L413" s="31" t="inlineStr">
        <is>
          <t>90</t>
        </is>
      </c>
      <c r="M413" s="31" t="inlineStr">
        <is>
          <t>S1</t>
        </is>
      </c>
      <c r="N413" s="31" t="inlineStr">
        <is>
          <t>S2</t>
        </is>
      </c>
      <c r="O413" s="31" t="inlineStr">
        <is>
          <t>LPT</t>
        </is>
      </c>
      <c r="P413" s="31" t="inlineStr">
        <is>
          <t>SR Technics Switzerland</t>
        </is>
      </c>
    </row>
    <row r="414">
      <c r="B414" s="31" t="inlineStr">
        <is>
          <t>CFM56-5B</t>
        </is>
      </c>
      <c r="C414" s="31" t="inlineStr">
        <is>
          <t>2024-2025</t>
        </is>
      </c>
      <c r="D414" s="31" t="inlineStr">
        <is>
          <t>140245</t>
        </is>
      </c>
      <c r="E414" s="31" t="inlineStr">
        <is>
          <t>72-54-11</t>
        </is>
      </c>
      <c r="F414" s="31" t="inlineStr">
        <is>
          <t>A</t>
        </is>
      </c>
      <c r="G414" s="31" t="inlineStr">
        <is>
          <t>LPT</t>
        </is>
      </c>
      <c r="H414" s="27" t="n">
        <v>570</v>
      </c>
      <c r="I414" s="27" t="n">
        <v>605</v>
      </c>
      <c r="J414" s="154">
        <f>I414/H414-1</f>
        <v/>
      </c>
      <c r="K414" s="31" t="inlineStr">
        <is>
          <t>54</t>
        </is>
      </c>
      <c r="L414" s="31" t="inlineStr">
        <is>
          <t>54</t>
        </is>
      </c>
      <c r="M414" s="31" t="inlineStr">
        <is>
          <t>S1</t>
        </is>
      </c>
      <c r="N414" s="31" t="inlineStr">
        <is>
          <t>S2</t>
        </is>
      </c>
      <c r="O414" s="31" t="inlineStr">
        <is>
          <t>338-061-302-0</t>
        </is>
      </c>
      <c r="P414" s="31" t="inlineStr">
        <is>
          <t>SR Technics Switzerland</t>
        </is>
      </c>
    </row>
    <row r="415">
      <c r="B415" s="31" t="inlineStr">
        <is>
          <t>CFM56-5B</t>
        </is>
      </c>
      <c r="C415" s="31" t="inlineStr">
        <is>
          <t>2024-2025</t>
        </is>
      </c>
      <c r="D415" s="31" t="inlineStr">
        <is>
          <t>140290</t>
        </is>
      </c>
      <c r="E415" s="31" t="inlineStr">
        <is>
          <t>72-54-12</t>
        </is>
      </c>
      <c r="F415" s="31" t="inlineStr">
        <is>
          <t>A</t>
        </is>
      </c>
      <c r="G415" s="31" t="inlineStr">
        <is>
          <t>LPT</t>
        </is>
      </c>
      <c r="H415" s="27" t="n">
        <v>220</v>
      </c>
      <c r="I415" s="27" t="n">
        <v>245</v>
      </c>
      <c r="J415" s="154">
        <f>I415/H415-1</f>
        <v/>
      </c>
      <c r="K415" s="31" t="inlineStr">
        <is>
          <t>15</t>
        </is>
      </c>
      <c r="L415" s="31" t="inlineStr">
        <is>
          <t>15</t>
        </is>
      </c>
      <c r="M415" s="31" t="inlineStr">
        <is>
          <t>S1</t>
        </is>
      </c>
      <c r="N415" s="31" t="inlineStr">
        <is>
          <t>S2</t>
        </is>
      </c>
      <c r="O415" s="31" t="inlineStr">
        <is>
          <t>338-061-004-0</t>
        </is>
      </c>
      <c r="P415" s="31" t="inlineStr">
        <is>
          <t>SRTAS</t>
        </is>
      </c>
    </row>
    <row r="416">
      <c r="B416" s="31" t="inlineStr">
        <is>
          <t>CFM56-5B</t>
        </is>
      </c>
      <c r="C416" s="31" t="inlineStr">
        <is>
          <t>2024-2025</t>
        </is>
      </c>
      <c r="D416" s="31" t="inlineStr">
        <is>
          <t>140290</t>
        </is>
      </c>
      <c r="E416" s="31" t="inlineStr">
        <is>
          <t>72-54-12</t>
        </is>
      </c>
      <c r="F416" s="31" t="inlineStr">
        <is>
          <t>B</t>
        </is>
      </c>
      <c r="G416" s="31" t="inlineStr">
        <is>
          <t>LPT</t>
        </is>
      </c>
      <c r="H416" s="27" t="n">
        <v>1070</v>
      </c>
      <c r="I416" s="27" t="n">
        <v>1160</v>
      </c>
      <c r="J416" s="154">
        <f>I416/H416-1</f>
        <v/>
      </c>
      <c r="K416" s="31" t="inlineStr">
        <is>
          <t>15</t>
        </is>
      </c>
      <c r="L416" s="31" t="inlineStr">
        <is>
          <t>15</t>
        </is>
      </c>
      <c r="M416" s="31" t="inlineStr">
        <is>
          <t>S1</t>
        </is>
      </c>
      <c r="N416" s="31" t="inlineStr">
        <is>
          <t>S2</t>
        </is>
      </c>
      <c r="O416" s="31" t="inlineStr">
        <is>
          <t>338-061-004-0</t>
        </is>
      </c>
      <c r="P416" s="31" t="inlineStr">
        <is>
          <t>SRTAS</t>
        </is>
      </c>
    </row>
    <row r="417">
      <c r="B417" s="31" t="inlineStr">
        <is>
          <t>CFM56-5B</t>
        </is>
      </c>
      <c r="C417" s="31" t="inlineStr">
        <is>
          <t>2024-2025</t>
        </is>
      </c>
      <c r="D417" s="31" t="inlineStr">
        <is>
          <t>140290</t>
        </is>
      </c>
      <c r="E417" s="31" t="inlineStr">
        <is>
          <t>72-54-12</t>
        </is>
      </c>
      <c r="F417" s="31" t="inlineStr">
        <is>
          <t>D</t>
        </is>
      </c>
      <c r="G417" s="31" t="inlineStr">
        <is>
          <t>LPT</t>
        </is>
      </c>
      <c r="H417" s="27" t="n">
        <v>100</v>
      </c>
      <c r="I417" s="27" t="n">
        <v>175</v>
      </c>
      <c r="J417" s="154">
        <f>I417/H417-1</f>
        <v/>
      </c>
      <c r="K417" s="31" t="inlineStr">
        <is>
          <t>15</t>
        </is>
      </c>
      <c r="L417" s="31" t="inlineStr">
        <is>
          <t>16</t>
        </is>
      </c>
      <c r="M417" s="31" t="inlineStr">
        <is>
          <t>S1</t>
        </is>
      </c>
      <c r="N417" s="31" t="inlineStr">
        <is>
          <t>S2</t>
        </is>
      </c>
      <c r="O417" s="31" t="inlineStr">
        <is>
          <t>338-061-004-0</t>
        </is>
      </c>
      <c r="P417" s="31" t="inlineStr">
        <is>
          <t>SRTAS</t>
        </is>
      </c>
    </row>
    <row r="418">
      <c r="B418" s="31" t="inlineStr">
        <is>
          <t>CFM56-5B</t>
        </is>
      </c>
      <c r="C418" s="31" t="inlineStr">
        <is>
          <t>2024-2025</t>
        </is>
      </c>
      <c r="D418" s="31" t="inlineStr">
        <is>
          <t>140290</t>
        </is>
      </c>
      <c r="E418" s="31" t="inlineStr">
        <is>
          <t>72-54-12</t>
        </is>
      </c>
      <c r="F418" s="31" t="inlineStr">
        <is>
          <t>E</t>
        </is>
      </c>
      <c r="G418" s="31" t="inlineStr">
        <is>
          <t>LPT</t>
        </is>
      </c>
      <c r="H418" s="27" t="n">
        <v>2260</v>
      </c>
      <c r="I418" s="27" t="n">
        <v>2445</v>
      </c>
      <c r="J418" s="154">
        <f>I418/H418-1</f>
        <v/>
      </c>
      <c r="K418" s="31" t="inlineStr">
        <is>
          <t>15</t>
        </is>
      </c>
      <c r="L418" s="31" t="inlineStr">
        <is>
          <t>16</t>
        </is>
      </c>
      <c r="M418" s="31" t="inlineStr">
        <is>
          <t>S1</t>
        </is>
      </c>
      <c r="N418" s="31" t="inlineStr">
        <is>
          <t>S2</t>
        </is>
      </c>
      <c r="O418" s="31" t="inlineStr">
        <is>
          <t>338-061-004-0</t>
        </is>
      </c>
      <c r="P418" s="31" t="inlineStr">
        <is>
          <t>SRTAS</t>
        </is>
      </c>
    </row>
    <row r="419">
      <c r="B419" s="31" t="inlineStr">
        <is>
          <t>CFM56-5B</t>
        </is>
      </c>
      <c r="C419" s="31" t="inlineStr">
        <is>
          <t>2024-2025</t>
        </is>
      </c>
      <c r="D419" s="31" t="inlineStr">
        <is>
          <t>140290</t>
        </is>
      </c>
      <c r="E419" s="31" t="inlineStr">
        <is>
          <t>72-54-12</t>
        </is>
      </c>
      <c r="F419" s="31" t="inlineStr">
        <is>
          <t>F</t>
        </is>
      </c>
      <c r="G419" s="31" t="inlineStr">
        <is>
          <t>LPT</t>
        </is>
      </c>
      <c r="H419" s="27" t="n">
        <v>120</v>
      </c>
      <c r="I419" s="27" t="n">
        <v>130</v>
      </c>
      <c r="J419" s="154">
        <f>I419/H419-1</f>
        <v/>
      </c>
      <c r="K419" s="31" t="inlineStr">
        <is>
          <t>15</t>
        </is>
      </c>
      <c r="L419" s="31" t="inlineStr">
        <is>
          <t>16</t>
        </is>
      </c>
      <c r="M419" s="31" t="inlineStr">
        <is>
          <t>S1</t>
        </is>
      </c>
      <c r="N419" s="31" t="inlineStr">
        <is>
          <t>S2</t>
        </is>
      </c>
      <c r="O419" s="31" t="inlineStr">
        <is>
          <t>338-061-004-0</t>
        </is>
      </c>
      <c r="P419" s="31" t="inlineStr">
        <is>
          <t>SRTAS</t>
        </is>
      </c>
    </row>
    <row r="420">
      <c r="B420" s="31" t="inlineStr">
        <is>
          <t>CFM56-5B</t>
        </is>
      </c>
      <c r="C420" s="31" t="inlineStr">
        <is>
          <t>2024-2025</t>
        </is>
      </c>
      <c r="D420" s="31" t="inlineStr">
        <is>
          <t>140290</t>
        </is>
      </c>
      <c r="E420" s="31" t="inlineStr">
        <is>
          <t>72-54-12</t>
        </is>
      </c>
      <c r="F420" s="31" t="inlineStr">
        <is>
          <t>H</t>
        </is>
      </c>
      <c r="G420" s="31" t="inlineStr">
        <is>
          <t>LPT</t>
        </is>
      </c>
      <c r="H420" s="27" t="n">
        <v>1060</v>
      </c>
      <c r="I420" s="27" t="n">
        <v>1145</v>
      </c>
      <c r="J420" s="154">
        <f>I420/H420-1</f>
        <v/>
      </c>
      <c r="K420" s="31" t="inlineStr">
        <is>
          <t>16</t>
        </is>
      </c>
      <c r="L420" s="31" t="inlineStr">
        <is>
          <t>16</t>
        </is>
      </c>
      <c r="M420" s="31" t="inlineStr">
        <is>
          <t>S1</t>
        </is>
      </c>
      <c r="N420" s="31" t="inlineStr">
        <is>
          <t>S2</t>
        </is>
      </c>
      <c r="O420" s="31" t="inlineStr">
        <is>
          <t>338-061-004-0</t>
        </is>
      </c>
      <c r="P420" s="31" t="inlineStr">
        <is>
          <t>SRTAS</t>
        </is>
      </c>
    </row>
    <row r="421">
      <c r="B421" s="31" t="inlineStr">
        <is>
          <t>CFM56-5B</t>
        </is>
      </c>
      <c r="C421" s="31" t="inlineStr">
        <is>
          <t>2024-2025</t>
        </is>
      </c>
      <c r="D421" s="31" t="inlineStr">
        <is>
          <t>140290</t>
        </is>
      </c>
      <c r="E421" s="31" t="inlineStr">
        <is>
          <t>72-54-12</t>
        </is>
      </c>
      <c r="F421" s="31" t="inlineStr">
        <is>
          <t>I</t>
        </is>
      </c>
      <c r="G421" s="31" t="inlineStr">
        <is>
          <t>LPT</t>
        </is>
      </c>
      <c r="H421" s="27" t="n">
        <v>160</v>
      </c>
      <c r="I421" s="27" t="n">
        <v>175</v>
      </c>
      <c r="J421" s="154">
        <f>I421/H421-1</f>
        <v/>
      </c>
      <c r="K421" s="31" t="inlineStr">
        <is>
          <t>16</t>
        </is>
      </c>
      <c r="L421" s="31" t="inlineStr">
        <is>
          <t>16</t>
        </is>
      </c>
      <c r="M421" s="31" t="inlineStr">
        <is>
          <t>S1</t>
        </is>
      </c>
      <c r="N421" s="31" t="inlineStr">
        <is>
          <t>S2</t>
        </is>
      </c>
      <c r="O421" s="31" t="inlineStr">
        <is>
          <t>338-061-004-0</t>
        </is>
      </c>
      <c r="P421" s="31" t="inlineStr">
        <is>
          <t>SRTAS</t>
        </is>
      </c>
    </row>
    <row r="422">
      <c r="B422" s="31" t="inlineStr">
        <is>
          <t>CFM56-5B</t>
        </is>
      </c>
      <c r="C422" s="31" t="inlineStr">
        <is>
          <t>2024-2025</t>
        </is>
      </c>
      <c r="D422" s="31" t="inlineStr">
        <is>
          <t>140290</t>
        </is>
      </c>
      <c r="E422" s="31" t="inlineStr">
        <is>
          <t>72-54-12</t>
        </is>
      </c>
      <c r="F422" s="31" t="inlineStr">
        <is>
          <t>J</t>
        </is>
      </c>
      <c r="G422" s="31" t="inlineStr">
        <is>
          <t>LPT</t>
        </is>
      </c>
      <c r="H422" s="27" t="n">
        <v>255</v>
      </c>
      <c r="I422" s="27" t="n">
        <v>280</v>
      </c>
      <c r="J422" s="154">
        <f>I422/H422-1</f>
        <v/>
      </c>
      <c r="K422" s="31" t="inlineStr">
        <is>
          <t>16</t>
        </is>
      </c>
      <c r="L422" s="31" t="inlineStr">
        <is>
          <t>16</t>
        </is>
      </c>
      <c r="M422" s="31" t="inlineStr">
        <is>
          <t>S1</t>
        </is>
      </c>
      <c r="N422" s="31" t="inlineStr">
        <is>
          <t>S2</t>
        </is>
      </c>
      <c r="O422" s="31" t="inlineStr">
        <is>
          <t>338-061-004-0</t>
        </is>
      </c>
      <c r="P422" s="31" t="inlineStr">
        <is>
          <t>SRTAS</t>
        </is>
      </c>
    </row>
    <row r="423">
      <c r="B423" s="31" t="inlineStr">
        <is>
          <t>CFM56-5B</t>
        </is>
      </c>
      <c r="C423" s="31" t="inlineStr">
        <is>
          <t>2024-2025</t>
        </is>
      </c>
      <c r="D423" s="31" t="inlineStr">
        <is>
          <t>140290</t>
        </is>
      </c>
      <c r="E423" s="31" t="inlineStr">
        <is>
          <t>72-54-12</t>
        </is>
      </c>
      <c r="F423" s="31" t="inlineStr">
        <is>
          <t>M</t>
        </is>
      </c>
      <c r="G423" s="31" t="inlineStr">
        <is>
          <t>LPT</t>
        </is>
      </c>
      <c r="H423" s="27" t="n">
        <v>255</v>
      </c>
      <c r="I423" s="27" t="n">
        <v>280</v>
      </c>
      <c r="J423" s="154">
        <f>I423/H423-1</f>
        <v/>
      </c>
      <c r="K423" s="31" t="inlineStr">
        <is>
          <t>16</t>
        </is>
      </c>
      <c r="L423" s="31" t="inlineStr">
        <is>
          <t>16</t>
        </is>
      </c>
      <c r="M423" s="31" t="inlineStr">
        <is>
          <t>S1</t>
        </is>
      </c>
      <c r="N423" s="31" t="inlineStr">
        <is>
          <t>S2</t>
        </is>
      </c>
      <c r="O423" s="31" t="inlineStr">
        <is>
          <t>338-061-004-0</t>
        </is>
      </c>
      <c r="P423" s="31" t="inlineStr">
        <is>
          <t>SRTAS</t>
        </is>
      </c>
    </row>
    <row r="424">
      <c r="B424" s="31" t="inlineStr">
        <is>
          <t>CFM56-5B</t>
        </is>
      </c>
      <c r="C424" s="31" t="inlineStr">
        <is>
          <t>2024-2025</t>
        </is>
      </c>
      <c r="D424" s="31" t="inlineStr">
        <is>
          <t>140290</t>
        </is>
      </c>
      <c r="E424" s="31" t="inlineStr">
        <is>
          <t>72-54-12</t>
        </is>
      </c>
      <c r="F424" s="31" t="inlineStr">
        <is>
          <t>O</t>
        </is>
      </c>
      <c r="G424" s="31" t="inlineStr">
        <is>
          <t>LPT</t>
        </is>
      </c>
      <c r="H424" s="27" t="n">
        <v>185</v>
      </c>
      <c r="I424" s="27" t="n">
        <v>200</v>
      </c>
      <c r="J424" s="154">
        <f>I424/H424-1</f>
        <v/>
      </c>
      <c r="K424" s="31" t="inlineStr">
        <is>
          <t>16</t>
        </is>
      </c>
      <c r="L424" s="31" t="inlineStr">
        <is>
          <t>16</t>
        </is>
      </c>
      <c r="M424" s="31" t="inlineStr">
        <is>
          <t>S1</t>
        </is>
      </c>
      <c r="N424" s="31" t="inlineStr">
        <is>
          <t>S2</t>
        </is>
      </c>
      <c r="O424" s="31" t="inlineStr">
        <is>
          <t>338-061-004-0</t>
        </is>
      </c>
      <c r="P424" s="31" t="inlineStr">
        <is>
          <t>SRTAS</t>
        </is>
      </c>
    </row>
    <row r="425">
      <c r="B425" s="31" t="inlineStr">
        <is>
          <t>CFM56-5B</t>
        </is>
      </c>
      <c r="C425" s="31" t="inlineStr">
        <is>
          <t>2024-2025</t>
        </is>
      </c>
      <c r="D425" s="31" t="inlineStr">
        <is>
          <t>141267</t>
        </is>
      </c>
      <c r="E425" s="31" t="inlineStr">
        <is>
          <t>72-62-07</t>
        </is>
      </c>
      <c r="F425" s="31" t="inlineStr">
        <is>
          <t>A</t>
        </is>
      </c>
      <c r="G425" s="31" t="inlineStr">
        <is>
          <t>Gearbox</t>
        </is>
      </c>
      <c r="H425" s="27" t="n">
        <v>285</v>
      </c>
      <c r="I425" s="27" t="n">
        <v>305</v>
      </c>
      <c r="J425" s="154">
        <f>I425/H425-1</f>
        <v/>
      </c>
      <c r="K425" s="31" t="inlineStr">
        <is>
          <t>16</t>
        </is>
      </c>
      <c r="L425" s="31" t="inlineStr">
        <is>
          <t>16</t>
        </is>
      </c>
      <c r="M425" s="31" t="inlineStr">
        <is>
          <t>S1</t>
        </is>
      </c>
      <c r="N425" s="31" t="inlineStr">
        <is>
          <t>S2</t>
        </is>
      </c>
      <c r="O425" s="31" t="inlineStr">
        <is>
          <t>305-138-501-0</t>
        </is>
      </c>
      <c r="P425" s="31" t="inlineStr">
        <is>
          <t>SR Technics Switzerland</t>
        </is>
      </c>
    </row>
    <row r="426">
      <c r="B426" s="31" t="inlineStr">
        <is>
          <t>CFM56-5B</t>
        </is>
      </c>
      <c r="C426" s="31" t="inlineStr">
        <is>
          <t>2024-2025</t>
        </is>
      </c>
      <c r="D426" s="31" t="inlineStr">
        <is>
          <t>141267</t>
        </is>
      </c>
      <c r="E426" s="31" t="inlineStr">
        <is>
          <t>72-62-07</t>
        </is>
      </c>
      <c r="F426" s="31" t="inlineStr">
        <is>
          <t>B</t>
        </is>
      </c>
      <c r="G426" s="31" t="inlineStr">
        <is>
          <t>Gearbox</t>
        </is>
      </c>
      <c r="H426" s="27" t="n">
        <v>370</v>
      </c>
      <c r="I426" s="27" t="n">
        <v>395</v>
      </c>
      <c r="J426" s="154">
        <f>I426/H426-1</f>
        <v/>
      </c>
      <c r="K426" s="31" t="inlineStr">
        <is>
          <t>16</t>
        </is>
      </c>
      <c r="L426" s="31" t="inlineStr">
        <is>
          <t>16</t>
        </is>
      </c>
      <c r="M426" s="31" t="inlineStr">
        <is>
          <t>S1</t>
        </is>
      </c>
      <c r="N426" s="31" t="inlineStr">
        <is>
          <t>S2</t>
        </is>
      </c>
      <c r="O426" s="31" t="inlineStr">
        <is>
          <t>305-138-501-0</t>
        </is>
      </c>
      <c r="P426" s="31" t="inlineStr">
        <is>
          <t>SR Technics Switzerland</t>
        </is>
      </c>
    </row>
    <row r="427">
      <c r="B427" s="31" t="inlineStr">
        <is>
          <t>CFM56-5B</t>
        </is>
      </c>
      <c r="C427" s="31" t="inlineStr">
        <is>
          <t>2024-2025</t>
        </is>
      </c>
      <c r="D427" s="31" t="inlineStr">
        <is>
          <t>144718</t>
        </is>
      </c>
      <c r="E427" s="31" t="inlineStr">
        <is>
          <t>72-41-07</t>
        </is>
      </c>
      <c r="F427" s="31" t="inlineStr">
        <is>
          <t>A</t>
        </is>
      </c>
      <c r="G427" s="31" t="inlineStr">
        <is>
          <t>Combustor</t>
        </is>
      </c>
      <c r="H427" s="27" t="n">
        <v>1000</v>
      </c>
      <c r="I427" s="27" t="n">
        <v>1060</v>
      </c>
      <c r="J427" s="154">
        <f>I427/H427-1</f>
        <v/>
      </c>
      <c r="K427" s="31" t="inlineStr">
        <is>
          <t>54</t>
        </is>
      </c>
      <c r="L427" s="31" t="inlineStr">
        <is>
          <t>55</t>
        </is>
      </c>
      <c r="M427" s="31" t="inlineStr">
        <is>
          <t>S1</t>
        </is>
      </c>
      <c r="N427" s="31" t="inlineStr">
        <is>
          <t>S2</t>
        </is>
      </c>
      <c r="O427" s="31" t="inlineStr">
        <is>
          <t>1498M53G01</t>
        </is>
      </c>
      <c r="P427" s="31" t="inlineStr">
        <is>
          <t>SR Technics Switzerland</t>
        </is>
      </c>
    </row>
    <row r="428">
      <c r="B428" s="31" t="inlineStr">
        <is>
          <t>CFM56-5B</t>
        </is>
      </c>
      <c r="C428" s="31" t="inlineStr">
        <is>
          <t>2024-2025</t>
        </is>
      </c>
      <c r="D428" s="31" t="inlineStr">
        <is>
          <t>144718</t>
        </is>
      </c>
      <c r="E428" s="31" t="inlineStr">
        <is>
          <t>72-41-07</t>
        </is>
      </c>
      <c r="F428" s="31" t="inlineStr">
        <is>
          <t>B</t>
        </is>
      </c>
      <c r="G428" s="31" t="inlineStr">
        <is>
          <t>Combustor</t>
        </is>
      </c>
      <c r="H428" s="27" t="n">
        <v>4340</v>
      </c>
      <c r="I428" s="27" t="n">
        <v>4605</v>
      </c>
      <c r="J428" s="154">
        <f>I428/H428-1</f>
        <v/>
      </c>
      <c r="K428" s="31" t="inlineStr">
        <is>
          <t>55</t>
        </is>
      </c>
      <c r="L428" s="31" t="inlineStr">
        <is>
          <t>55</t>
        </is>
      </c>
      <c r="M428" s="31" t="inlineStr">
        <is>
          <t>S1</t>
        </is>
      </c>
      <c r="N428" s="31" t="inlineStr">
        <is>
          <t>S2</t>
        </is>
      </c>
      <c r="O428" s="31" t="inlineStr">
        <is>
          <t>1498M53G01</t>
        </is>
      </c>
      <c r="P428" s="31" t="inlineStr">
        <is>
          <t>SR Technics Switzerland</t>
        </is>
      </c>
    </row>
    <row r="429">
      <c r="B429" s="31" t="inlineStr">
        <is>
          <t>CFM56-5B</t>
        </is>
      </c>
      <c r="C429" s="31" t="inlineStr">
        <is>
          <t>2024-2025</t>
        </is>
      </c>
      <c r="D429" s="31" t="inlineStr">
        <is>
          <t>144718</t>
        </is>
      </c>
      <c r="E429" s="31" t="inlineStr">
        <is>
          <t>72-41-07</t>
        </is>
      </c>
      <c r="F429" s="31" t="inlineStr">
        <is>
          <t>C</t>
        </is>
      </c>
      <c r="G429" s="31" t="inlineStr">
        <is>
          <t>Combustor</t>
        </is>
      </c>
      <c r="H429" s="27" t="n">
        <v>110</v>
      </c>
      <c r="I429" s="27" t="n">
        <v>120</v>
      </c>
      <c r="J429" s="154">
        <f>I429/H429-1</f>
        <v/>
      </c>
      <c r="K429" s="31" t="inlineStr">
        <is>
          <t>55</t>
        </is>
      </c>
      <c r="L429" s="31" t="inlineStr">
        <is>
          <t>55</t>
        </is>
      </c>
      <c r="M429" s="31" t="inlineStr">
        <is>
          <t>S1</t>
        </is>
      </c>
      <c r="N429" s="31" t="inlineStr">
        <is>
          <t>S2</t>
        </is>
      </c>
      <c r="O429" s="31" t="inlineStr">
        <is>
          <t>1498M53G01</t>
        </is>
      </c>
      <c r="P429" s="31" t="inlineStr">
        <is>
          <t>SR Technics Switzerland</t>
        </is>
      </c>
    </row>
    <row r="430">
      <c r="B430" s="31" t="inlineStr">
        <is>
          <t>CFM56-5B</t>
        </is>
      </c>
      <c r="C430" s="31" t="inlineStr">
        <is>
          <t>2024-2025</t>
        </is>
      </c>
      <c r="D430" s="31" t="inlineStr">
        <is>
          <t>144718</t>
        </is>
      </c>
      <c r="E430" s="31" t="inlineStr">
        <is>
          <t>72-41-07</t>
        </is>
      </c>
      <c r="F430" s="31" t="inlineStr">
        <is>
          <t>SB00</t>
        </is>
      </c>
      <c r="G430" s="31" t="inlineStr">
        <is>
          <t>Combustor</t>
        </is>
      </c>
      <c r="H430" s="27" t="n">
        <v>685</v>
      </c>
      <c r="I430" s="27" t="n">
        <v>730</v>
      </c>
      <c r="J430" s="154">
        <f>I430/H430-1</f>
        <v/>
      </c>
      <c r="K430" s="31" t="inlineStr">
        <is>
          <t>55</t>
        </is>
      </c>
      <c r="L430" s="31" t="inlineStr">
        <is>
          <t>55</t>
        </is>
      </c>
      <c r="M430" s="31" t="inlineStr">
        <is>
          <t>S1</t>
        </is>
      </c>
      <c r="N430" s="31" t="inlineStr">
        <is>
          <t>S2</t>
        </is>
      </c>
      <c r="O430" s="31" t="inlineStr">
        <is>
          <t>1498M53G01</t>
        </is>
      </c>
      <c r="P430" s="31" t="inlineStr">
        <is>
          <t>SR Technics Switzerland</t>
        </is>
      </c>
    </row>
    <row r="431">
      <c r="B431" s="31" t="inlineStr">
        <is>
          <t>CFM56-5B</t>
        </is>
      </c>
      <c r="C431" s="31" t="inlineStr">
        <is>
          <t>2024-2025</t>
        </is>
      </c>
      <c r="D431" s="31" t="inlineStr">
        <is>
          <t>144730</t>
        </is>
      </c>
      <c r="E431" s="31" t="inlineStr">
        <is>
          <t>72-54-05</t>
        </is>
      </c>
      <c r="F431" s="31" t="inlineStr">
        <is>
          <t>A</t>
        </is>
      </c>
      <c r="G431" s="31" t="inlineStr">
        <is>
          <t>LPT</t>
        </is>
      </c>
      <c r="H431" s="27" t="n">
        <v>365</v>
      </c>
      <c r="I431" s="27" t="n">
        <v>1100</v>
      </c>
      <c r="J431" s="154">
        <f>I431/H431-1</f>
        <v/>
      </c>
      <c r="K431" s="31" t="inlineStr">
        <is>
          <t>16</t>
        </is>
      </c>
      <c r="L431" s="31" t="inlineStr">
        <is>
          <t>16</t>
        </is>
      </c>
      <c r="M431" s="31" t="inlineStr">
        <is>
          <t>S1</t>
        </is>
      </c>
      <c r="N431" s="31" t="inlineStr">
        <is>
          <t>S2</t>
        </is>
      </c>
      <c r="O431" s="31" t="inlineStr">
        <is>
          <t>338-077-501-0</t>
        </is>
      </c>
      <c r="P431" s="31" t="inlineStr">
        <is>
          <t>SR Technics Switzerland</t>
        </is>
      </c>
    </row>
    <row r="432">
      <c r="B432" s="31" t="inlineStr">
        <is>
          <t>CFM56-5B</t>
        </is>
      </c>
      <c r="C432" s="31" t="inlineStr">
        <is>
          <t>2024-2025</t>
        </is>
      </c>
      <c r="D432" s="31" t="inlineStr">
        <is>
          <t>144730</t>
        </is>
      </c>
      <c r="E432" s="31" t="inlineStr">
        <is>
          <t>72-54-05</t>
        </is>
      </c>
      <c r="F432" s="31" t="inlineStr">
        <is>
          <t>B</t>
        </is>
      </c>
      <c r="G432" s="31" t="inlineStr">
        <is>
          <t>LPT</t>
        </is>
      </c>
      <c r="H432" s="27" t="n">
        <v>660</v>
      </c>
      <c r="I432" s="27" t="n">
        <v>700</v>
      </c>
      <c r="J432" s="154">
        <f>I432/H432-1</f>
        <v/>
      </c>
      <c r="K432" s="31" t="inlineStr">
        <is>
          <t>16</t>
        </is>
      </c>
      <c r="L432" s="31" t="inlineStr">
        <is>
          <t>17</t>
        </is>
      </c>
      <c r="M432" s="31" t="inlineStr">
        <is>
          <t>S1</t>
        </is>
      </c>
      <c r="N432" s="31" t="inlineStr">
        <is>
          <t>S2</t>
        </is>
      </c>
      <c r="O432" s="31" t="inlineStr">
        <is>
          <t>338-077-501-0</t>
        </is>
      </c>
      <c r="P432" s="31" t="inlineStr">
        <is>
          <t>SR Technics Switzerland</t>
        </is>
      </c>
    </row>
    <row r="433">
      <c r="B433" s="31" t="inlineStr">
        <is>
          <t>CFM56-5B</t>
        </is>
      </c>
      <c r="C433" s="31" t="inlineStr">
        <is>
          <t>2024-2025</t>
        </is>
      </c>
      <c r="D433" s="31" t="inlineStr">
        <is>
          <t>144730</t>
        </is>
      </c>
      <c r="E433" s="31" t="inlineStr">
        <is>
          <t>72-54-05</t>
        </is>
      </c>
      <c r="F433" s="31" t="inlineStr">
        <is>
          <t>H</t>
        </is>
      </c>
      <c r="G433" s="31" t="inlineStr">
        <is>
          <t>LPT</t>
        </is>
      </c>
      <c r="H433" s="27" t="n">
        <v>2850</v>
      </c>
      <c r="I433" s="27" t="n">
        <v>3025</v>
      </c>
      <c r="J433" s="154">
        <f>I433/H433-1</f>
        <v/>
      </c>
      <c r="K433" s="31" t="inlineStr">
        <is>
          <t>16</t>
        </is>
      </c>
      <c r="L433" s="31" t="inlineStr">
        <is>
          <t>17</t>
        </is>
      </c>
      <c r="M433" s="31" t="inlineStr">
        <is>
          <t>S1</t>
        </is>
      </c>
      <c r="N433" s="31" t="inlineStr">
        <is>
          <t>S2</t>
        </is>
      </c>
      <c r="O433" s="31" t="inlineStr">
        <is>
          <t>338-077-501-0</t>
        </is>
      </c>
      <c r="P433" s="31" t="inlineStr">
        <is>
          <t>SR Technics Switzerland</t>
        </is>
      </c>
    </row>
    <row r="434">
      <c r="B434" s="31" t="inlineStr">
        <is>
          <t>CFM56-5B</t>
        </is>
      </c>
      <c r="C434" s="31" t="inlineStr">
        <is>
          <t>2024-2025</t>
        </is>
      </c>
      <c r="D434" s="31" t="inlineStr">
        <is>
          <t>144730</t>
        </is>
      </c>
      <c r="E434" s="31" t="inlineStr">
        <is>
          <t>72-54-05</t>
        </is>
      </c>
      <c r="F434" s="31" t="inlineStr">
        <is>
          <t>I</t>
        </is>
      </c>
      <c r="G434" s="31" t="inlineStr">
        <is>
          <t>LPT</t>
        </is>
      </c>
      <c r="H434" s="27" t="n">
        <v>2815</v>
      </c>
      <c r="I434" s="27" t="n">
        <v>2985</v>
      </c>
      <c r="J434" s="154">
        <f>I434/H434-1</f>
        <v/>
      </c>
      <c r="K434" s="31" t="inlineStr">
        <is>
          <t>16</t>
        </is>
      </c>
      <c r="L434" s="31" t="inlineStr">
        <is>
          <t>17</t>
        </is>
      </c>
      <c r="M434" s="31" t="inlineStr">
        <is>
          <t>S1</t>
        </is>
      </c>
      <c r="N434" s="31" t="inlineStr">
        <is>
          <t>S2</t>
        </is>
      </c>
      <c r="O434" s="31" t="inlineStr">
        <is>
          <t>338-077-501-0</t>
        </is>
      </c>
      <c r="P434" s="31" t="inlineStr">
        <is>
          <t>SR Technics Switzerland</t>
        </is>
      </c>
    </row>
    <row r="435">
      <c r="B435" s="31" t="inlineStr">
        <is>
          <t>CFM56-5B</t>
        </is>
      </c>
      <c r="C435" s="31" t="inlineStr">
        <is>
          <t>2024-2025</t>
        </is>
      </c>
      <c r="D435" s="31" t="inlineStr">
        <is>
          <t>144730</t>
        </is>
      </c>
      <c r="E435" s="31" t="inlineStr">
        <is>
          <t>72-54-05</t>
        </is>
      </c>
      <c r="F435" s="31" t="inlineStr">
        <is>
          <t>SB00</t>
        </is>
      </c>
      <c r="G435" s="31" t="inlineStr">
        <is>
          <t>LPT</t>
        </is>
      </c>
      <c r="H435" s="27" t="n">
        <v>845</v>
      </c>
      <c r="I435" s="27" t="n">
        <v>900</v>
      </c>
      <c r="J435" s="154">
        <f>I435/H435-1</f>
        <v/>
      </c>
      <c r="K435" s="31" t="inlineStr">
        <is>
          <t>16</t>
        </is>
      </c>
      <c r="L435" s="31" t="inlineStr">
        <is>
          <t>17</t>
        </is>
      </c>
      <c r="M435" s="31" t="inlineStr">
        <is>
          <t>S1</t>
        </is>
      </c>
      <c r="N435" s="31" t="inlineStr">
        <is>
          <t>S2</t>
        </is>
      </c>
      <c r="O435" s="31" t="inlineStr">
        <is>
          <t>338-077-501-0</t>
        </is>
      </c>
      <c r="P435" s="31" t="inlineStr">
        <is>
          <t>SR Technics Switzerland</t>
        </is>
      </c>
    </row>
    <row r="436">
      <c r="B436" s="31" t="inlineStr">
        <is>
          <t>CFM56-5B</t>
        </is>
      </c>
      <c r="C436" s="31" t="inlineStr">
        <is>
          <t>2024-2025</t>
        </is>
      </c>
      <c r="D436" s="31" t="inlineStr">
        <is>
          <t>144739</t>
        </is>
      </c>
      <c r="E436" s="31" t="inlineStr">
        <is>
          <t>72-21-05</t>
        </is>
      </c>
      <c r="F436" s="31" t="inlineStr">
        <is>
          <t>A</t>
        </is>
      </c>
      <c r="G436" s="31" t="inlineStr">
        <is>
          <t>Fan / booster</t>
        </is>
      </c>
      <c r="H436" s="27" t="n">
        <v>705</v>
      </c>
      <c r="I436" s="27" t="n">
        <v>750</v>
      </c>
      <c r="J436" s="154">
        <f>I436/H436-1</f>
        <v/>
      </c>
      <c r="K436" s="31" t="inlineStr">
        <is>
          <t>16</t>
        </is>
      </c>
      <c r="L436" s="31" t="inlineStr">
        <is>
          <t>17</t>
        </is>
      </c>
      <c r="M436" s="31" t="inlineStr">
        <is>
          <t>S1</t>
        </is>
      </c>
      <c r="N436" s="31" t="inlineStr">
        <is>
          <t>S2</t>
        </is>
      </c>
      <c r="O436" s="31" t="inlineStr">
        <is>
          <t>2406M75G01</t>
        </is>
      </c>
      <c r="P436" s="31" t="inlineStr">
        <is>
          <t>SR Technics Switzerland</t>
        </is>
      </c>
    </row>
    <row r="437">
      <c r="B437" s="31" t="inlineStr">
        <is>
          <t>CFM56-5B</t>
        </is>
      </c>
      <c r="C437" s="31" t="inlineStr">
        <is>
          <t>2024-2025</t>
        </is>
      </c>
      <c r="D437" s="31" t="inlineStr">
        <is>
          <t>144739</t>
        </is>
      </c>
      <c r="E437" s="31" t="inlineStr">
        <is>
          <t>72-21-05</t>
        </is>
      </c>
      <c r="F437" s="31" t="inlineStr">
        <is>
          <t>AB</t>
        </is>
      </c>
      <c r="G437" s="31" t="inlineStr">
        <is>
          <t>Fan / booster</t>
        </is>
      </c>
      <c r="H437" s="27" t="n">
        <v>1230</v>
      </c>
      <c r="I437" s="27" t="n">
        <v>1305</v>
      </c>
      <c r="J437" s="154">
        <f>I437/H437-1</f>
        <v/>
      </c>
      <c r="K437" s="31" t="inlineStr">
        <is>
          <t>16</t>
        </is>
      </c>
      <c r="L437" s="31" t="inlineStr">
        <is>
          <t>17</t>
        </is>
      </c>
      <c r="M437" s="31" t="inlineStr">
        <is>
          <t>S1</t>
        </is>
      </c>
      <c r="N437" s="31" t="inlineStr">
        <is>
          <t>S2</t>
        </is>
      </c>
      <c r="O437" s="31" t="inlineStr">
        <is>
          <t>2406M75G01</t>
        </is>
      </c>
      <c r="P437" s="31" t="inlineStr">
        <is>
          <t>SR Technics Switzerland</t>
        </is>
      </c>
    </row>
    <row r="438">
      <c r="B438" s="31" t="inlineStr">
        <is>
          <t>CFM56-5B</t>
        </is>
      </c>
      <c r="C438" s="31" t="inlineStr">
        <is>
          <t>2024-2025</t>
        </is>
      </c>
      <c r="D438" s="31" t="inlineStr">
        <is>
          <t>144739</t>
        </is>
      </c>
      <c r="E438" s="31" t="inlineStr">
        <is>
          <t>72-21-05</t>
        </is>
      </c>
      <c r="F438" s="31" t="inlineStr">
        <is>
          <t>AE</t>
        </is>
      </c>
      <c r="G438" s="31" t="inlineStr">
        <is>
          <t>Fan / booster</t>
        </is>
      </c>
      <c r="H438" s="27" t="n">
        <v>1480</v>
      </c>
      <c r="I438" s="27" t="n">
        <v>1570</v>
      </c>
      <c r="J438" s="154">
        <f>I438/H438-1</f>
        <v/>
      </c>
      <c r="K438" s="31" t="inlineStr">
        <is>
          <t>16</t>
        </is>
      </c>
      <c r="L438" s="31" t="inlineStr">
        <is>
          <t>17</t>
        </is>
      </c>
      <c r="M438" s="31" t="inlineStr">
        <is>
          <t>S1</t>
        </is>
      </c>
      <c r="N438" s="31" t="inlineStr">
        <is>
          <t>S2</t>
        </is>
      </c>
      <c r="O438" s="31" t="inlineStr">
        <is>
          <t>2406M75G01</t>
        </is>
      </c>
      <c r="P438" s="31" t="inlineStr">
        <is>
          <t>SR Technics Switzerland</t>
        </is>
      </c>
    </row>
    <row r="439">
      <c r="B439" s="31" t="inlineStr">
        <is>
          <t>CFM56-5B</t>
        </is>
      </c>
      <c r="C439" s="31" t="inlineStr">
        <is>
          <t>2024-2025</t>
        </is>
      </c>
      <c r="D439" s="31" t="inlineStr">
        <is>
          <t>144739</t>
        </is>
      </c>
      <c r="E439" s="31" t="inlineStr">
        <is>
          <t>72-21-05</t>
        </is>
      </c>
      <c r="F439" s="31" t="inlineStr">
        <is>
          <t>AG</t>
        </is>
      </c>
      <c r="G439" s="31" t="inlineStr">
        <is>
          <t>Fan / booster</t>
        </is>
      </c>
      <c r="H439" s="27" t="n">
        <v>2450</v>
      </c>
      <c r="I439" s="27" t="n">
        <v>2600</v>
      </c>
      <c r="J439" s="154">
        <f>I439/H439-1</f>
        <v/>
      </c>
      <c r="K439" s="31" t="inlineStr">
        <is>
          <t>16</t>
        </is>
      </c>
      <c r="L439" s="31" t="inlineStr">
        <is>
          <t>17</t>
        </is>
      </c>
      <c r="M439" s="31" t="inlineStr">
        <is>
          <t>S1</t>
        </is>
      </c>
      <c r="N439" s="31" t="inlineStr">
        <is>
          <t>S2</t>
        </is>
      </c>
      <c r="O439" s="31" t="inlineStr">
        <is>
          <t>2406M75G01</t>
        </is>
      </c>
      <c r="P439" s="31" t="inlineStr">
        <is>
          <t>SR Technics Switzerland</t>
        </is>
      </c>
    </row>
    <row r="440">
      <c r="B440" s="31" t="inlineStr">
        <is>
          <t>CFM56-5B</t>
        </is>
      </c>
      <c r="C440" s="31" t="inlineStr">
        <is>
          <t>2024-2025</t>
        </is>
      </c>
      <c r="D440" s="31" t="inlineStr">
        <is>
          <t>144739</t>
        </is>
      </c>
      <c r="E440" s="31" t="inlineStr">
        <is>
          <t>72-21-05</t>
        </is>
      </c>
      <c r="F440" s="31" t="inlineStr">
        <is>
          <t>B</t>
        </is>
      </c>
      <c r="G440" s="31" t="inlineStr">
        <is>
          <t>Fan / booster</t>
        </is>
      </c>
      <c r="H440" s="27" t="n">
        <v>1230</v>
      </c>
      <c r="I440" s="27" t="n">
        <v>1305</v>
      </c>
      <c r="J440" s="154">
        <f>I440/H440-1</f>
        <v/>
      </c>
      <c r="K440" s="31" t="inlineStr">
        <is>
          <t>16</t>
        </is>
      </c>
      <c r="L440" s="31" t="inlineStr">
        <is>
          <t>17</t>
        </is>
      </c>
      <c r="M440" s="31" t="inlineStr">
        <is>
          <t>S1</t>
        </is>
      </c>
      <c r="N440" s="31" t="inlineStr">
        <is>
          <t>S2</t>
        </is>
      </c>
      <c r="O440" s="31" t="inlineStr">
        <is>
          <t>2406M75G01</t>
        </is>
      </c>
      <c r="P440" s="31" t="inlineStr">
        <is>
          <t>SR Technics Switzerland</t>
        </is>
      </c>
    </row>
    <row r="441">
      <c r="B441" s="31" t="inlineStr">
        <is>
          <t>CFM56-5B</t>
        </is>
      </c>
      <c r="C441" s="31" t="inlineStr">
        <is>
          <t>2024-2025</t>
        </is>
      </c>
      <c r="D441" s="31" t="inlineStr">
        <is>
          <t>144739</t>
        </is>
      </c>
      <c r="E441" s="31" t="inlineStr">
        <is>
          <t>72-21-05</t>
        </is>
      </c>
      <c r="F441" s="31" t="inlineStr">
        <is>
          <t>C</t>
        </is>
      </c>
      <c r="G441" s="31" t="inlineStr">
        <is>
          <t>Fan / booster</t>
        </is>
      </c>
      <c r="H441" s="27" t="n">
        <v>1225</v>
      </c>
      <c r="I441" s="27" t="n">
        <v>1300</v>
      </c>
      <c r="J441" s="154">
        <f>I441/H441-1</f>
        <v/>
      </c>
      <c r="K441" s="31" t="inlineStr">
        <is>
          <t>16</t>
        </is>
      </c>
      <c r="L441" s="31" t="inlineStr">
        <is>
          <t>17</t>
        </is>
      </c>
      <c r="M441" s="31" t="inlineStr">
        <is>
          <t>S1</t>
        </is>
      </c>
      <c r="N441" s="31" t="inlineStr">
        <is>
          <t>S2</t>
        </is>
      </c>
      <c r="O441" s="31" t="inlineStr">
        <is>
          <t>2406M75G01</t>
        </is>
      </c>
      <c r="P441" s="31" t="inlineStr">
        <is>
          <t>SR Technics Switzerland</t>
        </is>
      </c>
    </row>
    <row r="442">
      <c r="B442" s="31" t="inlineStr">
        <is>
          <t>CFM56-5B</t>
        </is>
      </c>
      <c r="C442" s="31" t="inlineStr">
        <is>
          <t>2024-2025</t>
        </is>
      </c>
      <c r="D442" s="31" t="inlineStr">
        <is>
          <t>144739</t>
        </is>
      </c>
      <c r="E442" s="31" t="inlineStr">
        <is>
          <t>72-21-05</t>
        </is>
      </c>
      <c r="F442" s="31" t="inlineStr">
        <is>
          <t>D</t>
        </is>
      </c>
      <c r="G442" s="31" t="inlineStr">
        <is>
          <t>Fan / booster</t>
        </is>
      </c>
      <c r="H442" s="27" t="n">
        <v>520</v>
      </c>
      <c r="I442" s="27" t="n">
        <v>555</v>
      </c>
      <c r="J442" s="154">
        <f>I442/H442-1</f>
        <v/>
      </c>
      <c r="K442" s="31" t="inlineStr">
        <is>
          <t>16</t>
        </is>
      </c>
      <c r="L442" s="31" t="inlineStr">
        <is>
          <t>17</t>
        </is>
      </c>
      <c r="M442" s="31" t="inlineStr">
        <is>
          <t>S1</t>
        </is>
      </c>
      <c r="N442" s="31" t="inlineStr">
        <is>
          <t>S2</t>
        </is>
      </c>
      <c r="O442" s="31" t="inlineStr">
        <is>
          <t>2406M75G01</t>
        </is>
      </c>
      <c r="P442" s="31" t="inlineStr">
        <is>
          <t>SR Technics Switzerland</t>
        </is>
      </c>
    </row>
    <row r="443">
      <c r="B443" s="31" t="inlineStr">
        <is>
          <t>CFM56-5B</t>
        </is>
      </c>
      <c r="C443" s="31" t="inlineStr">
        <is>
          <t>2024-2025</t>
        </is>
      </c>
      <c r="D443" s="31" t="inlineStr">
        <is>
          <t>144739</t>
        </is>
      </c>
      <c r="E443" s="31" t="inlineStr">
        <is>
          <t>72-21-05</t>
        </is>
      </c>
      <c r="F443" s="31" t="inlineStr">
        <is>
          <t>R</t>
        </is>
      </c>
      <c r="G443" s="31" t="inlineStr">
        <is>
          <t>Fan / booster</t>
        </is>
      </c>
      <c r="H443" s="27" t="n">
        <v>3425</v>
      </c>
      <c r="I443" s="27" t="n">
        <v>3635</v>
      </c>
      <c r="J443" s="154">
        <f>I443/H443-1</f>
        <v/>
      </c>
      <c r="K443" s="31" t="inlineStr">
        <is>
          <t>16</t>
        </is>
      </c>
      <c r="L443" s="31" t="inlineStr">
        <is>
          <t>17</t>
        </is>
      </c>
      <c r="M443" s="31" t="inlineStr">
        <is>
          <t>S1</t>
        </is>
      </c>
      <c r="N443" s="31" t="inlineStr">
        <is>
          <t>S2</t>
        </is>
      </c>
      <c r="O443" s="31" t="inlineStr">
        <is>
          <t>2406M75G01</t>
        </is>
      </c>
      <c r="P443" s="31" t="inlineStr">
        <is>
          <t>SR Technics Switzerland</t>
        </is>
      </c>
    </row>
    <row r="444">
      <c r="B444" s="31" t="inlineStr">
        <is>
          <t>CFM56-5B</t>
        </is>
      </c>
      <c r="C444" s="31" t="inlineStr">
        <is>
          <t>2024-2025</t>
        </is>
      </c>
      <c r="D444" s="31" t="inlineStr">
        <is>
          <t>144739</t>
        </is>
      </c>
      <c r="E444" s="31" t="inlineStr">
        <is>
          <t>72-21-05</t>
        </is>
      </c>
      <c r="F444" s="31" t="inlineStr">
        <is>
          <t>T</t>
        </is>
      </c>
      <c r="G444" s="31" t="inlineStr">
        <is>
          <t>Fan / booster</t>
        </is>
      </c>
      <c r="H444" s="27" t="n">
        <v>1570</v>
      </c>
      <c r="I444" s="27" t="n">
        <v>1665</v>
      </c>
      <c r="J444" s="154">
        <f>I444/H444-1</f>
        <v/>
      </c>
      <c r="K444" s="31" t="inlineStr">
        <is>
          <t>16</t>
        </is>
      </c>
      <c r="L444" s="31" t="inlineStr">
        <is>
          <t>17</t>
        </is>
      </c>
      <c r="M444" s="31" t="inlineStr">
        <is>
          <t>S1</t>
        </is>
      </c>
      <c r="N444" s="31" t="inlineStr">
        <is>
          <t>S2</t>
        </is>
      </c>
      <c r="O444" s="31" t="inlineStr">
        <is>
          <t>2406M75G01</t>
        </is>
      </c>
      <c r="P444" s="31" t="inlineStr">
        <is>
          <t>SR Technics Switzerland</t>
        </is>
      </c>
    </row>
    <row r="445">
      <c r="B445" s="31" t="inlineStr">
        <is>
          <t>CFM56-5B</t>
        </is>
      </c>
      <c r="C445" s="31" t="inlineStr">
        <is>
          <t>2024-2025</t>
        </is>
      </c>
      <c r="D445" s="31" t="inlineStr">
        <is>
          <t>144739</t>
        </is>
      </c>
      <c r="E445" s="31" t="inlineStr">
        <is>
          <t>72-21-05</t>
        </is>
      </c>
      <c r="F445" s="31" t="inlineStr">
        <is>
          <t>Z</t>
        </is>
      </c>
      <c r="G445" s="31" t="inlineStr">
        <is>
          <t>Fan / booster</t>
        </is>
      </c>
      <c r="H445" s="27" t="n">
        <v>4190</v>
      </c>
      <c r="I445" s="27" t="n">
        <v>4445</v>
      </c>
      <c r="J445" s="154">
        <f>I445/H445-1</f>
        <v/>
      </c>
      <c r="K445" s="31" t="inlineStr">
        <is>
          <t>16</t>
        </is>
      </c>
      <c r="L445" s="31" t="inlineStr">
        <is>
          <t>17</t>
        </is>
      </c>
      <c r="M445" s="31" t="inlineStr">
        <is>
          <t>S1</t>
        </is>
      </c>
      <c r="N445" s="31" t="inlineStr">
        <is>
          <t>S2</t>
        </is>
      </c>
      <c r="O445" s="31" t="inlineStr">
        <is>
          <t>2406M75G01</t>
        </is>
      </c>
      <c r="P445" s="31" t="inlineStr">
        <is>
          <t>SR Technics Switzerland</t>
        </is>
      </c>
    </row>
    <row r="446">
      <c r="B446" s="31" t="inlineStr">
        <is>
          <t>CFM56-5B</t>
        </is>
      </c>
      <c r="C446" s="31" t="inlineStr">
        <is>
          <t>2024-2025</t>
        </is>
      </c>
      <c r="D446" s="31" t="inlineStr">
        <is>
          <t>144741</t>
        </is>
      </c>
      <c r="E446" s="31" t="inlineStr">
        <is>
          <t>72-23-26</t>
        </is>
      </c>
      <c r="F446" s="31" t="inlineStr">
        <is>
          <t>A</t>
        </is>
      </c>
      <c r="G446" s="31" t="inlineStr">
        <is>
          <t>Fan / booster</t>
        </is>
      </c>
      <c r="H446" s="27" t="n">
        <v>650</v>
      </c>
      <c r="I446" s="27" t="n">
        <v>690</v>
      </c>
      <c r="J446" s="154">
        <f>I446/H446-1</f>
        <v/>
      </c>
      <c r="K446" s="31" t="inlineStr">
        <is>
          <t>55</t>
        </is>
      </c>
      <c r="L446" s="31" t="inlineStr">
        <is>
          <t>55</t>
        </is>
      </c>
      <c r="M446" s="31" t="inlineStr">
        <is>
          <t>S1</t>
        </is>
      </c>
      <c r="N446" s="31" t="inlineStr">
        <is>
          <t>S2</t>
        </is>
      </c>
      <c r="O446" s="31" t="inlineStr">
        <is>
          <t>305-397-203-0</t>
        </is>
      </c>
      <c r="P446" s="31" t="inlineStr">
        <is>
          <t>SR Technics Switzerland</t>
        </is>
      </c>
    </row>
    <row r="447">
      <c r="B447" s="31" t="inlineStr">
        <is>
          <t>CFM56-5B</t>
        </is>
      </c>
      <c r="C447" s="31" t="inlineStr">
        <is>
          <t>2024-2025</t>
        </is>
      </c>
      <c r="D447" s="31" t="inlineStr">
        <is>
          <t>144741</t>
        </is>
      </c>
      <c r="E447" s="31" t="inlineStr">
        <is>
          <t>72-23-26</t>
        </is>
      </c>
      <c r="F447" s="31" t="inlineStr">
        <is>
          <t>B</t>
        </is>
      </c>
      <c r="G447" s="31" t="inlineStr">
        <is>
          <t>Fan / booster</t>
        </is>
      </c>
      <c r="H447" s="27" t="n">
        <v>155</v>
      </c>
      <c r="I447" s="27" t="n">
        <v>165</v>
      </c>
      <c r="J447" s="154">
        <f>I447/H447-1</f>
        <v/>
      </c>
      <c r="K447" s="31" t="inlineStr">
        <is>
          <t>55</t>
        </is>
      </c>
      <c r="L447" s="31" t="inlineStr">
        <is>
          <t>55</t>
        </is>
      </c>
      <c r="M447" s="31" t="inlineStr">
        <is>
          <t>S1</t>
        </is>
      </c>
      <c r="N447" s="31" t="inlineStr">
        <is>
          <t>S2</t>
        </is>
      </c>
      <c r="O447" s="31" t="inlineStr">
        <is>
          <t>305-397-203-0</t>
        </is>
      </c>
      <c r="P447" s="31" t="inlineStr">
        <is>
          <t>SR Technics Switzerland</t>
        </is>
      </c>
    </row>
    <row r="448">
      <c r="B448" s="31" t="inlineStr">
        <is>
          <t>CFM56-5B</t>
        </is>
      </c>
      <c r="C448" s="31" t="inlineStr">
        <is>
          <t>2024-2025</t>
        </is>
      </c>
      <c r="D448" s="31" t="inlineStr">
        <is>
          <t>144755</t>
        </is>
      </c>
      <c r="E448" s="31" t="inlineStr">
        <is>
          <t>72-21-04</t>
        </is>
      </c>
      <c r="F448" s="31" t="inlineStr">
        <is>
          <t>A</t>
        </is>
      </c>
      <c r="G448" s="31" t="inlineStr">
        <is>
          <t>Fan / booster</t>
        </is>
      </c>
      <c r="H448" s="27" t="n">
        <v>1905</v>
      </c>
      <c r="I448" s="27" t="n">
        <v>2020</v>
      </c>
      <c r="J448" s="154">
        <f>I448/H448-1</f>
        <v/>
      </c>
      <c r="K448" s="31" t="inlineStr">
        <is>
          <t>55</t>
        </is>
      </c>
      <c r="L448" s="31" t="inlineStr">
        <is>
          <t>55</t>
        </is>
      </c>
      <c r="M448" s="31" t="inlineStr">
        <is>
          <t>S1</t>
        </is>
      </c>
      <c r="N448" s="31" t="inlineStr">
        <is>
          <t>S2</t>
        </is>
      </c>
      <c r="O448" s="31" t="inlineStr">
        <is>
          <t>338-001-905-0</t>
        </is>
      </c>
      <c r="P448" s="31" t="inlineStr">
        <is>
          <t>SR Technics Switzerland</t>
        </is>
      </c>
    </row>
    <row r="449">
      <c r="B449" s="31" t="inlineStr">
        <is>
          <t>CFM56-5B</t>
        </is>
      </c>
      <c r="C449" s="31" t="inlineStr">
        <is>
          <t>2024-2025</t>
        </is>
      </c>
      <c r="D449" s="31" t="inlineStr">
        <is>
          <t>144755</t>
        </is>
      </c>
      <c r="E449" s="31" t="inlineStr">
        <is>
          <t>72-21-04</t>
        </is>
      </c>
      <c r="F449" s="31" t="inlineStr">
        <is>
          <t>B</t>
        </is>
      </c>
      <c r="G449" s="31" t="inlineStr">
        <is>
          <t>Fan / booster</t>
        </is>
      </c>
      <c r="H449" s="27" t="n">
        <v>2200</v>
      </c>
      <c r="I449" s="27" t="n">
        <v>2335</v>
      </c>
      <c r="J449" s="154">
        <f>I449/H449-1</f>
        <v/>
      </c>
      <c r="K449" s="31" t="inlineStr">
        <is>
          <t>55</t>
        </is>
      </c>
      <c r="L449" s="31" t="inlineStr">
        <is>
          <t>55</t>
        </is>
      </c>
      <c r="M449" s="31" t="inlineStr">
        <is>
          <t>S1</t>
        </is>
      </c>
      <c r="N449" s="31" t="inlineStr">
        <is>
          <t>S2</t>
        </is>
      </c>
      <c r="O449" s="31" t="inlineStr">
        <is>
          <t>338-001-905-0</t>
        </is>
      </c>
      <c r="P449" s="31" t="inlineStr">
        <is>
          <t>SR Technics Switzerland</t>
        </is>
      </c>
    </row>
    <row r="450">
      <c r="B450" s="31" t="inlineStr">
        <is>
          <t>CFM56-5B</t>
        </is>
      </c>
      <c r="C450" s="31" t="inlineStr">
        <is>
          <t>2024-2025</t>
        </is>
      </c>
      <c r="D450" s="31" t="inlineStr">
        <is>
          <t>144755</t>
        </is>
      </c>
      <c r="E450" s="31" t="inlineStr">
        <is>
          <t>72-21-04</t>
        </is>
      </c>
      <c r="F450" s="31" t="inlineStr">
        <is>
          <t>C</t>
        </is>
      </c>
      <c r="G450" s="31" t="inlineStr">
        <is>
          <t>Fan / booster</t>
        </is>
      </c>
      <c r="H450" s="27" t="n">
        <v>410</v>
      </c>
      <c r="I450" s="27" t="n">
        <v>435</v>
      </c>
      <c r="J450" s="154">
        <f>I450/H450-1</f>
        <v/>
      </c>
      <c r="K450" s="31" t="inlineStr">
        <is>
          <t>55</t>
        </is>
      </c>
      <c r="L450" s="31" t="inlineStr">
        <is>
          <t>55</t>
        </is>
      </c>
      <c r="M450" s="31" t="inlineStr">
        <is>
          <t>S1</t>
        </is>
      </c>
      <c r="N450" s="31" t="inlineStr">
        <is>
          <t>S2</t>
        </is>
      </c>
      <c r="O450" s="31" t="inlineStr">
        <is>
          <t>338-001-905-0</t>
        </is>
      </c>
      <c r="P450" s="31" t="inlineStr">
        <is>
          <t>SR Technics Switzerland</t>
        </is>
      </c>
    </row>
    <row r="451">
      <c r="B451" s="31" t="inlineStr">
        <is>
          <t>CFM56-5B</t>
        </is>
      </c>
      <c r="C451" s="31" t="inlineStr">
        <is>
          <t>2024-2025</t>
        </is>
      </c>
      <c r="D451" s="31" t="inlineStr">
        <is>
          <t>144755</t>
        </is>
      </c>
      <c r="E451" s="31" t="inlineStr">
        <is>
          <t>72-21-04</t>
        </is>
      </c>
      <c r="F451" s="31" t="inlineStr">
        <is>
          <t>E</t>
        </is>
      </c>
      <c r="G451" s="31" t="inlineStr">
        <is>
          <t>Fan / booster</t>
        </is>
      </c>
      <c r="H451" s="27" t="n">
        <v>410</v>
      </c>
      <c r="I451" s="27" t="n">
        <v>435</v>
      </c>
      <c r="J451" s="154">
        <f>I451/H451-1</f>
        <v/>
      </c>
      <c r="K451" s="31" t="inlineStr">
        <is>
          <t>55</t>
        </is>
      </c>
      <c r="L451" s="31" t="inlineStr">
        <is>
          <t>55</t>
        </is>
      </c>
      <c r="M451" s="31" t="inlineStr">
        <is>
          <t>S1</t>
        </is>
      </c>
      <c r="N451" s="31" t="inlineStr">
        <is>
          <t>S2</t>
        </is>
      </c>
      <c r="O451" s="31" t="inlineStr">
        <is>
          <t>338-001-905-0</t>
        </is>
      </c>
      <c r="P451" s="31" t="inlineStr">
        <is>
          <t>SR Technics Switzerland</t>
        </is>
      </c>
    </row>
    <row r="452">
      <c r="B452" s="31" t="inlineStr">
        <is>
          <t>CFM56-5B</t>
        </is>
      </c>
      <c r="C452" s="31" t="inlineStr">
        <is>
          <t>2024-2025</t>
        </is>
      </c>
      <c r="D452" s="31" t="inlineStr">
        <is>
          <t>144755</t>
        </is>
      </c>
      <c r="E452" s="31" t="inlineStr">
        <is>
          <t>72-21-04</t>
        </is>
      </c>
      <c r="F452" s="31" t="inlineStr">
        <is>
          <t>K</t>
        </is>
      </c>
      <c r="G452" s="31" t="inlineStr">
        <is>
          <t>Fan / booster</t>
        </is>
      </c>
      <c r="H452" s="27" t="n">
        <v>2445</v>
      </c>
      <c r="I452" s="27" t="n">
        <v>2595</v>
      </c>
      <c r="J452" s="154">
        <f>I452/H452-1</f>
        <v/>
      </c>
      <c r="K452" s="31" t="inlineStr">
        <is>
          <t>55</t>
        </is>
      </c>
      <c r="L452" s="31" t="inlineStr">
        <is>
          <t>55</t>
        </is>
      </c>
      <c r="M452" s="31" t="inlineStr">
        <is>
          <t>S1</t>
        </is>
      </c>
      <c r="N452" s="31" t="inlineStr">
        <is>
          <t>S2</t>
        </is>
      </c>
      <c r="O452" s="31" t="inlineStr">
        <is>
          <t>338-001-905-0</t>
        </is>
      </c>
      <c r="P452" s="31" t="inlineStr">
        <is>
          <t>SR Technics Switzerland</t>
        </is>
      </c>
    </row>
    <row r="453">
      <c r="B453" s="31" t="inlineStr">
        <is>
          <t>CFM56-5B</t>
        </is>
      </c>
      <c r="C453" s="31" t="inlineStr">
        <is>
          <t>2024-2025</t>
        </is>
      </c>
      <c r="D453" s="31" t="inlineStr">
        <is>
          <t>144756</t>
        </is>
      </c>
      <c r="E453" s="31" t="inlineStr">
        <is>
          <t>72-21-04</t>
        </is>
      </c>
      <c r="F453" s="31" t="inlineStr">
        <is>
          <t>A</t>
        </is>
      </c>
      <c r="G453" s="31" t="inlineStr">
        <is>
          <t>Fan / booster</t>
        </is>
      </c>
      <c r="H453" s="27" t="n">
        <v>570</v>
      </c>
      <c r="I453" s="27" t="n">
        <v>605</v>
      </c>
      <c r="J453" s="154">
        <f>I453/H453-1</f>
        <v/>
      </c>
      <c r="K453" s="31" t="inlineStr">
        <is>
          <t>55</t>
        </is>
      </c>
      <c r="L453" s="31" t="inlineStr">
        <is>
          <t>55</t>
        </is>
      </c>
      <c r="M453" s="31" t="inlineStr">
        <is>
          <t>S1</t>
        </is>
      </c>
      <c r="N453" s="31" t="inlineStr">
        <is>
          <t>S2</t>
        </is>
      </c>
      <c r="O453" s="31" t="inlineStr">
        <is>
          <t>338-002-701-0</t>
        </is>
      </c>
      <c r="P453" s="31" t="inlineStr">
        <is>
          <t>SR Technics Switzerland</t>
        </is>
      </c>
    </row>
    <row r="454">
      <c r="B454" s="31" t="inlineStr">
        <is>
          <t>CFM56-5B</t>
        </is>
      </c>
      <c r="C454" s="31" t="inlineStr">
        <is>
          <t>2024-2025</t>
        </is>
      </c>
      <c r="D454" s="31" t="inlineStr">
        <is>
          <t>144756</t>
        </is>
      </c>
      <c r="E454" s="31" t="inlineStr">
        <is>
          <t>72-21-04</t>
        </is>
      </c>
      <c r="F454" s="31" t="inlineStr">
        <is>
          <t>C</t>
        </is>
      </c>
      <c r="G454" s="31" t="inlineStr">
        <is>
          <t>Fan / booster</t>
        </is>
      </c>
      <c r="H454" s="27" t="n">
        <v>790</v>
      </c>
      <c r="I454" s="27" t="n">
        <v>840</v>
      </c>
      <c r="J454" s="154">
        <f>I454/H454-1</f>
        <v/>
      </c>
      <c r="K454" s="31" t="inlineStr">
        <is>
          <t>55</t>
        </is>
      </c>
      <c r="L454" s="31" t="inlineStr">
        <is>
          <t>55</t>
        </is>
      </c>
      <c r="M454" s="31" t="inlineStr">
        <is>
          <t>S1</t>
        </is>
      </c>
      <c r="N454" s="31" t="inlineStr">
        <is>
          <t>S2</t>
        </is>
      </c>
      <c r="O454" s="31" t="inlineStr">
        <is>
          <t>338-002-701-0</t>
        </is>
      </c>
      <c r="P454" s="31" t="inlineStr">
        <is>
          <t>SR Technics Switzerland</t>
        </is>
      </c>
    </row>
    <row r="455">
      <c r="B455" s="31" t="inlineStr">
        <is>
          <t>CFM56-5B</t>
        </is>
      </c>
      <c r="C455" s="31" t="inlineStr">
        <is>
          <t>2024-2025</t>
        </is>
      </c>
      <c r="D455" s="31" t="inlineStr">
        <is>
          <t>144759</t>
        </is>
      </c>
      <c r="E455" s="31" t="inlineStr">
        <is>
          <t>72-22-02</t>
        </is>
      </c>
      <c r="F455" s="31" t="inlineStr">
        <is>
          <t>A</t>
        </is>
      </c>
      <c r="G455" s="31" t="inlineStr">
        <is>
          <t>Fan / booster</t>
        </is>
      </c>
      <c r="H455" s="27" t="n">
        <v>820</v>
      </c>
      <c r="I455" s="27" t="n">
        <v>870</v>
      </c>
      <c r="J455" s="154">
        <f>I455/H455-1</f>
        <v/>
      </c>
      <c r="K455" s="31" t="inlineStr">
        <is>
          <t>16</t>
        </is>
      </c>
      <c r="L455" s="31" t="inlineStr">
        <is>
          <t>17</t>
        </is>
      </c>
      <c r="M455" s="31" t="inlineStr">
        <is>
          <t>S1</t>
        </is>
      </c>
      <c r="N455" s="31" t="inlineStr">
        <is>
          <t>S2</t>
        </is>
      </c>
      <c r="O455" s="31" t="inlineStr">
        <is>
          <t>338-010-502-0</t>
        </is>
      </c>
      <c r="P455" s="31" t="inlineStr">
        <is>
          <t>SR Technics Switzerland</t>
        </is>
      </c>
    </row>
    <row r="456">
      <c r="B456" s="31" t="inlineStr">
        <is>
          <t>CFM56-5B</t>
        </is>
      </c>
      <c r="C456" s="31" t="inlineStr">
        <is>
          <t>2024-2025</t>
        </is>
      </c>
      <c r="D456" s="31" t="inlineStr">
        <is>
          <t>144759</t>
        </is>
      </c>
      <c r="E456" s="31" t="inlineStr">
        <is>
          <t>72-22-02</t>
        </is>
      </c>
      <c r="F456" s="31" t="inlineStr">
        <is>
          <t>B</t>
        </is>
      </c>
      <c r="G456" s="31" t="inlineStr">
        <is>
          <t>Fan / booster</t>
        </is>
      </c>
      <c r="H456" s="27" t="n">
        <v>595</v>
      </c>
      <c r="I456" s="27" t="n">
        <v>635</v>
      </c>
      <c r="J456" s="154">
        <f>I456/H456-1</f>
        <v/>
      </c>
      <c r="K456" s="31" t="inlineStr">
        <is>
          <t>16</t>
        </is>
      </c>
      <c r="L456" s="31" t="inlineStr">
        <is>
          <t>17</t>
        </is>
      </c>
      <c r="M456" s="31" t="inlineStr">
        <is>
          <t>S1</t>
        </is>
      </c>
      <c r="N456" s="31" t="inlineStr">
        <is>
          <t>S2</t>
        </is>
      </c>
      <c r="O456" s="31" t="inlineStr">
        <is>
          <t>338-010-502-0</t>
        </is>
      </c>
      <c r="P456" s="31" t="inlineStr">
        <is>
          <t>SR Technics Switzerland</t>
        </is>
      </c>
    </row>
    <row r="457">
      <c r="B457" s="31" t="inlineStr">
        <is>
          <t>CFM56-5B</t>
        </is>
      </c>
      <c r="C457" s="31" t="inlineStr">
        <is>
          <t>2024-2025</t>
        </is>
      </c>
      <c r="D457" s="31" t="inlineStr">
        <is>
          <t>144759</t>
        </is>
      </c>
      <c r="E457" s="31" t="inlineStr">
        <is>
          <t>72-22-02</t>
        </is>
      </c>
      <c r="F457" s="31" t="inlineStr">
        <is>
          <t>L</t>
        </is>
      </c>
      <c r="G457" s="31" t="inlineStr">
        <is>
          <t>Fan / booster</t>
        </is>
      </c>
      <c r="H457" s="27" t="n">
        <v>165</v>
      </c>
      <c r="I457" s="27" t="n">
        <v>175</v>
      </c>
      <c r="J457" s="154">
        <f>I457/H457-1</f>
        <v/>
      </c>
      <c r="K457" s="31" t="inlineStr">
        <is>
          <t>17</t>
        </is>
      </c>
      <c r="L457" s="31" t="inlineStr">
        <is>
          <t>17</t>
        </is>
      </c>
      <c r="M457" s="31" t="inlineStr">
        <is>
          <t>S1</t>
        </is>
      </c>
      <c r="N457" s="31" t="inlineStr">
        <is>
          <t>S2</t>
        </is>
      </c>
      <c r="O457" s="31" t="inlineStr">
        <is>
          <t>338-010-502-0</t>
        </is>
      </c>
      <c r="P457" s="31" t="inlineStr">
        <is>
          <t>SR Technics Switzerland</t>
        </is>
      </c>
    </row>
    <row r="458">
      <c r="B458" s="31" t="inlineStr">
        <is>
          <t>CFM56-5B</t>
        </is>
      </c>
      <c r="C458" s="31" t="inlineStr">
        <is>
          <t>2024-2025</t>
        </is>
      </c>
      <c r="D458" s="31" t="inlineStr">
        <is>
          <t>144776</t>
        </is>
      </c>
      <c r="E458" s="31" t="inlineStr">
        <is>
          <t>72-42-01</t>
        </is>
      </c>
      <c r="F458" s="31" t="inlineStr">
        <is>
          <t>A</t>
        </is>
      </c>
      <c r="G458" s="31" t="inlineStr">
        <is>
          <t>Combustor</t>
        </is>
      </c>
      <c r="H458" s="27" t="n">
        <v>770</v>
      </c>
      <c r="I458" s="27" t="n">
        <v>820</v>
      </c>
      <c r="J458" s="154">
        <f>I458/H458-1</f>
        <v/>
      </c>
      <c r="K458" s="31" t="inlineStr">
        <is>
          <t>17</t>
        </is>
      </c>
      <c r="L458" s="31" t="inlineStr">
        <is>
          <t>17</t>
        </is>
      </c>
      <c r="M458" s="31" t="inlineStr">
        <is>
          <t>S1</t>
        </is>
      </c>
      <c r="N458" s="31" t="inlineStr">
        <is>
          <t>S2</t>
        </is>
      </c>
      <c r="O458" s="31" t="inlineStr">
        <is>
          <t>1968M59G01</t>
        </is>
      </c>
      <c r="P458" s="31" t="inlineStr">
        <is>
          <t>SR Technics Switzerland</t>
        </is>
      </c>
    </row>
    <row r="459">
      <c r="B459" s="31" t="inlineStr">
        <is>
          <t>CFM56-5B</t>
        </is>
      </c>
      <c r="C459" s="31" t="inlineStr">
        <is>
          <t>2024-2025</t>
        </is>
      </c>
      <c r="D459" s="31" t="inlineStr">
        <is>
          <t>144776</t>
        </is>
      </c>
      <c r="E459" s="31" t="inlineStr">
        <is>
          <t>72-42-01</t>
        </is>
      </c>
      <c r="F459" s="31" t="inlineStr">
        <is>
          <t>B</t>
        </is>
      </c>
      <c r="G459" s="31" t="inlineStr">
        <is>
          <t>Combustor</t>
        </is>
      </c>
      <c r="H459" s="27" t="n">
        <v>1595</v>
      </c>
      <c r="I459" s="27" t="n">
        <v>1695</v>
      </c>
      <c r="J459" s="154">
        <f>I459/H459-1</f>
        <v/>
      </c>
      <c r="K459" s="31" t="inlineStr">
        <is>
          <t>17</t>
        </is>
      </c>
      <c r="L459" s="31" t="inlineStr">
        <is>
          <t>17</t>
        </is>
      </c>
      <c r="M459" s="31" t="inlineStr">
        <is>
          <t>S1</t>
        </is>
      </c>
      <c r="N459" s="31" t="inlineStr">
        <is>
          <t>S2</t>
        </is>
      </c>
      <c r="O459" s="31" t="inlineStr">
        <is>
          <t>1968M59G01</t>
        </is>
      </c>
      <c r="P459" s="31" t="inlineStr">
        <is>
          <t>SR Technics Switzerland</t>
        </is>
      </c>
    </row>
    <row r="460">
      <c r="B460" s="31" t="inlineStr">
        <is>
          <t>CFM56-5B</t>
        </is>
      </c>
      <c r="C460" s="31" t="inlineStr">
        <is>
          <t>2024-2025</t>
        </is>
      </c>
      <c r="D460" s="31" t="inlineStr">
        <is>
          <t>144778</t>
        </is>
      </c>
      <c r="E460" s="31" t="inlineStr">
        <is>
          <t>72-54-16</t>
        </is>
      </c>
      <c r="F460" s="31" t="inlineStr">
        <is>
          <t>A</t>
        </is>
      </c>
      <c r="G460" s="31" t="inlineStr">
        <is>
          <t>LPT</t>
        </is>
      </c>
      <c r="H460" s="27" t="n">
        <v>940</v>
      </c>
      <c r="I460" s="27" t="n">
        <v>1000</v>
      </c>
      <c r="J460" s="154">
        <f>I460/H460-1</f>
        <v/>
      </c>
      <c r="K460" s="31" t="inlineStr">
        <is>
          <t>17</t>
        </is>
      </c>
      <c r="L460" s="31" t="inlineStr">
        <is>
          <t>17</t>
        </is>
      </c>
      <c r="M460" s="31" t="inlineStr">
        <is>
          <t>S1</t>
        </is>
      </c>
      <c r="N460" s="31" t="inlineStr">
        <is>
          <t>S2</t>
        </is>
      </c>
      <c r="O460" s="31" t="inlineStr">
        <is>
          <t>336-026-302-0</t>
        </is>
      </c>
      <c r="P460" s="31" t="inlineStr">
        <is>
          <t>SR Technics Switzerland</t>
        </is>
      </c>
    </row>
    <row r="461">
      <c r="B461" s="31" t="inlineStr">
        <is>
          <t>CFM56-5B</t>
        </is>
      </c>
      <c r="C461" s="31" t="inlineStr">
        <is>
          <t>2024-2025</t>
        </is>
      </c>
      <c r="D461" s="31" t="inlineStr">
        <is>
          <t>144778</t>
        </is>
      </c>
      <c r="E461" s="31" t="inlineStr">
        <is>
          <t>72-54-16</t>
        </is>
      </c>
      <c r="F461" s="31" t="inlineStr">
        <is>
          <t>B</t>
        </is>
      </c>
      <c r="G461" s="31" t="inlineStr">
        <is>
          <t>LPT</t>
        </is>
      </c>
      <c r="H461" s="27" t="n">
        <v>4525</v>
      </c>
      <c r="I461" s="27" t="n">
        <v>4800</v>
      </c>
      <c r="J461" s="154">
        <f>I461/H461-1</f>
        <v/>
      </c>
      <c r="K461" s="31" t="inlineStr">
        <is>
          <t>17</t>
        </is>
      </c>
      <c r="L461" s="31" t="inlineStr">
        <is>
          <t>17</t>
        </is>
      </c>
      <c r="M461" s="31" t="inlineStr">
        <is>
          <t>S1</t>
        </is>
      </c>
      <c r="N461" s="31" t="inlineStr">
        <is>
          <t>S2</t>
        </is>
      </c>
      <c r="O461" s="31" t="inlineStr">
        <is>
          <t>336-026-302-0</t>
        </is>
      </c>
      <c r="P461" s="31" t="inlineStr">
        <is>
          <t>SR Technics Switzerland</t>
        </is>
      </c>
    </row>
    <row r="462">
      <c r="B462" s="31" t="inlineStr">
        <is>
          <t>CFM56-5B</t>
        </is>
      </c>
      <c r="C462" s="31" t="inlineStr">
        <is>
          <t>2024-2025</t>
        </is>
      </c>
      <c r="D462" s="31" t="inlineStr">
        <is>
          <t>144778</t>
        </is>
      </c>
      <c r="E462" s="31" t="inlineStr">
        <is>
          <t>72-54-16</t>
        </is>
      </c>
      <c r="F462" s="31" t="inlineStr">
        <is>
          <t>C</t>
        </is>
      </c>
      <c r="G462" s="31" t="inlineStr">
        <is>
          <t>LPT</t>
        </is>
      </c>
      <c r="H462" s="27" t="n">
        <v>1960</v>
      </c>
      <c r="I462" s="27" t="n">
        <v>2080</v>
      </c>
      <c r="J462" s="154">
        <f>I462/H462-1</f>
        <v/>
      </c>
      <c r="K462" s="31" t="inlineStr">
        <is>
          <t>17</t>
        </is>
      </c>
      <c r="L462" s="31" t="inlineStr">
        <is>
          <t>17</t>
        </is>
      </c>
      <c r="M462" s="31" t="inlineStr">
        <is>
          <t>S1</t>
        </is>
      </c>
      <c r="N462" s="31" t="inlineStr">
        <is>
          <t>S2</t>
        </is>
      </c>
      <c r="O462" s="31" t="inlineStr">
        <is>
          <t>336-026-302-0</t>
        </is>
      </c>
      <c r="P462" s="31" t="inlineStr">
        <is>
          <t>SR Technics Switzerland</t>
        </is>
      </c>
    </row>
    <row r="463">
      <c r="B463" s="31" t="inlineStr">
        <is>
          <t>CFM56-5B</t>
        </is>
      </c>
      <c r="C463" s="31" t="inlineStr">
        <is>
          <t>2024-2025</t>
        </is>
      </c>
      <c r="D463" s="31" t="inlineStr">
        <is>
          <t>144778</t>
        </is>
      </c>
      <c r="E463" s="31" t="inlineStr">
        <is>
          <t>72-54-16</t>
        </is>
      </c>
      <c r="F463" s="31" t="inlineStr">
        <is>
          <t>D</t>
        </is>
      </c>
      <c r="G463" s="31" t="inlineStr">
        <is>
          <t>LPT</t>
        </is>
      </c>
      <c r="H463" s="27" t="n">
        <v>1960</v>
      </c>
      <c r="I463" s="27" t="n">
        <v>2080</v>
      </c>
      <c r="J463" s="154">
        <f>I463/H463-1</f>
        <v/>
      </c>
      <c r="K463" s="31" t="inlineStr">
        <is>
          <t>17</t>
        </is>
      </c>
      <c r="L463" s="31" t="inlineStr">
        <is>
          <t>17</t>
        </is>
      </c>
      <c r="M463" s="31" t="inlineStr">
        <is>
          <t>S1</t>
        </is>
      </c>
      <c r="N463" s="31" t="inlineStr">
        <is>
          <t>S2</t>
        </is>
      </c>
      <c r="O463" s="31" t="inlineStr">
        <is>
          <t>336-026-302-0</t>
        </is>
      </c>
      <c r="P463" s="31" t="inlineStr">
        <is>
          <t>SR Technics Switzerland</t>
        </is>
      </c>
    </row>
    <row r="464">
      <c r="B464" s="31" t="inlineStr">
        <is>
          <t>CFM56-5B</t>
        </is>
      </c>
      <c r="C464" s="31" t="inlineStr">
        <is>
          <t>2024-2025</t>
        </is>
      </c>
      <c r="D464" s="31" t="inlineStr">
        <is>
          <t>144778</t>
        </is>
      </c>
      <c r="E464" s="31" t="inlineStr">
        <is>
          <t>72-54-16</t>
        </is>
      </c>
      <c r="F464" s="31" t="inlineStr">
        <is>
          <t>E</t>
        </is>
      </c>
      <c r="G464" s="31" t="inlineStr">
        <is>
          <t>LPT</t>
        </is>
      </c>
      <c r="H464" s="27" t="n">
        <v>2025</v>
      </c>
      <c r="I464" s="27" t="n">
        <v>2150</v>
      </c>
      <c r="J464" s="154">
        <f>I464/H464-1</f>
        <v/>
      </c>
      <c r="K464" s="31" t="inlineStr">
        <is>
          <t>17</t>
        </is>
      </c>
      <c r="L464" s="31" t="inlineStr">
        <is>
          <t>17</t>
        </is>
      </c>
      <c r="M464" s="31" t="inlineStr">
        <is>
          <t>S1</t>
        </is>
      </c>
      <c r="N464" s="31" t="inlineStr">
        <is>
          <t>S2</t>
        </is>
      </c>
      <c r="O464" s="31" t="inlineStr">
        <is>
          <t>336-026-302-0</t>
        </is>
      </c>
      <c r="P464" s="31" t="inlineStr">
        <is>
          <t>SR Technics Switzerland</t>
        </is>
      </c>
    </row>
    <row r="465">
      <c r="B465" s="31" t="inlineStr">
        <is>
          <t>CFM56-5B</t>
        </is>
      </c>
      <c r="C465" s="31" t="inlineStr">
        <is>
          <t>2024-2025</t>
        </is>
      </c>
      <c r="D465" s="31" t="inlineStr">
        <is>
          <t>144787</t>
        </is>
      </c>
      <c r="E465" s="31" t="inlineStr">
        <is>
          <t>72-55-01</t>
        </is>
      </c>
      <c r="F465" s="31" t="inlineStr">
        <is>
          <t>A</t>
        </is>
      </c>
      <c r="G465" s="31" t="inlineStr">
        <is>
          <t>LPT</t>
        </is>
      </c>
      <c r="H465" s="27" t="n">
        <v>1225</v>
      </c>
      <c r="I465" s="27" t="n">
        <v>1500</v>
      </c>
      <c r="J465" s="154">
        <f>I465/H465-1</f>
        <v/>
      </c>
      <c r="K465" s="31" t="inlineStr">
        <is>
          <t>55</t>
        </is>
      </c>
      <c r="L465" s="31" t="inlineStr">
        <is>
          <t>55</t>
        </is>
      </c>
      <c r="M465" s="31" t="inlineStr">
        <is>
          <t>S1</t>
        </is>
      </c>
      <c r="N465" s="31" t="inlineStr">
        <is>
          <t>S2</t>
        </is>
      </c>
      <c r="O465" s="31" t="inlineStr">
        <is>
          <t>337-002-910-0</t>
        </is>
      </c>
      <c r="P465" s="31" t="inlineStr">
        <is>
          <t>SR Technics Switzerland</t>
        </is>
      </c>
    </row>
    <row r="466">
      <c r="B466" s="31" t="inlineStr">
        <is>
          <t>CFM56-5B</t>
        </is>
      </c>
      <c r="C466" s="31" t="inlineStr">
        <is>
          <t>2024-2025</t>
        </is>
      </c>
      <c r="D466" s="31" t="inlineStr">
        <is>
          <t>144787</t>
        </is>
      </c>
      <c r="E466" s="31" t="inlineStr">
        <is>
          <t>72-55-01</t>
        </is>
      </c>
      <c r="F466" s="31" t="inlineStr">
        <is>
          <t>B</t>
        </is>
      </c>
      <c r="G466" s="31" t="inlineStr">
        <is>
          <t>LPT</t>
        </is>
      </c>
      <c r="H466" s="27" t="n">
        <v>980</v>
      </c>
      <c r="I466" s="27" t="n">
        <v>1040</v>
      </c>
      <c r="J466" s="154">
        <f>I466/H466-1</f>
        <v/>
      </c>
      <c r="K466" s="31" t="inlineStr">
        <is>
          <t>55</t>
        </is>
      </c>
      <c r="L466" s="31" t="inlineStr">
        <is>
          <t>55</t>
        </is>
      </c>
      <c r="M466" s="31" t="inlineStr">
        <is>
          <t>S1</t>
        </is>
      </c>
      <c r="N466" s="31" t="inlineStr">
        <is>
          <t>S2</t>
        </is>
      </c>
      <c r="O466" s="31" t="inlineStr">
        <is>
          <t>337-002-910-0</t>
        </is>
      </c>
      <c r="P466" s="31" t="inlineStr">
        <is>
          <t>SR Technics Switzerland</t>
        </is>
      </c>
    </row>
    <row r="467">
      <c r="B467" s="31" t="inlineStr">
        <is>
          <t>CFM56-5B</t>
        </is>
      </c>
      <c r="C467" s="31" t="inlineStr">
        <is>
          <t>2024-2025</t>
        </is>
      </c>
      <c r="D467" s="31" t="inlineStr">
        <is>
          <t>144787</t>
        </is>
      </c>
      <c r="E467" s="31" t="inlineStr">
        <is>
          <t>72-55-01</t>
        </is>
      </c>
      <c r="F467" s="31" t="inlineStr">
        <is>
          <t>C</t>
        </is>
      </c>
      <c r="G467" s="31" t="inlineStr">
        <is>
          <t>LPT</t>
        </is>
      </c>
      <c r="H467" s="27" t="n">
        <v>1230</v>
      </c>
      <c r="I467" s="27" t="n">
        <v>1305</v>
      </c>
      <c r="J467" s="154">
        <f>I467/H467-1</f>
        <v/>
      </c>
      <c r="K467" s="31" t="inlineStr">
        <is>
          <t>55</t>
        </is>
      </c>
      <c r="L467" s="31" t="inlineStr">
        <is>
          <t>55</t>
        </is>
      </c>
      <c r="M467" s="31" t="inlineStr">
        <is>
          <t>S1</t>
        </is>
      </c>
      <c r="N467" s="31" t="inlineStr">
        <is>
          <t>S2</t>
        </is>
      </c>
      <c r="O467" s="31" t="inlineStr">
        <is>
          <t>337-002-910-0</t>
        </is>
      </c>
      <c r="P467" s="31" t="inlineStr">
        <is>
          <t>SR Technics Switzerland</t>
        </is>
      </c>
    </row>
    <row r="468">
      <c r="B468" s="31" t="inlineStr">
        <is>
          <t>CFM56-5B</t>
        </is>
      </c>
      <c r="C468" s="31" t="inlineStr">
        <is>
          <t>2024-2025</t>
        </is>
      </c>
      <c r="D468" s="31" t="inlineStr">
        <is>
          <t>144787</t>
        </is>
      </c>
      <c r="E468" s="31" t="inlineStr">
        <is>
          <t>72-55-01</t>
        </is>
      </c>
      <c r="F468" s="31" t="inlineStr">
        <is>
          <t>D</t>
        </is>
      </c>
      <c r="G468" s="31" t="inlineStr">
        <is>
          <t>LPT</t>
        </is>
      </c>
      <c r="H468" s="27" t="n">
        <v>3725</v>
      </c>
      <c r="I468" s="27" t="n">
        <v>3950</v>
      </c>
      <c r="J468" s="154">
        <f>I468/H468-1</f>
        <v/>
      </c>
      <c r="K468" s="31" t="inlineStr">
        <is>
          <t>55</t>
        </is>
      </c>
      <c r="L468" s="31" t="inlineStr">
        <is>
          <t>55</t>
        </is>
      </c>
      <c r="M468" s="31" t="inlineStr">
        <is>
          <t>S1</t>
        </is>
      </c>
      <c r="N468" s="31" t="inlineStr">
        <is>
          <t>S2</t>
        </is>
      </c>
      <c r="O468" s="31" t="inlineStr">
        <is>
          <t>337-002-910-0</t>
        </is>
      </c>
      <c r="P468" s="31" t="inlineStr">
        <is>
          <t>SR Technics Switzerland</t>
        </is>
      </c>
    </row>
    <row r="469">
      <c r="B469" s="31" t="inlineStr">
        <is>
          <t>CFM56-5B</t>
        </is>
      </c>
      <c r="C469" s="31" t="inlineStr">
        <is>
          <t>2024-2025</t>
        </is>
      </c>
      <c r="D469" s="31" t="inlineStr">
        <is>
          <t>144787</t>
        </is>
      </c>
      <c r="E469" s="31" t="inlineStr">
        <is>
          <t>72-55-01</t>
        </is>
      </c>
      <c r="F469" s="31" t="inlineStr">
        <is>
          <t>H</t>
        </is>
      </c>
      <c r="G469" s="31" t="inlineStr">
        <is>
          <t>LPT</t>
        </is>
      </c>
      <c r="H469" s="27" t="n">
        <v>925</v>
      </c>
      <c r="I469" s="27" t="n">
        <v>985</v>
      </c>
      <c r="J469" s="154">
        <f>I469/H469-1</f>
        <v/>
      </c>
      <c r="K469" s="31" t="inlineStr">
        <is>
          <t>55</t>
        </is>
      </c>
      <c r="L469" s="31" t="inlineStr">
        <is>
          <t>55</t>
        </is>
      </c>
      <c r="M469" s="31" t="inlineStr">
        <is>
          <t>S1</t>
        </is>
      </c>
      <c r="N469" s="31" t="inlineStr">
        <is>
          <t>S2</t>
        </is>
      </c>
      <c r="O469" s="31" t="inlineStr">
        <is>
          <t>337-002-910-0</t>
        </is>
      </c>
      <c r="P469" s="31" t="inlineStr">
        <is>
          <t>SR Technics Switzerland</t>
        </is>
      </c>
    </row>
    <row r="470">
      <c r="B470" s="31" t="inlineStr">
        <is>
          <t>CFM56-5B</t>
        </is>
      </c>
      <c r="C470" s="31" t="inlineStr">
        <is>
          <t>2024-2025</t>
        </is>
      </c>
      <c r="D470" s="31" t="inlineStr">
        <is>
          <t>144787</t>
        </is>
      </c>
      <c r="E470" s="31" t="inlineStr">
        <is>
          <t>72-55-01</t>
        </is>
      </c>
      <c r="F470" s="31" t="inlineStr">
        <is>
          <t>Q</t>
        </is>
      </c>
      <c r="G470" s="31" t="inlineStr">
        <is>
          <t>LPT</t>
        </is>
      </c>
      <c r="H470" s="27" t="n">
        <v>410</v>
      </c>
      <c r="I470" s="27" t="n">
        <v>435</v>
      </c>
      <c r="J470" s="154">
        <f>I470/H470-1</f>
        <v/>
      </c>
      <c r="K470" s="31" t="inlineStr">
        <is>
          <t>55</t>
        </is>
      </c>
      <c r="L470" s="31" t="inlineStr">
        <is>
          <t>55</t>
        </is>
      </c>
      <c r="M470" s="31" t="inlineStr">
        <is>
          <t>S1</t>
        </is>
      </c>
      <c r="N470" s="31" t="inlineStr">
        <is>
          <t>S2</t>
        </is>
      </c>
      <c r="O470" s="31" t="inlineStr">
        <is>
          <t>337-002-910-0</t>
        </is>
      </c>
      <c r="P470" s="31" t="inlineStr">
        <is>
          <t>SR Technics Switzerland</t>
        </is>
      </c>
    </row>
    <row r="471">
      <c r="B471" s="31" t="inlineStr">
        <is>
          <t>CFM56-5B</t>
        </is>
      </c>
      <c r="C471" s="31" t="inlineStr">
        <is>
          <t>2024-2025</t>
        </is>
      </c>
      <c r="D471" s="31" t="inlineStr">
        <is>
          <t>144787</t>
        </is>
      </c>
      <c r="E471" s="31" t="inlineStr">
        <is>
          <t>72-55-01</t>
        </is>
      </c>
      <c r="F471" s="31" t="inlineStr">
        <is>
          <t>S</t>
        </is>
      </c>
      <c r="G471" s="31" t="inlineStr">
        <is>
          <t>LPT</t>
        </is>
      </c>
      <c r="H471" s="27" t="n">
        <v>2485</v>
      </c>
      <c r="I471" s="27" t="n">
        <v>2635</v>
      </c>
      <c r="J471" s="154">
        <f>I471/H471-1</f>
        <v/>
      </c>
      <c r="K471" s="31" t="inlineStr">
        <is>
          <t>55</t>
        </is>
      </c>
      <c r="L471" s="31" t="inlineStr">
        <is>
          <t>55</t>
        </is>
      </c>
      <c r="M471" s="31" t="inlineStr">
        <is>
          <t>S1</t>
        </is>
      </c>
      <c r="N471" s="31" t="inlineStr">
        <is>
          <t>S2</t>
        </is>
      </c>
      <c r="O471" s="31" t="inlineStr">
        <is>
          <t>337-002-910-0</t>
        </is>
      </c>
      <c r="P471" s="31" t="inlineStr">
        <is>
          <t>SR Technics Switzerland</t>
        </is>
      </c>
    </row>
    <row r="472">
      <c r="B472" s="31" t="inlineStr">
        <is>
          <t>CFM56-5B</t>
        </is>
      </c>
      <c r="C472" s="31" t="inlineStr">
        <is>
          <t>2024-2025</t>
        </is>
      </c>
      <c r="D472" s="31" t="inlineStr">
        <is>
          <t>144787</t>
        </is>
      </c>
      <c r="E472" s="31" t="inlineStr">
        <is>
          <t>72-55-01</t>
        </is>
      </c>
      <c r="F472" s="31" t="inlineStr">
        <is>
          <t>SB00</t>
        </is>
      </c>
      <c r="G472" s="31" t="inlineStr">
        <is>
          <t>LPT</t>
        </is>
      </c>
      <c r="H472" s="27" t="n">
        <v>970</v>
      </c>
      <c r="I472" s="27" t="n">
        <v>1030</v>
      </c>
      <c r="J472" s="154">
        <f>I472/H472-1</f>
        <v/>
      </c>
      <c r="K472" s="31" t="inlineStr">
        <is>
          <t>55</t>
        </is>
      </c>
      <c r="L472" s="31" t="inlineStr">
        <is>
          <t>55</t>
        </is>
      </c>
      <c r="M472" s="31" t="inlineStr">
        <is>
          <t>S1</t>
        </is>
      </c>
      <c r="N472" s="31" t="inlineStr">
        <is>
          <t>S2</t>
        </is>
      </c>
      <c r="O472" s="31" t="inlineStr">
        <is>
          <t>337-002-910-0</t>
        </is>
      </c>
      <c r="P472" s="31" t="inlineStr">
        <is>
          <t>SR Technics Switzerland</t>
        </is>
      </c>
    </row>
    <row r="473">
      <c r="B473" s="31" t="inlineStr">
        <is>
          <t>CFM56-5B</t>
        </is>
      </c>
      <c r="C473" s="31" t="inlineStr">
        <is>
          <t>2024-2025</t>
        </is>
      </c>
      <c r="D473" s="31" t="inlineStr">
        <is>
          <t>144787</t>
        </is>
      </c>
      <c r="E473" s="31" t="inlineStr">
        <is>
          <t>72-55-01</t>
        </is>
      </c>
      <c r="F473" s="31" t="inlineStr">
        <is>
          <t>SB01</t>
        </is>
      </c>
      <c r="G473" s="31" t="inlineStr">
        <is>
          <t>LPT</t>
        </is>
      </c>
      <c r="H473" s="27" t="n">
        <v>715</v>
      </c>
      <c r="I473" s="27" t="n">
        <v>760</v>
      </c>
      <c r="J473" s="154">
        <f>I473/H473-1</f>
        <v/>
      </c>
      <c r="K473" s="31" t="inlineStr">
        <is>
          <t>55</t>
        </is>
      </c>
      <c r="L473" s="31" t="inlineStr">
        <is>
          <t>55</t>
        </is>
      </c>
      <c r="M473" s="31" t="inlineStr">
        <is>
          <t>S1</t>
        </is>
      </c>
      <c r="N473" s="31" t="inlineStr">
        <is>
          <t>S2</t>
        </is>
      </c>
      <c r="O473" s="31" t="inlineStr">
        <is>
          <t>337-002-910-0</t>
        </is>
      </c>
      <c r="P473" s="31" t="inlineStr">
        <is>
          <t>SR Technics Switzerland</t>
        </is>
      </c>
    </row>
    <row r="474">
      <c r="B474" s="31" t="inlineStr">
        <is>
          <t>CFM56-5B</t>
        </is>
      </c>
      <c r="C474" s="31" t="inlineStr">
        <is>
          <t>2024-2025</t>
        </is>
      </c>
      <c r="D474" s="31" t="inlineStr">
        <is>
          <t>144788</t>
        </is>
      </c>
      <c r="E474" s="31" t="inlineStr">
        <is>
          <t>72-56-03</t>
        </is>
      </c>
      <c r="F474" s="31" t="inlineStr">
        <is>
          <t>A</t>
        </is>
      </c>
      <c r="G474" s="31" t="inlineStr">
        <is>
          <t>LPT</t>
        </is>
      </c>
      <c r="H474" s="27" t="n">
        <v>570</v>
      </c>
      <c r="I474" s="27" t="n">
        <v>605</v>
      </c>
      <c r="J474" s="154">
        <f>I474/H474-1</f>
        <v/>
      </c>
      <c r="K474" s="31" t="inlineStr">
        <is>
          <t>55</t>
        </is>
      </c>
      <c r="L474" s="31" t="inlineStr">
        <is>
          <t>55</t>
        </is>
      </c>
      <c r="M474" s="31" t="inlineStr">
        <is>
          <t>S1</t>
        </is>
      </c>
      <c r="N474" s="31" t="inlineStr">
        <is>
          <t>S2</t>
        </is>
      </c>
      <c r="O474" s="31" t="inlineStr">
        <is>
          <t>336-025-102-0</t>
        </is>
      </c>
      <c r="P474" s="31" t="inlineStr">
        <is>
          <t>SR Technics Switzerland</t>
        </is>
      </c>
    </row>
    <row r="475">
      <c r="B475" s="31" t="inlineStr">
        <is>
          <t>CFM56-5B</t>
        </is>
      </c>
      <c r="C475" s="31" t="inlineStr">
        <is>
          <t>2024-2025</t>
        </is>
      </c>
      <c r="D475" s="31" t="inlineStr">
        <is>
          <t>144793</t>
        </is>
      </c>
      <c r="E475" s="31" t="inlineStr">
        <is>
          <t>72-54-18</t>
        </is>
      </c>
      <c r="F475" s="31" t="inlineStr">
        <is>
          <t>A</t>
        </is>
      </c>
      <c r="G475" s="31" t="inlineStr">
        <is>
          <t>LPT</t>
        </is>
      </c>
      <c r="H475" s="27" t="n">
        <v>475</v>
      </c>
      <c r="I475" s="27" t="n">
        <v>505</v>
      </c>
      <c r="J475" s="154">
        <f>I475/H475-1</f>
        <v/>
      </c>
      <c r="K475" s="31" t="inlineStr">
        <is>
          <t>55</t>
        </is>
      </c>
      <c r="L475" s="31" t="inlineStr">
        <is>
          <t>55</t>
        </is>
      </c>
      <c r="M475" s="31" t="inlineStr">
        <is>
          <t>S1</t>
        </is>
      </c>
      <c r="N475" s="31" t="inlineStr">
        <is>
          <t>S2</t>
        </is>
      </c>
      <c r="O475" s="31" t="inlineStr">
        <is>
          <t>336-065-403-0</t>
        </is>
      </c>
      <c r="P475" s="31" t="inlineStr">
        <is>
          <t>SR Technics Switzerland</t>
        </is>
      </c>
    </row>
    <row r="476">
      <c r="B476" s="31" t="inlineStr">
        <is>
          <t>CFM56-5B</t>
        </is>
      </c>
      <c r="C476" s="31" t="inlineStr">
        <is>
          <t>2024-2025</t>
        </is>
      </c>
      <c r="D476" s="31" t="inlineStr">
        <is>
          <t>144793</t>
        </is>
      </c>
      <c r="E476" s="31" t="inlineStr">
        <is>
          <t>72-54-18</t>
        </is>
      </c>
      <c r="F476" s="31" t="inlineStr">
        <is>
          <t>C</t>
        </is>
      </c>
      <c r="G476" s="31" t="inlineStr">
        <is>
          <t>LPT</t>
        </is>
      </c>
      <c r="H476" s="27" t="n">
        <v>670</v>
      </c>
      <c r="I476" s="27" t="n">
        <v>715</v>
      </c>
      <c r="J476" s="154">
        <f>I476/H476-1</f>
        <v/>
      </c>
      <c r="K476" s="31" t="inlineStr">
        <is>
          <t>55</t>
        </is>
      </c>
      <c r="L476" s="31" t="inlineStr">
        <is>
          <t>55</t>
        </is>
      </c>
      <c r="M476" s="31" t="inlineStr">
        <is>
          <t>S1</t>
        </is>
      </c>
      <c r="N476" s="31" t="inlineStr">
        <is>
          <t>S2</t>
        </is>
      </c>
      <c r="O476" s="31" t="inlineStr">
        <is>
          <t>336-065-403-0</t>
        </is>
      </c>
      <c r="P476" s="31" t="inlineStr">
        <is>
          <t>SR Technics Switzerland</t>
        </is>
      </c>
    </row>
    <row r="477">
      <c r="B477" s="31" t="inlineStr">
        <is>
          <t>CFM56-5B</t>
        </is>
      </c>
      <c r="C477" s="31" t="inlineStr">
        <is>
          <t>2024-2025</t>
        </is>
      </c>
      <c r="D477" s="31" t="inlineStr">
        <is>
          <t>144793</t>
        </is>
      </c>
      <c r="E477" s="31" t="inlineStr">
        <is>
          <t>72-54-18</t>
        </is>
      </c>
      <c r="F477" s="31" t="inlineStr">
        <is>
          <t>D</t>
        </is>
      </c>
      <c r="G477" s="31" t="inlineStr">
        <is>
          <t>LPT</t>
        </is>
      </c>
      <c r="H477" s="27" t="n">
        <v>2840</v>
      </c>
      <c r="I477" s="27" t="n">
        <v>3015</v>
      </c>
      <c r="J477" s="154">
        <f>I477/H477-1</f>
        <v/>
      </c>
      <c r="K477" s="31" t="inlineStr">
        <is>
          <t>55</t>
        </is>
      </c>
      <c r="L477" s="31" t="inlineStr">
        <is>
          <t>55</t>
        </is>
      </c>
      <c r="M477" s="31" t="inlineStr">
        <is>
          <t>S1</t>
        </is>
      </c>
      <c r="N477" s="31" t="inlineStr">
        <is>
          <t>S2</t>
        </is>
      </c>
      <c r="O477" s="31" t="inlineStr">
        <is>
          <t>336-065-403-0</t>
        </is>
      </c>
      <c r="P477" s="31" t="inlineStr">
        <is>
          <t>SR Technics Switzerland</t>
        </is>
      </c>
    </row>
    <row r="478">
      <c r="B478" s="31" t="inlineStr">
        <is>
          <t>CFM56-5B</t>
        </is>
      </c>
      <c r="C478" s="31" t="inlineStr">
        <is>
          <t>2024-2025</t>
        </is>
      </c>
      <c r="D478" s="31" t="inlineStr">
        <is>
          <t>144793</t>
        </is>
      </c>
      <c r="E478" s="31" t="inlineStr">
        <is>
          <t>72-54-18</t>
        </is>
      </c>
      <c r="F478" s="31" t="inlineStr">
        <is>
          <t>E</t>
        </is>
      </c>
      <c r="G478" s="31" t="inlineStr">
        <is>
          <t>LPT</t>
        </is>
      </c>
      <c r="H478" s="27" t="n">
        <v>2695</v>
      </c>
      <c r="I478" s="27" t="n">
        <v>2860</v>
      </c>
      <c r="J478" s="154">
        <f>I478/H478-1</f>
        <v/>
      </c>
      <c r="K478" s="31" t="inlineStr">
        <is>
          <t>55</t>
        </is>
      </c>
      <c r="L478" s="31" t="inlineStr">
        <is>
          <t>55</t>
        </is>
      </c>
      <c r="M478" s="31" t="inlineStr">
        <is>
          <t>S1</t>
        </is>
      </c>
      <c r="N478" s="31" t="inlineStr">
        <is>
          <t>S2</t>
        </is>
      </c>
      <c r="O478" s="31" t="inlineStr">
        <is>
          <t>336-065-403-0</t>
        </is>
      </c>
      <c r="P478" s="31" t="inlineStr">
        <is>
          <t>SR Technics Switzerland</t>
        </is>
      </c>
    </row>
    <row r="479">
      <c r="B479" s="31" t="inlineStr">
        <is>
          <t>CFM56-5B</t>
        </is>
      </c>
      <c r="C479" s="31" t="inlineStr">
        <is>
          <t>2024-2025</t>
        </is>
      </c>
      <c r="D479" s="31" t="inlineStr">
        <is>
          <t>144793</t>
        </is>
      </c>
      <c r="E479" s="31" t="inlineStr">
        <is>
          <t>72-54-18</t>
        </is>
      </c>
      <c r="F479" s="31" t="inlineStr">
        <is>
          <t>F</t>
        </is>
      </c>
      <c r="G479" s="31" t="inlineStr">
        <is>
          <t>LPT</t>
        </is>
      </c>
      <c r="H479" s="27" t="n">
        <v>2860</v>
      </c>
      <c r="I479" s="27" t="n">
        <v>3035</v>
      </c>
      <c r="J479" s="154">
        <f>I479/H479-1</f>
        <v/>
      </c>
      <c r="K479" s="31" t="inlineStr">
        <is>
          <t>55</t>
        </is>
      </c>
      <c r="L479" s="31" t="inlineStr">
        <is>
          <t>55</t>
        </is>
      </c>
      <c r="M479" s="31" t="inlineStr">
        <is>
          <t>S1</t>
        </is>
      </c>
      <c r="N479" s="31" t="inlineStr">
        <is>
          <t>S2</t>
        </is>
      </c>
      <c r="O479" s="31" t="inlineStr">
        <is>
          <t>336-065-403-0</t>
        </is>
      </c>
      <c r="P479" s="31" t="inlineStr">
        <is>
          <t>SR Technics Switzerland</t>
        </is>
      </c>
    </row>
    <row r="480">
      <c r="B480" s="31" t="inlineStr">
        <is>
          <t>CFM56-5B</t>
        </is>
      </c>
      <c r="C480" s="31" t="inlineStr">
        <is>
          <t>2024-2025</t>
        </is>
      </c>
      <c r="D480" s="31" t="inlineStr">
        <is>
          <t>144793</t>
        </is>
      </c>
      <c r="E480" s="31" t="inlineStr">
        <is>
          <t>72-54-18</t>
        </is>
      </c>
      <c r="F480" s="31" t="inlineStr">
        <is>
          <t>O</t>
        </is>
      </c>
      <c r="G480" s="31" t="inlineStr">
        <is>
          <t>LPT</t>
        </is>
      </c>
      <c r="H480" s="27" t="n">
        <v>945</v>
      </c>
      <c r="I480" s="27" t="n">
        <v>1005</v>
      </c>
      <c r="J480" s="154">
        <f>I480/H480-1</f>
        <v/>
      </c>
      <c r="K480" s="31" t="inlineStr">
        <is>
          <t>55</t>
        </is>
      </c>
      <c r="L480" s="31" t="inlineStr">
        <is>
          <t>55</t>
        </is>
      </c>
      <c r="M480" s="31" t="inlineStr">
        <is>
          <t>S1</t>
        </is>
      </c>
      <c r="N480" s="31" t="inlineStr">
        <is>
          <t>S2</t>
        </is>
      </c>
      <c r="O480" s="31" t="inlineStr">
        <is>
          <t>336-065-403-0</t>
        </is>
      </c>
      <c r="P480" s="31" t="inlineStr">
        <is>
          <t>SR Technics Switzerland</t>
        </is>
      </c>
    </row>
    <row r="481">
      <c r="B481" s="31" t="inlineStr">
        <is>
          <t>CFM56-5B</t>
        </is>
      </c>
      <c r="C481" s="31" t="inlineStr">
        <is>
          <t>2024-2025</t>
        </is>
      </c>
      <c r="D481" s="31" t="inlineStr">
        <is>
          <t>144794</t>
        </is>
      </c>
      <c r="E481" s="31" t="inlineStr">
        <is>
          <t>72-53-11</t>
        </is>
      </c>
      <c r="F481" s="31" t="inlineStr">
        <is>
          <t>A</t>
        </is>
      </c>
      <c r="G481" s="31" t="inlineStr">
        <is>
          <t>HPT / nozzle</t>
        </is>
      </c>
      <c r="H481" s="27" t="n">
        <v>725</v>
      </c>
      <c r="I481" s="27" t="n">
        <v>770</v>
      </c>
      <c r="J481" s="154">
        <f>I481/H481-1</f>
        <v/>
      </c>
      <c r="K481" s="31" t="inlineStr">
        <is>
          <t>17</t>
        </is>
      </c>
      <c r="L481" s="31" t="inlineStr">
        <is>
          <t>56</t>
        </is>
      </c>
      <c r="M481" s="31" t="inlineStr">
        <is>
          <t>S1</t>
        </is>
      </c>
      <c r="N481" s="31" t="inlineStr">
        <is>
          <t>S2</t>
        </is>
      </c>
      <c r="O481" s="31" t="inlineStr">
        <is>
          <t>336-009-602-0</t>
        </is>
      </c>
      <c r="P481" s="31" t="inlineStr">
        <is>
          <t>SR Technics Switzerland</t>
        </is>
      </c>
    </row>
    <row r="482">
      <c r="B482" s="31" t="inlineStr">
        <is>
          <t>CFM56-5B</t>
        </is>
      </c>
      <c r="C482" s="31" t="inlineStr">
        <is>
          <t>2024-2025</t>
        </is>
      </c>
      <c r="D482" s="31" t="inlineStr">
        <is>
          <t>144795</t>
        </is>
      </c>
      <c r="E482" s="31" t="inlineStr">
        <is>
          <t>72-53-07</t>
        </is>
      </c>
      <c r="F482" s="31" t="inlineStr">
        <is>
          <t>A</t>
        </is>
      </c>
      <c r="G482" s="31" t="inlineStr">
        <is>
          <t>HPT / nozzle</t>
        </is>
      </c>
      <c r="H482" s="27" t="n">
        <v>605</v>
      </c>
      <c r="I482" s="27" t="n">
        <v>645</v>
      </c>
      <c r="J482" s="154">
        <f>I482/H482-1</f>
        <v/>
      </c>
      <c r="K482" s="31" t="inlineStr">
        <is>
          <t>17</t>
        </is>
      </c>
      <c r="L482" s="31" t="inlineStr">
        <is>
          <t>17</t>
        </is>
      </c>
      <c r="M482" s="31" t="inlineStr">
        <is>
          <t>S1</t>
        </is>
      </c>
      <c r="N482" s="31" t="inlineStr">
        <is>
          <t>S2</t>
        </is>
      </c>
      <c r="O482" s="31" t="inlineStr">
        <is>
          <t>338-010-302-0</t>
        </is>
      </c>
      <c r="P482" s="31" t="inlineStr">
        <is>
          <t>SR Technics Switzerland</t>
        </is>
      </c>
    </row>
    <row r="483">
      <c r="B483" s="31" t="inlineStr">
        <is>
          <t>CFM56-5B</t>
        </is>
      </c>
      <c r="C483" s="31" t="inlineStr">
        <is>
          <t>2024-2025</t>
        </is>
      </c>
      <c r="D483" s="31" t="inlineStr">
        <is>
          <t>144795</t>
        </is>
      </c>
      <c r="E483" s="31" t="inlineStr">
        <is>
          <t>72-53-07</t>
        </is>
      </c>
      <c r="F483" s="31" t="inlineStr">
        <is>
          <t>B</t>
        </is>
      </c>
      <c r="G483" s="31" t="inlineStr">
        <is>
          <t>HPT / nozzle</t>
        </is>
      </c>
      <c r="H483" s="27" t="n">
        <v>5625</v>
      </c>
      <c r="I483" s="27" t="n">
        <v>5965</v>
      </c>
      <c r="J483" s="154">
        <f>I483/H483-1</f>
        <v/>
      </c>
      <c r="K483" s="31" t="inlineStr">
        <is>
          <t>17</t>
        </is>
      </c>
      <c r="L483" s="31" t="inlineStr">
        <is>
          <t>17</t>
        </is>
      </c>
      <c r="M483" s="31" t="inlineStr">
        <is>
          <t>S1</t>
        </is>
      </c>
      <c r="N483" s="31" t="inlineStr">
        <is>
          <t>S2</t>
        </is>
      </c>
      <c r="O483" s="31" t="inlineStr">
        <is>
          <t>338-010-302-0</t>
        </is>
      </c>
      <c r="P483" s="31" t="inlineStr">
        <is>
          <t>SR Technics Switzerland</t>
        </is>
      </c>
    </row>
    <row r="484">
      <c r="B484" s="31" t="inlineStr">
        <is>
          <t>CFM56-5B</t>
        </is>
      </c>
      <c r="C484" s="31" t="inlineStr">
        <is>
          <t>2024-2025</t>
        </is>
      </c>
      <c r="D484" s="31" t="inlineStr">
        <is>
          <t>144795</t>
        </is>
      </c>
      <c r="E484" s="31" t="inlineStr">
        <is>
          <t>72-53-07</t>
        </is>
      </c>
      <c r="F484" s="31" t="inlineStr">
        <is>
          <t>E</t>
        </is>
      </c>
      <c r="G484" s="31" t="inlineStr">
        <is>
          <t>HPT / nozzle</t>
        </is>
      </c>
      <c r="H484" s="27" t="n">
        <v>3570</v>
      </c>
      <c r="I484" s="27" t="n">
        <v>3785</v>
      </c>
      <c r="J484" s="154">
        <f>I484/H484-1</f>
        <v/>
      </c>
      <c r="K484" s="31" t="inlineStr">
        <is>
          <t>17</t>
        </is>
      </c>
      <c r="L484" s="31" t="inlineStr">
        <is>
          <t>17</t>
        </is>
      </c>
      <c r="M484" s="31" t="inlineStr">
        <is>
          <t>S1</t>
        </is>
      </c>
      <c r="N484" s="31" t="inlineStr">
        <is>
          <t>S2</t>
        </is>
      </c>
      <c r="O484" s="31" t="inlineStr">
        <is>
          <t>338-010-302-0</t>
        </is>
      </c>
      <c r="P484" s="31" t="inlineStr">
        <is>
          <t>SR Technics Switzerland</t>
        </is>
      </c>
    </row>
    <row r="485">
      <c r="B485" s="31" t="inlineStr">
        <is>
          <t>CFM56-5B</t>
        </is>
      </c>
      <c r="C485" s="31" t="inlineStr">
        <is>
          <t>2024-2025</t>
        </is>
      </c>
      <c r="D485" s="31" t="inlineStr">
        <is>
          <t>144795</t>
        </is>
      </c>
      <c r="E485" s="31" t="inlineStr">
        <is>
          <t>72-53-07</t>
        </is>
      </c>
      <c r="F485" s="31" t="inlineStr">
        <is>
          <t>G</t>
        </is>
      </c>
      <c r="G485" s="31" t="inlineStr">
        <is>
          <t>HPT / nozzle</t>
        </is>
      </c>
      <c r="H485" s="27" t="n">
        <v>2900</v>
      </c>
      <c r="I485" s="27" t="n">
        <v>3075</v>
      </c>
      <c r="J485" s="154">
        <f>I485/H485-1</f>
        <v/>
      </c>
      <c r="K485" s="31" t="inlineStr">
        <is>
          <t>17</t>
        </is>
      </c>
      <c r="L485" s="31" t="inlineStr">
        <is>
          <t>17</t>
        </is>
      </c>
      <c r="M485" s="31" t="inlineStr">
        <is>
          <t>S1</t>
        </is>
      </c>
      <c r="N485" s="31" t="inlineStr">
        <is>
          <t>S2</t>
        </is>
      </c>
      <c r="O485" s="31" t="inlineStr">
        <is>
          <t>338-010-302-0</t>
        </is>
      </c>
      <c r="P485" s="31" t="inlineStr">
        <is>
          <t>SR Technics Switzerland</t>
        </is>
      </c>
    </row>
    <row r="486">
      <c r="B486" s="31" t="inlineStr">
        <is>
          <t>CFM56-5B</t>
        </is>
      </c>
      <c r="C486" s="31" t="inlineStr">
        <is>
          <t>2024-2025</t>
        </is>
      </c>
      <c r="D486" s="31" t="inlineStr">
        <is>
          <t>144795</t>
        </is>
      </c>
      <c r="E486" s="31" t="inlineStr">
        <is>
          <t>72-53-07</t>
        </is>
      </c>
      <c r="F486" s="31" t="inlineStr">
        <is>
          <t>H</t>
        </is>
      </c>
      <c r="G486" s="31" t="inlineStr">
        <is>
          <t>HPT / nozzle</t>
        </is>
      </c>
      <c r="H486" s="27" t="n">
        <v>940</v>
      </c>
      <c r="I486" s="27" t="n">
        <v>1000</v>
      </c>
      <c r="J486" s="154">
        <f>I486/H486-1</f>
        <v/>
      </c>
      <c r="K486" s="31" t="inlineStr">
        <is>
          <t>17</t>
        </is>
      </c>
      <c r="L486" s="31" t="inlineStr">
        <is>
          <t>17</t>
        </is>
      </c>
      <c r="M486" s="31" t="inlineStr">
        <is>
          <t>S1</t>
        </is>
      </c>
      <c r="N486" s="31" t="inlineStr">
        <is>
          <t>S2</t>
        </is>
      </c>
      <c r="O486" s="31" t="inlineStr">
        <is>
          <t>338-010-302-0</t>
        </is>
      </c>
      <c r="P486" s="31" t="inlineStr">
        <is>
          <t>SR Technics Switzerland</t>
        </is>
      </c>
    </row>
    <row r="487">
      <c r="B487" s="31" t="inlineStr">
        <is>
          <t>CFM56-5B</t>
        </is>
      </c>
      <c r="C487" s="31" t="inlineStr">
        <is>
          <t>2024-2025</t>
        </is>
      </c>
      <c r="D487" s="31" t="inlineStr">
        <is>
          <t>144795</t>
        </is>
      </c>
      <c r="E487" s="31" t="inlineStr">
        <is>
          <t>72-53-07</t>
        </is>
      </c>
      <c r="F487" s="31" t="inlineStr">
        <is>
          <t>L</t>
        </is>
      </c>
      <c r="G487" s="31" t="inlineStr">
        <is>
          <t>HPT / nozzle</t>
        </is>
      </c>
      <c r="H487" s="27" t="n">
        <v>2025</v>
      </c>
      <c r="I487" s="27" t="n">
        <v>2150</v>
      </c>
      <c r="J487" s="154">
        <f>I487/H487-1</f>
        <v/>
      </c>
      <c r="K487" s="31" t="inlineStr">
        <is>
          <t>17</t>
        </is>
      </c>
      <c r="L487" s="31" t="inlineStr">
        <is>
          <t>17</t>
        </is>
      </c>
      <c r="M487" s="31" t="inlineStr">
        <is>
          <t>S1</t>
        </is>
      </c>
      <c r="N487" s="31" t="inlineStr">
        <is>
          <t>S2</t>
        </is>
      </c>
      <c r="O487" s="31" t="inlineStr">
        <is>
          <t>338-010-302-0</t>
        </is>
      </c>
      <c r="P487" s="31" t="inlineStr">
        <is>
          <t>SR Technics Switzerland</t>
        </is>
      </c>
    </row>
    <row r="488">
      <c r="B488" s="31" t="inlineStr">
        <is>
          <t>CFM56-5B</t>
        </is>
      </c>
      <c r="C488" s="31" t="inlineStr">
        <is>
          <t>2024-2025</t>
        </is>
      </c>
      <c r="D488" s="31" t="inlineStr">
        <is>
          <t>144795</t>
        </is>
      </c>
      <c r="E488" s="31" t="inlineStr">
        <is>
          <t>72-53-07</t>
        </is>
      </c>
      <c r="F488" s="31" t="inlineStr">
        <is>
          <t>SB00</t>
        </is>
      </c>
      <c r="G488" s="31" t="inlineStr">
        <is>
          <t>HPT / nozzle</t>
        </is>
      </c>
      <c r="H488" s="27" t="n">
        <v>755</v>
      </c>
      <c r="I488" s="27" t="n">
        <v>805</v>
      </c>
      <c r="J488" s="154">
        <f>I488/H488-1</f>
        <v/>
      </c>
      <c r="K488" s="31" t="inlineStr">
        <is>
          <t>17</t>
        </is>
      </c>
      <c r="L488" s="31" t="inlineStr">
        <is>
          <t>17</t>
        </is>
      </c>
      <c r="M488" s="31" t="inlineStr">
        <is>
          <t>S1</t>
        </is>
      </c>
      <c r="N488" s="31" t="inlineStr">
        <is>
          <t>S2</t>
        </is>
      </c>
      <c r="O488" s="31" t="inlineStr">
        <is>
          <t>338-010-302-0</t>
        </is>
      </c>
      <c r="P488" s="31" t="inlineStr">
        <is>
          <t>SR Technics Switzerland</t>
        </is>
      </c>
    </row>
    <row r="489">
      <c r="B489" s="31" t="inlineStr">
        <is>
          <t>CFM56-5B</t>
        </is>
      </c>
      <c r="C489" s="31" t="inlineStr">
        <is>
          <t>2024-2025</t>
        </is>
      </c>
      <c r="D489" s="31" t="inlineStr">
        <is>
          <t>144800</t>
        </is>
      </c>
      <c r="E489" s="31" t="inlineStr">
        <is>
          <t>72-54-13</t>
        </is>
      </c>
      <c r="F489" s="31" t="inlineStr">
        <is>
          <t>A</t>
        </is>
      </c>
      <c r="G489" s="31" t="inlineStr">
        <is>
          <t>LPT</t>
        </is>
      </c>
      <c r="H489" s="27" t="n">
        <v>250</v>
      </c>
      <c r="I489" s="27" t="n">
        <v>270</v>
      </c>
      <c r="J489" s="154">
        <f>I489/H489-1</f>
        <v/>
      </c>
      <c r="K489" s="31" t="inlineStr">
        <is>
          <t>17</t>
        </is>
      </c>
      <c r="L489" s="31" t="inlineStr">
        <is>
          <t>17</t>
        </is>
      </c>
      <c r="M489" s="31" t="inlineStr">
        <is>
          <t>S1</t>
        </is>
      </c>
      <c r="N489" s="31" t="inlineStr">
        <is>
          <t>S2</t>
        </is>
      </c>
      <c r="O489" s="31" t="inlineStr">
        <is>
          <t>338-085-402-0</t>
        </is>
      </c>
      <c r="P489" s="31" t="inlineStr">
        <is>
          <t>SRTAS</t>
        </is>
      </c>
    </row>
    <row r="490">
      <c r="B490" s="31" t="inlineStr">
        <is>
          <t>CFM56-5B</t>
        </is>
      </c>
      <c r="C490" s="31" t="inlineStr">
        <is>
          <t>2024-2025</t>
        </is>
      </c>
      <c r="D490" s="31" t="inlineStr">
        <is>
          <t>144800</t>
        </is>
      </c>
      <c r="E490" s="31" t="inlineStr">
        <is>
          <t>72-54-13</t>
        </is>
      </c>
      <c r="F490" s="31" t="inlineStr">
        <is>
          <t>AA</t>
        </is>
      </c>
      <c r="G490" s="31" t="inlineStr">
        <is>
          <t>LPT</t>
        </is>
      </c>
      <c r="H490" s="27" t="n">
        <v>1320</v>
      </c>
      <c r="I490" s="27" t="n">
        <v>1430</v>
      </c>
      <c r="J490" s="154">
        <f>I490/H490-1</f>
        <v/>
      </c>
      <c r="K490" s="31" t="inlineStr">
        <is>
          <t>17</t>
        </is>
      </c>
      <c r="L490" s="31" t="inlineStr">
        <is>
          <t>17</t>
        </is>
      </c>
      <c r="M490" s="31" t="inlineStr">
        <is>
          <t>S1</t>
        </is>
      </c>
      <c r="N490" s="31" t="inlineStr">
        <is>
          <t>S2</t>
        </is>
      </c>
      <c r="O490" s="31" t="inlineStr">
        <is>
          <t>338-085-402-0</t>
        </is>
      </c>
      <c r="P490" s="31" t="inlineStr">
        <is>
          <t>SRTAS</t>
        </is>
      </c>
    </row>
    <row r="491">
      <c r="B491" s="31" t="inlineStr">
        <is>
          <t>CFM56-5B</t>
        </is>
      </c>
      <c r="C491" s="31" t="inlineStr">
        <is>
          <t>2024-2025</t>
        </is>
      </c>
      <c r="D491" s="31" t="inlineStr">
        <is>
          <t>144800</t>
        </is>
      </c>
      <c r="E491" s="31" t="inlineStr">
        <is>
          <t>72-54-13</t>
        </is>
      </c>
      <c r="F491" s="31" t="inlineStr">
        <is>
          <t>AD</t>
        </is>
      </c>
      <c r="G491" s="31" t="inlineStr">
        <is>
          <t>LPT</t>
        </is>
      </c>
      <c r="H491" s="27" t="n">
        <v>1000</v>
      </c>
      <c r="I491" s="27" t="n">
        <v>1080</v>
      </c>
      <c r="J491" s="154">
        <f>I491/H491-1</f>
        <v/>
      </c>
      <c r="K491" s="31" t="inlineStr">
        <is>
          <t>17</t>
        </is>
      </c>
      <c r="L491" s="31" t="inlineStr">
        <is>
          <t>17</t>
        </is>
      </c>
      <c r="M491" s="31" t="inlineStr">
        <is>
          <t>S1</t>
        </is>
      </c>
      <c r="N491" s="31" t="inlineStr">
        <is>
          <t>S2</t>
        </is>
      </c>
      <c r="O491" s="31" t="inlineStr">
        <is>
          <t>338-085-402-0</t>
        </is>
      </c>
      <c r="P491" s="31" t="inlineStr">
        <is>
          <t>SRTAS</t>
        </is>
      </c>
    </row>
    <row r="492">
      <c r="B492" s="31" t="inlineStr">
        <is>
          <t>CFM56-5B</t>
        </is>
      </c>
      <c r="C492" s="31" t="inlineStr">
        <is>
          <t>2024-2025</t>
        </is>
      </c>
      <c r="D492" s="31" t="inlineStr">
        <is>
          <t>144800</t>
        </is>
      </c>
      <c r="E492" s="31" t="inlineStr">
        <is>
          <t>72-54-13</t>
        </is>
      </c>
      <c r="F492" s="31" t="inlineStr">
        <is>
          <t>C</t>
        </is>
      </c>
      <c r="G492" s="31" t="inlineStr">
        <is>
          <t>LPT</t>
        </is>
      </c>
      <c r="H492" s="27" t="n">
        <v>1460</v>
      </c>
      <c r="I492" s="27" t="n">
        <v>1580</v>
      </c>
      <c r="J492" s="154">
        <f>I492/H492-1</f>
        <v/>
      </c>
      <c r="K492" s="31" t="inlineStr">
        <is>
          <t>17</t>
        </is>
      </c>
      <c r="L492" s="31" t="inlineStr">
        <is>
          <t>17</t>
        </is>
      </c>
      <c r="M492" s="31" t="inlineStr">
        <is>
          <t>S1</t>
        </is>
      </c>
      <c r="N492" s="31" t="inlineStr">
        <is>
          <t>S2</t>
        </is>
      </c>
      <c r="O492" s="31" t="inlineStr">
        <is>
          <t>338-085-402-0</t>
        </is>
      </c>
      <c r="P492" s="31" t="inlineStr">
        <is>
          <t>SRTAS</t>
        </is>
      </c>
    </row>
    <row r="493">
      <c r="B493" s="31" t="inlineStr">
        <is>
          <t>CFM56-5B</t>
        </is>
      </c>
      <c r="C493" s="31" t="inlineStr">
        <is>
          <t>2024-2025</t>
        </is>
      </c>
      <c r="D493" s="31" t="inlineStr">
        <is>
          <t>144800</t>
        </is>
      </c>
      <c r="E493" s="31" t="inlineStr">
        <is>
          <t>72-54-13</t>
        </is>
      </c>
      <c r="F493" s="31" t="inlineStr">
        <is>
          <t>G</t>
        </is>
      </c>
      <c r="G493" s="31" t="inlineStr">
        <is>
          <t>LPT</t>
        </is>
      </c>
      <c r="H493" s="27" t="n">
        <v>740</v>
      </c>
      <c r="I493" s="27" t="n">
        <v>800</v>
      </c>
      <c r="J493" s="154">
        <f>I493/H493-1</f>
        <v/>
      </c>
      <c r="K493" s="31" t="inlineStr">
        <is>
          <t>17</t>
        </is>
      </c>
      <c r="L493" s="31" t="inlineStr">
        <is>
          <t>18</t>
        </is>
      </c>
      <c r="M493" s="31" t="inlineStr">
        <is>
          <t>S1</t>
        </is>
      </c>
      <c r="N493" s="31" t="inlineStr">
        <is>
          <t>S2</t>
        </is>
      </c>
      <c r="O493" s="31" t="inlineStr">
        <is>
          <t>338-085-402-0</t>
        </is>
      </c>
      <c r="P493" s="31" t="inlineStr">
        <is>
          <t>SRTAS</t>
        </is>
      </c>
    </row>
    <row r="494">
      <c r="B494" s="31" t="inlineStr">
        <is>
          <t>CFM56-5B</t>
        </is>
      </c>
      <c r="C494" s="31" t="inlineStr">
        <is>
          <t>2024-2025</t>
        </is>
      </c>
      <c r="D494" s="31" t="inlineStr">
        <is>
          <t>144800</t>
        </is>
      </c>
      <c r="E494" s="31" t="inlineStr">
        <is>
          <t>72-54-13</t>
        </is>
      </c>
      <c r="F494" s="31" t="inlineStr">
        <is>
          <t>H</t>
        </is>
      </c>
      <c r="G494" s="31" t="inlineStr">
        <is>
          <t>LPT</t>
        </is>
      </c>
      <c r="H494" s="27" t="n">
        <v>635</v>
      </c>
      <c r="I494" s="27" t="n">
        <v>690</v>
      </c>
      <c r="J494" s="154">
        <f>I494/H494-1</f>
        <v/>
      </c>
      <c r="K494" s="31" t="inlineStr">
        <is>
          <t>17</t>
        </is>
      </c>
      <c r="L494" s="31" t="inlineStr">
        <is>
          <t>18</t>
        </is>
      </c>
      <c r="M494" s="31" t="inlineStr">
        <is>
          <t>S1</t>
        </is>
      </c>
      <c r="N494" s="31" t="inlineStr">
        <is>
          <t>S2</t>
        </is>
      </c>
      <c r="O494" s="31" t="inlineStr">
        <is>
          <t>338-085-402-0</t>
        </is>
      </c>
      <c r="P494" s="31" t="inlineStr">
        <is>
          <t>SRTAS</t>
        </is>
      </c>
    </row>
    <row r="495">
      <c r="B495" s="31" t="inlineStr">
        <is>
          <t>CFM56-5B</t>
        </is>
      </c>
      <c r="C495" s="31" t="inlineStr">
        <is>
          <t>2024-2025</t>
        </is>
      </c>
      <c r="D495" s="31" t="inlineStr">
        <is>
          <t>144800</t>
        </is>
      </c>
      <c r="E495" s="31" t="inlineStr">
        <is>
          <t>72-54-13</t>
        </is>
      </c>
      <c r="F495" s="31" t="inlineStr">
        <is>
          <t>I</t>
        </is>
      </c>
      <c r="G495" s="31" t="inlineStr">
        <is>
          <t>LPT</t>
        </is>
      </c>
      <c r="H495" s="27" t="n">
        <v>1570</v>
      </c>
      <c r="I495" s="27" t="n">
        <v>1700</v>
      </c>
      <c r="J495" s="154">
        <f>I495/H495-1</f>
        <v/>
      </c>
      <c r="K495" s="31" t="inlineStr">
        <is>
          <t>17</t>
        </is>
      </c>
      <c r="L495" s="31" t="inlineStr">
        <is>
          <t>18</t>
        </is>
      </c>
      <c r="M495" s="31" t="inlineStr">
        <is>
          <t>S1</t>
        </is>
      </c>
      <c r="N495" s="31" t="inlineStr">
        <is>
          <t>S2</t>
        </is>
      </c>
      <c r="O495" s="31" t="inlineStr">
        <is>
          <t>338-085-402-0</t>
        </is>
      </c>
      <c r="P495" s="31" t="inlineStr">
        <is>
          <t>SRTAS</t>
        </is>
      </c>
    </row>
    <row r="496">
      <c r="B496" s="31" t="inlineStr">
        <is>
          <t>CFM56-5B</t>
        </is>
      </c>
      <c r="C496" s="31" t="inlineStr">
        <is>
          <t>2024-2025</t>
        </is>
      </c>
      <c r="D496" s="31" t="inlineStr">
        <is>
          <t>144800</t>
        </is>
      </c>
      <c r="E496" s="31" t="inlineStr">
        <is>
          <t>72-54-13</t>
        </is>
      </c>
      <c r="F496" s="31" t="inlineStr">
        <is>
          <t>J</t>
        </is>
      </c>
      <c r="G496" s="31" t="inlineStr">
        <is>
          <t>LPT</t>
        </is>
      </c>
      <c r="H496" s="27" t="n">
        <v>310</v>
      </c>
      <c r="I496" s="27" t="n">
        <v>335</v>
      </c>
      <c r="J496" s="154">
        <f>I496/H496-1</f>
        <v/>
      </c>
      <c r="K496" s="31" t="inlineStr">
        <is>
          <t>17, 18</t>
        </is>
      </c>
      <c r="L496" s="31" t="inlineStr">
        <is>
          <t>18</t>
        </is>
      </c>
      <c r="M496" s="31" t="inlineStr">
        <is>
          <t>S1</t>
        </is>
      </c>
      <c r="N496" s="31" t="inlineStr">
        <is>
          <t>S2</t>
        </is>
      </c>
      <c r="O496" s="31" t="inlineStr">
        <is>
          <t>338-085-402-0</t>
        </is>
      </c>
      <c r="P496" s="31" t="inlineStr">
        <is>
          <t>SRTAS</t>
        </is>
      </c>
    </row>
    <row r="497">
      <c r="B497" s="31" t="inlineStr">
        <is>
          <t>CFM56-5B</t>
        </is>
      </c>
      <c r="C497" s="31" t="inlineStr">
        <is>
          <t>2024-2025</t>
        </is>
      </c>
      <c r="D497" s="31" t="inlineStr">
        <is>
          <t>144800</t>
        </is>
      </c>
      <c r="E497" s="31" t="inlineStr">
        <is>
          <t>72-54-13</t>
        </is>
      </c>
      <c r="F497" s="31" t="inlineStr">
        <is>
          <t>K</t>
        </is>
      </c>
      <c r="G497" s="31" t="inlineStr">
        <is>
          <t>LPT</t>
        </is>
      </c>
      <c r="H497" s="27" t="n">
        <v>1460</v>
      </c>
      <c r="I497" s="27" t="n">
        <v>1580</v>
      </c>
      <c r="J497" s="154">
        <f>I497/H497-1</f>
        <v/>
      </c>
      <c r="K497" s="31" t="inlineStr">
        <is>
          <t>18</t>
        </is>
      </c>
      <c r="L497" s="31" t="inlineStr">
        <is>
          <t>18</t>
        </is>
      </c>
      <c r="M497" s="31" t="inlineStr">
        <is>
          <t>S1</t>
        </is>
      </c>
      <c r="N497" s="31" t="inlineStr">
        <is>
          <t>S2</t>
        </is>
      </c>
      <c r="O497" s="31" t="inlineStr">
        <is>
          <t>338-085-402-0</t>
        </is>
      </c>
      <c r="P497" s="31" t="inlineStr">
        <is>
          <t>SRTAS</t>
        </is>
      </c>
    </row>
    <row r="498">
      <c r="B498" s="31" t="inlineStr">
        <is>
          <t>CFM56-5B</t>
        </is>
      </c>
      <c r="C498" s="31" t="inlineStr">
        <is>
          <t>2024-2025</t>
        </is>
      </c>
      <c r="D498" s="31" t="inlineStr">
        <is>
          <t>15119</t>
        </is>
      </c>
      <c r="E498" s="31" t="inlineStr">
        <is>
          <t>71-00-01</t>
        </is>
      </c>
      <c r="F498" s="31" t="inlineStr">
        <is>
          <t>A</t>
        </is>
      </c>
      <c r="G498" s="31" t="inlineStr">
        <is>
          <t>Other / assembly</t>
        </is>
      </c>
      <c r="H498" s="27" t="n">
        <v>350</v>
      </c>
      <c r="I498" s="27" t="n">
        <v>350</v>
      </c>
      <c r="J498" s="154">
        <f>I498/H498-1</f>
        <v/>
      </c>
      <c r="K498" s="31" t="inlineStr">
        <is>
          <t>39</t>
        </is>
      </c>
      <c r="L498" s="31" t="inlineStr">
        <is>
          <t>39</t>
        </is>
      </c>
      <c r="M498" s="31" t="inlineStr">
        <is>
          <t>S1</t>
        </is>
      </c>
      <c r="N498" s="31" t="inlineStr">
        <is>
          <t>S2</t>
        </is>
      </c>
      <c r="O498" s="31" t="inlineStr">
        <is>
          <t>321-451-005-0</t>
        </is>
      </c>
      <c r="P498" s="31" t="inlineStr">
        <is>
          <t>SR Technics Switzerland</t>
        </is>
      </c>
    </row>
    <row r="499">
      <c r="B499" s="31" t="inlineStr">
        <is>
          <t>CFM56-5B</t>
        </is>
      </c>
      <c r="C499" s="31" t="inlineStr">
        <is>
          <t>2024-2025</t>
        </is>
      </c>
      <c r="D499" s="31" t="inlineStr">
        <is>
          <t>15119</t>
        </is>
      </c>
      <c r="E499" s="31" t="inlineStr">
        <is>
          <t>71-00-01</t>
        </is>
      </c>
      <c r="F499" s="31" t="inlineStr">
        <is>
          <t>B</t>
        </is>
      </c>
      <c r="G499" s="31" t="inlineStr">
        <is>
          <t>Other / assembly</t>
        </is>
      </c>
      <c r="H499" s="27" t="n">
        <v>385</v>
      </c>
      <c r="I499" s="27" t="n">
        <v>410</v>
      </c>
      <c r="J499" s="154">
        <f>I499/H499-1</f>
        <v/>
      </c>
      <c r="K499" s="31" t="inlineStr">
        <is>
          <t>39</t>
        </is>
      </c>
      <c r="L499" s="31" t="inlineStr">
        <is>
          <t>39</t>
        </is>
      </c>
      <c r="M499" s="31" t="inlineStr">
        <is>
          <t>S1</t>
        </is>
      </c>
      <c r="N499" s="31" t="inlineStr">
        <is>
          <t>S2</t>
        </is>
      </c>
      <c r="O499" s="31" t="inlineStr">
        <is>
          <t>321-451-005-0</t>
        </is>
      </c>
      <c r="P499" s="31" t="inlineStr">
        <is>
          <t>SR Technics Switzerland</t>
        </is>
      </c>
    </row>
    <row r="500">
      <c r="B500" s="31" t="inlineStr">
        <is>
          <t>CFM56-5B</t>
        </is>
      </c>
      <c r="C500" s="31" t="inlineStr">
        <is>
          <t>2024-2025</t>
        </is>
      </c>
      <c r="D500" s="31" t="inlineStr">
        <is>
          <t>15119</t>
        </is>
      </c>
      <c r="E500" s="31" t="inlineStr">
        <is>
          <t>71-00-01</t>
        </is>
      </c>
      <c r="F500" s="31" t="inlineStr">
        <is>
          <t>D</t>
        </is>
      </c>
      <c r="G500" s="31" t="inlineStr">
        <is>
          <t>Other / assembly</t>
        </is>
      </c>
      <c r="H500" s="27" t="n">
        <v>1010</v>
      </c>
      <c r="I500" s="27" t="n">
        <v>1010</v>
      </c>
      <c r="J500" s="154">
        <f>I500/H500-1</f>
        <v/>
      </c>
      <c r="K500" s="31" t="inlineStr">
        <is>
          <t>39</t>
        </is>
      </c>
      <c r="L500" s="31" t="inlineStr">
        <is>
          <t>39</t>
        </is>
      </c>
      <c r="M500" s="31" t="inlineStr">
        <is>
          <t>S1</t>
        </is>
      </c>
      <c r="N500" s="31" t="inlineStr">
        <is>
          <t>S2</t>
        </is>
      </c>
      <c r="O500" s="31" t="inlineStr">
        <is>
          <t>321-451-005-0</t>
        </is>
      </c>
      <c r="P500" s="31" t="inlineStr">
        <is>
          <t>SR Technics Switzerland</t>
        </is>
      </c>
    </row>
    <row r="501">
      <c r="B501" s="31" t="inlineStr">
        <is>
          <t>CFM56-5B</t>
        </is>
      </c>
      <c r="C501" s="31" t="inlineStr">
        <is>
          <t>2024-2025</t>
        </is>
      </c>
      <c r="D501" s="31" t="inlineStr">
        <is>
          <t>15119</t>
        </is>
      </c>
      <c r="E501" s="31" t="inlineStr">
        <is>
          <t>71-00-01</t>
        </is>
      </c>
      <c r="F501" s="31" t="inlineStr">
        <is>
          <t>SB00</t>
        </is>
      </c>
      <c r="G501" s="31" t="inlineStr">
        <is>
          <t>Other / assembly</t>
        </is>
      </c>
      <c r="H501" s="27" t="n">
        <v>810</v>
      </c>
      <c r="I501" s="27" t="n">
        <v>810</v>
      </c>
      <c r="J501" s="154">
        <f>I501/H501-1</f>
        <v/>
      </c>
      <c r="K501" s="31" t="inlineStr">
        <is>
          <t>39</t>
        </is>
      </c>
      <c r="L501" s="31" t="inlineStr">
        <is>
          <t>39</t>
        </is>
      </c>
      <c r="M501" s="31" t="inlineStr">
        <is>
          <t>S1</t>
        </is>
      </c>
      <c r="N501" s="31" t="inlineStr">
        <is>
          <t>S2</t>
        </is>
      </c>
      <c r="O501" s="31" t="inlineStr">
        <is>
          <t>321-451-005-0</t>
        </is>
      </c>
      <c r="P501" s="31" t="inlineStr">
        <is>
          <t>SR Technics Switzerland</t>
        </is>
      </c>
    </row>
    <row r="502">
      <c r="B502" s="31" t="inlineStr">
        <is>
          <t>CFM56-5B</t>
        </is>
      </c>
      <c r="C502" s="31" t="inlineStr">
        <is>
          <t>2024-2025</t>
        </is>
      </c>
      <c r="D502" s="31" t="inlineStr">
        <is>
          <t>15175</t>
        </is>
      </c>
      <c r="E502" s="31" t="inlineStr">
        <is>
          <t>72-31-11</t>
        </is>
      </c>
      <c r="F502" s="31" t="inlineStr">
        <is>
          <t>A</t>
        </is>
      </c>
      <c r="G502" s="31" t="inlineStr">
        <is>
          <t>Compressor</t>
        </is>
      </c>
      <c r="H502" s="27" t="n">
        <v>815</v>
      </c>
      <c r="I502" s="27" t="n">
        <v>865</v>
      </c>
      <c r="J502" s="154">
        <f>I502/H502-1</f>
        <v/>
      </c>
      <c r="K502" s="31" t="inlineStr">
        <is>
          <t>5</t>
        </is>
      </c>
      <c r="L502" s="31" t="inlineStr">
        <is>
          <t>5</t>
        </is>
      </c>
      <c r="M502" s="31" t="inlineStr">
        <is>
          <t>S1</t>
        </is>
      </c>
      <c r="N502" s="31" t="inlineStr">
        <is>
          <t>S2</t>
        </is>
      </c>
      <c r="O502" s="31" t="inlineStr">
        <is>
          <t>2616M78G01</t>
        </is>
      </c>
      <c r="P502" s="31" t="inlineStr">
        <is>
          <t>SR Technics Switzerland</t>
        </is>
      </c>
    </row>
    <row r="503">
      <c r="B503" s="31" t="inlineStr">
        <is>
          <t>CFM56-5B</t>
        </is>
      </c>
      <c r="C503" s="31" t="inlineStr">
        <is>
          <t>2024-2025</t>
        </is>
      </c>
      <c r="D503" s="31" t="inlineStr">
        <is>
          <t>15175</t>
        </is>
      </c>
      <c r="E503" s="31" t="inlineStr">
        <is>
          <t>72-31-11</t>
        </is>
      </c>
      <c r="F503" s="31" t="inlineStr">
        <is>
          <t>C</t>
        </is>
      </c>
      <c r="G503" s="31" t="inlineStr">
        <is>
          <t>Compressor</t>
        </is>
      </c>
      <c r="H503" s="27" t="n">
        <v>175</v>
      </c>
      <c r="I503" s="27" t="n">
        <v>190</v>
      </c>
      <c r="J503" s="154">
        <f>I503/H503-1</f>
        <v/>
      </c>
      <c r="K503" s="31" t="inlineStr">
        <is>
          <t>5</t>
        </is>
      </c>
      <c r="L503" s="31" t="inlineStr">
        <is>
          <t>5</t>
        </is>
      </c>
      <c r="M503" s="31" t="inlineStr">
        <is>
          <t>S1</t>
        </is>
      </c>
      <c r="N503" s="31" t="inlineStr">
        <is>
          <t>S2</t>
        </is>
      </c>
      <c r="O503" s="31" t="inlineStr">
        <is>
          <t>2616M78G01</t>
        </is>
      </c>
      <c r="P503" s="31" t="inlineStr">
        <is>
          <t>SR Technics Switzerland</t>
        </is>
      </c>
    </row>
    <row r="504">
      <c r="B504" s="31" t="inlineStr">
        <is>
          <t>CFM56-5B</t>
        </is>
      </c>
      <c r="C504" s="31" t="inlineStr">
        <is>
          <t>2024-2025</t>
        </is>
      </c>
      <c r="D504" s="31" t="inlineStr">
        <is>
          <t>15175</t>
        </is>
      </c>
      <c r="E504" s="31" t="inlineStr">
        <is>
          <t>72-31-11</t>
        </is>
      </c>
      <c r="F504" s="31" t="inlineStr">
        <is>
          <t>G</t>
        </is>
      </c>
      <c r="G504" s="31" t="inlineStr">
        <is>
          <t>Compressor</t>
        </is>
      </c>
      <c r="H504" s="27" t="n">
        <v>3070</v>
      </c>
      <c r="I504" s="27" t="n">
        <v>3255</v>
      </c>
      <c r="J504" s="154">
        <f>I504/H504-1</f>
        <v/>
      </c>
      <c r="K504" s="31" t="inlineStr">
        <is>
          <t>5</t>
        </is>
      </c>
      <c r="L504" s="31" t="inlineStr">
        <is>
          <t>5</t>
        </is>
      </c>
      <c r="M504" s="31" t="inlineStr">
        <is>
          <t>S1</t>
        </is>
      </c>
      <c r="N504" s="31" t="inlineStr">
        <is>
          <t>S2</t>
        </is>
      </c>
      <c r="O504" s="31" t="inlineStr">
        <is>
          <t>2616M78G01</t>
        </is>
      </c>
      <c r="P504" s="31" t="inlineStr">
        <is>
          <t>SR Technics Switzerland</t>
        </is>
      </c>
    </row>
    <row r="505">
      <c r="B505" s="31" t="inlineStr">
        <is>
          <t>CFM56-5B</t>
        </is>
      </c>
      <c r="C505" s="31" t="inlineStr">
        <is>
          <t>2024-2025</t>
        </is>
      </c>
      <c r="D505" s="31" t="inlineStr">
        <is>
          <t>1518</t>
        </is>
      </c>
      <c r="E505" s="31" t="inlineStr">
        <is>
          <t>72-33-02</t>
        </is>
      </c>
      <c r="F505" s="31" t="inlineStr">
        <is>
          <t>B</t>
        </is>
      </c>
      <c r="G505" s="31" t="inlineStr">
        <is>
          <t>Compressor</t>
        </is>
      </c>
      <c r="H505" s="27" t="n">
        <v>485</v>
      </c>
      <c r="I505" s="27" t="n">
        <v>525</v>
      </c>
      <c r="J505" s="154">
        <f>I505/H505-1</f>
        <v/>
      </c>
      <c r="K505" s="31" t="inlineStr">
        <is>
          <t>28</t>
        </is>
      </c>
      <c r="L505" s="31" t="inlineStr">
        <is>
          <t>28</t>
        </is>
      </c>
      <c r="M505" s="31" t="inlineStr">
        <is>
          <t>S1</t>
        </is>
      </c>
      <c r="N505" s="31" t="inlineStr">
        <is>
          <t>S2</t>
        </is>
      </c>
      <c r="O505" s="31" t="inlineStr">
        <is>
          <t>1559M16G01</t>
        </is>
      </c>
      <c r="P505" s="31" t="inlineStr">
        <is>
          <t>SRTAS</t>
        </is>
      </c>
    </row>
    <row r="506">
      <c r="B506" s="31" t="inlineStr">
        <is>
          <t>CFM56-5B</t>
        </is>
      </c>
      <c r="C506" s="31" t="inlineStr">
        <is>
          <t>2024-2025</t>
        </is>
      </c>
      <c r="D506" s="31" t="inlineStr">
        <is>
          <t>1518</t>
        </is>
      </c>
      <c r="E506" s="31" t="inlineStr">
        <is>
          <t>72-33-02</t>
        </is>
      </c>
      <c r="F506" s="31" t="inlineStr">
        <is>
          <t>G</t>
        </is>
      </c>
      <c r="G506" s="31" t="inlineStr">
        <is>
          <t>Compressor</t>
        </is>
      </c>
      <c r="H506" s="27" t="n">
        <v>115</v>
      </c>
      <c r="I506" s="27" t="n">
        <v>125</v>
      </c>
      <c r="J506" s="154">
        <f>I506/H506-1</f>
        <v/>
      </c>
      <c r="K506" s="31" t="inlineStr">
        <is>
          <t>28</t>
        </is>
      </c>
      <c r="L506" s="31" t="inlineStr">
        <is>
          <t>28</t>
        </is>
      </c>
      <c r="M506" s="31" t="inlineStr">
        <is>
          <t>S1</t>
        </is>
      </c>
      <c r="N506" s="31" t="inlineStr">
        <is>
          <t>S2</t>
        </is>
      </c>
      <c r="O506" s="31" t="inlineStr">
        <is>
          <t>1559M16G01</t>
        </is>
      </c>
      <c r="P506" s="31" t="inlineStr">
        <is>
          <t>SRTAS</t>
        </is>
      </c>
    </row>
    <row r="507">
      <c r="B507" s="31" t="inlineStr">
        <is>
          <t>CFM56-5B</t>
        </is>
      </c>
      <c r="C507" s="31" t="inlineStr">
        <is>
          <t>2024-2025</t>
        </is>
      </c>
      <c r="D507" s="31" t="inlineStr">
        <is>
          <t>1518</t>
        </is>
      </c>
      <c r="E507" s="31" t="inlineStr">
        <is>
          <t>72-33-02</t>
        </is>
      </c>
      <c r="F507" s="31" t="inlineStr">
        <is>
          <t>H</t>
        </is>
      </c>
      <c r="G507" s="31" t="inlineStr">
        <is>
          <t>Compressor</t>
        </is>
      </c>
      <c r="H507" s="27" t="n">
        <v>880</v>
      </c>
      <c r="I507" s="27" t="n">
        <v>955</v>
      </c>
      <c r="J507" s="154">
        <f>I507/H507-1</f>
        <v/>
      </c>
      <c r="K507" s="31" t="inlineStr">
        <is>
          <t>28</t>
        </is>
      </c>
      <c r="L507" s="31" t="inlineStr">
        <is>
          <t>28</t>
        </is>
      </c>
      <c r="M507" s="31" t="inlineStr">
        <is>
          <t>S1</t>
        </is>
      </c>
      <c r="N507" s="31" t="inlineStr">
        <is>
          <t>S2</t>
        </is>
      </c>
      <c r="O507" s="31" t="inlineStr">
        <is>
          <t>1559M16G01</t>
        </is>
      </c>
      <c r="P507" s="31" t="inlineStr">
        <is>
          <t>SRTAS</t>
        </is>
      </c>
    </row>
    <row r="508">
      <c r="B508" s="31" t="inlineStr">
        <is>
          <t>CFM56-5B</t>
        </is>
      </c>
      <c r="C508" s="31" t="inlineStr">
        <is>
          <t>2024-2025</t>
        </is>
      </c>
      <c r="D508" s="31" t="inlineStr">
        <is>
          <t>1518</t>
        </is>
      </c>
      <c r="E508" s="31" t="inlineStr">
        <is>
          <t>72-33-02</t>
        </is>
      </c>
      <c r="F508" s="31" t="inlineStr">
        <is>
          <t>N</t>
        </is>
      </c>
      <c r="G508" s="31" t="inlineStr">
        <is>
          <t>Compressor</t>
        </is>
      </c>
      <c r="H508" s="27" t="n">
        <v>115</v>
      </c>
      <c r="I508" s="27" t="n">
        <v>125</v>
      </c>
      <c r="J508" s="154">
        <f>I508/H508-1</f>
        <v/>
      </c>
      <c r="K508" s="31" t="inlineStr">
        <is>
          <t>29</t>
        </is>
      </c>
      <c r="L508" s="31" t="inlineStr">
        <is>
          <t>28</t>
        </is>
      </c>
      <c r="M508" s="31" t="inlineStr">
        <is>
          <t>S1</t>
        </is>
      </c>
      <c r="N508" s="31" t="inlineStr">
        <is>
          <t>S2</t>
        </is>
      </c>
      <c r="O508" s="31" t="inlineStr">
        <is>
          <t>1559M16G01</t>
        </is>
      </c>
      <c r="P508" s="31" t="inlineStr">
        <is>
          <t>SRTAS</t>
        </is>
      </c>
    </row>
    <row r="509">
      <c r="B509" s="31" t="inlineStr">
        <is>
          <t>CFM56-5B</t>
        </is>
      </c>
      <c r="C509" s="31" t="inlineStr">
        <is>
          <t>2024-2025</t>
        </is>
      </c>
      <c r="D509" s="31" t="inlineStr">
        <is>
          <t>1518</t>
        </is>
      </c>
      <c r="E509" s="31" t="inlineStr">
        <is>
          <t>72-33-02</t>
        </is>
      </c>
      <c r="F509" s="31" t="inlineStr">
        <is>
          <t>O</t>
        </is>
      </c>
      <c r="G509" s="31" t="inlineStr">
        <is>
          <t>Compressor</t>
        </is>
      </c>
      <c r="H509" s="27" t="n">
        <v>880</v>
      </c>
      <c r="I509" s="27" t="n">
        <v>955</v>
      </c>
      <c r="J509" s="154">
        <f>I509/H509-1</f>
        <v/>
      </c>
      <c r="K509" s="31" t="inlineStr">
        <is>
          <t>29</t>
        </is>
      </c>
      <c r="L509" s="31" t="inlineStr">
        <is>
          <t>28</t>
        </is>
      </c>
      <c r="M509" s="31" t="inlineStr">
        <is>
          <t>S1</t>
        </is>
      </c>
      <c r="N509" s="31" t="inlineStr">
        <is>
          <t>S2</t>
        </is>
      </c>
      <c r="O509" s="31" t="inlineStr">
        <is>
          <t>1559M16G01</t>
        </is>
      </c>
      <c r="P509" s="31" t="inlineStr">
        <is>
          <t>SRTAS</t>
        </is>
      </c>
    </row>
    <row r="510">
      <c r="B510" s="31" t="inlineStr">
        <is>
          <t>CFM56-5B</t>
        </is>
      </c>
      <c r="C510" s="31" t="inlineStr">
        <is>
          <t>2024-2025</t>
        </is>
      </c>
      <c r="D510" s="31" t="inlineStr">
        <is>
          <t>1518</t>
        </is>
      </c>
      <c r="E510" s="31" t="inlineStr">
        <is>
          <t>72-33-02</t>
        </is>
      </c>
      <c r="F510" s="31" t="inlineStr">
        <is>
          <t>U</t>
        </is>
      </c>
      <c r="G510" s="31" t="inlineStr">
        <is>
          <t>Compressor</t>
        </is>
      </c>
      <c r="H510" s="27" t="n">
        <v>115</v>
      </c>
      <c r="I510" s="27" t="n">
        <v>125</v>
      </c>
      <c r="J510" s="154">
        <f>I510/H510-1</f>
        <v/>
      </c>
      <c r="K510" s="31" t="inlineStr">
        <is>
          <t>29</t>
        </is>
      </c>
      <c r="L510" s="31" t="inlineStr">
        <is>
          <t>28</t>
        </is>
      </c>
      <c r="M510" s="31" t="inlineStr">
        <is>
          <t>S1</t>
        </is>
      </c>
      <c r="N510" s="31" t="inlineStr">
        <is>
          <t>S2</t>
        </is>
      </c>
      <c r="O510" s="31" t="inlineStr">
        <is>
          <t>1559M16G01</t>
        </is>
      </c>
      <c r="P510" s="31" t="inlineStr">
        <is>
          <t>SRTAS</t>
        </is>
      </c>
    </row>
    <row r="511">
      <c r="B511" s="31" t="inlineStr">
        <is>
          <t>CFM56-5B</t>
        </is>
      </c>
      <c r="C511" s="31" t="inlineStr">
        <is>
          <t>2024-2025</t>
        </is>
      </c>
      <c r="D511" s="31" t="inlineStr">
        <is>
          <t>1518</t>
        </is>
      </c>
      <c r="E511" s="31" t="inlineStr">
        <is>
          <t>72-33-02</t>
        </is>
      </c>
      <c r="F511" s="31" t="inlineStr">
        <is>
          <t>V</t>
        </is>
      </c>
      <c r="G511" s="31" t="inlineStr">
        <is>
          <t>Compressor</t>
        </is>
      </c>
      <c r="H511" s="27" t="n">
        <v>895</v>
      </c>
      <c r="I511" s="27" t="n">
        <v>955</v>
      </c>
      <c r="J511" s="154">
        <f>I511/H511-1</f>
        <v/>
      </c>
      <c r="K511" s="31" t="inlineStr">
        <is>
          <t>29</t>
        </is>
      </c>
      <c r="L511" s="31" t="inlineStr">
        <is>
          <t>28</t>
        </is>
      </c>
      <c r="M511" s="31" t="inlineStr">
        <is>
          <t>S1</t>
        </is>
      </c>
      <c r="N511" s="31" t="inlineStr">
        <is>
          <t>S2</t>
        </is>
      </c>
      <c r="O511" s="31" t="inlineStr">
        <is>
          <t>1559M16G01</t>
        </is>
      </c>
      <c r="P511" s="31" t="inlineStr">
        <is>
          <t>SRTAS</t>
        </is>
      </c>
    </row>
    <row r="512">
      <c r="B512" s="31" t="inlineStr">
        <is>
          <t>CFM56-5B</t>
        </is>
      </c>
      <c r="C512" s="31" t="inlineStr">
        <is>
          <t>2024-2025</t>
        </is>
      </c>
      <c r="D512" s="31" t="inlineStr">
        <is>
          <t>15379</t>
        </is>
      </c>
      <c r="E512" s="31" t="inlineStr">
        <is>
          <t>72-56-01</t>
        </is>
      </c>
      <c r="F512" s="31" t="inlineStr">
        <is>
          <t>A</t>
        </is>
      </c>
      <c r="G512" s="31" t="inlineStr">
        <is>
          <t>LPT</t>
        </is>
      </c>
      <c r="H512" s="27" t="n">
        <v>360</v>
      </c>
      <c r="I512" s="27" t="n">
        <v>385</v>
      </c>
      <c r="J512" s="154">
        <f>I512/H512-1</f>
        <v/>
      </c>
      <c r="K512" s="31" t="inlineStr">
        <is>
          <t>40</t>
        </is>
      </c>
      <c r="L512" s="31" t="inlineStr">
        <is>
          <t>40</t>
        </is>
      </c>
      <c r="M512" s="31" t="inlineStr">
        <is>
          <t>S1</t>
        </is>
      </c>
      <c r="N512" s="31" t="inlineStr">
        <is>
          <t>S2</t>
        </is>
      </c>
      <c r="O512" s="31" t="inlineStr">
        <is>
          <t>336-043-302-0</t>
        </is>
      </c>
      <c r="P512" s="31" t="inlineStr">
        <is>
          <t>SR Technics Switzerland</t>
        </is>
      </c>
    </row>
    <row r="513">
      <c r="B513" s="31" t="inlineStr">
        <is>
          <t>CFM56-5B</t>
        </is>
      </c>
      <c r="C513" s="31" t="inlineStr">
        <is>
          <t>2024-2025</t>
        </is>
      </c>
      <c r="D513" s="31" t="inlineStr">
        <is>
          <t>15379</t>
        </is>
      </c>
      <c r="E513" s="31" t="inlineStr">
        <is>
          <t>72-56-01</t>
        </is>
      </c>
      <c r="F513" s="31" t="inlineStr">
        <is>
          <t>AD</t>
        </is>
      </c>
      <c r="G513" s="31" t="inlineStr">
        <is>
          <t>LPT</t>
        </is>
      </c>
      <c r="H513" s="27" t="n">
        <v>225</v>
      </c>
      <c r="I513" s="27" t="n">
        <v>240</v>
      </c>
      <c r="J513" s="154">
        <f>I513/H513-1</f>
        <v/>
      </c>
      <c r="K513" s="31" t="inlineStr">
        <is>
          <t>40</t>
        </is>
      </c>
      <c r="L513" s="31" t="inlineStr">
        <is>
          <t>40</t>
        </is>
      </c>
      <c r="M513" s="31" t="inlineStr">
        <is>
          <t>S1</t>
        </is>
      </c>
      <c r="N513" s="31" t="inlineStr">
        <is>
          <t>S2</t>
        </is>
      </c>
      <c r="O513" s="31" t="inlineStr">
        <is>
          <t>336-043-302-0</t>
        </is>
      </c>
      <c r="P513" s="31" t="inlineStr">
        <is>
          <t>SR Technics Switzerland</t>
        </is>
      </c>
    </row>
    <row r="514">
      <c r="B514" s="31" t="inlineStr">
        <is>
          <t>CFM56-5B</t>
        </is>
      </c>
      <c r="C514" s="31" t="inlineStr">
        <is>
          <t>2024-2025</t>
        </is>
      </c>
      <c r="D514" s="31" t="inlineStr">
        <is>
          <t>1548</t>
        </is>
      </c>
      <c r="E514" s="31" t="inlineStr">
        <is>
          <t>72-32-13</t>
        </is>
      </c>
      <c r="F514" s="31" t="inlineStr">
        <is>
          <t>A</t>
        </is>
      </c>
      <c r="G514" s="31" t="inlineStr">
        <is>
          <t>Compressor</t>
        </is>
      </c>
      <c r="H514" s="27" t="n">
        <v>250</v>
      </c>
      <c r="I514" s="27" t="n">
        <v>265</v>
      </c>
      <c r="J514" s="154">
        <f>I514/H514-1</f>
        <v/>
      </c>
      <c r="K514" s="31" t="inlineStr">
        <is>
          <t>29</t>
        </is>
      </c>
      <c r="L514" s="31" t="inlineStr">
        <is>
          <t>29</t>
        </is>
      </c>
      <c r="M514" s="31" t="inlineStr">
        <is>
          <t>S1</t>
        </is>
      </c>
      <c r="N514" s="31" t="inlineStr">
        <is>
          <t>S2</t>
        </is>
      </c>
      <c r="O514" s="31" t="inlineStr">
        <is>
          <t>1476M51P01</t>
        </is>
      </c>
      <c r="P514" s="31" t="inlineStr">
        <is>
          <t>SR Technics Switzerland</t>
        </is>
      </c>
    </row>
    <row r="515">
      <c r="B515" s="31" t="inlineStr">
        <is>
          <t>CFM56-5B</t>
        </is>
      </c>
      <c r="C515" s="31" t="inlineStr">
        <is>
          <t>2024-2025</t>
        </is>
      </c>
      <c r="D515" s="31" t="inlineStr">
        <is>
          <t>1548</t>
        </is>
      </c>
      <c r="E515" s="31" t="inlineStr">
        <is>
          <t>72-32-13</t>
        </is>
      </c>
      <c r="F515" s="31" t="inlineStr">
        <is>
          <t>B</t>
        </is>
      </c>
      <c r="G515" s="31" t="inlineStr">
        <is>
          <t>Compressor</t>
        </is>
      </c>
      <c r="H515" s="27" t="n">
        <v>1015</v>
      </c>
      <c r="I515" s="27" t="n">
        <v>1080</v>
      </c>
      <c r="J515" s="154">
        <f>I515/H515-1</f>
        <v/>
      </c>
      <c r="K515" s="31" t="inlineStr">
        <is>
          <t>29</t>
        </is>
      </c>
      <c r="L515" s="31" t="inlineStr">
        <is>
          <t>29</t>
        </is>
      </c>
      <c r="M515" s="31" t="inlineStr">
        <is>
          <t>S1</t>
        </is>
      </c>
      <c r="N515" s="31" t="inlineStr">
        <is>
          <t>S2</t>
        </is>
      </c>
      <c r="O515" s="31" t="inlineStr">
        <is>
          <t>1476M51P01</t>
        </is>
      </c>
      <c r="P515" s="31" t="inlineStr">
        <is>
          <t>SR Technics Switzerland</t>
        </is>
      </c>
    </row>
    <row r="516">
      <c r="B516" s="31" t="inlineStr">
        <is>
          <t>CFM56-5B</t>
        </is>
      </c>
      <c r="C516" s="31" t="inlineStr">
        <is>
          <t>2024-2025</t>
        </is>
      </c>
      <c r="D516" s="31" t="inlineStr">
        <is>
          <t>16715</t>
        </is>
      </c>
      <c r="E516" s="31" t="inlineStr">
        <is>
          <t>72-32-01</t>
        </is>
      </c>
      <c r="F516" s="31" t="inlineStr">
        <is>
          <t>A</t>
        </is>
      </c>
      <c r="G516" s="31" t="inlineStr">
        <is>
          <t>Compressor</t>
        </is>
      </c>
      <c r="H516" s="27" t="n">
        <v>3270</v>
      </c>
      <c r="I516" s="27" t="n">
        <v>3470</v>
      </c>
      <c r="J516" s="154">
        <f>I516/H516-1</f>
        <v/>
      </c>
      <c r="K516" s="31" t="inlineStr">
        <is>
          <t>5</t>
        </is>
      </c>
      <c r="L516" s="31" t="inlineStr">
        <is>
          <t>5</t>
        </is>
      </c>
      <c r="M516" s="31" t="inlineStr">
        <is>
          <t>S1</t>
        </is>
      </c>
      <c r="N516" s="31" t="inlineStr">
        <is>
          <t>S2</t>
        </is>
      </c>
      <c r="O516" s="31" t="inlineStr">
        <is>
          <t>1559M30G05</t>
        </is>
      </c>
      <c r="P516" s="31" t="inlineStr">
        <is>
          <t>SR Technics Switzerland</t>
        </is>
      </c>
    </row>
    <row r="517">
      <c r="B517" s="31" t="inlineStr">
        <is>
          <t>CFM56-5B</t>
        </is>
      </c>
      <c r="C517" s="31" t="inlineStr">
        <is>
          <t>2024-2025</t>
        </is>
      </c>
      <c r="D517" s="31" t="inlineStr">
        <is>
          <t>16715</t>
        </is>
      </c>
      <c r="E517" s="31" t="inlineStr">
        <is>
          <t>72-32-01</t>
        </is>
      </c>
      <c r="F517" s="31" t="inlineStr">
        <is>
          <t>AB</t>
        </is>
      </c>
      <c r="G517" s="31" t="inlineStr">
        <is>
          <t>Compressor</t>
        </is>
      </c>
      <c r="H517" s="27" t="n">
        <v>5885</v>
      </c>
      <c r="I517" s="27" t="n">
        <v>6240</v>
      </c>
      <c r="J517" s="154">
        <f>I517/H517-1</f>
        <v/>
      </c>
      <c r="K517" s="31" t="inlineStr">
        <is>
          <t>5</t>
        </is>
      </c>
      <c r="L517" s="31" t="inlineStr">
        <is>
          <t>5</t>
        </is>
      </c>
      <c r="M517" s="31" t="inlineStr">
        <is>
          <t>S1</t>
        </is>
      </c>
      <c r="N517" s="31" t="inlineStr">
        <is>
          <t>S2</t>
        </is>
      </c>
      <c r="O517" s="31" t="inlineStr">
        <is>
          <t>1559M30G05</t>
        </is>
      </c>
      <c r="P517" s="31" t="inlineStr">
        <is>
          <t>SR Technics Switzerland</t>
        </is>
      </c>
    </row>
    <row r="518">
      <c r="B518" s="31" t="inlineStr">
        <is>
          <t>CFM56-5B</t>
        </is>
      </c>
      <c r="C518" s="31" t="inlineStr">
        <is>
          <t>2024-2025</t>
        </is>
      </c>
      <c r="D518" s="31" t="inlineStr">
        <is>
          <t>16715</t>
        </is>
      </c>
      <c r="E518" s="31" t="inlineStr">
        <is>
          <t>72-32-01</t>
        </is>
      </c>
      <c r="F518" s="31" t="inlineStr">
        <is>
          <t>AG</t>
        </is>
      </c>
      <c r="G518" s="31" t="inlineStr">
        <is>
          <t>Compressor</t>
        </is>
      </c>
      <c r="H518" s="27" t="n">
        <v>1210</v>
      </c>
      <c r="I518" s="27" t="n">
        <v>1285</v>
      </c>
      <c r="J518" s="154">
        <f>I518/H518-1</f>
        <v/>
      </c>
      <c r="K518" s="31" t="inlineStr">
        <is>
          <t>5</t>
        </is>
      </c>
      <c r="L518" s="31" t="inlineStr">
        <is>
          <t>5</t>
        </is>
      </c>
      <c r="M518" s="31" t="inlineStr">
        <is>
          <t>S1</t>
        </is>
      </c>
      <c r="N518" s="31" t="inlineStr">
        <is>
          <t>S2</t>
        </is>
      </c>
      <c r="O518" s="31" t="inlineStr">
        <is>
          <t>1559M30G05</t>
        </is>
      </c>
      <c r="P518" s="31" t="inlineStr">
        <is>
          <t>SR Technics Switzerland</t>
        </is>
      </c>
    </row>
    <row r="519">
      <c r="B519" s="31" t="inlineStr">
        <is>
          <t>CFM56-5B</t>
        </is>
      </c>
      <c r="C519" s="31" t="inlineStr">
        <is>
          <t>2024-2025</t>
        </is>
      </c>
      <c r="D519" s="31" t="inlineStr">
        <is>
          <t>16715</t>
        </is>
      </c>
      <c r="E519" s="31" t="inlineStr">
        <is>
          <t>72-32-01</t>
        </is>
      </c>
      <c r="F519" s="31" t="inlineStr">
        <is>
          <t>AK</t>
        </is>
      </c>
      <c r="G519" s="31" t="inlineStr">
        <is>
          <t>Compressor</t>
        </is>
      </c>
      <c r="H519" s="27" t="n">
        <v>175</v>
      </c>
      <c r="I519" s="27" t="n">
        <v>190</v>
      </c>
      <c r="J519" s="154">
        <f>I519/H519-1</f>
        <v/>
      </c>
      <c r="K519" s="31" t="inlineStr">
        <is>
          <t>5</t>
        </is>
      </c>
      <c r="L519" s="31" t="inlineStr">
        <is>
          <t>5</t>
        </is>
      </c>
      <c r="M519" s="31" t="inlineStr">
        <is>
          <t>S1</t>
        </is>
      </c>
      <c r="N519" s="31" t="inlineStr">
        <is>
          <t>S2</t>
        </is>
      </c>
      <c r="O519" s="31" t="inlineStr">
        <is>
          <t>1559M30G05</t>
        </is>
      </c>
      <c r="P519" s="31" t="inlineStr">
        <is>
          <t>SR Technics Switzerland</t>
        </is>
      </c>
    </row>
    <row r="520">
      <c r="B520" s="31" t="inlineStr">
        <is>
          <t>CFM56-5B</t>
        </is>
      </c>
      <c r="C520" s="31" t="inlineStr">
        <is>
          <t>2024-2025</t>
        </is>
      </c>
      <c r="D520" s="31" t="inlineStr">
        <is>
          <t>16715</t>
        </is>
      </c>
      <c r="E520" s="31" t="inlineStr">
        <is>
          <t>72-32-01</t>
        </is>
      </c>
      <c r="F520" s="31" t="inlineStr">
        <is>
          <t>C</t>
        </is>
      </c>
      <c r="G520" s="31" t="inlineStr">
        <is>
          <t>Compressor</t>
        </is>
      </c>
      <c r="H520" s="27" t="n">
        <v>2145</v>
      </c>
      <c r="I520" s="27" t="n">
        <v>2275</v>
      </c>
      <c r="J520" s="154">
        <f>I520/H520-1</f>
        <v/>
      </c>
      <c r="K520" s="31" t="inlineStr">
        <is>
          <t>5</t>
        </is>
      </c>
      <c r="L520" s="31" t="inlineStr">
        <is>
          <t>5</t>
        </is>
      </c>
      <c r="M520" s="31" t="inlineStr">
        <is>
          <t>S1</t>
        </is>
      </c>
      <c r="N520" s="31" t="inlineStr">
        <is>
          <t>S2</t>
        </is>
      </c>
      <c r="O520" s="31" t="inlineStr">
        <is>
          <t>1559M30G05</t>
        </is>
      </c>
      <c r="P520" s="31" t="inlineStr">
        <is>
          <t>SR Technics Switzerland</t>
        </is>
      </c>
    </row>
    <row r="521">
      <c r="B521" s="31" t="inlineStr">
        <is>
          <t>CFM56-5B</t>
        </is>
      </c>
      <c r="C521" s="31" t="inlineStr">
        <is>
          <t>2024-2025</t>
        </is>
      </c>
      <c r="D521" s="31" t="inlineStr">
        <is>
          <t>16715</t>
        </is>
      </c>
      <c r="E521" s="31" t="inlineStr">
        <is>
          <t>72-32-01</t>
        </is>
      </c>
      <c r="F521" s="31" t="inlineStr">
        <is>
          <t>D</t>
        </is>
      </c>
      <c r="G521" s="31" t="inlineStr">
        <is>
          <t>Compressor</t>
        </is>
      </c>
      <c r="H521" s="27" t="n">
        <v>3105</v>
      </c>
      <c r="I521" s="27" t="n">
        <v>3295</v>
      </c>
      <c r="J521" s="154">
        <f>I521/H521-1</f>
        <v/>
      </c>
      <c r="K521" s="31" t="inlineStr">
        <is>
          <t>5</t>
        </is>
      </c>
      <c r="L521" s="31" t="inlineStr">
        <is>
          <t>5</t>
        </is>
      </c>
      <c r="M521" s="31" t="inlineStr">
        <is>
          <t>S1</t>
        </is>
      </c>
      <c r="N521" s="31" t="inlineStr">
        <is>
          <t>S2</t>
        </is>
      </c>
      <c r="O521" s="31" t="inlineStr">
        <is>
          <t>1559M30G05</t>
        </is>
      </c>
      <c r="P521" s="31" t="inlineStr">
        <is>
          <t>SR Technics Switzerland</t>
        </is>
      </c>
    </row>
    <row r="522">
      <c r="B522" s="31" t="inlineStr">
        <is>
          <t>CFM56-5B</t>
        </is>
      </c>
      <c r="C522" s="31" t="inlineStr">
        <is>
          <t>2024-2025</t>
        </is>
      </c>
      <c r="D522" s="31" t="inlineStr">
        <is>
          <t>16715</t>
        </is>
      </c>
      <c r="E522" s="31" t="inlineStr">
        <is>
          <t>72-32-01</t>
        </is>
      </c>
      <c r="F522" s="31" t="inlineStr">
        <is>
          <t>E</t>
        </is>
      </c>
      <c r="G522" s="31" t="inlineStr">
        <is>
          <t>Compressor</t>
        </is>
      </c>
      <c r="H522" s="27" t="n">
        <v>3615</v>
      </c>
      <c r="I522" s="27" t="n">
        <v>3835</v>
      </c>
      <c r="J522" s="154">
        <f>I522/H522-1</f>
        <v/>
      </c>
      <c r="K522" s="31" t="inlineStr">
        <is>
          <t>5</t>
        </is>
      </c>
      <c r="L522" s="31" t="inlineStr">
        <is>
          <t>5</t>
        </is>
      </c>
      <c r="M522" s="31" t="inlineStr">
        <is>
          <t>S1</t>
        </is>
      </c>
      <c r="N522" s="31" t="inlineStr">
        <is>
          <t>S2</t>
        </is>
      </c>
      <c r="O522" s="31" t="inlineStr">
        <is>
          <t>1559M30G05</t>
        </is>
      </c>
      <c r="P522" s="31" t="inlineStr">
        <is>
          <t>SR Technics Switzerland</t>
        </is>
      </c>
    </row>
    <row r="523">
      <c r="B523" s="31" t="inlineStr">
        <is>
          <t>CFM56-5B</t>
        </is>
      </c>
      <c r="C523" s="31" t="inlineStr">
        <is>
          <t>2024-2025</t>
        </is>
      </c>
      <c r="D523" s="31" t="inlineStr">
        <is>
          <t>16715</t>
        </is>
      </c>
      <c r="E523" s="31" t="inlineStr">
        <is>
          <t>72-32-01</t>
        </is>
      </c>
      <c r="F523" s="31" t="inlineStr">
        <is>
          <t>G</t>
        </is>
      </c>
      <c r="G523" s="31" t="inlineStr">
        <is>
          <t>Compressor</t>
        </is>
      </c>
      <c r="H523" s="27" t="n">
        <v>835</v>
      </c>
      <c r="I523" s="27" t="n">
        <v>890</v>
      </c>
      <c r="J523" s="154">
        <f>I523/H523-1</f>
        <v/>
      </c>
      <c r="K523" s="31" t="inlineStr">
        <is>
          <t>5</t>
        </is>
      </c>
      <c r="L523" s="31" t="inlineStr">
        <is>
          <t>5</t>
        </is>
      </c>
      <c r="M523" s="31" t="inlineStr">
        <is>
          <t>S1</t>
        </is>
      </c>
      <c r="N523" s="31" t="inlineStr">
        <is>
          <t>S2</t>
        </is>
      </c>
      <c r="O523" s="31" t="inlineStr">
        <is>
          <t>1559M30G05</t>
        </is>
      </c>
      <c r="P523" s="31" t="inlineStr">
        <is>
          <t>SR Technics Switzerland</t>
        </is>
      </c>
    </row>
    <row r="524">
      <c r="B524" s="31" t="inlineStr">
        <is>
          <t>CFM56-5B</t>
        </is>
      </c>
      <c r="C524" s="31" t="inlineStr">
        <is>
          <t>2024-2025</t>
        </is>
      </c>
      <c r="D524" s="31" t="inlineStr">
        <is>
          <t>16715</t>
        </is>
      </c>
      <c r="E524" s="31" t="inlineStr">
        <is>
          <t>72-32-01</t>
        </is>
      </c>
      <c r="F524" s="31" t="inlineStr">
        <is>
          <t>P</t>
        </is>
      </c>
      <c r="G524" s="31" t="inlineStr">
        <is>
          <t>Compressor</t>
        </is>
      </c>
      <c r="H524" s="27" t="n">
        <v>11210</v>
      </c>
      <c r="I524" s="27" t="n">
        <v>11885</v>
      </c>
      <c r="J524" s="154">
        <f>I524/H524-1</f>
        <v/>
      </c>
      <c r="K524" s="31" t="inlineStr">
        <is>
          <t>5</t>
        </is>
      </c>
      <c r="L524" s="31" t="inlineStr">
        <is>
          <t>5</t>
        </is>
      </c>
      <c r="M524" s="31" t="inlineStr">
        <is>
          <t>S1</t>
        </is>
      </c>
      <c r="N524" s="31" t="inlineStr">
        <is>
          <t>S2</t>
        </is>
      </c>
      <c r="O524" s="31" t="inlineStr">
        <is>
          <t>1559M30G05</t>
        </is>
      </c>
      <c r="P524" s="31" t="inlineStr">
        <is>
          <t>SR Technics Switzerland</t>
        </is>
      </c>
    </row>
    <row r="525">
      <c r="B525" s="31" t="inlineStr">
        <is>
          <t>CFM56-5B</t>
        </is>
      </c>
      <c r="C525" s="31" t="inlineStr">
        <is>
          <t>2024-2025</t>
        </is>
      </c>
      <c r="D525" s="31" t="inlineStr">
        <is>
          <t>16715</t>
        </is>
      </c>
      <c r="E525" s="31" t="inlineStr">
        <is>
          <t>72-32-01</t>
        </is>
      </c>
      <c r="F525" s="31" t="inlineStr">
        <is>
          <t>R</t>
        </is>
      </c>
      <c r="G525" s="31" t="inlineStr">
        <is>
          <t>Compressor</t>
        </is>
      </c>
      <c r="H525" s="27" t="n">
        <v>8025</v>
      </c>
      <c r="I525" s="27" t="n">
        <v>8510</v>
      </c>
      <c r="J525" s="154">
        <f>I525/H525-1</f>
        <v/>
      </c>
      <c r="K525" s="31" t="inlineStr">
        <is>
          <t>5</t>
        </is>
      </c>
      <c r="L525" s="31" t="inlineStr">
        <is>
          <t>5</t>
        </is>
      </c>
      <c r="M525" s="31" t="inlineStr">
        <is>
          <t>S1</t>
        </is>
      </c>
      <c r="N525" s="31" t="inlineStr">
        <is>
          <t>S2</t>
        </is>
      </c>
      <c r="O525" s="31" t="inlineStr">
        <is>
          <t>1559M30G05</t>
        </is>
      </c>
      <c r="P525" s="31" t="inlineStr">
        <is>
          <t>SR Technics Switzerland</t>
        </is>
      </c>
    </row>
    <row r="526">
      <c r="B526" s="31" t="inlineStr">
        <is>
          <t>CFM56-5B</t>
        </is>
      </c>
      <c r="C526" s="31" t="inlineStr">
        <is>
          <t>2024-2025</t>
        </is>
      </c>
      <c r="D526" s="31" t="inlineStr">
        <is>
          <t>16715</t>
        </is>
      </c>
      <c r="E526" s="31" t="inlineStr">
        <is>
          <t>72-32-01</t>
        </is>
      </c>
      <c r="F526" s="31" t="inlineStr">
        <is>
          <t>SB01</t>
        </is>
      </c>
      <c r="G526" s="31" t="inlineStr">
        <is>
          <t>Compressor</t>
        </is>
      </c>
      <c r="H526" s="27" t="n">
        <v>280</v>
      </c>
      <c r="I526" s="27" t="n">
        <v>300</v>
      </c>
      <c r="J526" s="154">
        <f>I526/H526-1</f>
        <v/>
      </c>
      <c r="K526" s="31" t="inlineStr">
        <is>
          <t>5</t>
        </is>
      </c>
      <c r="L526" s="31" t="inlineStr">
        <is>
          <t>5</t>
        </is>
      </c>
      <c r="M526" s="31" t="inlineStr">
        <is>
          <t>S1</t>
        </is>
      </c>
      <c r="N526" s="31" t="inlineStr">
        <is>
          <t>S2</t>
        </is>
      </c>
      <c r="O526" s="31" t="inlineStr">
        <is>
          <t>1559M30G05</t>
        </is>
      </c>
      <c r="P526" s="31" t="inlineStr">
        <is>
          <t>SR Technics Switzerland</t>
        </is>
      </c>
    </row>
    <row r="527">
      <c r="B527" s="31" t="inlineStr">
        <is>
          <t>CFM56-5B</t>
        </is>
      </c>
      <c r="C527" s="31" t="inlineStr">
        <is>
          <t>2024-2025</t>
        </is>
      </c>
      <c r="D527" s="31" t="inlineStr">
        <is>
          <t>16715</t>
        </is>
      </c>
      <c r="E527" s="31" t="inlineStr">
        <is>
          <t>72-32-01</t>
        </is>
      </c>
      <c r="F527" s="31" t="inlineStr">
        <is>
          <t>V</t>
        </is>
      </c>
      <c r="G527" s="31" t="inlineStr">
        <is>
          <t>Compressor</t>
        </is>
      </c>
      <c r="H527" s="27" t="n">
        <v>11285</v>
      </c>
      <c r="I527" s="27" t="n">
        <v>11965</v>
      </c>
      <c r="J527" s="154">
        <f>I527/H527-1</f>
        <v/>
      </c>
      <c r="K527" s="31" t="inlineStr">
        <is>
          <t>5</t>
        </is>
      </c>
      <c r="L527" s="31" t="inlineStr">
        <is>
          <t>5</t>
        </is>
      </c>
      <c r="M527" s="31" t="inlineStr">
        <is>
          <t>S1</t>
        </is>
      </c>
      <c r="N527" s="31" t="inlineStr">
        <is>
          <t>S2</t>
        </is>
      </c>
      <c r="O527" s="31" t="inlineStr">
        <is>
          <t>1559M30G05</t>
        </is>
      </c>
      <c r="P527" s="31" t="inlineStr">
        <is>
          <t>SR Technics Switzerland</t>
        </is>
      </c>
    </row>
    <row r="528">
      <c r="B528" s="31" t="inlineStr">
        <is>
          <t>CFM56-5B</t>
        </is>
      </c>
      <c r="C528" s="31" t="inlineStr">
        <is>
          <t>2024-2025</t>
        </is>
      </c>
      <c r="D528" s="31" t="inlineStr">
        <is>
          <t>16715</t>
        </is>
      </c>
      <c r="E528" s="31" t="inlineStr">
        <is>
          <t>72-32-01</t>
        </is>
      </c>
      <c r="F528" s="31" t="inlineStr">
        <is>
          <t>X</t>
        </is>
      </c>
      <c r="G528" s="31" t="inlineStr">
        <is>
          <t>Compressor</t>
        </is>
      </c>
      <c r="H528" s="27" t="n">
        <v>11075</v>
      </c>
      <c r="I528" s="27" t="n">
        <v>11740</v>
      </c>
      <c r="J528" s="154">
        <f>I528/H528-1</f>
        <v/>
      </c>
      <c r="K528" s="31" t="inlineStr">
        <is>
          <t>5</t>
        </is>
      </c>
      <c r="L528" s="31" t="inlineStr">
        <is>
          <t>6</t>
        </is>
      </c>
      <c r="M528" s="31" t="inlineStr">
        <is>
          <t>S1</t>
        </is>
      </c>
      <c r="N528" s="31" t="inlineStr">
        <is>
          <t>S2</t>
        </is>
      </c>
      <c r="O528" s="31" t="inlineStr">
        <is>
          <t>1559M30G05</t>
        </is>
      </c>
      <c r="P528" s="31" t="inlineStr">
        <is>
          <t>SR Technics Switzerland</t>
        </is>
      </c>
    </row>
    <row r="529">
      <c r="B529" s="31" t="inlineStr">
        <is>
          <t>CFM56-5B</t>
        </is>
      </c>
      <c r="C529" s="31" t="inlineStr">
        <is>
          <t>2024-2025</t>
        </is>
      </c>
      <c r="D529" s="31" t="inlineStr">
        <is>
          <t>16715</t>
        </is>
      </c>
      <c r="E529" s="31" t="inlineStr">
        <is>
          <t>72-32-01</t>
        </is>
      </c>
      <c r="F529" s="31" t="inlineStr">
        <is>
          <t>Y</t>
        </is>
      </c>
      <c r="G529" s="31" t="inlineStr">
        <is>
          <t>Compressor</t>
        </is>
      </c>
      <c r="H529" s="27" t="n">
        <v>2650</v>
      </c>
      <c r="I529" s="27" t="n">
        <v>2810</v>
      </c>
      <c r="J529" s="154">
        <f>I529/H529-1</f>
        <v/>
      </c>
      <c r="K529" s="31" t="inlineStr">
        <is>
          <t>5</t>
        </is>
      </c>
      <c r="L529" s="31" t="inlineStr">
        <is>
          <t>6</t>
        </is>
      </c>
      <c r="M529" s="31" t="inlineStr">
        <is>
          <t>S1</t>
        </is>
      </c>
      <c r="N529" s="31" t="inlineStr">
        <is>
          <t>S2</t>
        </is>
      </c>
      <c r="O529" s="31" t="inlineStr">
        <is>
          <t>1559M30G05</t>
        </is>
      </c>
      <c r="P529" s="31" t="inlineStr">
        <is>
          <t>SR Technics Switzerland</t>
        </is>
      </c>
    </row>
    <row r="530">
      <c r="B530" s="31" t="inlineStr">
        <is>
          <t>CFM56-5B</t>
        </is>
      </c>
      <c r="C530" s="31" t="inlineStr">
        <is>
          <t>2024-2025</t>
        </is>
      </c>
      <c r="D530" s="31" t="inlineStr">
        <is>
          <t>1820</t>
        </is>
      </c>
      <c r="E530" s="31" t="inlineStr">
        <is>
          <t>72-51-05</t>
        </is>
      </c>
      <c r="F530" s="31" t="inlineStr">
        <is>
          <t>A</t>
        </is>
      </c>
      <c r="G530" s="31" t="inlineStr">
        <is>
          <t>HPT / nozzle</t>
        </is>
      </c>
      <c r="H530" s="27" t="n">
        <v>820</v>
      </c>
      <c r="I530" s="27" t="n">
        <v>870</v>
      </c>
      <c r="J530" s="154">
        <f>I530/H530-1</f>
        <v/>
      </c>
      <c r="K530" s="31" t="inlineStr">
        <is>
          <t>29</t>
        </is>
      </c>
      <c r="L530" s="31" t="inlineStr">
        <is>
          <t>30</t>
        </is>
      </c>
      <c r="M530" s="31" t="inlineStr">
        <is>
          <t>S1</t>
        </is>
      </c>
      <c r="N530" s="31" t="inlineStr">
        <is>
          <t>S2</t>
        </is>
      </c>
      <c r="O530" s="31" t="inlineStr">
        <is>
          <t>1523M42G02</t>
        </is>
      </c>
      <c r="P530" s="31" t="inlineStr">
        <is>
          <t>SR Technics Switzerland</t>
        </is>
      </c>
    </row>
    <row r="531">
      <c r="B531" s="31" t="inlineStr">
        <is>
          <t>CFM56-5B</t>
        </is>
      </c>
      <c r="C531" s="31" t="inlineStr">
        <is>
          <t>2024-2025</t>
        </is>
      </c>
      <c r="D531" s="31" t="inlineStr">
        <is>
          <t>1820</t>
        </is>
      </c>
      <c r="E531" s="31" t="inlineStr">
        <is>
          <t>72-51-05</t>
        </is>
      </c>
      <c r="F531" s="31" t="inlineStr">
        <is>
          <t>C</t>
        </is>
      </c>
      <c r="G531" s="31" t="inlineStr">
        <is>
          <t>HPT / nozzle</t>
        </is>
      </c>
      <c r="H531" s="27" t="n">
        <v>2095</v>
      </c>
      <c r="I531" s="27" t="n">
        <v>2225</v>
      </c>
      <c r="J531" s="154">
        <f>I531/H531-1</f>
        <v/>
      </c>
      <c r="K531" s="31" t="inlineStr">
        <is>
          <t>29</t>
        </is>
      </c>
      <c r="L531" s="31" t="inlineStr">
        <is>
          <t>30</t>
        </is>
      </c>
      <c r="M531" s="31" t="inlineStr">
        <is>
          <t>S1</t>
        </is>
      </c>
      <c r="N531" s="31" t="inlineStr">
        <is>
          <t>S2</t>
        </is>
      </c>
      <c r="O531" s="31" t="inlineStr">
        <is>
          <t>1523M42G02</t>
        </is>
      </c>
      <c r="P531" s="31" t="inlineStr">
        <is>
          <t>SR Technics Switzerland</t>
        </is>
      </c>
    </row>
    <row r="532">
      <c r="B532" s="31" t="inlineStr">
        <is>
          <t>CFM56-5B</t>
        </is>
      </c>
      <c r="C532" s="31" t="inlineStr">
        <is>
          <t>2024-2025</t>
        </is>
      </c>
      <c r="D532" s="31" t="inlineStr">
        <is>
          <t>1820</t>
        </is>
      </c>
      <c r="E532" s="31" t="inlineStr">
        <is>
          <t>72-51-05</t>
        </is>
      </c>
      <c r="F532" s="31" t="inlineStr">
        <is>
          <t>D</t>
        </is>
      </c>
      <c r="G532" s="31" t="inlineStr">
        <is>
          <t>HPT / nozzle</t>
        </is>
      </c>
      <c r="H532" s="27" t="n">
        <v>7615</v>
      </c>
      <c r="I532" s="27" t="n">
        <v>8075</v>
      </c>
      <c r="J532" s="154">
        <f>I532/H532-1</f>
        <v/>
      </c>
      <c r="K532" s="31" t="inlineStr">
        <is>
          <t>29</t>
        </is>
      </c>
      <c r="L532" s="31" t="inlineStr">
        <is>
          <t>30</t>
        </is>
      </c>
      <c r="M532" s="31" t="inlineStr">
        <is>
          <t>S1</t>
        </is>
      </c>
      <c r="N532" s="31" t="inlineStr">
        <is>
          <t>S2</t>
        </is>
      </c>
      <c r="O532" s="31" t="inlineStr">
        <is>
          <t>1523M42G02</t>
        </is>
      </c>
      <c r="P532" s="31" t="inlineStr">
        <is>
          <t>SR Technics Switzerland</t>
        </is>
      </c>
    </row>
    <row r="533">
      <c r="B533" s="31" t="inlineStr">
        <is>
          <t>CFM56-5B</t>
        </is>
      </c>
      <c r="C533" s="31" t="inlineStr">
        <is>
          <t>2024-2025</t>
        </is>
      </c>
      <c r="D533" s="31" t="inlineStr">
        <is>
          <t>1820</t>
        </is>
      </c>
      <c r="E533" s="31" t="inlineStr">
        <is>
          <t>72-51-05</t>
        </is>
      </c>
      <c r="F533" s="31" t="inlineStr">
        <is>
          <t>E</t>
        </is>
      </c>
      <c r="G533" s="31" t="inlineStr">
        <is>
          <t>HPT / nozzle</t>
        </is>
      </c>
      <c r="H533" s="27" t="n">
        <v>2495</v>
      </c>
      <c r="I533" s="27" t="n">
        <v>2645</v>
      </c>
      <c r="J533" s="154">
        <f>I533/H533-1</f>
        <v/>
      </c>
      <c r="K533" s="31" t="inlineStr">
        <is>
          <t>29</t>
        </is>
      </c>
      <c r="L533" s="31" t="inlineStr">
        <is>
          <t>30</t>
        </is>
      </c>
      <c r="M533" s="31" t="inlineStr">
        <is>
          <t>S1</t>
        </is>
      </c>
      <c r="N533" s="31" t="inlineStr">
        <is>
          <t>S2</t>
        </is>
      </c>
      <c r="O533" s="31" t="inlineStr">
        <is>
          <t>1523M42G02</t>
        </is>
      </c>
      <c r="P533" s="31" t="inlineStr">
        <is>
          <t>SR Technics Switzerland</t>
        </is>
      </c>
    </row>
    <row r="534">
      <c r="B534" s="31" t="inlineStr">
        <is>
          <t>CFM56-5B</t>
        </is>
      </c>
      <c r="C534" s="31" t="inlineStr">
        <is>
          <t>2024-2025</t>
        </is>
      </c>
      <c r="D534" s="31" t="inlineStr">
        <is>
          <t>1820</t>
        </is>
      </c>
      <c r="E534" s="31" t="inlineStr">
        <is>
          <t>72-51-05</t>
        </is>
      </c>
      <c r="F534" s="31" t="inlineStr">
        <is>
          <t>G</t>
        </is>
      </c>
      <c r="G534" s="31" t="inlineStr">
        <is>
          <t>HPT / nozzle</t>
        </is>
      </c>
      <c r="H534" s="27" t="n">
        <v>855</v>
      </c>
      <c r="I534" s="27" t="n">
        <v>910</v>
      </c>
      <c r="J534" s="154">
        <f>I534/H534-1</f>
        <v/>
      </c>
      <c r="K534" s="31" t="inlineStr">
        <is>
          <t>29</t>
        </is>
      </c>
      <c r="L534" s="31" t="inlineStr">
        <is>
          <t>30</t>
        </is>
      </c>
      <c r="M534" s="31" t="inlineStr">
        <is>
          <t>S1</t>
        </is>
      </c>
      <c r="N534" s="31" t="inlineStr">
        <is>
          <t>S2</t>
        </is>
      </c>
      <c r="O534" s="31" t="inlineStr">
        <is>
          <t>1523M42G02</t>
        </is>
      </c>
      <c r="P534" s="31" t="inlineStr">
        <is>
          <t>SR Technics Switzerland</t>
        </is>
      </c>
    </row>
    <row r="535">
      <c r="B535" s="31" t="inlineStr">
        <is>
          <t>CFM56-5B</t>
        </is>
      </c>
      <c r="C535" s="31" t="inlineStr">
        <is>
          <t>2024-2025</t>
        </is>
      </c>
      <c r="D535" s="31" t="inlineStr">
        <is>
          <t>1820</t>
        </is>
      </c>
      <c r="E535" s="31" t="inlineStr">
        <is>
          <t>72-51-05</t>
        </is>
      </c>
      <c r="F535" s="31" t="inlineStr">
        <is>
          <t>SB00</t>
        </is>
      </c>
      <c r="G535" s="31" t="inlineStr">
        <is>
          <t>HPT / nozzle</t>
        </is>
      </c>
      <c r="H535" s="27" t="n">
        <v>1115</v>
      </c>
      <c r="I535" s="27" t="n">
        <v>1185</v>
      </c>
      <c r="J535" s="154">
        <f>I535/H535-1</f>
        <v/>
      </c>
      <c r="K535" s="31" t="inlineStr">
        <is>
          <t>29</t>
        </is>
      </c>
      <c r="L535" s="31" t="inlineStr">
        <is>
          <t>30</t>
        </is>
      </c>
      <c r="M535" s="31" t="inlineStr">
        <is>
          <t>S1</t>
        </is>
      </c>
      <c r="N535" s="31" t="inlineStr">
        <is>
          <t>S2</t>
        </is>
      </c>
      <c r="O535" s="31" t="inlineStr">
        <is>
          <t>1523M42G02</t>
        </is>
      </c>
      <c r="P535" s="31" t="inlineStr">
        <is>
          <t>SR Technics Switzerland</t>
        </is>
      </c>
    </row>
    <row r="536">
      <c r="B536" s="31" t="inlineStr">
        <is>
          <t>CFM56-5B</t>
        </is>
      </c>
      <c r="C536" s="31" t="inlineStr">
        <is>
          <t>2024-2025</t>
        </is>
      </c>
      <c r="D536" s="31" t="inlineStr">
        <is>
          <t>18900</t>
        </is>
      </c>
      <c r="E536" s="31" t="inlineStr">
        <is>
          <t>72-55-15</t>
        </is>
      </c>
      <c r="F536" s="31" t="inlineStr">
        <is>
          <t>A</t>
        </is>
      </c>
      <c r="G536" s="31" t="inlineStr">
        <is>
          <t>LPT</t>
        </is>
      </c>
      <c r="H536" s="27" t="n">
        <v>470</v>
      </c>
      <c r="I536" s="27" t="n">
        <v>500</v>
      </c>
      <c r="J536" s="154">
        <f>I536/H536-1</f>
        <v/>
      </c>
      <c r="K536" s="31" t="inlineStr">
        <is>
          <t>5</t>
        </is>
      </c>
      <c r="L536" s="31" t="inlineStr">
        <is>
          <t>6</t>
        </is>
      </c>
      <c r="M536" s="31" t="inlineStr">
        <is>
          <t>S1</t>
        </is>
      </c>
      <c r="N536" s="31" t="inlineStr">
        <is>
          <t>S2</t>
        </is>
      </c>
      <c r="O536" s="31" t="inlineStr">
        <is>
          <t>305-025-408-0</t>
        </is>
      </c>
      <c r="P536" s="31" t="inlineStr">
        <is>
          <t>SR Technics Switzerland</t>
        </is>
      </c>
    </row>
    <row r="537">
      <c r="B537" s="31" t="inlineStr">
        <is>
          <t>CFM56-5B</t>
        </is>
      </c>
      <c r="C537" s="31" t="inlineStr">
        <is>
          <t>2024-2025</t>
        </is>
      </c>
      <c r="D537" s="31" t="inlineStr">
        <is>
          <t>18900</t>
        </is>
      </c>
      <c r="E537" s="31" t="inlineStr">
        <is>
          <t>72-55-15</t>
        </is>
      </c>
      <c r="F537" s="31" t="inlineStr">
        <is>
          <t>B</t>
        </is>
      </c>
      <c r="G537" s="31" t="inlineStr">
        <is>
          <t>LPT</t>
        </is>
      </c>
      <c r="H537" s="27" t="n">
        <v>555</v>
      </c>
      <c r="I537" s="27" t="n">
        <v>590</v>
      </c>
      <c r="J537" s="154">
        <f>I537/H537-1</f>
        <v/>
      </c>
      <c r="K537" s="31" t="inlineStr">
        <is>
          <t>5</t>
        </is>
      </c>
      <c r="L537" s="31" t="inlineStr">
        <is>
          <t>6</t>
        </is>
      </c>
      <c r="M537" s="31" t="inlineStr">
        <is>
          <t>S1</t>
        </is>
      </c>
      <c r="N537" s="31" t="inlineStr">
        <is>
          <t>S2</t>
        </is>
      </c>
      <c r="O537" s="31" t="inlineStr">
        <is>
          <t>305-025-408-0</t>
        </is>
      </c>
      <c r="P537" s="31" t="inlineStr">
        <is>
          <t>SR Technics Switzerland</t>
        </is>
      </c>
    </row>
    <row r="538">
      <c r="B538" s="31" t="inlineStr">
        <is>
          <t>CFM56-5B</t>
        </is>
      </c>
      <c r="C538" s="31" t="inlineStr">
        <is>
          <t>2024-2025</t>
        </is>
      </c>
      <c r="D538" s="31" t="inlineStr">
        <is>
          <t>18900</t>
        </is>
      </c>
      <c r="E538" s="31" t="inlineStr">
        <is>
          <t>72-55-15</t>
        </is>
      </c>
      <c r="F538" s="31" t="inlineStr">
        <is>
          <t>C</t>
        </is>
      </c>
      <c r="G538" s="31" t="inlineStr">
        <is>
          <t>LPT</t>
        </is>
      </c>
      <c r="H538" s="27" t="n">
        <v>885</v>
      </c>
      <c r="I538" s="27" t="n">
        <v>940</v>
      </c>
      <c r="J538" s="154">
        <f>I538/H538-1</f>
        <v/>
      </c>
      <c r="K538" s="31" t="inlineStr">
        <is>
          <t>5</t>
        </is>
      </c>
      <c r="L538" s="31" t="inlineStr">
        <is>
          <t>6</t>
        </is>
      </c>
      <c r="M538" s="31" t="inlineStr">
        <is>
          <t>S1</t>
        </is>
      </c>
      <c r="N538" s="31" t="inlineStr">
        <is>
          <t>S2</t>
        </is>
      </c>
      <c r="O538" s="31" t="inlineStr">
        <is>
          <t>305-025-408-0</t>
        </is>
      </c>
      <c r="P538" s="31" t="inlineStr">
        <is>
          <t>SR Technics Switzerland</t>
        </is>
      </c>
    </row>
    <row r="539">
      <c r="B539" s="31" t="inlineStr">
        <is>
          <t>CFM56-5B</t>
        </is>
      </c>
      <c r="C539" s="31" t="inlineStr">
        <is>
          <t>2024-2025</t>
        </is>
      </c>
      <c r="D539" s="31" t="inlineStr">
        <is>
          <t>18900</t>
        </is>
      </c>
      <c r="E539" s="31" t="inlineStr">
        <is>
          <t>72-55-15</t>
        </is>
      </c>
      <c r="F539" s="31" t="inlineStr">
        <is>
          <t>D</t>
        </is>
      </c>
      <c r="G539" s="31" t="inlineStr">
        <is>
          <t>LPT</t>
        </is>
      </c>
      <c r="H539" s="27" t="n">
        <v>2025</v>
      </c>
      <c r="I539" s="27" t="n">
        <v>2150</v>
      </c>
      <c r="J539" s="154">
        <f>I539/H539-1</f>
        <v/>
      </c>
      <c r="K539" s="31" t="inlineStr">
        <is>
          <t>5</t>
        </is>
      </c>
      <c r="L539" s="31" t="inlineStr">
        <is>
          <t>6</t>
        </is>
      </c>
      <c r="M539" s="31" t="inlineStr">
        <is>
          <t>S1</t>
        </is>
      </c>
      <c r="N539" s="31" t="inlineStr">
        <is>
          <t>S2</t>
        </is>
      </c>
      <c r="O539" s="31" t="inlineStr">
        <is>
          <t>305-025-408-0</t>
        </is>
      </c>
      <c r="P539" s="31" t="inlineStr">
        <is>
          <t>SR Technics Switzerland</t>
        </is>
      </c>
    </row>
    <row r="540">
      <c r="B540" s="31" t="inlineStr">
        <is>
          <t>CFM56-5B</t>
        </is>
      </c>
      <c r="C540" s="31" t="inlineStr">
        <is>
          <t>2024-2025</t>
        </is>
      </c>
      <c r="D540" s="31" t="inlineStr">
        <is>
          <t>18900</t>
        </is>
      </c>
      <c r="E540" s="31" t="inlineStr">
        <is>
          <t>72-55-15</t>
        </is>
      </c>
      <c r="F540" s="31" t="inlineStr">
        <is>
          <t>E</t>
        </is>
      </c>
      <c r="G540" s="31" t="inlineStr">
        <is>
          <t>LPT</t>
        </is>
      </c>
      <c r="H540" s="27" t="n">
        <v>3600</v>
      </c>
      <c r="I540" s="27" t="n">
        <v>3820</v>
      </c>
      <c r="J540" s="154">
        <f>I540/H540-1</f>
        <v/>
      </c>
      <c r="K540" s="31" t="inlineStr">
        <is>
          <t>5</t>
        </is>
      </c>
      <c r="L540" s="31" t="inlineStr">
        <is>
          <t>6</t>
        </is>
      </c>
      <c r="M540" s="31" t="inlineStr">
        <is>
          <t>S1</t>
        </is>
      </c>
      <c r="N540" s="31" t="inlineStr">
        <is>
          <t>S2</t>
        </is>
      </c>
      <c r="O540" s="31" t="inlineStr">
        <is>
          <t>305-025-408-0</t>
        </is>
      </c>
      <c r="P540" s="31" t="inlineStr">
        <is>
          <t>SR Technics Switzerland</t>
        </is>
      </c>
    </row>
    <row r="541">
      <c r="B541" s="31" t="inlineStr">
        <is>
          <t>CFM56-5B</t>
        </is>
      </c>
      <c r="C541" s="31" t="inlineStr">
        <is>
          <t>2024-2025</t>
        </is>
      </c>
      <c r="D541" s="31" t="inlineStr">
        <is>
          <t>18900</t>
        </is>
      </c>
      <c r="E541" s="31" t="inlineStr">
        <is>
          <t>72-55-15</t>
        </is>
      </c>
      <c r="F541" s="31" t="inlineStr">
        <is>
          <t>F</t>
        </is>
      </c>
      <c r="G541" s="31" t="inlineStr">
        <is>
          <t>LPT</t>
        </is>
      </c>
      <c r="H541" s="27" t="n">
        <v>1520</v>
      </c>
      <c r="I541" s="27" t="n">
        <v>1615</v>
      </c>
      <c r="J541" s="154">
        <f>I541/H541-1</f>
        <v/>
      </c>
      <c r="K541" s="31" t="inlineStr">
        <is>
          <t>6</t>
        </is>
      </c>
      <c r="L541" s="31" t="inlineStr">
        <is>
          <t>6</t>
        </is>
      </c>
      <c r="M541" s="31" t="inlineStr">
        <is>
          <t>S1</t>
        </is>
      </c>
      <c r="N541" s="31" t="inlineStr">
        <is>
          <t>S2</t>
        </is>
      </c>
      <c r="O541" s="31" t="inlineStr">
        <is>
          <t>305-025-408-0</t>
        </is>
      </c>
      <c r="P541" s="31" t="inlineStr">
        <is>
          <t>SR Technics Switzerland</t>
        </is>
      </c>
    </row>
    <row r="542">
      <c r="B542" s="31" t="inlineStr">
        <is>
          <t>CFM56-5B</t>
        </is>
      </c>
      <c r="C542" s="31" t="inlineStr">
        <is>
          <t>2024-2025</t>
        </is>
      </c>
      <c r="D542" s="31" t="inlineStr">
        <is>
          <t>18900</t>
        </is>
      </c>
      <c r="E542" s="31" t="inlineStr">
        <is>
          <t>72-55-15</t>
        </is>
      </c>
      <c r="F542" s="31" t="inlineStr">
        <is>
          <t>G</t>
        </is>
      </c>
      <c r="G542" s="31" t="inlineStr">
        <is>
          <t>LPT</t>
        </is>
      </c>
      <c r="H542" s="27" t="n">
        <v>1145</v>
      </c>
      <c r="I542" s="27" t="n">
        <v>1215</v>
      </c>
      <c r="J542" s="154">
        <f>I542/H542-1</f>
        <v/>
      </c>
      <c r="K542" s="31" t="inlineStr">
        <is>
          <t>6</t>
        </is>
      </c>
      <c r="L542" s="31" t="inlineStr">
        <is>
          <t>6</t>
        </is>
      </c>
      <c r="M542" s="31" t="inlineStr">
        <is>
          <t>S1</t>
        </is>
      </c>
      <c r="N542" s="31" t="inlineStr">
        <is>
          <t>S2</t>
        </is>
      </c>
      <c r="O542" s="31" t="inlineStr">
        <is>
          <t>305-025-408-0</t>
        </is>
      </c>
      <c r="P542" s="31" t="inlineStr">
        <is>
          <t>SR Technics Switzerland</t>
        </is>
      </c>
    </row>
    <row r="543">
      <c r="B543" s="31" t="inlineStr">
        <is>
          <t>CFM56-5B</t>
        </is>
      </c>
      <c r="C543" s="31" t="inlineStr">
        <is>
          <t>2024-2025</t>
        </is>
      </c>
      <c r="D543" s="31" t="inlineStr">
        <is>
          <t>18900</t>
        </is>
      </c>
      <c r="E543" s="31" t="inlineStr">
        <is>
          <t>72-55-15</t>
        </is>
      </c>
      <c r="F543" s="31" t="inlineStr">
        <is>
          <t>H</t>
        </is>
      </c>
      <c r="G543" s="31" t="inlineStr">
        <is>
          <t>LPT</t>
        </is>
      </c>
      <c r="H543" s="27" t="n">
        <v>1295</v>
      </c>
      <c r="I543" s="27" t="n">
        <v>1375</v>
      </c>
      <c r="J543" s="154">
        <f>I543/H543-1</f>
        <v/>
      </c>
      <c r="K543" s="31" t="inlineStr">
        <is>
          <t>6</t>
        </is>
      </c>
      <c r="L543" s="31" t="inlineStr">
        <is>
          <t>6</t>
        </is>
      </c>
      <c r="M543" s="31" t="inlineStr">
        <is>
          <t>S1</t>
        </is>
      </c>
      <c r="N543" s="31" t="inlineStr">
        <is>
          <t>S2</t>
        </is>
      </c>
      <c r="O543" s="31" t="inlineStr">
        <is>
          <t>305-025-408-0</t>
        </is>
      </c>
      <c r="P543" s="31" t="inlineStr">
        <is>
          <t>SR Technics Switzerland</t>
        </is>
      </c>
    </row>
    <row r="544">
      <c r="B544" s="31" t="inlineStr">
        <is>
          <t>CFM56-5B</t>
        </is>
      </c>
      <c r="C544" s="31" t="inlineStr">
        <is>
          <t>2024-2025</t>
        </is>
      </c>
      <c r="D544" s="31" t="inlineStr">
        <is>
          <t>18900</t>
        </is>
      </c>
      <c r="E544" s="31" t="inlineStr">
        <is>
          <t>72-55-15</t>
        </is>
      </c>
      <c r="F544" s="31" t="inlineStr">
        <is>
          <t>I</t>
        </is>
      </c>
      <c r="G544" s="31" t="inlineStr">
        <is>
          <t>LPT</t>
        </is>
      </c>
      <c r="H544" s="27" t="n">
        <v>170</v>
      </c>
      <c r="I544" s="27" t="n">
        <v>185</v>
      </c>
      <c r="J544" s="154">
        <f>I544/H544-1</f>
        <v/>
      </c>
      <c r="K544" s="31" t="inlineStr">
        <is>
          <t>6</t>
        </is>
      </c>
      <c r="L544" s="31" t="inlineStr">
        <is>
          <t>6</t>
        </is>
      </c>
      <c r="M544" s="31" t="inlineStr">
        <is>
          <t>S1</t>
        </is>
      </c>
      <c r="N544" s="31" t="inlineStr">
        <is>
          <t>S2</t>
        </is>
      </c>
      <c r="O544" s="31" t="inlineStr">
        <is>
          <t>305-025-408-0</t>
        </is>
      </c>
      <c r="P544" s="31" t="inlineStr">
        <is>
          <t>SR Technics Switzerland</t>
        </is>
      </c>
    </row>
    <row r="545">
      <c r="B545" s="31" t="inlineStr">
        <is>
          <t>CFM56-5B</t>
        </is>
      </c>
      <c r="C545" s="31" t="inlineStr">
        <is>
          <t>2024-2025</t>
        </is>
      </c>
      <c r="D545" s="31" t="inlineStr">
        <is>
          <t>18900</t>
        </is>
      </c>
      <c r="E545" s="31" t="inlineStr">
        <is>
          <t>72-55-15</t>
        </is>
      </c>
      <c r="F545" s="31" t="inlineStr">
        <is>
          <t>SB03</t>
        </is>
      </c>
      <c r="G545" s="31" t="inlineStr">
        <is>
          <t>LPT</t>
        </is>
      </c>
      <c r="H545" s="27" t="n">
        <v>1200</v>
      </c>
      <c r="I545" s="27" t="n">
        <v>1275</v>
      </c>
      <c r="J545" s="154">
        <f>I545/H545-1</f>
        <v/>
      </c>
      <c r="K545" s="31" t="inlineStr">
        <is>
          <t>6</t>
        </is>
      </c>
      <c r="L545" s="31" t="inlineStr">
        <is>
          <t>6</t>
        </is>
      </c>
      <c r="M545" s="31" t="inlineStr">
        <is>
          <t>S1</t>
        </is>
      </c>
      <c r="N545" s="31" t="inlineStr">
        <is>
          <t>S2</t>
        </is>
      </c>
      <c r="O545" s="31" t="inlineStr">
        <is>
          <t>305-025-408-0</t>
        </is>
      </c>
      <c r="P545" s="31" t="inlineStr">
        <is>
          <t>SR Technics Switzerland</t>
        </is>
      </c>
    </row>
    <row r="546">
      <c r="B546" s="31" t="inlineStr">
        <is>
          <t>CFM56-5B</t>
        </is>
      </c>
      <c r="C546" s="31" t="inlineStr">
        <is>
          <t>2024-2025</t>
        </is>
      </c>
      <c r="D546" s="31" t="inlineStr">
        <is>
          <t>19228</t>
        </is>
      </c>
      <c r="E546" s="31" t="inlineStr">
        <is>
          <t>72-56-01</t>
        </is>
      </c>
      <c r="F546" s="31" t="inlineStr">
        <is>
          <t>A</t>
        </is>
      </c>
      <c r="G546" s="31" t="inlineStr">
        <is>
          <t>LPT</t>
        </is>
      </c>
      <c r="H546" s="27" t="n">
        <v>610</v>
      </c>
      <c r="I546" s="27" t="n">
        <v>650</v>
      </c>
      <c r="J546" s="154">
        <f>I546/H546-1</f>
        <v/>
      </c>
      <c r="K546" s="31" t="inlineStr">
        <is>
          <t>40</t>
        </is>
      </c>
      <c r="L546" s="31" t="inlineStr">
        <is>
          <t>40</t>
        </is>
      </c>
      <c r="M546" s="31" t="inlineStr">
        <is>
          <t>S1</t>
        </is>
      </c>
      <c r="N546" s="31" t="inlineStr">
        <is>
          <t>S2</t>
        </is>
      </c>
      <c r="O546" s="31" t="inlineStr">
        <is>
          <t>056-000-221-0</t>
        </is>
      </c>
      <c r="P546" s="31" t="inlineStr">
        <is>
          <t>SR Technics Switzerland</t>
        </is>
      </c>
    </row>
    <row r="547">
      <c r="B547" s="31" t="inlineStr">
        <is>
          <t>CFM56-5B</t>
        </is>
      </c>
      <c r="C547" s="31" t="inlineStr">
        <is>
          <t>2024-2025</t>
        </is>
      </c>
      <c r="D547" s="31" t="inlineStr">
        <is>
          <t>19228</t>
        </is>
      </c>
      <c r="E547" s="31" t="inlineStr">
        <is>
          <t>72-56-01</t>
        </is>
      </c>
      <c r="F547" s="31" t="inlineStr">
        <is>
          <t>AK</t>
        </is>
      </c>
      <c r="G547" s="31" t="inlineStr">
        <is>
          <t>LPT</t>
        </is>
      </c>
      <c r="H547" s="27" t="n">
        <v>935</v>
      </c>
      <c r="I547" s="27" t="n">
        <v>995</v>
      </c>
      <c r="J547" s="154">
        <f>I547/H547-1</f>
        <v/>
      </c>
      <c r="K547" s="31" t="inlineStr">
        <is>
          <t>40</t>
        </is>
      </c>
      <c r="L547" s="31" t="inlineStr">
        <is>
          <t>40</t>
        </is>
      </c>
      <c r="M547" s="31" t="inlineStr">
        <is>
          <t>S1</t>
        </is>
      </c>
      <c r="N547" s="31" t="inlineStr">
        <is>
          <t>S2</t>
        </is>
      </c>
      <c r="O547" s="31" t="inlineStr">
        <is>
          <t>056-000-221-0</t>
        </is>
      </c>
      <c r="P547" s="31" t="inlineStr">
        <is>
          <t>SR Technics Switzerland</t>
        </is>
      </c>
    </row>
    <row r="548">
      <c r="B548" s="31" t="inlineStr">
        <is>
          <t>CFM56-5B</t>
        </is>
      </c>
      <c r="C548" s="31" t="inlineStr">
        <is>
          <t>2024-2025</t>
        </is>
      </c>
      <c r="D548" s="31" t="inlineStr">
        <is>
          <t>19228</t>
        </is>
      </c>
      <c r="E548" s="31" t="inlineStr">
        <is>
          <t>72-56-01</t>
        </is>
      </c>
      <c r="F548" s="31" t="inlineStr">
        <is>
          <t>S</t>
        </is>
      </c>
      <c r="G548" s="31" t="inlineStr">
        <is>
          <t>LPT</t>
        </is>
      </c>
      <c r="H548" s="27" t="n">
        <v>1120</v>
      </c>
      <c r="I548" s="27" t="n">
        <v>1190</v>
      </c>
      <c r="J548" s="154">
        <f>I548/H548-1</f>
        <v/>
      </c>
      <c r="K548" s="31" t="inlineStr">
        <is>
          <t>40</t>
        </is>
      </c>
      <c r="L548" s="31" t="inlineStr">
        <is>
          <t>40</t>
        </is>
      </c>
      <c r="M548" s="31" t="inlineStr">
        <is>
          <t>S1</t>
        </is>
      </c>
      <c r="N548" s="31" t="inlineStr">
        <is>
          <t>S2</t>
        </is>
      </c>
      <c r="O548" s="31" t="inlineStr">
        <is>
          <t>056-000-221-0</t>
        </is>
      </c>
      <c r="P548" s="31" t="inlineStr">
        <is>
          <t>SR Technics Switzerland</t>
        </is>
      </c>
    </row>
    <row r="549">
      <c r="B549" s="31" t="inlineStr">
        <is>
          <t>CFM56-5B</t>
        </is>
      </c>
      <c r="C549" s="31" t="inlineStr">
        <is>
          <t>2024-2025</t>
        </is>
      </c>
      <c r="D549" s="31" t="inlineStr">
        <is>
          <t>19228</t>
        </is>
      </c>
      <c r="E549" s="31" t="inlineStr">
        <is>
          <t>72-56-01</t>
        </is>
      </c>
      <c r="F549" s="31" t="inlineStr">
        <is>
          <t>SB00</t>
        </is>
      </c>
      <c r="G549" s="31" t="inlineStr">
        <is>
          <t>LPT</t>
        </is>
      </c>
      <c r="H549" s="27" t="n">
        <v>325</v>
      </c>
      <c r="I549" s="27" t="n">
        <v>345</v>
      </c>
      <c r="J549" s="154">
        <f>I549/H549-1</f>
        <v/>
      </c>
      <c r="K549" s="31" t="inlineStr">
        <is>
          <t>40</t>
        </is>
      </c>
      <c r="L549" s="31" t="inlineStr">
        <is>
          <t>40</t>
        </is>
      </c>
      <c r="M549" s="31" t="inlineStr">
        <is>
          <t>S1</t>
        </is>
      </c>
      <c r="N549" s="31" t="inlineStr">
        <is>
          <t>S2</t>
        </is>
      </c>
      <c r="O549" s="31" t="inlineStr">
        <is>
          <t>056-000-221-0</t>
        </is>
      </c>
      <c r="P549" s="31" t="inlineStr">
        <is>
          <t>SR Technics Switzerland</t>
        </is>
      </c>
    </row>
    <row r="550">
      <c r="B550" s="31" t="inlineStr">
        <is>
          <t>CFM56-5B</t>
        </is>
      </c>
      <c r="C550" s="31" t="inlineStr">
        <is>
          <t>2024-2025</t>
        </is>
      </c>
      <c r="D550" s="31" t="inlineStr">
        <is>
          <t>2009</t>
        </is>
      </c>
      <c r="E550" s="31" t="inlineStr">
        <is>
          <t>72-52-05</t>
        </is>
      </c>
      <c r="F550" s="31" t="inlineStr">
        <is>
          <t>A</t>
        </is>
      </c>
      <c r="G550" s="31" t="inlineStr">
        <is>
          <t>HPT / nozzle</t>
        </is>
      </c>
      <c r="H550" s="27" t="n">
        <v>1400</v>
      </c>
      <c r="I550" s="27" t="n">
        <v>1485</v>
      </c>
      <c r="J550" s="154">
        <f>I550/H550-1</f>
        <v/>
      </c>
      <c r="K550" s="31" t="inlineStr">
        <is>
          <t>30</t>
        </is>
      </c>
      <c r="L550" s="31" t="inlineStr">
        <is>
          <t>30</t>
        </is>
      </c>
      <c r="M550" s="31" t="inlineStr">
        <is>
          <t>S1</t>
        </is>
      </c>
      <c r="N550" s="31" t="inlineStr">
        <is>
          <t>S2</t>
        </is>
      </c>
      <c r="O550" s="31" t="inlineStr">
        <is>
          <t>1498M45P03</t>
        </is>
      </c>
      <c r="P550" s="31" t="inlineStr">
        <is>
          <t>SR Technics Switzerland</t>
        </is>
      </c>
    </row>
    <row r="551">
      <c r="B551" s="31" t="inlineStr">
        <is>
          <t>CFM56-5B</t>
        </is>
      </c>
      <c r="C551" s="31" t="inlineStr">
        <is>
          <t>2024-2025</t>
        </is>
      </c>
      <c r="D551" s="31" t="inlineStr">
        <is>
          <t>2009</t>
        </is>
      </c>
      <c r="E551" s="31" t="inlineStr">
        <is>
          <t>72-52-05</t>
        </is>
      </c>
      <c r="F551" s="31" t="inlineStr">
        <is>
          <t>B</t>
        </is>
      </c>
      <c r="G551" s="31" t="inlineStr">
        <is>
          <t>HPT / nozzle</t>
        </is>
      </c>
      <c r="H551" s="27" t="n">
        <v>280</v>
      </c>
      <c r="I551" s="27" t="n">
        <v>300</v>
      </c>
      <c r="J551" s="154">
        <f>I551/H551-1</f>
        <v/>
      </c>
      <c r="K551" s="31" t="inlineStr">
        <is>
          <t>30</t>
        </is>
      </c>
      <c r="L551" s="31" t="inlineStr">
        <is>
          <t>30</t>
        </is>
      </c>
      <c r="M551" s="31" t="inlineStr">
        <is>
          <t>S1</t>
        </is>
      </c>
      <c r="N551" s="31" t="inlineStr">
        <is>
          <t>S2</t>
        </is>
      </c>
      <c r="O551" s="31" t="inlineStr">
        <is>
          <t>1498M45P03</t>
        </is>
      </c>
      <c r="P551" s="31" t="inlineStr">
        <is>
          <t>SR Technics Switzerland</t>
        </is>
      </c>
    </row>
    <row r="552">
      <c r="B552" s="31" t="inlineStr">
        <is>
          <t>CFM56-5B</t>
        </is>
      </c>
      <c r="C552" s="31" t="inlineStr">
        <is>
          <t>2024-2025</t>
        </is>
      </c>
      <c r="D552" s="31" t="inlineStr">
        <is>
          <t>2009</t>
        </is>
      </c>
      <c r="E552" s="31" t="inlineStr">
        <is>
          <t>72-52-05</t>
        </is>
      </c>
      <c r="F552" s="31" t="inlineStr">
        <is>
          <t>C</t>
        </is>
      </c>
      <c r="G552" s="31" t="inlineStr">
        <is>
          <t>HPT / nozzle</t>
        </is>
      </c>
      <c r="H552" s="27" t="n">
        <v>5690</v>
      </c>
      <c r="I552" s="27" t="n">
        <v>6035</v>
      </c>
      <c r="J552" s="154">
        <f>I552/H552-1</f>
        <v/>
      </c>
      <c r="K552" s="31" t="inlineStr">
        <is>
          <t>30</t>
        </is>
      </c>
      <c r="L552" s="31" t="inlineStr">
        <is>
          <t>30</t>
        </is>
      </c>
      <c r="M552" s="31" t="inlineStr">
        <is>
          <t>S1</t>
        </is>
      </c>
      <c r="N552" s="31" t="inlineStr">
        <is>
          <t>S2</t>
        </is>
      </c>
      <c r="O552" s="31" t="inlineStr">
        <is>
          <t>1498M45P03</t>
        </is>
      </c>
      <c r="P552" s="31" t="inlineStr">
        <is>
          <t>SR Technics Switzerland</t>
        </is>
      </c>
    </row>
    <row r="553">
      <c r="B553" s="31" t="inlineStr">
        <is>
          <t>CFM56-5B</t>
        </is>
      </c>
      <c r="C553" s="31" t="inlineStr">
        <is>
          <t>2024-2025</t>
        </is>
      </c>
      <c r="D553" s="31" t="inlineStr">
        <is>
          <t>2009</t>
        </is>
      </c>
      <c r="E553" s="31" t="inlineStr">
        <is>
          <t>72-52-05</t>
        </is>
      </c>
      <c r="F553" s="31" t="inlineStr">
        <is>
          <t>F</t>
        </is>
      </c>
      <c r="G553" s="31" t="inlineStr">
        <is>
          <t>HPT / nozzle</t>
        </is>
      </c>
      <c r="H553" s="27" t="n">
        <v>7090</v>
      </c>
      <c r="I553" s="27" t="n">
        <v>7520</v>
      </c>
      <c r="J553" s="154">
        <f>I553/H553-1</f>
        <v/>
      </c>
      <c r="K553" s="31" t="inlineStr">
        <is>
          <t>30</t>
        </is>
      </c>
      <c r="L553" s="31" t="inlineStr">
        <is>
          <t>30</t>
        </is>
      </c>
      <c r="M553" s="31" t="inlineStr">
        <is>
          <t>S1</t>
        </is>
      </c>
      <c r="N553" s="31" t="inlineStr">
        <is>
          <t>S2</t>
        </is>
      </c>
      <c r="O553" s="31" t="inlineStr">
        <is>
          <t>1498M45P03</t>
        </is>
      </c>
      <c r="P553" s="31" t="inlineStr">
        <is>
          <t>SR Technics Switzerland</t>
        </is>
      </c>
    </row>
    <row r="554">
      <c r="B554" s="31" t="inlineStr">
        <is>
          <t>CFM56-5B</t>
        </is>
      </c>
      <c r="C554" s="31" t="inlineStr">
        <is>
          <t>2024-2025</t>
        </is>
      </c>
      <c r="D554" s="31" t="inlineStr">
        <is>
          <t>2009</t>
        </is>
      </c>
      <c r="E554" s="31" t="inlineStr">
        <is>
          <t>72-52-05</t>
        </is>
      </c>
      <c r="F554" s="31" t="inlineStr">
        <is>
          <t>G</t>
        </is>
      </c>
      <c r="G554" s="31" t="inlineStr">
        <is>
          <t>HPT / nozzle</t>
        </is>
      </c>
      <c r="H554" s="27" t="n">
        <v>6945</v>
      </c>
      <c r="I554" s="27" t="n">
        <v>7365</v>
      </c>
      <c r="J554" s="154">
        <f>I554/H554-1</f>
        <v/>
      </c>
      <c r="K554" s="31" t="inlineStr">
        <is>
          <t>30</t>
        </is>
      </c>
      <c r="L554" s="31" t="inlineStr">
        <is>
          <t>30</t>
        </is>
      </c>
      <c r="M554" s="31" t="inlineStr">
        <is>
          <t>S1</t>
        </is>
      </c>
      <c r="N554" s="31" t="inlineStr">
        <is>
          <t>S2</t>
        </is>
      </c>
      <c r="O554" s="31" t="inlineStr">
        <is>
          <t>1498M45P03</t>
        </is>
      </c>
      <c r="P554" s="31" t="inlineStr">
        <is>
          <t>SR Technics Switzerland</t>
        </is>
      </c>
    </row>
    <row r="555">
      <c r="B555" s="31" t="inlineStr">
        <is>
          <t>CFM56-5B</t>
        </is>
      </c>
      <c r="C555" s="31" t="inlineStr">
        <is>
          <t>2024-2025</t>
        </is>
      </c>
      <c r="D555" s="31" t="inlineStr">
        <is>
          <t>2009</t>
        </is>
      </c>
      <c r="E555" s="31" t="inlineStr">
        <is>
          <t>72-52-05</t>
        </is>
      </c>
      <c r="F555" s="31" t="inlineStr">
        <is>
          <t>H</t>
        </is>
      </c>
      <c r="G555" s="31" t="inlineStr">
        <is>
          <t>HPT / nozzle</t>
        </is>
      </c>
      <c r="H555" s="27" t="n">
        <v>1485</v>
      </c>
      <c r="I555" s="27" t="n">
        <v>1575</v>
      </c>
      <c r="J555" s="154">
        <f>I555/H555-1</f>
        <v/>
      </c>
      <c r="K555" s="31" t="inlineStr">
        <is>
          <t>30</t>
        </is>
      </c>
      <c r="L555" s="31" t="inlineStr">
        <is>
          <t>30</t>
        </is>
      </c>
      <c r="M555" s="31" t="inlineStr">
        <is>
          <t>S1</t>
        </is>
      </c>
      <c r="N555" s="31" t="inlineStr">
        <is>
          <t>S2</t>
        </is>
      </c>
      <c r="O555" s="31" t="inlineStr">
        <is>
          <t>1498M45P03</t>
        </is>
      </c>
      <c r="P555" s="31" t="inlineStr">
        <is>
          <t>SR Technics Switzerland</t>
        </is>
      </c>
    </row>
    <row r="556">
      <c r="B556" s="31" t="inlineStr">
        <is>
          <t>CFM56-5B</t>
        </is>
      </c>
      <c r="C556" s="31" t="inlineStr">
        <is>
          <t>2024-2025</t>
        </is>
      </c>
      <c r="D556" s="31" t="inlineStr">
        <is>
          <t>2009</t>
        </is>
      </c>
      <c r="E556" s="31" t="inlineStr">
        <is>
          <t>72-52-05</t>
        </is>
      </c>
      <c r="F556" s="31" t="inlineStr">
        <is>
          <t>M</t>
        </is>
      </c>
      <c r="G556" s="31" t="inlineStr">
        <is>
          <t>HPT / nozzle</t>
        </is>
      </c>
      <c r="H556" s="27" t="n">
        <v>625</v>
      </c>
      <c r="I556" s="27" t="n">
        <v>665</v>
      </c>
      <c r="J556" s="154">
        <f>I556/H556-1</f>
        <v/>
      </c>
      <c r="K556" s="31" t="inlineStr">
        <is>
          <t>30</t>
        </is>
      </c>
      <c r="L556" s="31" t="inlineStr">
        <is>
          <t>30</t>
        </is>
      </c>
      <c r="M556" s="31" t="inlineStr">
        <is>
          <t>S1</t>
        </is>
      </c>
      <c r="N556" s="31" t="inlineStr">
        <is>
          <t>S2</t>
        </is>
      </c>
      <c r="O556" s="31" t="inlineStr">
        <is>
          <t>1498M45P03</t>
        </is>
      </c>
      <c r="P556" s="31" t="inlineStr">
        <is>
          <t>SR Technics Switzerland</t>
        </is>
      </c>
    </row>
    <row r="557">
      <c r="B557" s="31" t="inlineStr">
        <is>
          <t>CFM56-5B</t>
        </is>
      </c>
      <c r="C557" s="31" t="inlineStr">
        <is>
          <t>2024-2025</t>
        </is>
      </c>
      <c r="D557" s="31" t="inlineStr">
        <is>
          <t>2009</t>
        </is>
      </c>
      <c r="E557" s="31" t="inlineStr">
        <is>
          <t>72-52-05</t>
        </is>
      </c>
      <c r="F557" s="31" t="inlineStr">
        <is>
          <t>SB00</t>
        </is>
      </c>
      <c r="G557" s="31" t="inlineStr">
        <is>
          <t>HPT / nozzle</t>
        </is>
      </c>
      <c r="H557" s="27" t="n">
        <v>2260</v>
      </c>
      <c r="I557" s="27" t="n">
        <v>2400</v>
      </c>
      <c r="J557" s="154">
        <f>I557/H557-1</f>
        <v/>
      </c>
      <c r="K557" s="31" t="inlineStr">
        <is>
          <t>30</t>
        </is>
      </c>
      <c r="L557" s="31" t="inlineStr">
        <is>
          <t>30</t>
        </is>
      </c>
      <c r="M557" s="31" t="inlineStr">
        <is>
          <t>S1</t>
        </is>
      </c>
      <c r="N557" s="31" t="inlineStr">
        <is>
          <t>S2</t>
        </is>
      </c>
      <c r="O557" s="31" t="inlineStr">
        <is>
          <t>1498M45P03</t>
        </is>
      </c>
      <c r="P557" s="31" t="inlineStr">
        <is>
          <t>SR Technics Switzerland</t>
        </is>
      </c>
    </row>
    <row r="558">
      <c r="B558" s="31" t="inlineStr">
        <is>
          <t>CFM56-5B</t>
        </is>
      </c>
      <c r="C558" s="31" t="inlineStr">
        <is>
          <t>2024-2025</t>
        </is>
      </c>
      <c r="D558" s="31" t="inlineStr">
        <is>
          <t>2055</t>
        </is>
      </c>
      <c r="E558" s="31" t="inlineStr">
        <is>
          <t>72-55-14</t>
        </is>
      </c>
      <c r="F558" s="31" t="inlineStr">
        <is>
          <t>A</t>
        </is>
      </c>
      <c r="G558" s="31" t="inlineStr">
        <is>
          <t>LPT</t>
        </is>
      </c>
      <c r="H558" s="27" t="n">
        <v>590</v>
      </c>
      <c r="I558" s="27" t="n">
        <v>630</v>
      </c>
      <c r="J558" s="154">
        <f>I558/H558-1</f>
        <v/>
      </c>
      <c r="K558" s="31" t="inlineStr">
        <is>
          <t>2</t>
        </is>
      </c>
      <c r="L558" s="31" t="inlineStr">
        <is>
          <t>2</t>
        </is>
      </c>
      <c r="M558" s="31" t="inlineStr">
        <is>
          <t>S1</t>
        </is>
      </c>
      <c r="N558" s="31" t="inlineStr">
        <is>
          <t>S2</t>
        </is>
      </c>
      <c r="O558" s="31" t="inlineStr">
        <is>
          <t>336-009-801-0</t>
        </is>
      </c>
      <c r="P558" s="31" t="inlineStr">
        <is>
          <t>SR Technics Switzerland</t>
        </is>
      </c>
    </row>
    <row r="559">
      <c r="B559" s="31" t="inlineStr">
        <is>
          <t>CFM56-5B</t>
        </is>
      </c>
      <c r="C559" s="31" t="inlineStr">
        <is>
          <t>2024-2025</t>
        </is>
      </c>
      <c r="D559" s="31" t="inlineStr">
        <is>
          <t>2055</t>
        </is>
      </c>
      <c r="E559" s="31" t="inlineStr">
        <is>
          <t>72-55-14</t>
        </is>
      </c>
      <c r="F559" s="31" t="inlineStr">
        <is>
          <t>B</t>
        </is>
      </c>
      <c r="G559" s="31" t="inlineStr">
        <is>
          <t>LPT</t>
        </is>
      </c>
      <c r="H559" s="27" t="n">
        <v>2600</v>
      </c>
      <c r="I559" s="27" t="n">
        <v>2760</v>
      </c>
      <c r="J559" s="154">
        <f>I559/H559-1</f>
        <v/>
      </c>
      <c r="K559" s="31" t="inlineStr">
        <is>
          <t>2</t>
        </is>
      </c>
      <c r="L559" s="31" t="inlineStr">
        <is>
          <t>2</t>
        </is>
      </c>
      <c r="M559" s="31" t="inlineStr">
        <is>
          <t>S1</t>
        </is>
      </c>
      <c r="N559" s="31" t="inlineStr">
        <is>
          <t>S2</t>
        </is>
      </c>
      <c r="O559" s="31" t="inlineStr">
        <is>
          <t>336-009-801-0</t>
        </is>
      </c>
      <c r="P559" s="31" t="inlineStr">
        <is>
          <t>SR Technics Switzerland</t>
        </is>
      </c>
    </row>
    <row r="560">
      <c r="B560" s="31" t="inlineStr">
        <is>
          <t>CFM56-5B</t>
        </is>
      </c>
      <c r="C560" s="31" t="inlineStr">
        <is>
          <t>2024-2025</t>
        </is>
      </c>
      <c r="D560" s="31" t="inlineStr">
        <is>
          <t>2055</t>
        </is>
      </c>
      <c r="E560" s="31" t="inlineStr">
        <is>
          <t>72-55-14</t>
        </is>
      </c>
      <c r="F560" s="31" t="inlineStr">
        <is>
          <t>C</t>
        </is>
      </c>
      <c r="G560" s="31" t="inlineStr">
        <is>
          <t>LPT</t>
        </is>
      </c>
      <c r="H560" s="27" t="n">
        <v>2200</v>
      </c>
      <c r="I560" s="27" t="n">
        <v>2335</v>
      </c>
      <c r="J560" s="154">
        <f>I560/H560-1</f>
        <v/>
      </c>
      <c r="K560" s="31" t="inlineStr">
        <is>
          <t>2</t>
        </is>
      </c>
      <c r="L560" s="31" t="inlineStr">
        <is>
          <t>2</t>
        </is>
      </c>
      <c r="M560" s="31" t="inlineStr">
        <is>
          <t>S1</t>
        </is>
      </c>
      <c r="N560" s="31" t="inlineStr">
        <is>
          <t>S2</t>
        </is>
      </c>
      <c r="O560" s="31" t="inlineStr">
        <is>
          <t>336-009-801-0</t>
        </is>
      </c>
      <c r="P560" s="31" t="inlineStr">
        <is>
          <t>SR Technics Switzerland</t>
        </is>
      </c>
    </row>
    <row r="561">
      <c r="B561" s="31" t="inlineStr">
        <is>
          <t>CFM56-5B</t>
        </is>
      </c>
      <c r="C561" s="31" t="inlineStr">
        <is>
          <t>2024-2025</t>
        </is>
      </c>
      <c r="D561" s="31" t="inlineStr">
        <is>
          <t>2055</t>
        </is>
      </c>
      <c r="E561" s="31" t="inlineStr">
        <is>
          <t>72-55-14</t>
        </is>
      </c>
      <c r="F561" s="31" t="inlineStr">
        <is>
          <t>E</t>
        </is>
      </c>
      <c r="G561" s="31" t="inlineStr">
        <is>
          <t>LPT</t>
        </is>
      </c>
      <c r="H561" s="27" t="n">
        <v>2000</v>
      </c>
      <c r="I561" s="27" t="n">
        <v>2120</v>
      </c>
      <c r="J561" s="154">
        <f>I561/H561-1</f>
        <v/>
      </c>
      <c r="K561" s="31" t="inlineStr">
        <is>
          <t>2</t>
        </is>
      </c>
      <c r="L561" s="31" t="inlineStr">
        <is>
          <t>2</t>
        </is>
      </c>
      <c r="M561" s="31" t="inlineStr">
        <is>
          <t>S1</t>
        </is>
      </c>
      <c r="N561" s="31" t="inlineStr">
        <is>
          <t>S2</t>
        </is>
      </c>
      <c r="O561" s="31" t="inlineStr">
        <is>
          <t>336-009-801-0</t>
        </is>
      </c>
      <c r="P561" s="31" t="inlineStr">
        <is>
          <t>SR Technics Switzerland</t>
        </is>
      </c>
    </row>
    <row r="562">
      <c r="B562" s="31" t="inlineStr">
        <is>
          <t>CFM56-5B</t>
        </is>
      </c>
      <c r="C562" s="31" t="inlineStr">
        <is>
          <t>2024-2025</t>
        </is>
      </c>
      <c r="D562" s="31" t="inlineStr">
        <is>
          <t>2082</t>
        </is>
      </c>
      <c r="E562" s="31" t="inlineStr">
        <is>
          <t>72-42-00</t>
        </is>
      </c>
      <c r="F562" s="31" t="inlineStr">
        <is>
          <t>A</t>
        </is>
      </c>
      <c r="G562" s="31" t="inlineStr">
        <is>
          <t>Combustor</t>
        </is>
      </c>
      <c r="H562" s="27" t="n">
        <v>4140</v>
      </c>
      <c r="I562" s="27" t="n">
        <v>4390</v>
      </c>
      <c r="J562" s="154">
        <f>I562/H562-1</f>
        <v/>
      </c>
      <c r="K562" s="31" t="inlineStr">
        <is>
          <t>30</t>
        </is>
      </c>
      <c r="L562" s="31" t="inlineStr">
        <is>
          <t>30</t>
        </is>
      </c>
      <c r="M562" s="31" t="inlineStr">
        <is>
          <t>S1</t>
        </is>
      </c>
      <c r="N562" s="31" t="inlineStr">
        <is>
          <t>S2</t>
        </is>
      </c>
      <c r="O562" s="31" t="inlineStr">
        <is>
          <t>1493M73G04</t>
        </is>
      </c>
      <c r="P562" s="31" t="inlineStr">
        <is>
          <t>SR Technics Switzerland</t>
        </is>
      </c>
    </row>
    <row r="563">
      <c r="B563" s="31" t="inlineStr">
        <is>
          <t>CFM56-5B</t>
        </is>
      </c>
      <c r="C563" s="31" t="inlineStr">
        <is>
          <t>2024-2025</t>
        </is>
      </c>
      <c r="D563" s="31" t="inlineStr">
        <is>
          <t>2082</t>
        </is>
      </c>
      <c r="E563" s="31" t="inlineStr">
        <is>
          <t>72-42-00</t>
        </is>
      </c>
      <c r="F563" s="31" t="inlineStr">
        <is>
          <t>F</t>
        </is>
      </c>
      <c r="G563" s="31" t="inlineStr">
        <is>
          <t>Combustor</t>
        </is>
      </c>
      <c r="H563" s="27" t="n">
        <v>3425</v>
      </c>
      <c r="I563" s="27" t="n">
        <v>3635</v>
      </c>
      <c r="J563" s="154">
        <f>I563/H563-1</f>
        <v/>
      </c>
      <c r="K563" s="31" t="inlineStr">
        <is>
          <t>30</t>
        </is>
      </c>
      <c r="L563" s="31" t="inlineStr">
        <is>
          <t>30</t>
        </is>
      </c>
      <c r="M563" s="31" t="inlineStr">
        <is>
          <t>S1</t>
        </is>
      </c>
      <c r="N563" s="31" t="inlineStr">
        <is>
          <t>S2</t>
        </is>
      </c>
      <c r="O563" s="31" t="inlineStr">
        <is>
          <t>1493M73G04</t>
        </is>
      </c>
      <c r="P563" s="31" t="inlineStr">
        <is>
          <t>SR Technics Switzerland</t>
        </is>
      </c>
    </row>
    <row r="564">
      <c r="B564" s="31" t="inlineStr">
        <is>
          <t>CFM56-5B</t>
        </is>
      </c>
      <c r="C564" s="31" t="inlineStr">
        <is>
          <t>2024-2025</t>
        </is>
      </c>
      <c r="D564" s="31" t="inlineStr">
        <is>
          <t>2082</t>
        </is>
      </c>
      <c r="E564" s="31" t="inlineStr">
        <is>
          <t>72-42-00</t>
        </is>
      </c>
      <c r="F564" s="31" t="inlineStr">
        <is>
          <t>SB00</t>
        </is>
      </c>
      <c r="G564" s="31" t="inlineStr">
        <is>
          <t>Combustor</t>
        </is>
      </c>
      <c r="H564" s="27" t="n">
        <v>250</v>
      </c>
      <c r="I564" s="27" t="n">
        <v>265</v>
      </c>
      <c r="J564" s="154">
        <f>I564/H564-1</f>
        <v/>
      </c>
      <c r="K564" s="31" t="inlineStr">
        <is>
          <t>30</t>
        </is>
      </c>
      <c r="L564" s="31" t="inlineStr">
        <is>
          <t>30</t>
        </is>
      </c>
      <c r="M564" s="31" t="inlineStr">
        <is>
          <t>S1</t>
        </is>
      </c>
      <c r="N564" s="31" t="inlineStr">
        <is>
          <t>S2</t>
        </is>
      </c>
      <c r="O564" s="31" t="inlineStr">
        <is>
          <t>1493M73G04</t>
        </is>
      </c>
      <c r="P564" s="31" t="inlineStr">
        <is>
          <t>SR Technics Switzerland</t>
        </is>
      </c>
    </row>
    <row r="565">
      <c r="B565" s="31" t="inlineStr">
        <is>
          <t>CFM56-5B</t>
        </is>
      </c>
      <c r="C565" s="31" t="inlineStr">
        <is>
          <t>2024-2025</t>
        </is>
      </c>
      <c r="D565" s="31" t="inlineStr">
        <is>
          <t>2082</t>
        </is>
      </c>
      <c r="E565" s="31" t="inlineStr">
        <is>
          <t>72-42-00</t>
        </is>
      </c>
      <c r="F565" s="31" t="inlineStr">
        <is>
          <t>SB01</t>
        </is>
      </c>
      <c r="G565" s="31" t="inlineStr">
        <is>
          <t>Combustor</t>
        </is>
      </c>
      <c r="H565" s="27" t="n">
        <v>250</v>
      </c>
      <c r="I565" s="27" t="n">
        <v>265</v>
      </c>
      <c r="J565" s="154">
        <f>I565/H565-1</f>
        <v/>
      </c>
      <c r="K565" s="31" t="inlineStr">
        <is>
          <t>30</t>
        </is>
      </c>
      <c r="L565" s="31" t="inlineStr">
        <is>
          <t>30</t>
        </is>
      </c>
      <c r="M565" s="31" t="inlineStr">
        <is>
          <t>S1</t>
        </is>
      </c>
      <c r="N565" s="31" t="inlineStr">
        <is>
          <t>S2</t>
        </is>
      </c>
      <c r="O565" s="31" t="inlineStr">
        <is>
          <t>1493M73G04</t>
        </is>
      </c>
      <c r="P565" s="31" t="inlineStr">
        <is>
          <t>SR Technics Switzerland</t>
        </is>
      </c>
    </row>
    <row r="566">
      <c r="B566" s="31" t="inlineStr">
        <is>
          <t>CFM56-5B</t>
        </is>
      </c>
      <c r="C566" s="31" t="inlineStr">
        <is>
          <t>2024-2025</t>
        </is>
      </c>
      <c r="D566" s="31" t="inlineStr">
        <is>
          <t>2082</t>
        </is>
      </c>
      <c r="E566" s="31" t="inlineStr">
        <is>
          <t>72-42-00</t>
        </is>
      </c>
      <c r="F566" s="31" t="inlineStr">
        <is>
          <t>SB02</t>
        </is>
      </c>
      <c r="G566" s="31" t="inlineStr">
        <is>
          <t>Combustor</t>
        </is>
      </c>
      <c r="H566" s="27" t="n">
        <v>250</v>
      </c>
      <c r="I566" s="27" t="n">
        <v>265</v>
      </c>
      <c r="J566" s="154">
        <f>I566/H566-1</f>
        <v/>
      </c>
      <c r="K566" s="31" t="inlineStr">
        <is>
          <t>30</t>
        </is>
      </c>
      <c r="L566" s="31" t="inlineStr">
        <is>
          <t>30</t>
        </is>
      </c>
      <c r="M566" s="31" t="inlineStr">
        <is>
          <t>S1</t>
        </is>
      </c>
      <c r="N566" s="31" t="inlineStr">
        <is>
          <t>S2</t>
        </is>
      </c>
      <c r="O566" s="31" t="inlineStr">
        <is>
          <t>1493M73G04</t>
        </is>
      </c>
      <c r="P566" s="31" t="inlineStr">
        <is>
          <t>SR Technics Switzerland</t>
        </is>
      </c>
    </row>
    <row r="567">
      <c r="B567" s="31" t="inlineStr">
        <is>
          <t>CFM56-5B</t>
        </is>
      </c>
      <c r="C567" s="31" t="inlineStr">
        <is>
          <t>2024-2025</t>
        </is>
      </c>
      <c r="D567" s="31" t="inlineStr">
        <is>
          <t>2082</t>
        </is>
      </c>
      <c r="E567" s="31" t="inlineStr">
        <is>
          <t>72-42-00</t>
        </is>
      </c>
      <c r="F567" s="31" t="inlineStr">
        <is>
          <t>SB05</t>
        </is>
      </c>
      <c r="G567" s="31" t="inlineStr">
        <is>
          <t>Combustor</t>
        </is>
      </c>
      <c r="H567" s="27" t="n">
        <v>250</v>
      </c>
      <c r="I567" s="27" t="n">
        <v>265</v>
      </c>
      <c r="J567" s="154">
        <f>I567/H567-1</f>
        <v/>
      </c>
      <c r="K567" s="31" t="inlineStr">
        <is>
          <t>30</t>
        </is>
      </c>
      <c r="L567" s="31" t="inlineStr">
        <is>
          <t>30</t>
        </is>
      </c>
      <c r="M567" s="31" t="inlineStr">
        <is>
          <t>S1</t>
        </is>
      </c>
      <c r="N567" s="31" t="inlineStr">
        <is>
          <t>S2</t>
        </is>
      </c>
      <c r="O567" s="31" t="inlineStr">
        <is>
          <t>1493M73G04</t>
        </is>
      </c>
      <c r="P567" s="31" t="inlineStr">
        <is>
          <t>SR Technics Switzerland</t>
        </is>
      </c>
    </row>
    <row r="568">
      <c r="B568" s="31" t="inlineStr">
        <is>
          <t>CFM56-5B</t>
        </is>
      </c>
      <c r="C568" s="31" t="inlineStr">
        <is>
          <t>2024-2025</t>
        </is>
      </c>
      <c r="D568" s="31" t="inlineStr">
        <is>
          <t>2082</t>
        </is>
      </c>
      <c r="E568" s="31" t="inlineStr">
        <is>
          <t>72-42-00</t>
        </is>
      </c>
      <c r="F568" s="31" t="inlineStr">
        <is>
          <t>SB08</t>
        </is>
      </c>
      <c r="G568" s="31" t="inlineStr">
        <is>
          <t>Combustor</t>
        </is>
      </c>
      <c r="H568" s="27" t="n">
        <v>860</v>
      </c>
      <c r="I568" s="27" t="n">
        <v>915</v>
      </c>
      <c r="J568" s="154">
        <f>I568/H568-1</f>
        <v/>
      </c>
      <c r="K568" s="31" t="inlineStr">
        <is>
          <t>30</t>
        </is>
      </c>
      <c r="L568" s="31" t="inlineStr">
        <is>
          <t>30</t>
        </is>
      </c>
      <c r="M568" s="31" t="inlineStr">
        <is>
          <t>S1</t>
        </is>
      </c>
      <c r="N568" s="31" t="inlineStr">
        <is>
          <t>S2</t>
        </is>
      </c>
      <c r="O568" s="31" t="inlineStr">
        <is>
          <t>1493M73G04</t>
        </is>
      </c>
      <c r="P568" s="31" t="inlineStr">
        <is>
          <t>SR Technics Switzerland</t>
        </is>
      </c>
    </row>
    <row r="569">
      <c r="B569" s="31" t="inlineStr">
        <is>
          <t>CFM56-5B</t>
        </is>
      </c>
      <c r="C569" s="31" t="inlineStr">
        <is>
          <t>2024-2025</t>
        </is>
      </c>
      <c r="D569" s="31" t="inlineStr">
        <is>
          <t>2082</t>
        </is>
      </c>
      <c r="E569" s="31" t="inlineStr">
        <is>
          <t>72-42-00</t>
        </is>
      </c>
      <c r="F569" s="31" t="inlineStr">
        <is>
          <t>SB09</t>
        </is>
      </c>
      <c r="G569" s="31" t="inlineStr">
        <is>
          <t>Combustor</t>
        </is>
      </c>
      <c r="H569" s="27" t="n">
        <v>250</v>
      </c>
      <c r="I569" s="27" t="n">
        <v>265</v>
      </c>
      <c r="J569" s="154">
        <f>I569/H569-1</f>
        <v/>
      </c>
      <c r="K569" s="31" t="inlineStr">
        <is>
          <t>30</t>
        </is>
      </c>
      <c r="L569" s="31" t="inlineStr">
        <is>
          <t>30</t>
        </is>
      </c>
      <c r="M569" s="31" t="inlineStr">
        <is>
          <t>S1</t>
        </is>
      </c>
      <c r="N569" s="31" t="inlineStr">
        <is>
          <t>S2</t>
        </is>
      </c>
      <c r="O569" s="31" t="inlineStr">
        <is>
          <t>1493M73G04</t>
        </is>
      </c>
      <c r="P569" s="31" t="inlineStr">
        <is>
          <t>SR Technics Switzerland</t>
        </is>
      </c>
    </row>
    <row r="570">
      <c r="B570" s="31" t="inlineStr">
        <is>
          <t>CFM56-5B</t>
        </is>
      </c>
      <c r="C570" s="31" t="inlineStr">
        <is>
          <t>2024-2025</t>
        </is>
      </c>
      <c r="D570" s="31" t="inlineStr">
        <is>
          <t>2082</t>
        </is>
      </c>
      <c r="E570" s="31" t="inlineStr">
        <is>
          <t>72-42-00</t>
        </is>
      </c>
      <c r="F570" s="31" t="inlineStr">
        <is>
          <t>SB10</t>
        </is>
      </c>
      <c r="G570" s="31" t="inlineStr">
        <is>
          <t>Combustor</t>
        </is>
      </c>
      <c r="H570" s="27" t="n">
        <v>250</v>
      </c>
      <c r="I570" s="27" t="n">
        <v>265</v>
      </c>
      <c r="J570" s="154">
        <f>I570/H570-1</f>
        <v/>
      </c>
      <c r="K570" s="31" t="inlineStr">
        <is>
          <t>30</t>
        </is>
      </c>
      <c r="L570" s="31" t="inlineStr">
        <is>
          <t>30</t>
        </is>
      </c>
      <c r="M570" s="31" t="inlineStr">
        <is>
          <t>S1</t>
        </is>
      </c>
      <c r="N570" s="31" t="inlineStr">
        <is>
          <t>S2</t>
        </is>
      </c>
      <c r="O570" s="31" t="inlineStr">
        <is>
          <t>1493M73G04</t>
        </is>
      </c>
      <c r="P570" s="31" t="inlineStr">
        <is>
          <t>SR Technics Switzerland</t>
        </is>
      </c>
    </row>
    <row r="571">
      <c r="B571" s="31" t="inlineStr">
        <is>
          <t>CFM56-5B</t>
        </is>
      </c>
      <c r="C571" s="31" t="inlineStr">
        <is>
          <t>2024-2025</t>
        </is>
      </c>
      <c r="D571" s="31" t="inlineStr">
        <is>
          <t>21511</t>
        </is>
      </c>
      <c r="E571" s="31" t="inlineStr">
        <is>
          <t>72-31-04</t>
        </is>
      </c>
      <c r="F571" s="31" t="inlineStr">
        <is>
          <t>A</t>
        </is>
      </c>
      <c r="G571" s="31" t="inlineStr">
        <is>
          <t>Compressor</t>
        </is>
      </c>
      <c r="H571" s="27" t="n">
        <v>2285</v>
      </c>
      <c r="I571" s="27" t="n">
        <v>2425</v>
      </c>
      <c r="J571" s="154">
        <f>I571/H571-1</f>
        <v/>
      </c>
      <c r="K571" s="31" t="inlineStr">
        <is>
          <t>6</t>
        </is>
      </c>
      <c r="L571" s="31" t="inlineStr">
        <is>
          <t>6</t>
        </is>
      </c>
      <c r="M571" s="31" t="inlineStr">
        <is>
          <t>S1</t>
        </is>
      </c>
      <c r="N571" s="31" t="inlineStr">
        <is>
          <t>S2</t>
        </is>
      </c>
      <c r="O571" s="31" t="inlineStr">
        <is>
          <t>1558M31G03</t>
        </is>
      </c>
      <c r="P571" s="31" t="inlineStr">
        <is>
          <t>SR Technics Switzerland</t>
        </is>
      </c>
    </row>
    <row r="572">
      <c r="B572" s="31" t="inlineStr">
        <is>
          <t>CFM56-5B</t>
        </is>
      </c>
      <c r="C572" s="31" t="inlineStr">
        <is>
          <t>2024-2025</t>
        </is>
      </c>
      <c r="D572" s="31" t="inlineStr">
        <is>
          <t>21511</t>
        </is>
      </c>
      <c r="E572" s="31" t="inlineStr">
        <is>
          <t>72-31-04</t>
        </is>
      </c>
      <c r="F572" s="31" t="inlineStr">
        <is>
          <t>B</t>
        </is>
      </c>
      <c r="G572" s="31" t="inlineStr">
        <is>
          <t>Compressor</t>
        </is>
      </c>
      <c r="H572" s="27" t="n">
        <v>2275</v>
      </c>
      <c r="I572" s="27" t="n">
        <v>2415</v>
      </c>
      <c r="J572" s="154">
        <f>I572/H572-1</f>
        <v/>
      </c>
      <c r="K572" s="31" t="inlineStr">
        <is>
          <t>6</t>
        </is>
      </c>
      <c r="L572" s="31" t="inlineStr">
        <is>
          <t>6</t>
        </is>
      </c>
      <c r="M572" s="31" t="inlineStr">
        <is>
          <t>S1</t>
        </is>
      </c>
      <c r="N572" s="31" t="inlineStr">
        <is>
          <t>S2</t>
        </is>
      </c>
      <c r="O572" s="31" t="inlineStr">
        <is>
          <t>1558M31G03</t>
        </is>
      </c>
      <c r="P572" s="31" t="inlineStr">
        <is>
          <t>SR Technics Switzerland</t>
        </is>
      </c>
    </row>
    <row r="573">
      <c r="B573" s="31" t="inlineStr">
        <is>
          <t>CFM56-5B</t>
        </is>
      </c>
      <c r="C573" s="31" t="inlineStr">
        <is>
          <t>2024-2025</t>
        </is>
      </c>
      <c r="D573" s="31" t="inlineStr">
        <is>
          <t>21511</t>
        </is>
      </c>
      <c r="E573" s="31" t="inlineStr">
        <is>
          <t>72-31-04</t>
        </is>
      </c>
      <c r="F573" s="31" t="inlineStr">
        <is>
          <t>C</t>
        </is>
      </c>
      <c r="G573" s="31" t="inlineStr">
        <is>
          <t>Compressor</t>
        </is>
      </c>
      <c r="H573" s="27" t="n">
        <v>110</v>
      </c>
      <c r="I573" s="27" t="n">
        <v>120</v>
      </c>
      <c r="J573" s="154">
        <f>I573/H573-1</f>
        <v/>
      </c>
      <c r="K573" s="31" t="inlineStr">
        <is>
          <t>6</t>
        </is>
      </c>
      <c r="L573" s="31" t="inlineStr">
        <is>
          <t>6</t>
        </is>
      </c>
      <c r="M573" s="31" t="inlineStr">
        <is>
          <t>S1</t>
        </is>
      </c>
      <c r="N573" s="31" t="inlineStr">
        <is>
          <t>S2</t>
        </is>
      </c>
      <c r="O573" s="31" t="inlineStr">
        <is>
          <t>1558M31G03</t>
        </is>
      </c>
      <c r="P573" s="31" t="inlineStr">
        <is>
          <t>SR Technics Switzerland</t>
        </is>
      </c>
    </row>
    <row r="574">
      <c r="B574" s="31" t="inlineStr">
        <is>
          <t>CFM56-5B</t>
        </is>
      </c>
      <c r="C574" s="31" t="inlineStr">
        <is>
          <t>2024-2025</t>
        </is>
      </c>
      <c r="D574" s="31" t="inlineStr">
        <is>
          <t>21511</t>
        </is>
      </c>
      <c r="E574" s="31" t="inlineStr">
        <is>
          <t>72-31-04</t>
        </is>
      </c>
      <c r="F574" s="31" t="inlineStr">
        <is>
          <t>E</t>
        </is>
      </c>
      <c r="G574" s="31" t="inlineStr">
        <is>
          <t>Compressor</t>
        </is>
      </c>
      <c r="H574" s="27" t="n">
        <v>4205</v>
      </c>
      <c r="I574" s="27" t="n">
        <v>4460</v>
      </c>
      <c r="J574" s="154">
        <f>I574/H574-1</f>
        <v/>
      </c>
      <c r="K574" s="31" t="inlineStr">
        <is>
          <t>6</t>
        </is>
      </c>
      <c r="L574" s="31" t="inlineStr">
        <is>
          <t>6</t>
        </is>
      </c>
      <c r="M574" s="31" t="inlineStr">
        <is>
          <t>S1</t>
        </is>
      </c>
      <c r="N574" s="31" t="inlineStr">
        <is>
          <t>S2</t>
        </is>
      </c>
      <c r="O574" s="31" t="inlineStr">
        <is>
          <t>1558M31G03</t>
        </is>
      </c>
      <c r="P574" s="31" t="inlineStr">
        <is>
          <t>SR Technics Switzerland</t>
        </is>
      </c>
    </row>
    <row r="575">
      <c r="B575" s="31" t="inlineStr">
        <is>
          <t>CFM56-5B</t>
        </is>
      </c>
      <c r="C575" s="31" t="inlineStr">
        <is>
          <t>2024-2025</t>
        </is>
      </c>
      <c r="D575" s="31" t="inlineStr">
        <is>
          <t>21511</t>
        </is>
      </c>
      <c r="E575" s="31" t="inlineStr">
        <is>
          <t>72-31-04</t>
        </is>
      </c>
      <c r="F575" s="31" t="inlineStr">
        <is>
          <t>F</t>
        </is>
      </c>
      <c r="G575" s="31" t="inlineStr">
        <is>
          <t>Compressor</t>
        </is>
      </c>
      <c r="H575" s="27" t="n">
        <v>6290</v>
      </c>
      <c r="I575" s="27" t="n">
        <v>6670</v>
      </c>
      <c r="J575" s="154">
        <f>I575/H575-1</f>
        <v/>
      </c>
      <c r="K575" s="31" t="inlineStr">
        <is>
          <t>6</t>
        </is>
      </c>
      <c r="L575" s="31" t="inlineStr">
        <is>
          <t>6</t>
        </is>
      </c>
      <c r="M575" s="31" t="inlineStr">
        <is>
          <t>S1</t>
        </is>
      </c>
      <c r="N575" s="31" t="inlineStr">
        <is>
          <t>S2</t>
        </is>
      </c>
      <c r="O575" s="31" t="inlineStr">
        <is>
          <t>1558M31G03</t>
        </is>
      </c>
      <c r="P575" s="31" t="inlineStr">
        <is>
          <t>SR Technics Switzerland</t>
        </is>
      </c>
    </row>
    <row r="576">
      <c r="B576" s="31" t="inlineStr">
        <is>
          <t>CFM56-5B</t>
        </is>
      </c>
      <c r="C576" s="31" t="inlineStr">
        <is>
          <t>2024-2025</t>
        </is>
      </c>
      <c r="D576" s="31" t="inlineStr">
        <is>
          <t>21511</t>
        </is>
      </c>
      <c r="E576" s="31" t="inlineStr">
        <is>
          <t>72-31-04</t>
        </is>
      </c>
      <c r="F576" s="31" t="inlineStr">
        <is>
          <t>G</t>
        </is>
      </c>
      <c r="G576" s="31" t="inlineStr">
        <is>
          <t>Compressor</t>
        </is>
      </c>
      <c r="H576" s="27" t="n">
        <v>3050</v>
      </c>
      <c r="I576" s="27" t="n">
        <v>3235</v>
      </c>
      <c r="J576" s="154">
        <f>I576/H576-1</f>
        <v/>
      </c>
      <c r="K576" s="31" t="inlineStr">
        <is>
          <t>6</t>
        </is>
      </c>
      <c r="L576" s="31" t="inlineStr">
        <is>
          <t>6</t>
        </is>
      </c>
      <c r="M576" s="31" t="inlineStr">
        <is>
          <t>S1</t>
        </is>
      </c>
      <c r="N576" s="31" t="inlineStr">
        <is>
          <t>S2</t>
        </is>
      </c>
      <c r="O576" s="31" t="inlineStr">
        <is>
          <t>1558M31G03</t>
        </is>
      </c>
      <c r="P576" s="31" t="inlineStr">
        <is>
          <t>SR Technics Switzerland</t>
        </is>
      </c>
    </row>
    <row r="577">
      <c r="B577" s="31" t="inlineStr">
        <is>
          <t>CFM56-5B</t>
        </is>
      </c>
      <c r="C577" s="31" t="inlineStr">
        <is>
          <t>2024-2025</t>
        </is>
      </c>
      <c r="D577" s="31" t="inlineStr">
        <is>
          <t>21511</t>
        </is>
      </c>
      <c r="E577" s="31" t="inlineStr">
        <is>
          <t>72-31-04</t>
        </is>
      </c>
      <c r="F577" s="31" t="inlineStr">
        <is>
          <t>H</t>
        </is>
      </c>
      <c r="G577" s="31" t="inlineStr">
        <is>
          <t>Compressor</t>
        </is>
      </c>
      <c r="H577" s="27" t="n">
        <v>5255</v>
      </c>
      <c r="I577" s="27" t="n">
        <v>5575</v>
      </c>
      <c r="J577" s="154">
        <f>I577/H577-1</f>
        <v/>
      </c>
      <c r="K577" s="31" t="inlineStr">
        <is>
          <t>6</t>
        </is>
      </c>
      <c r="L577" s="31" t="inlineStr">
        <is>
          <t>6</t>
        </is>
      </c>
      <c r="M577" s="31" t="inlineStr">
        <is>
          <t>S1</t>
        </is>
      </c>
      <c r="N577" s="31" t="inlineStr">
        <is>
          <t>S2</t>
        </is>
      </c>
      <c r="O577" s="31" t="inlineStr">
        <is>
          <t>1558M31G03</t>
        </is>
      </c>
      <c r="P577" s="31" t="inlineStr">
        <is>
          <t>SR Technics Switzerland</t>
        </is>
      </c>
    </row>
    <row r="578">
      <c r="B578" s="31" t="inlineStr">
        <is>
          <t>CFM56-5B</t>
        </is>
      </c>
      <c r="C578" s="31" t="inlineStr">
        <is>
          <t>2024-2025</t>
        </is>
      </c>
      <c r="D578" s="31" t="inlineStr">
        <is>
          <t>21511</t>
        </is>
      </c>
      <c r="E578" s="31" t="inlineStr">
        <is>
          <t>72-31-04</t>
        </is>
      </c>
      <c r="F578" s="31" t="inlineStr">
        <is>
          <t>SB00</t>
        </is>
      </c>
      <c r="G578" s="31" t="inlineStr">
        <is>
          <t>Compressor</t>
        </is>
      </c>
      <c r="H578" s="27" t="n">
        <v>1020</v>
      </c>
      <c r="I578" s="27" t="n">
        <v>1085</v>
      </c>
      <c r="J578" s="154">
        <f>I578/H578-1</f>
        <v/>
      </c>
      <c r="K578" s="31" t="inlineStr">
        <is>
          <t>6</t>
        </is>
      </c>
      <c r="L578" s="31" t="inlineStr">
        <is>
          <t>6</t>
        </is>
      </c>
      <c r="M578" s="31" t="inlineStr">
        <is>
          <t>S1</t>
        </is>
      </c>
      <c r="N578" s="31" t="inlineStr">
        <is>
          <t>S2</t>
        </is>
      </c>
      <c r="O578" s="31" t="inlineStr">
        <is>
          <t>1558M31G03</t>
        </is>
      </c>
      <c r="P578" s="31" t="inlineStr">
        <is>
          <t>SR Technics Switzerland</t>
        </is>
      </c>
    </row>
    <row r="579">
      <c r="B579" s="31" t="inlineStr">
        <is>
          <t>CFM56-5B</t>
        </is>
      </c>
      <c r="C579" s="31" t="inlineStr">
        <is>
          <t>2024-2025</t>
        </is>
      </c>
      <c r="D579" s="31" t="inlineStr">
        <is>
          <t>21511</t>
        </is>
      </c>
      <c r="E579" s="31" t="inlineStr">
        <is>
          <t>72-31-04</t>
        </is>
      </c>
      <c r="F579" s="31" t="inlineStr">
        <is>
          <t>SB02</t>
        </is>
      </c>
      <c r="G579" s="31" t="inlineStr">
        <is>
          <t>Compressor</t>
        </is>
      </c>
      <c r="H579" s="27" t="n">
        <v>1460</v>
      </c>
      <c r="I579" s="27" t="n">
        <v>1550</v>
      </c>
      <c r="J579" s="154">
        <f>I579/H579-1</f>
        <v/>
      </c>
      <c r="K579" s="31" t="inlineStr">
        <is>
          <t>6</t>
        </is>
      </c>
      <c r="L579" s="31" t="inlineStr">
        <is>
          <t>6</t>
        </is>
      </c>
      <c r="M579" s="31" t="inlineStr">
        <is>
          <t>S1</t>
        </is>
      </c>
      <c r="N579" s="31" t="inlineStr">
        <is>
          <t>S2</t>
        </is>
      </c>
      <c r="O579" s="31" t="inlineStr">
        <is>
          <t>1558M31G03</t>
        </is>
      </c>
      <c r="P579" s="31" t="inlineStr">
        <is>
          <t>SR Technics Switzerland</t>
        </is>
      </c>
    </row>
    <row r="580">
      <c r="B580" s="31" t="inlineStr">
        <is>
          <t>CFM56-5B</t>
        </is>
      </c>
      <c r="C580" s="31" t="inlineStr">
        <is>
          <t>2024-2025</t>
        </is>
      </c>
      <c r="D580" s="31" t="inlineStr">
        <is>
          <t>21512</t>
        </is>
      </c>
      <c r="E580" s="31" t="inlineStr">
        <is>
          <t>72-31-05</t>
        </is>
      </c>
      <c r="F580" s="31" t="inlineStr">
        <is>
          <t>A</t>
        </is>
      </c>
      <c r="G580" s="31" t="inlineStr">
        <is>
          <t>Compressor</t>
        </is>
      </c>
      <c r="H580" s="27" t="n">
        <v>1490</v>
      </c>
      <c r="I580" s="27" t="n">
        <v>1580</v>
      </c>
      <c r="J580" s="154">
        <f>I580/H580-1</f>
        <v/>
      </c>
      <c r="K580" s="31" t="inlineStr">
        <is>
          <t>6</t>
        </is>
      </c>
      <c r="L580" s="31" t="inlineStr">
        <is>
          <t>6</t>
        </is>
      </c>
      <c r="M580" s="31" t="inlineStr">
        <is>
          <t>S1</t>
        </is>
      </c>
      <c r="N580" s="31" t="inlineStr">
        <is>
          <t>S2</t>
        </is>
      </c>
      <c r="O580" s="31" t="inlineStr">
        <is>
          <t>1590M59P01</t>
        </is>
      </c>
      <c r="P580" s="31" t="inlineStr">
        <is>
          <t>SR Technics Switzerland</t>
        </is>
      </c>
    </row>
    <row r="581">
      <c r="B581" s="31" t="inlineStr">
        <is>
          <t>CFM56-5B</t>
        </is>
      </c>
      <c r="C581" s="31" t="inlineStr">
        <is>
          <t>2024-2025</t>
        </is>
      </c>
      <c r="D581" s="31" t="inlineStr">
        <is>
          <t>21512</t>
        </is>
      </c>
      <c r="E581" s="31" t="inlineStr">
        <is>
          <t>72-31-05</t>
        </is>
      </c>
      <c r="F581" s="31" t="inlineStr">
        <is>
          <t>B</t>
        </is>
      </c>
      <c r="G581" s="31" t="inlineStr">
        <is>
          <t>Compressor</t>
        </is>
      </c>
      <c r="H581" s="27" t="n">
        <v>790</v>
      </c>
      <c r="I581" s="27" t="n">
        <v>840</v>
      </c>
      <c r="J581" s="154">
        <f>I581/H581-1</f>
        <v/>
      </c>
      <c r="K581" s="31" t="inlineStr">
        <is>
          <t>6</t>
        </is>
      </c>
      <c r="L581" s="31" t="inlineStr">
        <is>
          <t>6</t>
        </is>
      </c>
      <c r="M581" s="31" t="inlineStr">
        <is>
          <t>S1</t>
        </is>
      </c>
      <c r="N581" s="31" t="inlineStr">
        <is>
          <t>S2</t>
        </is>
      </c>
      <c r="O581" s="31" t="inlineStr">
        <is>
          <t>1590M59P01</t>
        </is>
      </c>
      <c r="P581" s="31" t="inlineStr">
        <is>
          <t>SR Technics Switzerland</t>
        </is>
      </c>
    </row>
    <row r="582">
      <c r="B582" s="31" t="inlineStr">
        <is>
          <t>CFM56-5B</t>
        </is>
      </c>
      <c r="C582" s="31" t="inlineStr">
        <is>
          <t>2024-2025</t>
        </is>
      </c>
      <c r="D582" s="31" t="inlineStr">
        <is>
          <t>21512</t>
        </is>
      </c>
      <c r="E582" s="31" t="inlineStr">
        <is>
          <t>72-31-05</t>
        </is>
      </c>
      <c r="F582" s="31" t="inlineStr">
        <is>
          <t>C</t>
        </is>
      </c>
      <c r="G582" s="31" t="inlineStr">
        <is>
          <t>Compressor</t>
        </is>
      </c>
      <c r="H582" s="27" t="n">
        <v>3780</v>
      </c>
      <c r="I582" s="27" t="n">
        <v>4010</v>
      </c>
      <c r="J582" s="154">
        <f>I582/H582-1</f>
        <v/>
      </c>
      <c r="K582" s="31" t="inlineStr">
        <is>
          <t>6</t>
        </is>
      </c>
      <c r="L582" s="31" t="inlineStr">
        <is>
          <t>6</t>
        </is>
      </c>
      <c r="M582" s="31" t="inlineStr">
        <is>
          <t>S1</t>
        </is>
      </c>
      <c r="N582" s="31" t="inlineStr">
        <is>
          <t>S2</t>
        </is>
      </c>
      <c r="O582" s="31" t="inlineStr">
        <is>
          <t>1590M59P01</t>
        </is>
      </c>
      <c r="P582" s="31" t="inlineStr">
        <is>
          <t>SR Technics Switzerland</t>
        </is>
      </c>
    </row>
    <row r="583">
      <c r="B583" s="31" t="inlineStr">
        <is>
          <t>CFM56-5B</t>
        </is>
      </c>
      <c r="C583" s="31" t="inlineStr">
        <is>
          <t>2024-2025</t>
        </is>
      </c>
      <c r="D583" s="31" t="inlineStr">
        <is>
          <t>21512</t>
        </is>
      </c>
      <c r="E583" s="31" t="inlineStr">
        <is>
          <t>72-31-05</t>
        </is>
      </c>
      <c r="F583" s="31" t="inlineStr">
        <is>
          <t>L</t>
        </is>
      </c>
      <c r="G583" s="31" t="inlineStr">
        <is>
          <t>Compressor</t>
        </is>
      </c>
      <c r="H583" s="27" t="n">
        <v>790</v>
      </c>
      <c r="I583" s="27" t="n">
        <v>840</v>
      </c>
      <c r="J583" s="154">
        <f>I583/H583-1</f>
        <v/>
      </c>
      <c r="K583" s="31" t="inlineStr">
        <is>
          <t>6</t>
        </is>
      </c>
      <c r="L583" s="31" t="inlineStr">
        <is>
          <t>6</t>
        </is>
      </c>
      <c r="M583" s="31" t="inlineStr">
        <is>
          <t>S1</t>
        </is>
      </c>
      <c r="N583" s="31" t="inlineStr">
        <is>
          <t>S2</t>
        </is>
      </c>
      <c r="O583" s="31" t="inlineStr">
        <is>
          <t>1590M59P01</t>
        </is>
      </c>
      <c r="P583" s="31" t="inlineStr">
        <is>
          <t>SR Technics Switzerland</t>
        </is>
      </c>
    </row>
    <row r="584">
      <c r="B584" s="31" t="inlineStr">
        <is>
          <t>CFM56-5B</t>
        </is>
      </c>
      <c r="C584" s="31" t="inlineStr">
        <is>
          <t>2024-2025</t>
        </is>
      </c>
      <c r="D584" s="31" t="inlineStr">
        <is>
          <t>21512</t>
        </is>
      </c>
      <c r="E584" s="31" t="inlineStr">
        <is>
          <t>72-31-05</t>
        </is>
      </c>
      <c r="F584" s="31" t="inlineStr">
        <is>
          <t>M</t>
        </is>
      </c>
      <c r="G584" s="31" t="inlineStr">
        <is>
          <t>Compressor</t>
        </is>
      </c>
      <c r="H584" s="27" t="n">
        <v>790</v>
      </c>
      <c r="I584" s="27" t="n">
        <v>840</v>
      </c>
      <c r="J584" s="154">
        <f>I584/H584-1</f>
        <v/>
      </c>
      <c r="K584" s="31" t="inlineStr">
        <is>
          <t>6</t>
        </is>
      </c>
      <c r="L584" s="31" t="inlineStr">
        <is>
          <t>6</t>
        </is>
      </c>
      <c r="M584" s="31" t="inlineStr">
        <is>
          <t>S1</t>
        </is>
      </c>
      <c r="N584" s="31" t="inlineStr">
        <is>
          <t>S2</t>
        </is>
      </c>
      <c r="O584" s="31" t="inlineStr">
        <is>
          <t>1590M59P01</t>
        </is>
      </c>
      <c r="P584" s="31" t="inlineStr">
        <is>
          <t>SR Technics Switzerland</t>
        </is>
      </c>
    </row>
    <row r="585">
      <c r="B585" s="31" t="inlineStr">
        <is>
          <t>CFM56-5B</t>
        </is>
      </c>
      <c r="C585" s="31" t="inlineStr">
        <is>
          <t>2024-2025</t>
        </is>
      </c>
      <c r="D585" s="31" t="inlineStr">
        <is>
          <t>21512</t>
        </is>
      </c>
      <c r="E585" s="31" t="inlineStr">
        <is>
          <t>72-31-05</t>
        </is>
      </c>
      <c r="F585" s="31" t="inlineStr">
        <is>
          <t>SB00</t>
        </is>
      </c>
      <c r="G585" s="31" t="inlineStr">
        <is>
          <t>Compressor</t>
        </is>
      </c>
      <c r="H585" s="27" t="n">
        <v>850</v>
      </c>
      <c r="I585" s="27" t="n">
        <v>905</v>
      </c>
      <c r="J585" s="154">
        <f>I585/H585-1</f>
        <v/>
      </c>
      <c r="K585" s="31" t="inlineStr">
        <is>
          <t>6</t>
        </is>
      </c>
      <c r="L585" s="31" t="inlineStr">
        <is>
          <t>6</t>
        </is>
      </c>
      <c r="M585" s="31" t="inlineStr">
        <is>
          <t>S1</t>
        </is>
      </c>
      <c r="N585" s="31" t="inlineStr">
        <is>
          <t>S2</t>
        </is>
      </c>
      <c r="O585" s="31" t="inlineStr">
        <is>
          <t>1590M59P01</t>
        </is>
      </c>
      <c r="P585" s="31" t="inlineStr">
        <is>
          <t>SR Technics Switzerland</t>
        </is>
      </c>
    </row>
    <row r="586">
      <c r="B586" s="31" t="inlineStr">
        <is>
          <t>CFM56-5B</t>
        </is>
      </c>
      <c r="C586" s="31" t="inlineStr">
        <is>
          <t>2024-2025</t>
        </is>
      </c>
      <c r="D586" s="31" t="inlineStr">
        <is>
          <t>21514</t>
        </is>
      </c>
      <c r="E586" s="31" t="inlineStr">
        <is>
          <t>72-22-01</t>
        </is>
      </c>
      <c r="F586" s="31" t="inlineStr">
        <is>
          <t>A</t>
        </is>
      </c>
      <c r="G586" s="31" t="inlineStr">
        <is>
          <t>Fan / booster</t>
        </is>
      </c>
      <c r="H586" s="27" t="n">
        <v>595</v>
      </c>
      <c r="I586" s="27" t="n">
        <v>635</v>
      </c>
      <c r="J586" s="154">
        <f>I586/H586-1</f>
        <v/>
      </c>
      <c r="K586" s="31" t="inlineStr">
        <is>
          <t>6</t>
        </is>
      </c>
      <c r="L586" s="31" t="inlineStr">
        <is>
          <t>6</t>
        </is>
      </c>
      <c r="M586" s="31" t="inlineStr">
        <is>
          <t>S1</t>
        </is>
      </c>
      <c r="N586" s="31" t="inlineStr">
        <is>
          <t>S2</t>
        </is>
      </c>
      <c r="O586" s="31" t="inlineStr">
        <is>
          <t>338-010-601-0</t>
        </is>
      </c>
      <c r="P586" s="31" t="inlineStr">
        <is>
          <t>SR Technics Switzerland</t>
        </is>
      </c>
    </row>
    <row r="587">
      <c r="B587" s="31" t="inlineStr">
        <is>
          <t>CFM56-5B</t>
        </is>
      </c>
      <c r="C587" s="31" t="inlineStr">
        <is>
          <t>2024-2025</t>
        </is>
      </c>
      <c r="D587" s="31" t="inlineStr">
        <is>
          <t>21514</t>
        </is>
      </c>
      <c r="E587" s="31" t="inlineStr">
        <is>
          <t>72-22-01</t>
        </is>
      </c>
      <c r="F587" s="31" t="inlineStr">
        <is>
          <t>B</t>
        </is>
      </c>
      <c r="G587" s="31" t="inlineStr">
        <is>
          <t>Fan / booster</t>
        </is>
      </c>
      <c r="H587" s="27" t="n">
        <v>570</v>
      </c>
      <c r="I587" s="27" t="n">
        <v>605</v>
      </c>
      <c r="J587" s="154">
        <f>I587/H587-1</f>
        <v/>
      </c>
      <c r="K587" s="31" t="inlineStr">
        <is>
          <t>6</t>
        </is>
      </c>
      <c r="L587" s="31" t="inlineStr">
        <is>
          <t>6</t>
        </is>
      </c>
      <c r="M587" s="31" t="inlineStr">
        <is>
          <t>S1</t>
        </is>
      </c>
      <c r="N587" s="31" t="inlineStr">
        <is>
          <t>S2</t>
        </is>
      </c>
      <c r="O587" s="31" t="inlineStr">
        <is>
          <t>338-010-601-0</t>
        </is>
      </c>
      <c r="P587" s="31" t="inlineStr">
        <is>
          <t>SR Technics Switzerland</t>
        </is>
      </c>
    </row>
    <row r="588">
      <c r="B588" s="31" t="inlineStr">
        <is>
          <t>CFM56-5B</t>
        </is>
      </c>
      <c r="C588" s="31" t="inlineStr">
        <is>
          <t>2024-2025</t>
        </is>
      </c>
      <c r="D588" s="31" t="inlineStr">
        <is>
          <t>21514</t>
        </is>
      </c>
      <c r="E588" s="31" t="inlineStr">
        <is>
          <t>72-22-01</t>
        </is>
      </c>
      <c r="F588" s="31" t="inlineStr">
        <is>
          <t>C</t>
        </is>
      </c>
      <c r="G588" s="31" t="inlineStr">
        <is>
          <t>Fan / booster</t>
        </is>
      </c>
      <c r="H588" s="27" t="n">
        <v>2985</v>
      </c>
      <c r="I588" s="27" t="n">
        <v>3165</v>
      </c>
      <c r="J588" s="154">
        <f>I588/H588-1</f>
        <v/>
      </c>
      <c r="K588" s="31" t="inlineStr">
        <is>
          <t>6</t>
        </is>
      </c>
      <c r="L588" s="31" t="inlineStr">
        <is>
          <t>6</t>
        </is>
      </c>
      <c r="M588" s="31" t="inlineStr">
        <is>
          <t>S1</t>
        </is>
      </c>
      <c r="N588" s="31" t="inlineStr">
        <is>
          <t>S2</t>
        </is>
      </c>
      <c r="O588" s="31" t="inlineStr">
        <is>
          <t>338-010-601-0</t>
        </is>
      </c>
      <c r="P588" s="31" t="inlineStr">
        <is>
          <t>SR Technics Switzerland</t>
        </is>
      </c>
    </row>
    <row r="589">
      <c r="B589" s="31" t="inlineStr">
        <is>
          <t>CFM56-5B</t>
        </is>
      </c>
      <c r="C589" s="31" t="inlineStr">
        <is>
          <t>2024-2025</t>
        </is>
      </c>
      <c r="D589" s="31" t="inlineStr">
        <is>
          <t>21514</t>
        </is>
      </c>
      <c r="E589" s="31" t="inlineStr">
        <is>
          <t>72-22-01</t>
        </is>
      </c>
      <c r="F589" s="31" t="inlineStr">
        <is>
          <t>D</t>
        </is>
      </c>
      <c r="G589" s="31" t="inlineStr">
        <is>
          <t>Fan / booster</t>
        </is>
      </c>
      <c r="H589" s="27" t="n">
        <v>560</v>
      </c>
      <c r="I589" s="27" t="n">
        <v>595</v>
      </c>
      <c r="J589" s="154">
        <f>I589/H589-1</f>
        <v/>
      </c>
      <c r="K589" s="31" t="inlineStr">
        <is>
          <t>6</t>
        </is>
      </c>
      <c r="L589" s="31" t="inlineStr">
        <is>
          <t>6</t>
        </is>
      </c>
      <c r="M589" s="31" t="inlineStr">
        <is>
          <t>S1</t>
        </is>
      </c>
      <c r="N589" s="31" t="inlineStr">
        <is>
          <t>S2</t>
        </is>
      </c>
      <c r="O589" s="31" t="inlineStr">
        <is>
          <t>338-010-601-0</t>
        </is>
      </c>
      <c r="P589" s="31" t="inlineStr">
        <is>
          <t>SR Technics Switzerland</t>
        </is>
      </c>
    </row>
    <row r="590">
      <c r="B590" s="31" t="inlineStr">
        <is>
          <t>CFM56-5B</t>
        </is>
      </c>
      <c r="C590" s="31" t="inlineStr">
        <is>
          <t>2024-2025</t>
        </is>
      </c>
      <c r="D590" s="31" t="inlineStr">
        <is>
          <t>21514</t>
        </is>
      </c>
      <c r="E590" s="31" t="inlineStr">
        <is>
          <t>72-22-01</t>
        </is>
      </c>
      <c r="F590" s="31" t="inlineStr">
        <is>
          <t>SB00</t>
        </is>
      </c>
      <c r="G590" s="31" t="inlineStr">
        <is>
          <t>Fan / booster</t>
        </is>
      </c>
      <c r="H590" s="27" t="n">
        <v>645</v>
      </c>
      <c r="I590" s="27" t="n">
        <v>685</v>
      </c>
      <c r="J590" s="154">
        <f>I590/H590-1</f>
        <v/>
      </c>
      <c r="K590" s="31" t="inlineStr">
        <is>
          <t>6</t>
        </is>
      </c>
      <c r="L590" s="31" t="inlineStr">
        <is>
          <t>6</t>
        </is>
      </c>
      <c r="M590" s="31" t="inlineStr">
        <is>
          <t>S1</t>
        </is>
      </c>
      <c r="N590" s="31" t="inlineStr">
        <is>
          <t>S2</t>
        </is>
      </c>
      <c r="O590" s="31" t="inlineStr">
        <is>
          <t>338-010-601-0</t>
        </is>
      </c>
      <c r="P590" s="31" t="inlineStr">
        <is>
          <t>SR Technics Switzerland</t>
        </is>
      </c>
    </row>
    <row r="591">
      <c r="B591" s="31" t="inlineStr">
        <is>
          <t>CFM56-5B</t>
        </is>
      </c>
      <c r="C591" s="31" t="inlineStr">
        <is>
          <t>2024-2025</t>
        </is>
      </c>
      <c r="D591" s="31" t="inlineStr">
        <is>
          <t>21823</t>
        </is>
      </c>
      <c r="E591" s="31" t="inlineStr">
        <is>
          <t>72-54-04</t>
        </is>
      </c>
      <c r="F591" s="31" t="inlineStr">
        <is>
          <t>A</t>
        </is>
      </c>
      <c r="G591" s="31" t="inlineStr">
        <is>
          <t>LPT</t>
        </is>
      </c>
      <c r="H591" s="27" t="n">
        <v>660</v>
      </c>
      <c r="I591" s="27" t="n">
        <v>700</v>
      </c>
      <c r="J591" s="154">
        <f>I591/H591-1</f>
        <v/>
      </c>
      <c r="K591" s="31" t="inlineStr">
        <is>
          <t>40</t>
        </is>
      </c>
      <c r="L591" s="31" t="inlineStr">
        <is>
          <t>40</t>
        </is>
      </c>
      <c r="M591" s="31" t="inlineStr">
        <is>
          <t>S1</t>
        </is>
      </c>
      <c r="N591" s="31" t="inlineStr">
        <is>
          <t>S2</t>
        </is>
      </c>
      <c r="O591" s="31" t="inlineStr">
        <is>
          <t>338-063-602-0</t>
        </is>
      </c>
      <c r="P591" s="31" t="inlineStr">
        <is>
          <t>SR Technics Switzerland</t>
        </is>
      </c>
    </row>
    <row r="592">
      <c r="B592" s="31" t="inlineStr">
        <is>
          <t>CFM56-5B</t>
        </is>
      </c>
      <c r="C592" s="31" t="inlineStr">
        <is>
          <t>2024-2025</t>
        </is>
      </c>
      <c r="D592" s="31" t="inlineStr">
        <is>
          <t>2187</t>
        </is>
      </c>
      <c r="E592" s="31" t="inlineStr">
        <is>
          <t>72-62-06</t>
        </is>
      </c>
      <c r="F592" s="31" t="inlineStr">
        <is>
          <t>A</t>
        </is>
      </c>
      <c r="G592" s="31" t="inlineStr">
        <is>
          <t>Gearbox</t>
        </is>
      </c>
      <c r="H592" s="27" t="n">
        <v>1085</v>
      </c>
      <c r="I592" s="27" t="n">
        <v>1155</v>
      </c>
      <c r="J592" s="154">
        <f>I592/H592-1</f>
        <v/>
      </c>
      <c r="K592" s="31" t="inlineStr">
        <is>
          <t>30</t>
        </is>
      </c>
      <c r="L592" s="31" t="inlineStr">
        <is>
          <t>31</t>
        </is>
      </c>
      <c r="M592" s="31" t="inlineStr">
        <is>
          <t>S1</t>
        </is>
      </c>
      <c r="N592" s="31" t="inlineStr">
        <is>
          <t>S2</t>
        </is>
      </c>
      <c r="O592" s="31" t="inlineStr">
        <is>
          <t>305-136-803-0</t>
        </is>
      </c>
      <c r="P592" s="31" t="inlineStr">
        <is>
          <t>SR Technics Switzerland</t>
        </is>
      </c>
    </row>
    <row r="593">
      <c r="B593" s="31" t="inlineStr">
        <is>
          <t>CFM56-5B</t>
        </is>
      </c>
      <c r="C593" s="31" t="inlineStr">
        <is>
          <t>2024-2025</t>
        </is>
      </c>
      <c r="D593" s="31" t="inlineStr">
        <is>
          <t>2187</t>
        </is>
      </c>
      <c r="E593" s="31" t="inlineStr">
        <is>
          <t>72-62-06</t>
        </is>
      </c>
      <c r="F593" s="31" t="inlineStr">
        <is>
          <t>SB00</t>
        </is>
      </c>
      <c r="G593" s="31" t="inlineStr">
        <is>
          <t>Gearbox</t>
        </is>
      </c>
      <c r="H593" s="27" t="n">
        <v>265</v>
      </c>
      <c r="I593" s="27" t="n">
        <v>285</v>
      </c>
      <c r="J593" s="154">
        <f>I593/H593-1</f>
        <v/>
      </c>
      <c r="K593" s="31" t="inlineStr">
        <is>
          <t>30</t>
        </is>
      </c>
      <c r="L593" s="31" t="inlineStr">
        <is>
          <t>31</t>
        </is>
      </c>
      <c r="M593" s="31" t="inlineStr">
        <is>
          <t>S1</t>
        </is>
      </c>
      <c r="N593" s="31" t="inlineStr">
        <is>
          <t>S2</t>
        </is>
      </c>
      <c r="O593" s="31" t="inlineStr">
        <is>
          <t>305-136-803-0</t>
        </is>
      </c>
      <c r="P593" s="31" t="inlineStr">
        <is>
          <t>SR Technics Switzerland</t>
        </is>
      </c>
    </row>
    <row r="594">
      <c r="B594" s="31" t="inlineStr">
        <is>
          <t>CFM56-5B</t>
        </is>
      </c>
      <c r="C594" s="31" t="inlineStr">
        <is>
          <t>2024-2025</t>
        </is>
      </c>
      <c r="D594" s="31" t="inlineStr">
        <is>
          <t>2187</t>
        </is>
      </c>
      <c r="E594" s="31" t="inlineStr">
        <is>
          <t>72-62-06</t>
        </is>
      </c>
      <c r="F594" s="31" t="inlineStr">
        <is>
          <t>SB01</t>
        </is>
      </c>
      <c r="G594" s="31" t="inlineStr">
        <is>
          <t>Gearbox</t>
        </is>
      </c>
      <c r="H594" s="27" t="n">
        <v>165</v>
      </c>
      <c r="I594" s="27" t="n">
        <v>175</v>
      </c>
      <c r="J594" s="154">
        <f>I594/H594-1</f>
        <v/>
      </c>
      <c r="K594" s="31" t="inlineStr">
        <is>
          <t>30</t>
        </is>
      </c>
      <c r="L594" s="31" t="inlineStr">
        <is>
          <t>31</t>
        </is>
      </c>
      <c r="M594" s="31" t="inlineStr">
        <is>
          <t>S1</t>
        </is>
      </c>
      <c r="N594" s="31" t="inlineStr">
        <is>
          <t>S2</t>
        </is>
      </c>
      <c r="O594" s="31" t="inlineStr">
        <is>
          <t>305-136-803-0</t>
        </is>
      </c>
      <c r="P594" s="31" t="inlineStr">
        <is>
          <t>SR Technics Switzerland</t>
        </is>
      </c>
    </row>
    <row r="595">
      <c r="B595" s="31" t="inlineStr">
        <is>
          <t>CFM56-5B</t>
        </is>
      </c>
      <c r="C595" s="31" t="inlineStr">
        <is>
          <t>2024-2025</t>
        </is>
      </c>
      <c r="D595" s="31" t="inlineStr">
        <is>
          <t>2200</t>
        </is>
      </c>
      <c r="E595" s="31" t="inlineStr">
        <is>
          <t>72-41-03</t>
        </is>
      </c>
      <c r="F595" s="31" t="inlineStr">
        <is>
          <t>C</t>
        </is>
      </c>
      <c r="G595" s="31" t="inlineStr">
        <is>
          <t>Combustor</t>
        </is>
      </c>
      <c r="H595" s="27" t="n">
        <v>340</v>
      </c>
      <c r="I595" s="27" t="n">
        <v>365</v>
      </c>
      <c r="J595" s="154">
        <f>I595/H595-1</f>
        <v/>
      </c>
      <c r="K595" s="31" t="inlineStr">
        <is>
          <t>2</t>
        </is>
      </c>
      <c r="L595" s="31" t="inlineStr">
        <is>
          <t>2</t>
        </is>
      </c>
      <c r="M595" s="31" t="inlineStr">
        <is>
          <t>S1</t>
        </is>
      </c>
      <c r="N595" s="31" t="inlineStr">
        <is>
          <t>S2</t>
        </is>
      </c>
      <c r="O595" s="31" t="inlineStr">
        <is>
          <t>1523M40G02</t>
        </is>
      </c>
      <c r="P595" s="31" t="inlineStr">
        <is>
          <t>SR Technics Switzerland</t>
        </is>
      </c>
    </row>
    <row r="596">
      <c r="B596" s="31" t="inlineStr">
        <is>
          <t>CFM56-5B</t>
        </is>
      </c>
      <c r="C596" s="31" t="inlineStr">
        <is>
          <t>2024-2025</t>
        </is>
      </c>
      <c r="D596" s="31" t="inlineStr">
        <is>
          <t>2200</t>
        </is>
      </c>
      <c r="E596" s="31" t="inlineStr">
        <is>
          <t>72-41-03</t>
        </is>
      </c>
      <c r="F596" s="31" t="inlineStr">
        <is>
          <t>SB01</t>
        </is>
      </c>
      <c r="G596" s="31" t="inlineStr">
        <is>
          <t>Combustor</t>
        </is>
      </c>
      <c r="H596" s="27" t="n">
        <v>5105</v>
      </c>
      <c r="I596" s="27" t="n">
        <v>5415</v>
      </c>
      <c r="J596" s="154">
        <f>I596/H596-1</f>
        <v/>
      </c>
      <c r="K596" s="31" t="inlineStr">
        <is>
          <t>2</t>
        </is>
      </c>
      <c r="L596" s="31" t="inlineStr">
        <is>
          <t>2</t>
        </is>
      </c>
      <c r="M596" s="31" t="inlineStr">
        <is>
          <t>S1</t>
        </is>
      </c>
      <c r="N596" s="31" t="inlineStr">
        <is>
          <t>S2</t>
        </is>
      </c>
      <c r="O596" s="31" t="inlineStr">
        <is>
          <t>1523M40G02</t>
        </is>
      </c>
      <c r="P596" s="31" t="inlineStr">
        <is>
          <t>SR Technics Switzerland</t>
        </is>
      </c>
    </row>
    <row r="597">
      <c r="B597" s="31" t="inlineStr">
        <is>
          <t>CFM56-5B</t>
        </is>
      </c>
      <c r="C597" s="31" t="inlineStr">
        <is>
          <t>2024-2025</t>
        </is>
      </c>
      <c r="D597" s="31" t="inlineStr">
        <is>
          <t>2200</t>
        </is>
      </c>
      <c r="E597" s="31" t="inlineStr">
        <is>
          <t>72-41-03</t>
        </is>
      </c>
      <c r="F597" s="31" t="inlineStr">
        <is>
          <t>SB02</t>
        </is>
      </c>
      <c r="G597" s="31" t="inlineStr">
        <is>
          <t>Combustor</t>
        </is>
      </c>
      <c r="H597" s="27" t="n">
        <v>480</v>
      </c>
      <c r="I597" s="27" t="n">
        <v>510</v>
      </c>
      <c r="J597" s="154">
        <f>I597/H597-1</f>
        <v/>
      </c>
      <c r="K597" s="31" t="inlineStr">
        <is>
          <t>2</t>
        </is>
      </c>
      <c r="L597" s="31" t="inlineStr">
        <is>
          <t>2</t>
        </is>
      </c>
      <c r="M597" s="31" t="inlineStr">
        <is>
          <t>S1</t>
        </is>
      </c>
      <c r="N597" s="31" t="inlineStr">
        <is>
          <t>S2</t>
        </is>
      </c>
      <c r="O597" s="31" t="inlineStr">
        <is>
          <t>1523M40G02</t>
        </is>
      </c>
      <c r="P597" s="31" t="inlineStr">
        <is>
          <t>SR Technics Switzerland</t>
        </is>
      </c>
    </row>
    <row r="598">
      <c r="B598" s="31" t="inlineStr">
        <is>
          <t>CFM56-5B</t>
        </is>
      </c>
      <c r="C598" s="31" t="inlineStr">
        <is>
          <t>2024-2025</t>
        </is>
      </c>
      <c r="D598" s="31" t="inlineStr">
        <is>
          <t>22647</t>
        </is>
      </c>
      <c r="E598" s="31" t="inlineStr">
        <is>
          <t>73-21-18</t>
        </is>
      </c>
      <c r="F598" s="31" t="inlineStr">
        <is>
          <t>B</t>
        </is>
      </c>
      <c r="G598" s="31" t="inlineStr">
        <is>
          <t>Fuel system</t>
        </is>
      </c>
      <c r="H598" s="27" t="n">
        <v>4020</v>
      </c>
      <c r="I598" s="27" t="n">
        <v>4265</v>
      </c>
      <c r="J598" s="154">
        <f>I598/H598-1</f>
        <v/>
      </c>
      <c r="K598" s="31" t="inlineStr">
        <is>
          <t>6</t>
        </is>
      </c>
      <c r="L598" s="31" t="inlineStr">
        <is>
          <t>6</t>
        </is>
      </c>
      <c r="M598" s="31" t="inlineStr">
        <is>
          <t>S1</t>
        </is>
      </c>
      <c r="N598" s="31" t="inlineStr">
        <is>
          <t>S2</t>
        </is>
      </c>
      <c r="O598" s="31" t="inlineStr">
        <is>
          <t>1348M79P08</t>
        </is>
      </c>
      <c r="P598" s="31" t="inlineStr">
        <is>
          <t>SR Technics Switzerland</t>
        </is>
      </c>
    </row>
    <row r="599">
      <c r="B599" s="31" t="inlineStr">
        <is>
          <t>CFM56-5B</t>
        </is>
      </c>
      <c r="C599" s="31" t="inlineStr">
        <is>
          <t>2024-2025</t>
        </is>
      </c>
      <c r="D599" s="31" t="inlineStr">
        <is>
          <t>22647</t>
        </is>
      </c>
      <c r="E599" s="31" t="inlineStr">
        <is>
          <t>73-21-18</t>
        </is>
      </c>
      <c r="F599" s="31" t="inlineStr">
        <is>
          <t>D</t>
        </is>
      </c>
      <c r="G599" s="31" t="inlineStr">
        <is>
          <t>Fuel system</t>
        </is>
      </c>
      <c r="H599" s="27" t="n">
        <v>4695</v>
      </c>
      <c r="I599" s="27" t="n">
        <v>4980</v>
      </c>
      <c r="J599" s="154">
        <f>I599/H599-1</f>
        <v/>
      </c>
      <c r="K599" s="31" t="inlineStr">
        <is>
          <t>6</t>
        </is>
      </c>
      <c r="L599" s="31" t="inlineStr">
        <is>
          <t>6</t>
        </is>
      </c>
      <c r="M599" s="31" t="inlineStr">
        <is>
          <t>S1</t>
        </is>
      </c>
      <c r="N599" s="31" t="inlineStr">
        <is>
          <t>S2</t>
        </is>
      </c>
      <c r="O599" s="31" t="inlineStr">
        <is>
          <t>1348M79P08</t>
        </is>
      </c>
      <c r="P599" s="31" t="inlineStr">
        <is>
          <t>SR Technics Switzerland</t>
        </is>
      </c>
    </row>
    <row r="600">
      <c r="B600" s="31" t="inlineStr">
        <is>
          <t>CFM56-5B</t>
        </is>
      </c>
      <c r="C600" s="31" t="inlineStr">
        <is>
          <t>2024-2025</t>
        </is>
      </c>
      <c r="D600" s="31" t="inlineStr">
        <is>
          <t>22647</t>
        </is>
      </c>
      <c r="E600" s="31" t="inlineStr">
        <is>
          <t>73-21-18</t>
        </is>
      </c>
      <c r="F600" s="31" t="inlineStr">
        <is>
          <t>E</t>
        </is>
      </c>
      <c r="G600" s="31" t="inlineStr">
        <is>
          <t>Fuel system</t>
        </is>
      </c>
      <c r="H600" s="27" t="n">
        <v>9105</v>
      </c>
      <c r="I600" s="27" t="n">
        <v>9655</v>
      </c>
      <c r="J600" s="154">
        <f>I600/H600-1</f>
        <v/>
      </c>
      <c r="K600" s="31" t="inlineStr">
        <is>
          <t>6</t>
        </is>
      </c>
      <c r="L600" s="31" t="inlineStr">
        <is>
          <t>6</t>
        </is>
      </c>
      <c r="M600" s="31" t="inlineStr">
        <is>
          <t>S1</t>
        </is>
      </c>
      <c r="N600" s="31" t="inlineStr">
        <is>
          <t>S2</t>
        </is>
      </c>
      <c r="O600" s="31" t="inlineStr">
        <is>
          <t>1348M79P08</t>
        </is>
      </c>
      <c r="P600" s="31" t="inlineStr">
        <is>
          <t>SR Technics Switzerland</t>
        </is>
      </c>
    </row>
    <row r="601">
      <c r="B601" s="31" t="inlineStr">
        <is>
          <t>CFM56-5B</t>
        </is>
      </c>
      <c r="C601" s="31" t="inlineStr">
        <is>
          <t>2024-2025</t>
        </is>
      </c>
      <c r="D601" s="31" t="inlineStr">
        <is>
          <t>22647</t>
        </is>
      </c>
      <c r="E601" s="31" t="inlineStr">
        <is>
          <t>73-21-18</t>
        </is>
      </c>
      <c r="F601" s="31" t="inlineStr">
        <is>
          <t>F</t>
        </is>
      </c>
      <c r="G601" s="31" t="inlineStr">
        <is>
          <t>Fuel system</t>
        </is>
      </c>
      <c r="H601" s="27" t="n">
        <v>12855</v>
      </c>
      <c r="I601" s="27" t="n">
        <v>13630</v>
      </c>
      <c r="J601" s="154">
        <f>I601/H601-1</f>
        <v/>
      </c>
      <c r="K601" s="31" t="inlineStr">
        <is>
          <t>6</t>
        </is>
      </c>
      <c r="L601" s="31" t="inlineStr">
        <is>
          <t>6</t>
        </is>
      </c>
      <c r="M601" s="31" t="inlineStr">
        <is>
          <t>S1</t>
        </is>
      </c>
      <c r="N601" s="31" t="inlineStr">
        <is>
          <t>S2</t>
        </is>
      </c>
      <c r="O601" s="31" t="inlineStr">
        <is>
          <t>1348M79P08</t>
        </is>
      </c>
      <c r="P601" s="31" t="inlineStr">
        <is>
          <t>SR Technics Switzerland</t>
        </is>
      </c>
    </row>
    <row r="602">
      <c r="B602" s="31" t="inlineStr">
        <is>
          <t>CFM56-5B</t>
        </is>
      </c>
      <c r="C602" s="31" t="inlineStr">
        <is>
          <t>2024-2025</t>
        </is>
      </c>
      <c r="D602" s="31" t="inlineStr">
        <is>
          <t>22647</t>
        </is>
      </c>
      <c r="E602" s="31" t="inlineStr">
        <is>
          <t>73-21-18</t>
        </is>
      </c>
      <c r="F602" s="31" t="inlineStr">
        <is>
          <t>G</t>
        </is>
      </c>
      <c r="G602" s="31" t="inlineStr">
        <is>
          <t>Fuel system</t>
        </is>
      </c>
      <c r="H602" s="27" t="n">
        <v>16720</v>
      </c>
      <c r="I602" s="27" t="n">
        <v>17725</v>
      </c>
      <c r="J602" s="154">
        <f>I602/H602-1</f>
        <v/>
      </c>
      <c r="K602" s="31" t="inlineStr">
        <is>
          <t>6</t>
        </is>
      </c>
      <c r="L602" s="31" t="inlineStr">
        <is>
          <t>6</t>
        </is>
      </c>
      <c r="M602" s="31" t="inlineStr">
        <is>
          <t>S1</t>
        </is>
      </c>
      <c r="N602" s="31" t="inlineStr">
        <is>
          <t>S2</t>
        </is>
      </c>
      <c r="O602" s="31" t="inlineStr">
        <is>
          <t>1348M79P08</t>
        </is>
      </c>
      <c r="P602" s="31" t="inlineStr">
        <is>
          <t>SR Technics Switzerland</t>
        </is>
      </c>
    </row>
    <row r="603">
      <c r="B603" s="31" t="inlineStr">
        <is>
          <t>CFM56-5B</t>
        </is>
      </c>
      <c r="C603" s="31" t="inlineStr">
        <is>
          <t>2024-2025</t>
        </is>
      </c>
      <c r="D603" s="31" t="inlineStr">
        <is>
          <t>22647</t>
        </is>
      </c>
      <c r="E603" s="31" t="inlineStr">
        <is>
          <t>73-21-18</t>
        </is>
      </c>
      <c r="F603" s="31" t="inlineStr">
        <is>
          <t>SB00</t>
        </is>
      </c>
      <c r="G603" s="31" t="inlineStr">
        <is>
          <t>Fuel system</t>
        </is>
      </c>
      <c r="H603" s="27" t="n">
        <v>480</v>
      </c>
      <c r="I603" s="27" t="n">
        <v>510</v>
      </c>
      <c r="J603" s="154">
        <f>I603/H603-1</f>
        <v/>
      </c>
      <c r="K603" s="31" t="inlineStr">
        <is>
          <t>6</t>
        </is>
      </c>
      <c r="L603" s="31" t="inlineStr">
        <is>
          <t>6, 7</t>
        </is>
      </c>
      <c r="M603" s="31" t="inlineStr">
        <is>
          <t>S1</t>
        </is>
      </c>
      <c r="N603" s="31" t="inlineStr">
        <is>
          <t>S2</t>
        </is>
      </c>
      <c r="O603" s="31" t="inlineStr">
        <is>
          <t>1348M79P08</t>
        </is>
      </c>
      <c r="P603" s="31" t="inlineStr">
        <is>
          <t>SR Technics Switzerland</t>
        </is>
      </c>
    </row>
    <row r="604">
      <c r="B604" s="31" t="inlineStr">
        <is>
          <t>CFM56-5B</t>
        </is>
      </c>
      <c r="C604" s="31" t="inlineStr">
        <is>
          <t>2024-2025</t>
        </is>
      </c>
      <c r="D604" s="31" t="inlineStr">
        <is>
          <t>22647</t>
        </is>
      </c>
      <c r="E604" s="31" t="inlineStr">
        <is>
          <t>73-21-18</t>
        </is>
      </c>
      <c r="F604" s="31" t="inlineStr">
        <is>
          <t>SB01</t>
        </is>
      </c>
      <c r="G604" s="31" t="inlineStr">
        <is>
          <t>Fuel system</t>
        </is>
      </c>
      <c r="H604" s="27" t="n">
        <v>480</v>
      </c>
      <c r="I604" s="27" t="n">
        <v>510</v>
      </c>
      <c r="J604" s="154">
        <f>I604/H604-1</f>
        <v/>
      </c>
      <c r="K604" s="31" t="inlineStr">
        <is>
          <t>6, 7</t>
        </is>
      </c>
      <c r="L604" s="31" t="inlineStr">
        <is>
          <t>7</t>
        </is>
      </c>
      <c r="M604" s="31" t="inlineStr">
        <is>
          <t>S1</t>
        </is>
      </c>
      <c r="N604" s="31" t="inlineStr">
        <is>
          <t>S2</t>
        </is>
      </c>
      <c r="O604" s="31" t="inlineStr">
        <is>
          <t>1348M79P08</t>
        </is>
      </c>
      <c r="P604" s="31" t="inlineStr">
        <is>
          <t>SR Technics Switzerland</t>
        </is>
      </c>
    </row>
    <row r="605">
      <c r="B605" s="31" t="inlineStr">
        <is>
          <t>CFM56-5B</t>
        </is>
      </c>
      <c r="C605" s="31" t="inlineStr">
        <is>
          <t>2024-2025</t>
        </is>
      </c>
      <c r="D605" s="31" t="inlineStr">
        <is>
          <t>22647</t>
        </is>
      </c>
      <c r="E605" s="31" t="inlineStr">
        <is>
          <t>73-21-18</t>
        </is>
      </c>
      <c r="F605" s="31" t="inlineStr">
        <is>
          <t>SB02</t>
        </is>
      </c>
      <c r="G605" s="31" t="inlineStr">
        <is>
          <t>Fuel system</t>
        </is>
      </c>
      <c r="H605" s="27" t="n">
        <v>480</v>
      </c>
      <c r="I605" s="27" t="n">
        <v>510</v>
      </c>
      <c r="J605" s="154">
        <f>I605/H605-1</f>
        <v/>
      </c>
      <c r="K605" s="31" t="inlineStr">
        <is>
          <t>7</t>
        </is>
      </c>
      <c r="L605" s="31" t="inlineStr">
        <is>
          <t>7</t>
        </is>
      </c>
      <c r="M605" s="31" t="inlineStr">
        <is>
          <t>S1</t>
        </is>
      </c>
      <c r="N605" s="31" t="inlineStr">
        <is>
          <t>S2</t>
        </is>
      </c>
      <c r="O605" s="31" t="inlineStr">
        <is>
          <t>1348M79P08</t>
        </is>
      </c>
      <c r="P605" s="31" t="inlineStr">
        <is>
          <t>SR Technics Switzerland</t>
        </is>
      </c>
    </row>
    <row r="606">
      <c r="B606" s="31" t="inlineStr">
        <is>
          <t>CFM56-5B</t>
        </is>
      </c>
      <c r="C606" s="31" t="inlineStr">
        <is>
          <t>2024-2025</t>
        </is>
      </c>
      <c r="D606" s="31" t="inlineStr">
        <is>
          <t>22647</t>
        </is>
      </c>
      <c r="E606" s="31" t="inlineStr">
        <is>
          <t>73-21-18</t>
        </is>
      </c>
      <c r="F606" s="31" t="inlineStr">
        <is>
          <t>SB03</t>
        </is>
      </c>
      <c r="G606" s="31" t="inlineStr">
        <is>
          <t>Fuel system</t>
        </is>
      </c>
      <c r="H606" s="27" t="n">
        <v>480</v>
      </c>
      <c r="I606" s="27" t="n">
        <v>510</v>
      </c>
      <c r="J606" s="154">
        <f>I606/H606-1</f>
        <v/>
      </c>
      <c r="K606" s="31" t="inlineStr">
        <is>
          <t>7</t>
        </is>
      </c>
      <c r="L606" s="31" t="inlineStr">
        <is>
          <t>7</t>
        </is>
      </c>
      <c r="M606" s="31" t="inlineStr">
        <is>
          <t>S1</t>
        </is>
      </c>
      <c r="N606" s="31" t="inlineStr">
        <is>
          <t>S2</t>
        </is>
      </c>
      <c r="O606" s="31" t="inlineStr">
        <is>
          <t>1348M79P08</t>
        </is>
      </c>
      <c r="P606" s="31" t="inlineStr">
        <is>
          <t>SR Technics Switzerland</t>
        </is>
      </c>
    </row>
    <row r="607">
      <c r="B607" s="31" t="inlineStr">
        <is>
          <t>CFM56-5B</t>
        </is>
      </c>
      <c r="C607" s="31" t="inlineStr">
        <is>
          <t>2024-2025</t>
        </is>
      </c>
      <c r="D607" s="31" t="inlineStr">
        <is>
          <t>22647</t>
        </is>
      </c>
      <c r="E607" s="31" t="inlineStr">
        <is>
          <t>73-21-18</t>
        </is>
      </c>
      <c r="F607" s="31" t="inlineStr">
        <is>
          <t>SB04</t>
        </is>
      </c>
      <c r="G607" s="31" t="inlineStr">
        <is>
          <t>Fuel system</t>
        </is>
      </c>
      <c r="H607" s="27" t="n">
        <v>1430</v>
      </c>
      <c r="I607" s="27" t="n">
        <v>1520</v>
      </c>
      <c r="J607" s="154">
        <f>I607/H607-1</f>
        <v/>
      </c>
      <c r="K607" s="31" t="inlineStr">
        <is>
          <t>7</t>
        </is>
      </c>
      <c r="L607" s="31" t="inlineStr">
        <is>
          <t>7</t>
        </is>
      </c>
      <c r="M607" s="31" t="inlineStr">
        <is>
          <t>S1</t>
        </is>
      </c>
      <c r="N607" s="31" t="inlineStr">
        <is>
          <t>S2</t>
        </is>
      </c>
      <c r="O607" s="31" t="inlineStr">
        <is>
          <t>1348M79P08</t>
        </is>
      </c>
      <c r="P607" s="31" t="inlineStr">
        <is>
          <t>SR Technics Switzerland</t>
        </is>
      </c>
    </row>
    <row r="608">
      <c r="B608" s="31" t="inlineStr">
        <is>
          <t>CFM56-5B</t>
        </is>
      </c>
      <c r="C608" s="31" t="inlineStr">
        <is>
          <t>2024-2025</t>
        </is>
      </c>
      <c r="D608" s="31" t="inlineStr">
        <is>
          <t>22647</t>
        </is>
      </c>
      <c r="E608" s="31" t="inlineStr">
        <is>
          <t>73-21-18</t>
        </is>
      </c>
      <c r="F608" s="31" t="inlineStr">
        <is>
          <t>SB05</t>
        </is>
      </c>
      <c r="G608" s="31" t="inlineStr">
        <is>
          <t>Fuel system</t>
        </is>
      </c>
      <c r="H608" s="27" t="n">
        <v>480</v>
      </c>
      <c r="I608" s="27" t="n">
        <v>510</v>
      </c>
      <c r="J608" s="154">
        <f>I608/H608-1</f>
        <v/>
      </c>
      <c r="K608" s="31" t="inlineStr">
        <is>
          <t>7</t>
        </is>
      </c>
      <c r="L608" s="31" t="inlineStr">
        <is>
          <t>7</t>
        </is>
      </c>
      <c r="M608" s="31" t="inlineStr">
        <is>
          <t>S1</t>
        </is>
      </c>
      <c r="N608" s="31" t="inlineStr">
        <is>
          <t>S2</t>
        </is>
      </c>
      <c r="O608" s="31" t="inlineStr">
        <is>
          <t>1348M79P08</t>
        </is>
      </c>
      <c r="P608" s="31" t="inlineStr">
        <is>
          <t>SR Technics Switzerland</t>
        </is>
      </c>
    </row>
    <row r="609">
      <c r="B609" s="31" t="inlineStr">
        <is>
          <t>CFM56-5B</t>
        </is>
      </c>
      <c r="C609" s="31" t="inlineStr">
        <is>
          <t>2024-2025</t>
        </is>
      </c>
      <c r="D609" s="31" t="inlineStr">
        <is>
          <t>22647</t>
        </is>
      </c>
      <c r="E609" s="31" t="inlineStr">
        <is>
          <t>73-21-18</t>
        </is>
      </c>
      <c r="F609" s="31" t="inlineStr">
        <is>
          <t>SB06</t>
        </is>
      </c>
      <c r="G609" s="31" t="inlineStr">
        <is>
          <t>Fuel system</t>
        </is>
      </c>
      <c r="H609" s="27" t="n">
        <v>480</v>
      </c>
      <c r="I609" s="27" t="n">
        <v>510</v>
      </c>
      <c r="J609" s="154">
        <f>I609/H609-1</f>
        <v/>
      </c>
      <c r="K609" s="31" t="inlineStr">
        <is>
          <t>7</t>
        </is>
      </c>
      <c r="L609" s="31" t="inlineStr">
        <is>
          <t>7</t>
        </is>
      </c>
      <c r="M609" s="31" t="inlineStr">
        <is>
          <t>S1</t>
        </is>
      </c>
      <c r="N609" s="31" t="inlineStr">
        <is>
          <t>S2</t>
        </is>
      </c>
      <c r="O609" s="31" t="inlineStr">
        <is>
          <t>1348M79P08</t>
        </is>
      </c>
      <c r="P609" s="31" t="inlineStr">
        <is>
          <t>SR Technics Switzerland</t>
        </is>
      </c>
    </row>
    <row r="610">
      <c r="B610" s="31" t="inlineStr">
        <is>
          <t>CFM56-5B</t>
        </is>
      </c>
      <c r="C610" s="31" t="inlineStr">
        <is>
          <t>2024-2025</t>
        </is>
      </c>
      <c r="D610" s="31" t="inlineStr">
        <is>
          <t>23002</t>
        </is>
      </c>
      <c r="E610" s="31" t="inlineStr">
        <is>
          <t>72-54-20</t>
        </is>
      </c>
      <c r="F610" s="31" t="inlineStr">
        <is>
          <t>A</t>
        </is>
      </c>
      <c r="G610" s="31" t="inlineStr">
        <is>
          <t>LPT</t>
        </is>
      </c>
      <c r="H610" s="27" t="n">
        <v>300</v>
      </c>
      <c r="I610" s="27" t="n">
        <v>320</v>
      </c>
      <c r="J610" s="154">
        <f>I610/H610-1</f>
        <v/>
      </c>
      <c r="K610" s="31" t="inlineStr">
        <is>
          <t>40</t>
        </is>
      </c>
      <c r="L610" s="31" t="inlineStr">
        <is>
          <t>40</t>
        </is>
      </c>
      <c r="M610" s="31" t="inlineStr">
        <is>
          <t>S1</t>
        </is>
      </c>
      <c r="N610" s="31" t="inlineStr">
        <is>
          <t>S2</t>
        </is>
      </c>
      <c r="O610" s="31" t="inlineStr">
        <is>
          <t>301-581-006-0</t>
        </is>
      </c>
      <c r="P610" s="31" t="inlineStr">
        <is>
          <t>SR Technics Switzerland</t>
        </is>
      </c>
    </row>
    <row r="611">
      <c r="B611" s="31" t="inlineStr">
        <is>
          <t>CFM56-5B</t>
        </is>
      </c>
      <c r="C611" s="31" t="inlineStr">
        <is>
          <t>2024-2025</t>
        </is>
      </c>
      <c r="D611" s="31" t="inlineStr">
        <is>
          <t>23180</t>
        </is>
      </c>
      <c r="E611" s="31" t="inlineStr">
        <is>
          <t>72-53-02</t>
        </is>
      </c>
      <c r="F611" s="31" t="inlineStr">
        <is>
          <t>A</t>
        </is>
      </c>
      <c r="G611" s="31" t="inlineStr">
        <is>
          <t>HPT / nozzle</t>
        </is>
      </c>
      <c r="H611" s="27" t="n">
        <v>220</v>
      </c>
      <c r="I611" s="27" t="n">
        <v>235</v>
      </c>
      <c r="J611" s="154">
        <f>I611/H611-1</f>
        <v/>
      </c>
      <c r="K611" s="31" t="inlineStr">
        <is>
          <t>41</t>
        </is>
      </c>
      <c r="L611" s="31" t="inlineStr">
        <is>
          <t>41</t>
        </is>
      </c>
      <c r="M611" s="31" t="inlineStr">
        <is>
          <t>S1</t>
        </is>
      </c>
      <c r="N611" s="31" t="inlineStr">
        <is>
          <t>S2</t>
        </is>
      </c>
      <c r="O611" s="31" t="inlineStr">
        <is>
          <t>1387M47G01</t>
        </is>
      </c>
      <c r="P611" s="31" t="inlineStr">
        <is>
          <t>SR Technics Switzerland</t>
        </is>
      </c>
    </row>
    <row r="612">
      <c r="B612" s="31" t="inlineStr">
        <is>
          <t>CFM56-5B</t>
        </is>
      </c>
      <c r="C612" s="31" t="inlineStr">
        <is>
          <t>2024-2025</t>
        </is>
      </c>
      <c r="D612" s="31" t="inlineStr">
        <is>
          <t>24630</t>
        </is>
      </c>
      <c r="E612" s="31" t="inlineStr">
        <is>
          <t>72-53-09</t>
        </is>
      </c>
      <c r="F612" s="31" t="inlineStr">
        <is>
          <t>A</t>
        </is>
      </c>
      <c r="G612" s="31" t="inlineStr">
        <is>
          <t>HPT / nozzle</t>
        </is>
      </c>
      <c r="H612" s="27" t="n">
        <v>190</v>
      </c>
      <c r="I612" s="27" t="n">
        <v>205</v>
      </c>
      <c r="J612" s="154">
        <f>I612/H612-1</f>
        <v/>
      </c>
      <c r="K612" s="31" t="inlineStr">
        <is>
          <t>7</t>
        </is>
      </c>
      <c r="L612" s="31" t="inlineStr">
        <is>
          <t>7</t>
        </is>
      </c>
      <c r="M612" s="31" t="inlineStr">
        <is>
          <t>S1</t>
        </is>
      </c>
      <c r="N612" s="31" t="inlineStr">
        <is>
          <t>S2</t>
        </is>
      </c>
      <c r="O612" s="31" t="inlineStr">
        <is>
          <t>336-026-101-0</t>
        </is>
      </c>
      <c r="P612" s="31" t="inlineStr">
        <is>
          <t>SR Technics Switzerland</t>
        </is>
      </c>
    </row>
    <row r="613">
      <c r="B613" s="31" t="inlineStr">
        <is>
          <t>CFM56-5B</t>
        </is>
      </c>
      <c r="C613" s="31" t="inlineStr">
        <is>
          <t>2024-2025</t>
        </is>
      </c>
      <c r="D613" s="31" t="inlineStr">
        <is>
          <t>24630</t>
        </is>
      </c>
      <c r="E613" s="31" t="inlineStr">
        <is>
          <t>72-53-09</t>
        </is>
      </c>
      <c r="F613" s="31" t="inlineStr">
        <is>
          <t>B</t>
        </is>
      </c>
      <c r="G613" s="31" t="inlineStr">
        <is>
          <t>HPT / nozzle</t>
        </is>
      </c>
      <c r="H613" s="27" t="n">
        <v>415</v>
      </c>
      <c r="I613" s="27" t="n">
        <v>440</v>
      </c>
      <c r="J613" s="154">
        <f>I613/H613-1</f>
        <v/>
      </c>
      <c r="K613" s="31" t="inlineStr">
        <is>
          <t>7</t>
        </is>
      </c>
      <c r="L613" s="31" t="inlineStr">
        <is>
          <t>7</t>
        </is>
      </c>
      <c r="M613" s="31" t="inlineStr">
        <is>
          <t>S1</t>
        </is>
      </c>
      <c r="N613" s="31" t="inlineStr">
        <is>
          <t>S2</t>
        </is>
      </c>
      <c r="O613" s="31" t="inlineStr">
        <is>
          <t>336-026-101-0</t>
        </is>
      </c>
      <c r="P613" s="31" t="inlineStr">
        <is>
          <t>SR Technics Switzerland</t>
        </is>
      </c>
    </row>
    <row r="614">
      <c r="B614" s="31" t="inlineStr">
        <is>
          <t>CFM56-5B</t>
        </is>
      </c>
      <c r="C614" s="31" t="inlineStr">
        <is>
          <t>2024-2025</t>
        </is>
      </c>
      <c r="D614" s="31" t="inlineStr">
        <is>
          <t>251</t>
        </is>
      </c>
      <c r="E614" s="31" t="inlineStr">
        <is>
          <t>72-55-04</t>
        </is>
      </c>
      <c r="F614" s="31" t="inlineStr">
        <is>
          <t>A</t>
        </is>
      </c>
      <c r="G614" s="31" t="inlineStr">
        <is>
          <t>LPT</t>
        </is>
      </c>
      <c r="H614" s="27" t="n">
        <v>720</v>
      </c>
      <c r="I614" s="27" t="n">
        <v>765</v>
      </c>
      <c r="J614" s="154">
        <f>I614/H614-1</f>
        <v/>
      </c>
      <c r="K614" s="31" t="inlineStr">
        <is>
          <t>2</t>
        </is>
      </c>
      <c r="L614" s="31" t="inlineStr">
        <is>
          <t>2</t>
        </is>
      </c>
      <c r="M614" s="31" t="inlineStr">
        <is>
          <t>S1</t>
        </is>
      </c>
      <c r="N614" s="31" t="inlineStr">
        <is>
          <t>S2</t>
        </is>
      </c>
      <c r="O614" s="31" t="inlineStr">
        <is>
          <t>336-095-401-0</t>
        </is>
      </c>
      <c r="P614" s="31" t="inlineStr">
        <is>
          <t>SR Technics Switzerland</t>
        </is>
      </c>
    </row>
    <row r="615">
      <c r="B615" s="31" t="inlineStr">
        <is>
          <t>CFM56-5B</t>
        </is>
      </c>
      <c r="C615" s="31" t="inlineStr">
        <is>
          <t>2024-2025</t>
        </is>
      </c>
      <c r="D615" s="31" t="inlineStr">
        <is>
          <t>251</t>
        </is>
      </c>
      <c r="E615" s="31" t="inlineStr">
        <is>
          <t>72-55-04</t>
        </is>
      </c>
      <c r="F615" s="31" t="inlineStr">
        <is>
          <t>B</t>
        </is>
      </c>
      <c r="G615" s="31" t="inlineStr">
        <is>
          <t>LPT</t>
        </is>
      </c>
      <c r="H615" s="27" t="n">
        <v>2765</v>
      </c>
      <c r="I615" s="27" t="n">
        <v>2935</v>
      </c>
      <c r="J615" s="154">
        <f>I615/H615-1</f>
        <v/>
      </c>
      <c r="K615" s="31" t="inlineStr">
        <is>
          <t>2</t>
        </is>
      </c>
      <c r="L615" s="31" t="inlineStr">
        <is>
          <t>2</t>
        </is>
      </c>
      <c r="M615" s="31" t="inlineStr">
        <is>
          <t>S1</t>
        </is>
      </c>
      <c r="N615" s="31" t="inlineStr">
        <is>
          <t>S2</t>
        </is>
      </c>
      <c r="O615" s="31" t="inlineStr">
        <is>
          <t>336-095-401-0</t>
        </is>
      </c>
      <c r="P615" s="31" t="inlineStr">
        <is>
          <t>SR Technics Switzerland</t>
        </is>
      </c>
    </row>
    <row r="616">
      <c r="B616" s="31" t="inlineStr">
        <is>
          <t>CFM56-5B</t>
        </is>
      </c>
      <c r="C616" s="31" t="inlineStr">
        <is>
          <t>2024-2025</t>
        </is>
      </c>
      <c r="D616" s="31" t="inlineStr">
        <is>
          <t>251</t>
        </is>
      </c>
      <c r="E616" s="31" t="inlineStr">
        <is>
          <t>72-55-04</t>
        </is>
      </c>
      <c r="F616" s="31" t="inlineStr">
        <is>
          <t>E</t>
        </is>
      </c>
      <c r="G616" s="31" t="inlineStr">
        <is>
          <t>LPT</t>
        </is>
      </c>
      <c r="H616" s="27" t="n">
        <v>1680</v>
      </c>
      <c r="I616" s="27" t="n">
        <v>1785</v>
      </c>
      <c r="J616" s="154">
        <f>I616/H616-1</f>
        <v/>
      </c>
      <c r="K616" s="31" t="inlineStr">
        <is>
          <t>2</t>
        </is>
      </c>
      <c r="L616" s="31" t="inlineStr">
        <is>
          <t>2</t>
        </is>
      </c>
      <c r="M616" s="31" t="inlineStr">
        <is>
          <t>S1</t>
        </is>
      </c>
      <c r="N616" s="31" t="inlineStr">
        <is>
          <t>S2</t>
        </is>
      </c>
      <c r="O616" s="31" t="inlineStr">
        <is>
          <t>336-095-401-0</t>
        </is>
      </c>
      <c r="P616" s="31" t="inlineStr">
        <is>
          <t>SR Technics Switzerland</t>
        </is>
      </c>
    </row>
    <row r="617">
      <c r="B617" s="31" t="inlineStr">
        <is>
          <t>CFM56-5B</t>
        </is>
      </c>
      <c r="C617" s="31" t="inlineStr">
        <is>
          <t>2024-2025</t>
        </is>
      </c>
      <c r="D617" s="31" t="inlineStr">
        <is>
          <t>251</t>
        </is>
      </c>
      <c r="E617" s="31" t="inlineStr">
        <is>
          <t>72-55-04</t>
        </is>
      </c>
      <c r="F617" s="31" t="inlineStr">
        <is>
          <t>U</t>
        </is>
      </c>
      <c r="G617" s="31" t="inlineStr">
        <is>
          <t>LPT</t>
        </is>
      </c>
      <c r="H617" s="27" t="n">
        <v>430</v>
      </c>
      <c r="I617" s="27" t="n">
        <v>460</v>
      </c>
      <c r="J617" s="154">
        <f>I617/H617-1</f>
        <v/>
      </c>
      <c r="K617" s="31" t="inlineStr">
        <is>
          <t>2</t>
        </is>
      </c>
      <c r="L617" s="31" t="inlineStr">
        <is>
          <t>2</t>
        </is>
      </c>
      <c r="M617" s="31" t="inlineStr">
        <is>
          <t>S1</t>
        </is>
      </c>
      <c r="N617" s="31" t="inlineStr">
        <is>
          <t>S2</t>
        </is>
      </c>
      <c r="O617" s="31" t="inlineStr">
        <is>
          <t>336-095-401-0</t>
        </is>
      </c>
      <c r="P617" s="31" t="inlineStr">
        <is>
          <t>SR Technics Switzerland</t>
        </is>
      </c>
    </row>
    <row r="618">
      <c r="B618" s="31" t="inlineStr">
        <is>
          <t>CFM56-5B</t>
        </is>
      </c>
      <c r="C618" s="31" t="inlineStr">
        <is>
          <t>2024-2025</t>
        </is>
      </c>
      <c r="D618" s="31" t="inlineStr">
        <is>
          <t>2591</t>
        </is>
      </c>
      <c r="E618" s="31" t="inlineStr">
        <is>
          <t>72-33-01</t>
        </is>
      </c>
      <c r="F618" s="31" t="inlineStr">
        <is>
          <t>A</t>
        </is>
      </c>
      <c r="G618" s="31" t="inlineStr">
        <is>
          <t>Compressor</t>
        </is>
      </c>
      <c r="H618" s="27" t="n">
        <v>1630</v>
      </c>
      <c r="I618" s="27" t="n">
        <v>1730</v>
      </c>
      <c r="J618" s="154">
        <f>I618/H618-1</f>
        <v/>
      </c>
      <c r="K618" s="31" t="inlineStr">
        <is>
          <t>2</t>
        </is>
      </c>
      <c r="L618" s="31" t="inlineStr">
        <is>
          <t>2</t>
        </is>
      </c>
      <c r="M618" s="31" t="inlineStr">
        <is>
          <t>S1</t>
        </is>
      </c>
      <c r="N618" s="31" t="inlineStr">
        <is>
          <t>S2</t>
        </is>
      </c>
      <c r="O618" s="31" t="inlineStr">
        <is>
          <t>1559M40G02</t>
        </is>
      </c>
      <c r="P618" s="31" t="inlineStr">
        <is>
          <t>SR Technics Switzerland</t>
        </is>
      </c>
    </row>
    <row r="619">
      <c r="B619" s="31" t="inlineStr">
        <is>
          <t>CFM56-5B</t>
        </is>
      </c>
      <c r="C619" s="31" t="inlineStr">
        <is>
          <t>2024-2025</t>
        </is>
      </c>
      <c r="D619" s="31" t="inlineStr">
        <is>
          <t>2591</t>
        </is>
      </c>
      <c r="E619" s="31" t="inlineStr">
        <is>
          <t>72-33-01</t>
        </is>
      </c>
      <c r="F619" s="31" t="inlineStr">
        <is>
          <t>B</t>
        </is>
      </c>
      <c r="G619" s="31" t="inlineStr">
        <is>
          <t>Compressor</t>
        </is>
      </c>
      <c r="H619" s="27" t="n">
        <v>1270</v>
      </c>
      <c r="I619" s="27" t="n">
        <v>1350</v>
      </c>
      <c r="J619" s="154">
        <f>I619/H619-1</f>
        <v/>
      </c>
      <c r="K619" s="31" t="inlineStr">
        <is>
          <t>2</t>
        </is>
      </c>
      <c r="L619" s="31" t="inlineStr">
        <is>
          <t>2</t>
        </is>
      </c>
      <c r="M619" s="31" t="inlineStr">
        <is>
          <t>S1</t>
        </is>
      </c>
      <c r="N619" s="31" t="inlineStr">
        <is>
          <t>S2</t>
        </is>
      </c>
      <c r="O619" s="31" t="inlineStr">
        <is>
          <t>1559M40G02</t>
        </is>
      </c>
      <c r="P619" s="31" t="inlineStr">
        <is>
          <t>SR Technics Switzerland</t>
        </is>
      </c>
    </row>
    <row r="620">
      <c r="B620" s="31" t="inlineStr">
        <is>
          <t>CFM56-5B</t>
        </is>
      </c>
      <c r="C620" s="31" t="inlineStr">
        <is>
          <t>2024-2025</t>
        </is>
      </c>
      <c r="D620" s="31" t="inlineStr">
        <is>
          <t>2591</t>
        </is>
      </c>
      <c r="E620" s="31" t="inlineStr">
        <is>
          <t>72-33-01</t>
        </is>
      </c>
      <c r="F620" s="31" t="inlineStr">
        <is>
          <t>C</t>
        </is>
      </c>
      <c r="G620" s="31" t="inlineStr">
        <is>
          <t>Compressor</t>
        </is>
      </c>
      <c r="H620" s="27" t="n">
        <v>835</v>
      </c>
      <c r="I620" s="27" t="n">
        <v>890</v>
      </c>
      <c r="J620" s="154">
        <f>I620/H620-1</f>
        <v/>
      </c>
      <c r="K620" s="31" t="inlineStr">
        <is>
          <t>2</t>
        </is>
      </c>
      <c r="L620" s="31" t="inlineStr">
        <is>
          <t>2</t>
        </is>
      </c>
      <c r="M620" s="31" t="inlineStr">
        <is>
          <t>S1</t>
        </is>
      </c>
      <c r="N620" s="31" t="inlineStr">
        <is>
          <t>S2</t>
        </is>
      </c>
      <c r="O620" s="31" t="inlineStr">
        <is>
          <t>1559M40G02</t>
        </is>
      </c>
      <c r="P620" s="31" t="inlineStr">
        <is>
          <t>SR Technics Switzerland</t>
        </is>
      </c>
    </row>
    <row r="621">
      <c r="B621" s="31" t="inlineStr">
        <is>
          <t>CFM56-5B</t>
        </is>
      </c>
      <c r="C621" s="31" t="inlineStr">
        <is>
          <t>2024-2025</t>
        </is>
      </c>
      <c r="D621" s="31" t="inlineStr">
        <is>
          <t>2591</t>
        </is>
      </c>
      <c r="E621" s="31" t="inlineStr">
        <is>
          <t>72-33-01</t>
        </is>
      </c>
      <c r="F621" s="31" t="inlineStr">
        <is>
          <t>F</t>
        </is>
      </c>
      <c r="G621" s="31" t="inlineStr">
        <is>
          <t>Compressor</t>
        </is>
      </c>
      <c r="H621" s="27" t="n">
        <v>6780</v>
      </c>
      <c r="I621" s="27" t="n">
        <v>7190</v>
      </c>
      <c r="J621" s="154">
        <f>I621/H621-1</f>
        <v/>
      </c>
      <c r="K621" s="31" t="inlineStr">
        <is>
          <t>2</t>
        </is>
      </c>
      <c r="L621" s="31" t="inlineStr">
        <is>
          <t>2</t>
        </is>
      </c>
      <c r="M621" s="31" t="inlineStr">
        <is>
          <t>S1</t>
        </is>
      </c>
      <c r="N621" s="31" t="inlineStr">
        <is>
          <t>S2</t>
        </is>
      </c>
      <c r="O621" s="31" t="inlineStr">
        <is>
          <t>1559M40G02</t>
        </is>
      </c>
      <c r="P621" s="31" t="inlineStr">
        <is>
          <t>SR Technics Switzerland</t>
        </is>
      </c>
    </row>
    <row r="622">
      <c r="B622" s="31" t="inlineStr">
        <is>
          <t>CFM56-5B</t>
        </is>
      </c>
      <c r="C622" s="31" t="inlineStr">
        <is>
          <t>2024-2025</t>
        </is>
      </c>
      <c r="D622" s="31" t="inlineStr">
        <is>
          <t>2591</t>
        </is>
      </c>
      <c r="E622" s="31" t="inlineStr">
        <is>
          <t>72-33-01</t>
        </is>
      </c>
      <c r="F622" s="31" t="inlineStr">
        <is>
          <t>G</t>
        </is>
      </c>
      <c r="G622" s="31" t="inlineStr">
        <is>
          <t>Compressor</t>
        </is>
      </c>
      <c r="H622" s="27" t="n">
        <v>5895</v>
      </c>
      <c r="I622" s="27" t="n">
        <v>6250</v>
      </c>
      <c r="J622" s="154">
        <f>I622/H622-1</f>
        <v/>
      </c>
      <c r="K622" s="31" t="inlineStr">
        <is>
          <t>2</t>
        </is>
      </c>
      <c r="L622" s="31" t="inlineStr">
        <is>
          <t>2</t>
        </is>
      </c>
      <c r="M622" s="31" t="inlineStr">
        <is>
          <t>S1</t>
        </is>
      </c>
      <c r="N622" s="31" t="inlineStr">
        <is>
          <t>S2</t>
        </is>
      </c>
      <c r="O622" s="31" t="inlineStr">
        <is>
          <t>1559M40G02</t>
        </is>
      </c>
      <c r="P622" s="31" t="inlineStr">
        <is>
          <t>SR Technics Switzerland</t>
        </is>
      </c>
    </row>
    <row r="623">
      <c r="B623" s="31" t="inlineStr">
        <is>
          <t>CFM56-5B</t>
        </is>
      </c>
      <c r="C623" s="31" t="inlineStr">
        <is>
          <t>2024-2025</t>
        </is>
      </c>
      <c r="D623" s="31" t="inlineStr">
        <is>
          <t>2591</t>
        </is>
      </c>
      <c r="E623" s="31" t="inlineStr">
        <is>
          <t>72-33-01</t>
        </is>
      </c>
      <c r="F623" s="31" t="inlineStr">
        <is>
          <t>SB00</t>
        </is>
      </c>
      <c r="G623" s="31" t="inlineStr">
        <is>
          <t>Compressor</t>
        </is>
      </c>
      <c r="H623" s="27" t="n">
        <v>340</v>
      </c>
      <c r="I623" s="27" t="n">
        <v>365</v>
      </c>
      <c r="J623" s="154">
        <f>I623/H623-1</f>
        <v/>
      </c>
      <c r="K623" s="31" t="inlineStr">
        <is>
          <t>2</t>
        </is>
      </c>
      <c r="L623" s="31" t="inlineStr">
        <is>
          <t>2</t>
        </is>
      </c>
      <c r="M623" s="31" t="inlineStr">
        <is>
          <t>S1</t>
        </is>
      </c>
      <c r="N623" s="31" t="inlineStr">
        <is>
          <t>S2</t>
        </is>
      </c>
      <c r="O623" s="31" t="inlineStr">
        <is>
          <t>1559M40G02</t>
        </is>
      </c>
      <c r="P623" s="31" t="inlineStr">
        <is>
          <t>SR Technics Switzerland</t>
        </is>
      </c>
    </row>
    <row r="624">
      <c r="B624" s="31" t="inlineStr">
        <is>
          <t>CFM56-5B</t>
        </is>
      </c>
      <c r="C624" s="31" t="inlineStr">
        <is>
          <t>2024-2025</t>
        </is>
      </c>
      <c r="D624" s="31" t="inlineStr">
        <is>
          <t>2716</t>
        </is>
      </c>
      <c r="E624" s="31" t="inlineStr">
        <is>
          <t>26-10-00</t>
        </is>
      </c>
      <c r="F624" s="31" t="inlineStr">
        <is>
          <t>B</t>
        </is>
      </c>
      <c r="G624" s="31" t="inlineStr">
        <is>
          <t>Other / assembly</t>
        </is>
      </c>
      <c r="H624" s="27" t="n">
        <v>1170</v>
      </c>
      <c r="I624" s="27" t="n">
        <v>1245</v>
      </c>
      <c r="J624" s="154">
        <f>I624/H624-1</f>
        <v/>
      </c>
      <c r="K624" s="31" t="inlineStr">
        <is>
          <t>31</t>
        </is>
      </c>
      <c r="L624" s="31" t="inlineStr">
        <is>
          <t>31</t>
        </is>
      </c>
      <c r="M624" s="31" t="inlineStr">
        <is>
          <t>S1</t>
        </is>
      </c>
      <c r="N624" s="31" t="inlineStr">
        <is>
          <t>S2</t>
        </is>
      </c>
      <c r="O624" s="31" t="inlineStr">
        <is>
          <t>238-0851-509</t>
        </is>
      </c>
      <c r="P624" s="31" t="inlineStr">
        <is>
          <t>SR Technics Switzerland</t>
        </is>
      </c>
    </row>
    <row r="625">
      <c r="B625" s="31" t="inlineStr">
        <is>
          <t>CFM56-5B</t>
        </is>
      </c>
      <c r="C625" s="31" t="inlineStr">
        <is>
          <t>2024-2025</t>
        </is>
      </c>
      <c r="D625" s="31" t="inlineStr">
        <is>
          <t>2741</t>
        </is>
      </c>
      <c r="E625" s="31" t="inlineStr">
        <is>
          <t>72-21-03</t>
        </is>
      </c>
      <c r="F625" s="31" t="inlineStr">
        <is>
          <t>B</t>
        </is>
      </c>
      <c r="G625" s="31" t="inlineStr">
        <is>
          <t>Fan / booster</t>
        </is>
      </c>
      <c r="H625" s="27" t="n">
        <v>700</v>
      </c>
      <c r="I625" s="27" t="n">
        <v>745</v>
      </c>
      <c r="J625" s="154">
        <f>I625/H625-1</f>
        <v/>
      </c>
      <c r="K625" s="31" t="inlineStr">
        <is>
          <t>2</t>
        </is>
      </c>
      <c r="L625" s="31" t="inlineStr">
        <is>
          <t>2</t>
        </is>
      </c>
      <c r="M625" s="31" t="inlineStr">
        <is>
          <t>S1</t>
        </is>
      </c>
      <c r="N625" s="31" t="inlineStr">
        <is>
          <t>S2</t>
        </is>
      </c>
      <c r="O625" s="31" t="inlineStr">
        <is>
          <t>338-001-503-0</t>
        </is>
      </c>
      <c r="P625" s="31" t="inlineStr">
        <is>
          <t>SR Technics Switzerland</t>
        </is>
      </c>
    </row>
    <row r="626">
      <c r="B626" s="31" t="inlineStr">
        <is>
          <t>CFM56-5B</t>
        </is>
      </c>
      <c r="C626" s="31" t="inlineStr">
        <is>
          <t>2024-2025</t>
        </is>
      </c>
      <c r="D626" s="31" t="inlineStr">
        <is>
          <t>2741</t>
        </is>
      </c>
      <c r="E626" s="31" t="inlineStr">
        <is>
          <t>72-21-03</t>
        </is>
      </c>
      <c r="F626" s="31" t="inlineStr">
        <is>
          <t>C</t>
        </is>
      </c>
      <c r="G626" s="31" t="inlineStr">
        <is>
          <t>Fan / booster</t>
        </is>
      </c>
      <c r="H626" s="27" t="n">
        <v>1780</v>
      </c>
      <c r="I626" s="27" t="n">
        <v>1890</v>
      </c>
      <c r="J626" s="154">
        <f>I626/H626-1</f>
        <v/>
      </c>
      <c r="K626" s="31" t="inlineStr">
        <is>
          <t>2</t>
        </is>
      </c>
      <c r="L626" s="31" t="inlineStr">
        <is>
          <t>2</t>
        </is>
      </c>
      <c r="M626" s="31" t="inlineStr">
        <is>
          <t>S1</t>
        </is>
      </c>
      <c r="N626" s="31" t="inlineStr">
        <is>
          <t>S2</t>
        </is>
      </c>
      <c r="O626" s="31" t="inlineStr">
        <is>
          <t>338-001-503-0</t>
        </is>
      </c>
      <c r="P626" s="31" t="inlineStr">
        <is>
          <t>SR Technics Switzerland</t>
        </is>
      </c>
    </row>
    <row r="627">
      <c r="B627" s="31" t="inlineStr">
        <is>
          <t>CFM56-5B</t>
        </is>
      </c>
      <c r="C627" s="31" t="inlineStr">
        <is>
          <t>2024-2025</t>
        </is>
      </c>
      <c r="D627" s="31" t="inlineStr">
        <is>
          <t>2741</t>
        </is>
      </c>
      <c r="E627" s="31" t="inlineStr">
        <is>
          <t>72-21-03</t>
        </is>
      </c>
      <c r="F627" s="31" t="inlineStr">
        <is>
          <t>G</t>
        </is>
      </c>
      <c r="G627" s="31" t="inlineStr">
        <is>
          <t>Fan / booster</t>
        </is>
      </c>
      <c r="H627" s="27" t="n">
        <v>1400</v>
      </c>
      <c r="I627" s="27" t="n">
        <v>1485</v>
      </c>
      <c r="J627" s="154">
        <f>I627/H627-1</f>
        <v/>
      </c>
      <c r="K627" s="31" t="inlineStr">
        <is>
          <t>2</t>
        </is>
      </c>
      <c r="L627" s="31" t="inlineStr">
        <is>
          <t>2</t>
        </is>
      </c>
      <c r="M627" s="31" t="inlineStr">
        <is>
          <t>S1</t>
        </is>
      </c>
      <c r="N627" s="31" t="inlineStr">
        <is>
          <t>S2</t>
        </is>
      </c>
      <c r="O627" s="31" t="inlineStr">
        <is>
          <t>338-001-503-0</t>
        </is>
      </c>
      <c r="P627" s="31" t="inlineStr">
        <is>
          <t>SR Technics Switzerland</t>
        </is>
      </c>
    </row>
    <row r="628">
      <c r="B628" s="31" t="inlineStr">
        <is>
          <t>CFM56-5B</t>
        </is>
      </c>
      <c r="C628" s="31" t="inlineStr">
        <is>
          <t>2024-2025</t>
        </is>
      </c>
      <c r="D628" s="31" t="inlineStr">
        <is>
          <t>2741</t>
        </is>
      </c>
      <c r="E628" s="31" t="inlineStr">
        <is>
          <t>72-21-03</t>
        </is>
      </c>
      <c r="F628" s="31" t="inlineStr">
        <is>
          <t>M</t>
        </is>
      </c>
      <c r="G628" s="31" t="inlineStr">
        <is>
          <t>Fan / booster</t>
        </is>
      </c>
      <c r="H628" s="27" t="n">
        <v>2300</v>
      </c>
      <c r="I628" s="27" t="n">
        <v>2440</v>
      </c>
      <c r="J628" s="154">
        <f>I628/H628-1</f>
        <v/>
      </c>
      <c r="K628" s="31" t="inlineStr">
        <is>
          <t>2</t>
        </is>
      </c>
      <c r="L628" s="31" t="inlineStr">
        <is>
          <t>2</t>
        </is>
      </c>
      <c r="M628" s="31" t="inlineStr">
        <is>
          <t>S1</t>
        </is>
      </c>
      <c r="N628" s="31" t="inlineStr">
        <is>
          <t>S2</t>
        </is>
      </c>
      <c r="O628" s="31" t="inlineStr">
        <is>
          <t>338-001-503-0</t>
        </is>
      </c>
      <c r="P628" s="31" t="inlineStr">
        <is>
          <t>SR Technics Switzerland</t>
        </is>
      </c>
    </row>
    <row r="629">
      <c r="B629" s="31" t="inlineStr">
        <is>
          <t>CFM56-5B</t>
        </is>
      </c>
      <c r="C629" s="31" t="inlineStr">
        <is>
          <t>2024-2025</t>
        </is>
      </c>
      <c r="D629" s="31" t="inlineStr">
        <is>
          <t>2741</t>
        </is>
      </c>
      <c r="E629" s="31" t="inlineStr">
        <is>
          <t>72-21-03</t>
        </is>
      </c>
      <c r="F629" s="31" t="inlineStr">
        <is>
          <t>N</t>
        </is>
      </c>
      <c r="G629" s="31" t="inlineStr">
        <is>
          <t>Fan / booster</t>
        </is>
      </c>
      <c r="H629" s="27" t="n">
        <v>3300</v>
      </c>
      <c r="I629" s="27" t="n">
        <v>3500</v>
      </c>
      <c r="J629" s="154">
        <f>I629/H629-1</f>
        <v/>
      </c>
      <c r="K629" s="31" t="inlineStr">
        <is>
          <t>2</t>
        </is>
      </c>
      <c r="L629" s="31" t="inlineStr">
        <is>
          <t>2</t>
        </is>
      </c>
      <c r="M629" s="31" t="inlineStr">
        <is>
          <t>S1</t>
        </is>
      </c>
      <c r="N629" s="31" t="inlineStr">
        <is>
          <t>S2</t>
        </is>
      </c>
      <c r="O629" s="31" t="inlineStr">
        <is>
          <t>338-001-503-0</t>
        </is>
      </c>
      <c r="P629" s="31" t="inlineStr">
        <is>
          <t>SR Technics Switzerland</t>
        </is>
      </c>
    </row>
    <row r="630">
      <c r="B630" s="31" t="inlineStr">
        <is>
          <t>CFM56-5B</t>
        </is>
      </c>
      <c r="C630" s="31" t="inlineStr">
        <is>
          <t>2024-2025</t>
        </is>
      </c>
      <c r="D630" s="31" t="inlineStr">
        <is>
          <t>2741</t>
        </is>
      </c>
      <c r="E630" s="31" t="inlineStr">
        <is>
          <t>72-21-03</t>
        </is>
      </c>
      <c r="F630" s="31" t="inlineStr">
        <is>
          <t>Q</t>
        </is>
      </c>
      <c r="G630" s="31" t="inlineStr">
        <is>
          <t>Fan / booster</t>
        </is>
      </c>
      <c r="H630" s="27" t="n">
        <v>1100</v>
      </c>
      <c r="I630" s="27" t="n">
        <v>1170</v>
      </c>
      <c r="J630" s="154">
        <f>I630/H630-1</f>
        <v/>
      </c>
      <c r="K630" s="31" t="inlineStr">
        <is>
          <t>2</t>
        </is>
      </c>
      <c r="L630" s="31" t="inlineStr">
        <is>
          <t>2</t>
        </is>
      </c>
      <c r="M630" s="31" t="inlineStr">
        <is>
          <t>S1</t>
        </is>
      </c>
      <c r="N630" s="31" t="inlineStr">
        <is>
          <t>S2</t>
        </is>
      </c>
      <c r="O630" s="31" t="inlineStr">
        <is>
          <t>338-001-503-0</t>
        </is>
      </c>
      <c r="P630" s="31" t="inlineStr">
        <is>
          <t>SR Technics Switzerland</t>
        </is>
      </c>
    </row>
    <row r="631">
      <c r="B631" s="31" t="inlineStr">
        <is>
          <t>CFM56-5B</t>
        </is>
      </c>
      <c r="C631" s="31" t="inlineStr">
        <is>
          <t>2024-2025</t>
        </is>
      </c>
      <c r="D631" s="31" t="inlineStr">
        <is>
          <t>2741</t>
        </is>
      </c>
      <c r="E631" s="31" t="inlineStr">
        <is>
          <t>72-21-03</t>
        </is>
      </c>
      <c r="F631" s="31" t="inlineStr">
        <is>
          <t>SB00</t>
        </is>
      </c>
      <c r="G631" s="31" t="inlineStr">
        <is>
          <t>Fan / booster</t>
        </is>
      </c>
      <c r="H631" s="27" t="n">
        <v>3520</v>
      </c>
      <c r="I631" s="27" t="n">
        <v>3735</v>
      </c>
      <c r="J631" s="154">
        <f>I631/H631-1</f>
        <v/>
      </c>
      <c r="K631" s="31" t="inlineStr">
        <is>
          <t>2</t>
        </is>
      </c>
      <c r="L631" s="31" t="inlineStr">
        <is>
          <t>2</t>
        </is>
      </c>
      <c r="M631" s="31" t="inlineStr">
        <is>
          <t>S1</t>
        </is>
      </c>
      <c r="N631" s="31" t="inlineStr">
        <is>
          <t>S2</t>
        </is>
      </c>
      <c r="O631" s="31" t="inlineStr">
        <is>
          <t>338-001-503-0</t>
        </is>
      </c>
      <c r="P631" s="31" t="inlineStr">
        <is>
          <t>SR Technics Switzerland</t>
        </is>
      </c>
    </row>
    <row r="632">
      <c r="B632" s="31" t="inlineStr">
        <is>
          <t>CFM56-5B</t>
        </is>
      </c>
      <c r="C632" s="31" t="inlineStr">
        <is>
          <t>2024-2025</t>
        </is>
      </c>
      <c r="D632" s="31" t="inlineStr">
        <is>
          <t>2882</t>
        </is>
      </c>
      <c r="E632" s="31" t="inlineStr">
        <is>
          <t>72-52-03</t>
        </is>
      </c>
      <c r="F632" s="31" t="inlineStr">
        <is>
          <t>A</t>
        </is>
      </c>
      <c r="G632" s="31" t="inlineStr">
        <is>
          <t>HPT / nozzle</t>
        </is>
      </c>
      <c r="H632" s="27" t="n">
        <v>3370</v>
      </c>
      <c r="I632" s="27" t="n">
        <v>3575</v>
      </c>
      <c r="J632" s="154">
        <f>I632/H632-1</f>
        <v/>
      </c>
      <c r="K632" s="31" t="inlineStr">
        <is>
          <t>2</t>
        </is>
      </c>
      <c r="L632" s="31" t="inlineStr">
        <is>
          <t>2</t>
        </is>
      </c>
      <c r="M632" s="31" t="inlineStr">
        <is>
          <t>S1</t>
        </is>
      </c>
      <c r="N632" s="31" t="inlineStr">
        <is>
          <t>S2</t>
        </is>
      </c>
      <c r="O632" s="31" t="inlineStr">
        <is>
          <t>1795M36P01</t>
        </is>
      </c>
      <c r="P632" s="31" t="inlineStr">
        <is>
          <t>SR Technics Switzerland</t>
        </is>
      </c>
    </row>
    <row r="633">
      <c r="B633" s="31" t="inlineStr">
        <is>
          <t>CFM56-5B</t>
        </is>
      </c>
      <c r="C633" s="31" t="inlineStr">
        <is>
          <t>2024-2025</t>
        </is>
      </c>
      <c r="D633" s="31" t="inlineStr">
        <is>
          <t>2882</t>
        </is>
      </c>
      <c r="E633" s="31" t="inlineStr">
        <is>
          <t>72-52-03</t>
        </is>
      </c>
      <c r="F633" s="31" t="inlineStr">
        <is>
          <t>B</t>
        </is>
      </c>
      <c r="G633" s="31" t="inlineStr">
        <is>
          <t>HPT / nozzle</t>
        </is>
      </c>
      <c r="H633" s="27" t="n">
        <v>190</v>
      </c>
      <c r="I633" s="27" t="n">
        <v>205</v>
      </c>
      <c r="J633" s="154">
        <f>I633/H633-1</f>
        <v/>
      </c>
      <c r="K633" s="31" t="inlineStr">
        <is>
          <t>2</t>
        </is>
      </c>
      <c r="L633" s="31" t="inlineStr">
        <is>
          <t>2</t>
        </is>
      </c>
      <c r="M633" s="31" t="inlineStr">
        <is>
          <t>S1</t>
        </is>
      </c>
      <c r="N633" s="31" t="inlineStr">
        <is>
          <t>S2</t>
        </is>
      </c>
      <c r="O633" s="31" t="inlineStr">
        <is>
          <t>1795M36P01</t>
        </is>
      </c>
      <c r="P633" s="31" t="inlineStr">
        <is>
          <t>SR Technics Switzerland</t>
        </is>
      </c>
    </row>
    <row r="634">
      <c r="B634" s="31" t="inlineStr">
        <is>
          <t>CFM56-5B</t>
        </is>
      </c>
      <c r="C634" s="31" t="inlineStr">
        <is>
          <t>2024-2025</t>
        </is>
      </c>
      <c r="D634" s="31" t="inlineStr">
        <is>
          <t>2882</t>
        </is>
      </c>
      <c r="E634" s="31" t="inlineStr">
        <is>
          <t>72-52-03</t>
        </is>
      </c>
      <c r="F634" s="31" t="inlineStr">
        <is>
          <t>C</t>
        </is>
      </c>
      <c r="G634" s="31" t="inlineStr">
        <is>
          <t>HPT / nozzle</t>
        </is>
      </c>
      <c r="H634" s="27" t="n">
        <v>1325</v>
      </c>
      <c r="I634" s="27" t="n">
        <v>1405</v>
      </c>
      <c r="J634" s="154">
        <f>I634/H634-1</f>
        <v/>
      </c>
      <c r="K634" s="31" t="inlineStr">
        <is>
          <t>2</t>
        </is>
      </c>
      <c r="L634" s="31" t="inlineStr">
        <is>
          <t>2</t>
        </is>
      </c>
      <c r="M634" s="31" t="inlineStr">
        <is>
          <t>S1</t>
        </is>
      </c>
      <c r="N634" s="31" t="inlineStr">
        <is>
          <t>S2</t>
        </is>
      </c>
      <c r="O634" s="31" t="inlineStr">
        <is>
          <t>1795M36P01</t>
        </is>
      </c>
      <c r="P634" s="31" t="inlineStr">
        <is>
          <t>SR Technics Switzerland</t>
        </is>
      </c>
    </row>
    <row r="635">
      <c r="B635" s="31" t="inlineStr">
        <is>
          <t>CFM56-5B</t>
        </is>
      </c>
      <c r="C635" s="31" t="inlineStr">
        <is>
          <t>2024-2025</t>
        </is>
      </c>
      <c r="D635" s="31" t="inlineStr">
        <is>
          <t>2882</t>
        </is>
      </c>
      <c r="E635" s="31" t="inlineStr">
        <is>
          <t>72-52-03</t>
        </is>
      </c>
      <c r="F635" s="31" t="inlineStr">
        <is>
          <t>E</t>
        </is>
      </c>
      <c r="G635" s="31" t="inlineStr">
        <is>
          <t>HPT / nozzle</t>
        </is>
      </c>
      <c r="H635" s="27" t="n">
        <v>4435</v>
      </c>
      <c r="I635" s="27" t="n">
        <v>4705</v>
      </c>
      <c r="J635" s="154">
        <f>I635/H635-1</f>
        <v/>
      </c>
      <c r="K635" s="31" t="inlineStr">
        <is>
          <t>2</t>
        </is>
      </c>
      <c r="L635" s="31" t="inlineStr">
        <is>
          <t>2</t>
        </is>
      </c>
      <c r="M635" s="31" t="inlineStr">
        <is>
          <t>S1</t>
        </is>
      </c>
      <c r="N635" s="31" t="inlineStr">
        <is>
          <t>S2</t>
        </is>
      </c>
      <c r="O635" s="31" t="inlineStr">
        <is>
          <t>1795M36P01</t>
        </is>
      </c>
      <c r="P635" s="31" t="inlineStr">
        <is>
          <t>SR Technics Switzerland</t>
        </is>
      </c>
    </row>
    <row r="636">
      <c r="B636" s="31" t="inlineStr">
        <is>
          <t>CFM56-5B</t>
        </is>
      </c>
      <c r="C636" s="31" t="inlineStr">
        <is>
          <t>2024-2025</t>
        </is>
      </c>
      <c r="D636" s="31" t="inlineStr">
        <is>
          <t>2882</t>
        </is>
      </c>
      <c r="E636" s="31" t="inlineStr">
        <is>
          <t>72-52-03</t>
        </is>
      </c>
      <c r="F636" s="31" t="inlineStr">
        <is>
          <t>G</t>
        </is>
      </c>
      <c r="G636" s="31" t="inlineStr">
        <is>
          <t>HPT / nozzle</t>
        </is>
      </c>
      <c r="H636" s="27" t="n">
        <v>4695</v>
      </c>
      <c r="I636" s="27" t="n">
        <v>4980</v>
      </c>
      <c r="J636" s="154">
        <f>I636/H636-1</f>
        <v/>
      </c>
      <c r="K636" s="31" t="inlineStr">
        <is>
          <t>2, 3</t>
        </is>
      </c>
      <c r="L636" s="31" t="inlineStr">
        <is>
          <t>2</t>
        </is>
      </c>
      <c r="M636" s="31" t="inlineStr">
        <is>
          <t>S1</t>
        </is>
      </c>
      <c r="N636" s="31" t="inlineStr">
        <is>
          <t>S2</t>
        </is>
      </c>
      <c r="O636" s="31" t="inlineStr">
        <is>
          <t>1795M36P01</t>
        </is>
      </c>
      <c r="P636" s="31" t="inlineStr">
        <is>
          <t>SR Technics Switzerland</t>
        </is>
      </c>
    </row>
    <row r="637">
      <c r="B637" s="31" t="inlineStr">
        <is>
          <t>CFM56-5B</t>
        </is>
      </c>
      <c r="C637" s="31" t="inlineStr">
        <is>
          <t>2024-2025</t>
        </is>
      </c>
      <c r="D637" s="31" t="inlineStr">
        <is>
          <t>2882</t>
        </is>
      </c>
      <c r="E637" s="31" t="inlineStr">
        <is>
          <t>72-52-03</t>
        </is>
      </c>
      <c r="F637" s="31" t="inlineStr">
        <is>
          <t>SB00</t>
        </is>
      </c>
      <c r="G637" s="31" t="inlineStr">
        <is>
          <t>HPT / nozzle</t>
        </is>
      </c>
      <c r="H637" s="27" t="n">
        <v>570</v>
      </c>
      <c r="I637" s="27" t="n">
        <v>605</v>
      </c>
      <c r="J637" s="154">
        <f>I637/H637-1</f>
        <v/>
      </c>
      <c r="K637" s="31" t="inlineStr">
        <is>
          <t>3</t>
        </is>
      </c>
      <c r="L637" s="31" t="inlineStr">
        <is>
          <t>2</t>
        </is>
      </c>
      <c r="M637" s="31" t="inlineStr">
        <is>
          <t>S1</t>
        </is>
      </c>
      <c r="N637" s="31" t="inlineStr">
        <is>
          <t>S2</t>
        </is>
      </c>
      <c r="O637" s="31" t="inlineStr">
        <is>
          <t>1795M36P01</t>
        </is>
      </c>
      <c r="P637" s="31" t="inlineStr">
        <is>
          <t>SR Technics Switzerland</t>
        </is>
      </c>
    </row>
    <row r="638">
      <c r="B638" s="31" t="inlineStr">
        <is>
          <t>CFM56-5B</t>
        </is>
      </c>
      <c r="C638" s="31" t="inlineStr">
        <is>
          <t>2024-2025</t>
        </is>
      </c>
      <c r="D638" s="31" t="inlineStr">
        <is>
          <t>2882</t>
        </is>
      </c>
      <c r="E638" s="31" t="inlineStr">
        <is>
          <t>72-52-03</t>
        </is>
      </c>
      <c r="F638" s="31" t="inlineStr">
        <is>
          <t>SB02</t>
        </is>
      </c>
      <c r="G638" s="31" t="inlineStr">
        <is>
          <t>HPT / nozzle</t>
        </is>
      </c>
      <c r="H638" s="27" t="n">
        <v>380</v>
      </c>
      <c r="I638" s="27" t="n">
        <v>405</v>
      </c>
      <c r="J638" s="154">
        <f>I638/H638-1</f>
        <v/>
      </c>
      <c r="K638" s="31" t="inlineStr">
        <is>
          <t>3</t>
        </is>
      </c>
      <c r="L638" s="31" t="inlineStr">
        <is>
          <t>2</t>
        </is>
      </c>
      <c r="M638" s="31" t="inlineStr">
        <is>
          <t>S1</t>
        </is>
      </c>
      <c r="N638" s="31" t="inlineStr">
        <is>
          <t>S2</t>
        </is>
      </c>
      <c r="O638" s="31" t="inlineStr">
        <is>
          <t>1795M36P01</t>
        </is>
      </c>
      <c r="P638" s="31" t="inlineStr">
        <is>
          <t>SR Technics Switzerland</t>
        </is>
      </c>
    </row>
    <row r="639">
      <c r="B639" s="31" t="inlineStr">
        <is>
          <t>CFM56-5B</t>
        </is>
      </c>
      <c r="C639" s="31" t="inlineStr">
        <is>
          <t>2024-2025</t>
        </is>
      </c>
      <c r="D639" s="31" t="inlineStr">
        <is>
          <t>2882</t>
        </is>
      </c>
      <c r="E639" s="31" t="inlineStr">
        <is>
          <t>72-52-03</t>
        </is>
      </c>
      <c r="F639" s="31" t="inlineStr">
        <is>
          <t>SB05</t>
        </is>
      </c>
      <c r="G639" s="31" t="inlineStr">
        <is>
          <t>HPT / nozzle</t>
        </is>
      </c>
      <c r="H639" s="27" t="n">
        <v>480</v>
      </c>
      <c r="I639" s="27" t="n">
        <v>510</v>
      </c>
      <c r="J639" s="154">
        <f>I639/H639-1</f>
        <v/>
      </c>
      <c r="K639" s="31" t="inlineStr">
        <is>
          <t>3</t>
        </is>
      </c>
      <c r="L639" s="31" t="inlineStr">
        <is>
          <t>2</t>
        </is>
      </c>
      <c r="M639" s="31" t="inlineStr">
        <is>
          <t>S1</t>
        </is>
      </c>
      <c r="N639" s="31" t="inlineStr">
        <is>
          <t>S2</t>
        </is>
      </c>
      <c r="O639" s="31" t="inlineStr">
        <is>
          <t>1795M36P01</t>
        </is>
      </c>
      <c r="P639" s="31" t="inlineStr">
        <is>
          <t>SR Technics Switzerland</t>
        </is>
      </c>
    </row>
    <row r="640">
      <c r="B640" s="31" t="inlineStr">
        <is>
          <t>CFM56-5B</t>
        </is>
      </c>
      <c r="C640" s="31" t="inlineStr">
        <is>
          <t>2024-2025</t>
        </is>
      </c>
      <c r="D640" s="31" t="inlineStr">
        <is>
          <t>2882</t>
        </is>
      </c>
      <c r="E640" s="31" t="inlineStr">
        <is>
          <t>72-52-03</t>
        </is>
      </c>
      <c r="F640" s="31" t="inlineStr">
        <is>
          <t>SB06</t>
        </is>
      </c>
      <c r="G640" s="31" t="inlineStr">
        <is>
          <t>HPT / nozzle</t>
        </is>
      </c>
      <c r="H640" s="27" t="n">
        <v>480</v>
      </c>
      <c r="I640" s="27" t="n">
        <v>510</v>
      </c>
      <c r="J640" s="154">
        <f>I640/H640-1</f>
        <v/>
      </c>
      <c r="K640" s="31" t="inlineStr">
        <is>
          <t>3</t>
        </is>
      </c>
      <c r="L640" s="31" t="inlineStr">
        <is>
          <t>2</t>
        </is>
      </c>
      <c r="M640" s="31" t="inlineStr">
        <is>
          <t>S1</t>
        </is>
      </c>
      <c r="N640" s="31" t="inlineStr">
        <is>
          <t>S2</t>
        </is>
      </c>
      <c r="O640" s="31" t="inlineStr">
        <is>
          <t>1795M36P01</t>
        </is>
      </c>
      <c r="P640" s="31" t="inlineStr">
        <is>
          <t>SR Technics Switzerland</t>
        </is>
      </c>
    </row>
    <row r="641">
      <c r="B641" s="31" t="inlineStr">
        <is>
          <t>CFM56-5B</t>
        </is>
      </c>
      <c r="C641" s="31" t="inlineStr">
        <is>
          <t>2024-2025</t>
        </is>
      </c>
      <c r="D641" s="31" t="inlineStr">
        <is>
          <t>3016</t>
        </is>
      </c>
      <c r="E641" s="31" t="inlineStr">
        <is>
          <t>72-33-00</t>
        </is>
      </c>
      <c r="F641" s="31" t="inlineStr">
        <is>
          <t>B</t>
        </is>
      </c>
      <c r="G641" s="31" t="inlineStr">
        <is>
          <t>Compressor</t>
        </is>
      </c>
      <c r="H641" s="27" t="n">
        <v>1780</v>
      </c>
      <c r="I641" s="27" t="n">
        <v>1890</v>
      </c>
      <c r="J641" s="154">
        <f>I641/H641-1</f>
        <v/>
      </c>
      <c r="K641" s="31" t="inlineStr">
        <is>
          <t>31</t>
        </is>
      </c>
      <c r="L641" s="31" t="inlineStr">
        <is>
          <t>31</t>
        </is>
      </c>
      <c r="M641" s="31" t="inlineStr">
        <is>
          <t>S1</t>
        </is>
      </c>
      <c r="N641" s="31" t="inlineStr">
        <is>
          <t>S2</t>
        </is>
      </c>
      <c r="O641" s="31" t="inlineStr">
        <is>
          <t>9324M67G01</t>
        </is>
      </c>
      <c r="P641" s="31" t="inlineStr">
        <is>
          <t>SR Technics Switzerland</t>
        </is>
      </c>
    </row>
    <row r="642">
      <c r="B642" s="31" t="inlineStr">
        <is>
          <t>CFM56-5B</t>
        </is>
      </c>
      <c r="C642" s="31" t="inlineStr">
        <is>
          <t>2024-2025</t>
        </is>
      </c>
      <c r="D642" s="31" t="inlineStr">
        <is>
          <t>3043</t>
        </is>
      </c>
      <c r="E642" s="31" t="inlineStr">
        <is>
          <t>73-11-14</t>
        </is>
      </c>
      <c r="F642" s="31" t="inlineStr">
        <is>
          <t>A</t>
        </is>
      </c>
      <c r="G642" s="31" t="inlineStr">
        <is>
          <t>Fuel system</t>
        </is>
      </c>
      <c r="H642" s="27" t="n">
        <v>190</v>
      </c>
      <c r="I642" s="27" t="n">
        <v>240</v>
      </c>
      <c r="J642" s="154">
        <f>I642/H642-1</f>
        <v/>
      </c>
      <c r="K642" s="31" t="inlineStr">
        <is>
          <t>3</t>
        </is>
      </c>
      <c r="L642" s="31" t="inlineStr">
        <is>
          <t>2</t>
        </is>
      </c>
      <c r="M642" s="31" t="inlineStr">
        <is>
          <t>S1</t>
        </is>
      </c>
      <c r="N642" s="31" t="inlineStr">
        <is>
          <t>S2</t>
        </is>
      </c>
      <c r="O642" s="31" t="inlineStr">
        <is>
          <t>218920-1</t>
        </is>
      </c>
      <c r="P642" s="31" t="inlineStr">
        <is>
          <t>SR Technics Switzerland</t>
        </is>
      </c>
    </row>
    <row r="643">
      <c r="B643" s="31" t="inlineStr">
        <is>
          <t>CFM56-5B</t>
        </is>
      </c>
      <c r="C643" s="31" t="inlineStr">
        <is>
          <t>2024-2025</t>
        </is>
      </c>
      <c r="D643" s="31" t="inlineStr">
        <is>
          <t>3043</t>
        </is>
      </c>
      <c r="E643" s="31" t="inlineStr">
        <is>
          <t>73-11-14</t>
        </is>
      </c>
      <c r="F643" s="31" t="inlineStr">
        <is>
          <t>M</t>
        </is>
      </c>
      <c r="G643" s="31" t="inlineStr">
        <is>
          <t>Fuel system</t>
        </is>
      </c>
      <c r="H643" s="27" t="n">
        <v>1175</v>
      </c>
      <c r="I643" s="27" t="n">
        <v>1250</v>
      </c>
      <c r="J643" s="154">
        <f>I643/H643-1</f>
        <v/>
      </c>
      <c r="K643" s="31" t="inlineStr">
        <is>
          <t>3</t>
        </is>
      </c>
      <c r="L643" s="31" t="inlineStr">
        <is>
          <t>2</t>
        </is>
      </c>
      <c r="M643" s="31" t="inlineStr">
        <is>
          <t>S1</t>
        </is>
      </c>
      <c r="N643" s="31" t="inlineStr">
        <is>
          <t>S2</t>
        </is>
      </c>
      <c r="O643" s="31" t="inlineStr">
        <is>
          <t>218920-1</t>
        </is>
      </c>
      <c r="P643" s="31" t="inlineStr">
        <is>
          <t>SR Technics Switzerland</t>
        </is>
      </c>
    </row>
    <row r="644">
      <c r="B644" s="31" t="inlineStr">
        <is>
          <t>CFM56-5B</t>
        </is>
      </c>
      <c r="C644" s="31" t="inlineStr">
        <is>
          <t>2024-2025</t>
        </is>
      </c>
      <c r="D644" s="31" t="inlineStr">
        <is>
          <t>3043</t>
        </is>
      </c>
      <c r="E644" s="31" t="inlineStr">
        <is>
          <t>73-11-14</t>
        </is>
      </c>
      <c r="F644" s="31" t="inlineStr">
        <is>
          <t>N</t>
        </is>
      </c>
      <c r="G644" s="31" t="inlineStr">
        <is>
          <t>Fuel system</t>
        </is>
      </c>
      <c r="H644" s="27" t="n">
        <v>1050</v>
      </c>
      <c r="I644" s="27" t="n">
        <v>1115</v>
      </c>
      <c r="J644" s="154">
        <f>I644/H644-1</f>
        <v/>
      </c>
      <c r="K644" s="31" t="inlineStr">
        <is>
          <t>3</t>
        </is>
      </c>
      <c r="L644" s="31" t="inlineStr">
        <is>
          <t>3</t>
        </is>
      </c>
      <c r="M644" s="31" t="inlineStr">
        <is>
          <t>S1</t>
        </is>
      </c>
      <c r="N644" s="31" t="inlineStr">
        <is>
          <t>S2</t>
        </is>
      </c>
      <c r="O644" s="31" t="inlineStr">
        <is>
          <t>218920-1</t>
        </is>
      </c>
      <c r="P644" s="31" t="inlineStr">
        <is>
          <t>SR Technics Switzerland</t>
        </is>
      </c>
    </row>
    <row r="645">
      <c r="B645" s="31" t="inlineStr">
        <is>
          <t>CFM56-5B</t>
        </is>
      </c>
      <c r="C645" s="31" t="inlineStr">
        <is>
          <t>2024-2025</t>
        </is>
      </c>
      <c r="D645" s="31" t="inlineStr">
        <is>
          <t>3043</t>
        </is>
      </c>
      <c r="E645" s="31" t="inlineStr">
        <is>
          <t>73-11-14</t>
        </is>
      </c>
      <c r="F645" s="31" t="inlineStr">
        <is>
          <t>SB00</t>
        </is>
      </c>
      <c r="G645" s="31" t="inlineStr">
        <is>
          <t>Fuel system</t>
        </is>
      </c>
      <c r="H645" s="27" t="n">
        <v>660</v>
      </c>
      <c r="I645" s="27" t="n">
        <v>700</v>
      </c>
      <c r="J645" s="154">
        <f>I645/H645-1</f>
        <v/>
      </c>
      <c r="K645" s="31" t="inlineStr">
        <is>
          <t>3</t>
        </is>
      </c>
      <c r="L645" s="31" t="inlineStr">
        <is>
          <t>3</t>
        </is>
      </c>
      <c r="M645" s="31" t="inlineStr">
        <is>
          <t>S1</t>
        </is>
      </c>
      <c r="N645" s="31" t="inlineStr">
        <is>
          <t>S2</t>
        </is>
      </c>
      <c r="O645" s="31" t="inlineStr">
        <is>
          <t>218920-1</t>
        </is>
      </c>
      <c r="P645" s="31" t="inlineStr">
        <is>
          <t>SR Technics Switzerland</t>
        </is>
      </c>
    </row>
    <row r="646">
      <c r="B646" s="31" t="inlineStr">
        <is>
          <t>CFM56-5B</t>
        </is>
      </c>
      <c r="C646" s="31" t="inlineStr">
        <is>
          <t>2024-2025</t>
        </is>
      </c>
      <c r="D646" s="31" t="inlineStr">
        <is>
          <t>3043</t>
        </is>
      </c>
      <c r="E646" s="31" t="inlineStr">
        <is>
          <t>73-11-14</t>
        </is>
      </c>
      <c r="F646" s="31" t="inlineStr">
        <is>
          <t>SB01</t>
        </is>
      </c>
      <c r="G646" s="31" t="inlineStr">
        <is>
          <t>Fuel system</t>
        </is>
      </c>
      <c r="H646" s="27" t="n">
        <v>205</v>
      </c>
      <c r="I646" s="27" t="n">
        <v>220</v>
      </c>
      <c r="J646" s="154">
        <f>I646/H646-1</f>
        <v/>
      </c>
      <c r="K646" s="31" t="inlineStr">
        <is>
          <t>3</t>
        </is>
      </c>
      <c r="L646" s="31" t="inlineStr">
        <is>
          <t>3</t>
        </is>
      </c>
      <c r="M646" s="31" t="inlineStr">
        <is>
          <t>S1</t>
        </is>
      </c>
      <c r="N646" s="31" t="inlineStr">
        <is>
          <t>S2</t>
        </is>
      </c>
      <c r="O646" s="31" t="inlineStr">
        <is>
          <t>218920-1</t>
        </is>
      </c>
      <c r="P646" s="31" t="inlineStr">
        <is>
          <t>SR Technics Switzerland</t>
        </is>
      </c>
    </row>
    <row r="647">
      <c r="B647" s="31" t="inlineStr">
        <is>
          <t>CFM56-5B</t>
        </is>
      </c>
      <c r="C647" s="31" t="inlineStr">
        <is>
          <t>2024-2025</t>
        </is>
      </c>
      <c r="D647" s="31" t="inlineStr">
        <is>
          <t>3044</t>
        </is>
      </c>
      <c r="E647" s="31" t="inlineStr">
        <is>
          <t>73-11-13</t>
        </is>
      </c>
      <c r="F647" s="31" t="inlineStr">
        <is>
          <t>B</t>
        </is>
      </c>
      <c r="G647" s="31" t="inlineStr">
        <is>
          <t>Fuel system</t>
        </is>
      </c>
      <c r="H647" s="27" t="n">
        <v>265</v>
      </c>
      <c r="I647" s="27" t="n">
        <v>285</v>
      </c>
      <c r="J647" s="154">
        <f>I647/H647-1</f>
        <v/>
      </c>
      <c r="K647" s="31" t="inlineStr">
        <is>
          <t>3</t>
        </is>
      </c>
      <c r="L647" s="31" t="inlineStr">
        <is>
          <t>3</t>
        </is>
      </c>
      <c r="M647" s="31" t="inlineStr">
        <is>
          <t>S1</t>
        </is>
      </c>
      <c r="N647" s="31" t="inlineStr">
        <is>
          <t>S2</t>
        </is>
      </c>
      <c r="O647" s="31" t="inlineStr">
        <is>
          <t>217780-1</t>
        </is>
      </c>
      <c r="P647" s="31" t="inlineStr">
        <is>
          <t>SR Technics Switzerland</t>
        </is>
      </c>
    </row>
    <row r="648">
      <c r="B648" s="31" t="inlineStr">
        <is>
          <t>CFM56-5B</t>
        </is>
      </c>
      <c r="C648" s="31" t="inlineStr">
        <is>
          <t>2024-2025</t>
        </is>
      </c>
      <c r="D648" s="31" t="inlineStr">
        <is>
          <t>3044</t>
        </is>
      </c>
      <c r="E648" s="31" t="inlineStr">
        <is>
          <t>73-11-13</t>
        </is>
      </c>
      <c r="F648" s="31" t="inlineStr">
        <is>
          <t>E</t>
        </is>
      </c>
      <c r="G648" s="31" t="inlineStr">
        <is>
          <t>Fuel system</t>
        </is>
      </c>
      <c r="H648" s="27" t="n">
        <v>920</v>
      </c>
      <c r="I648" s="27" t="n">
        <v>980</v>
      </c>
      <c r="J648" s="154">
        <f>I648/H648-1</f>
        <v/>
      </c>
      <c r="K648" s="31" t="inlineStr">
        <is>
          <t>3</t>
        </is>
      </c>
      <c r="L648" s="31" t="inlineStr">
        <is>
          <t>3</t>
        </is>
      </c>
      <c r="M648" s="31" t="inlineStr">
        <is>
          <t>S1</t>
        </is>
      </c>
      <c r="N648" s="31" t="inlineStr">
        <is>
          <t>S2</t>
        </is>
      </c>
      <c r="O648" s="31" t="inlineStr">
        <is>
          <t>217780-1</t>
        </is>
      </c>
      <c r="P648" s="31" t="inlineStr">
        <is>
          <t>SR Technics Switzerland</t>
        </is>
      </c>
    </row>
    <row r="649">
      <c r="B649" s="31" t="inlineStr">
        <is>
          <t>CFM56-5B</t>
        </is>
      </c>
      <c r="C649" s="31" t="inlineStr">
        <is>
          <t>2024-2025</t>
        </is>
      </c>
      <c r="D649" s="31" t="inlineStr">
        <is>
          <t>3044</t>
        </is>
      </c>
      <c r="E649" s="31" t="inlineStr">
        <is>
          <t>73-11-13</t>
        </is>
      </c>
      <c r="F649" s="31" t="inlineStr">
        <is>
          <t>SB01</t>
        </is>
      </c>
      <c r="G649" s="31" t="inlineStr">
        <is>
          <t>Fuel system</t>
        </is>
      </c>
      <c r="H649" s="27" t="n">
        <v>125</v>
      </c>
      <c r="I649" s="27" t="n">
        <v>135</v>
      </c>
      <c r="J649" s="154">
        <f>I649/H649-1</f>
        <v/>
      </c>
      <c r="K649" s="31" t="inlineStr">
        <is>
          <t>3</t>
        </is>
      </c>
      <c r="L649" s="31" t="inlineStr">
        <is>
          <t>3</t>
        </is>
      </c>
      <c r="M649" s="31" t="inlineStr">
        <is>
          <t>S1</t>
        </is>
      </c>
      <c r="N649" s="31" t="inlineStr">
        <is>
          <t>S2</t>
        </is>
      </c>
      <c r="O649" s="31" t="inlineStr">
        <is>
          <t>217780-1</t>
        </is>
      </c>
      <c r="P649" s="31" t="inlineStr">
        <is>
          <t>SR Technics Switzerland</t>
        </is>
      </c>
    </row>
    <row r="650">
      <c r="B650" s="31" t="inlineStr">
        <is>
          <t>CFM56-5B</t>
        </is>
      </c>
      <c r="C650" s="31" t="inlineStr">
        <is>
          <t>2024-2025</t>
        </is>
      </c>
      <c r="D650" s="31" t="inlineStr">
        <is>
          <t>3249</t>
        </is>
      </c>
      <c r="E650" s="31" t="inlineStr">
        <is>
          <t>71-00-17</t>
        </is>
      </c>
      <c r="F650" s="31" t="inlineStr">
        <is>
          <t>B</t>
        </is>
      </c>
      <c r="G650" s="31" t="inlineStr">
        <is>
          <t>Other / assembly</t>
        </is>
      </c>
      <c r="H650" s="27" t="n">
        <v>345</v>
      </c>
      <c r="I650" s="27" t="n">
        <v>370</v>
      </c>
      <c r="J650" s="154">
        <f>I650/H650-1</f>
        <v/>
      </c>
      <c r="K650" s="31" t="inlineStr">
        <is>
          <t>31</t>
        </is>
      </c>
      <c r="L650" s="31" t="inlineStr">
        <is>
          <t>31</t>
        </is>
      </c>
      <c r="M650" s="31" t="inlineStr">
        <is>
          <t>S1</t>
        </is>
      </c>
      <c r="N650" s="31" t="inlineStr">
        <is>
          <t>S2</t>
        </is>
      </c>
      <c r="O650" s="31" t="inlineStr">
        <is>
          <t>108280-199</t>
        </is>
      </c>
      <c r="P650" s="31" t="inlineStr">
        <is>
          <t>SR Technics Switzerland</t>
        </is>
      </c>
    </row>
    <row r="651">
      <c r="B651" s="31" t="inlineStr">
        <is>
          <t>CFM56-5B</t>
        </is>
      </c>
      <c r="C651" s="31" t="inlineStr">
        <is>
          <t>2024-2025</t>
        </is>
      </c>
      <c r="D651" s="31" t="inlineStr">
        <is>
          <t>3249</t>
        </is>
      </c>
      <c r="E651" s="31" t="inlineStr">
        <is>
          <t>71-00-17</t>
        </is>
      </c>
      <c r="F651" s="31" t="inlineStr">
        <is>
          <t>C</t>
        </is>
      </c>
      <c r="G651" s="31" t="inlineStr">
        <is>
          <t>Other / assembly</t>
        </is>
      </c>
      <c r="H651" s="27" t="n">
        <v>340</v>
      </c>
      <c r="I651" s="27" t="n">
        <v>365</v>
      </c>
      <c r="J651" s="154">
        <f>I651/H651-1</f>
        <v/>
      </c>
      <c r="K651" s="31" t="inlineStr">
        <is>
          <t>31</t>
        </is>
      </c>
      <c r="L651" s="31" t="inlineStr">
        <is>
          <t>31</t>
        </is>
      </c>
      <c r="M651" s="31" t="inlineStr">
        <is>
          <t>S1</t>
        </is>
      </c>
      <c r="N651" s="31" t="inlineStr">
        <is>
          <t>S2</t>
        </is>
      </c>
      <c r="O651" s="31" t="inlineStr">
        <is>
          <t>108280-199</t>
        </is>
      </c>
      <c r="P651" s="31" t="inlineStr">
        <is>
          <t>SR Technics Switzerland</t>
        </is>
      </c>
    </row>
    <row r="652">
      <c r="B652" s="31" t="inlineStr">
        <is>
          <t>CFM56-5B</t>
        </is>
      </c>
      <c r="C652" s="31" t="inlineStr">
        <is>
          <t>2024-2025</t>
        </is>
      </c>
      <c r="D652" s="31" t="inlineStr">
        <is>
          <t>3249</t>
        </is>
      </c>
      <c r="E652" s="31" t="inlineStr">
        <is>
          <t>71-00-17</t>
        </is>
      </c>
      <c r="F652" s="31" t="inlineStr">
        <is>
          <t>D</t>
        </is>
      </c>
      <c r="G652" s="31" t="inlineStr">
        <is>
          <t>Other / assembly</t>
        </is>
      </c>
      <c r="H652" s="27" t="n">
        <v>345</v>
      </c>
      <c r="I652" s="27" t="n">
        <v>370</v>
      </c>
      <c r="J652" s="154">
        <f>I652/H652-1</f>
        <v/>
      </c>
      <c r="K652" s="31" t="inlineStr">
        <is>
          <t>31</t>
        </is>
      </c>
      <c r="L652" s="31" t="inlineStr">
        <is>
          <t>31</t>
        </is>
      </c>
      <c r="M652" s="31" t="inlineStr">
        <is>
          <t>S1</t>
        </is>
      </c>
      <c r="N652" s="31" t="inlineStr">
        <is>
          <t>S2</t>
        </is>
      </c>
      <c r="O652" s="31" t="inlineStr">
        <is>
          <t>108280-199</t>
        </is>
      </c>
      <c r="P652" s="31" t="inlineStr">
        <is>
          <t>SR Technics Switzerland</t>
        </is>
      </c>
    </row>
    <row r="653">
      <c r="B653" s="31" t="inlineStr">
        <is>
          <t>CFM56-5B</t>
        </is>
      </c>
      <c r="C653" s="31" t="inlineStr">
        <is>
          <t>2024-2025</t>
        </is>
      </c>
      <c r="D653" s="31" t="inlineStr">
        <is>
          <t>3249</t>
        </is>
      </c>
      <c r="E653" s="31" t="inlineStr">
        <is>
          <t>71-00-17</t>
        </is>
      </c>
      <c r="F653" s="31" t="inlineStr">
        <is>
          <t>E</t>
        </is>
      </c>
      <c r="G653" s="31" t="inlineStr">
        <is>
          <t>Other / assembly</t>
        </is>
      </c>
      <c r="H653" s="27" t="n">
        <v>380</v>
      </c>
      <c r="I653" s="27" t="n">
        <v>405</v>
      </c>
      <c r="J653" s="154">
        <f>I653/H653-1</f>
        <v/>
      </c>
      <c r="K653" s="31" t="inlineStr">
        <is>
          <t>31</t>
        </is>
      </c>
      <c r="L653" s="31" t="inlineStr">
        <is>
          <t>31</t>
        </is>
      </c>
      <c r="M653" s="31" t="inlineStr">
        <is>
          <t>S1</t>
        </is>
      </c>
      <c r="N653" s="31" t="inlineStr">
        <is>
          <t>S2</t>
        </is>
      </c>
      <c r="O653" s="31" t="inlineStr">
        <is>
          <t>108280-199</t>
        </is>
      </c>
      <c r="P653" s="31" t="inlineStr">
        <is>
          <t>SR Technics Switzerland</t>
        </is>
      </c>
    </row>
    <row r="654">
      <c r="B654" s="31" t="inlineStr">
        <is>
          <t>CFM56-5B</t>
        </is>
      </c>
      <c r="C654" s="31" t="inlineStr">
        <is>
          <t>2024-2025</t>
        </is>
      </c>
      <c r="D654" s="31" t="inlineStr">
        <is>
          <t>3249</t>
        </is>
      </c>
      <c r="E654" s="31" t="inlineStr">
        <is>
          <t>71-00-17</t>
        </is>
      </c>
      <c r="F654" s="31" t="inlineStr">
        <is>
          <t>J</t>
        </is>
      </c>
      <c r="G654" s="31" t="inlineStr">
        <is>
          <t>Other / assembly</t>
        </is>
      </c>
      <c r="H654" s="27" t="n">
        <v>445</v>
      </c>
      <c r="I654" s="27" t="n">
        <v>475</v>
      </c>
      <c r="J654" s="154">
        <f>I654/H654-1</f>
        <v/>
      </c>
      <c r="K654" s="31" t="inlineStr">
        <is>
          <t>31</t>
        </is>
      </c>
      <c r="L654" s="31" t="inlineStr">
        <is>
          <t>31</t>
        </is>
      </c>
      <c r="M654" s="31" t="inlineStr">
        <is>
          <t>S1</t>
        </is>
      </c>
      <c r="N654" s="31" t="inlineStr">
        <is>
          <t>S2</t>
        </is>
      </c>
      <c r="O654" s="31" t="inlineStr">
        <is>
          <t>108280-199</t>
        </is>
      </c>
      <c r="P654" s="31" t="inlineStr">
        <is>
          <t>SR Technics Switzerland</t>
        </is>
      </c>
    </row>
    <row r="655">
      <c r="B655" s="31" t="inlineStr">
        <is>
          <t>CFM56-5B</t>
        </is>
      </c>
      <c r="C655" s="31" t="inlineStr">
        <is>
          <t>2024-2025</t>
        </is>
      </c>
      <c r="D655" s="31" t="inlineStr">
        <is>
          <t>3249</t>
        </is>
      </c>
      <c r="E655" s="31" t="inlineStr">
        <is>
          <t>71-00-17</t>
        </is>
      </c>
      <c r="F655" s="31" t="inlineStr">
        <is>
          <t>K</t>
        </is>
      </c>
      <c r="G655" s="31" t="inlineStr">
        <is>
          <t>Other / assembly</t>
        </is>
      </c>
      <c r="H655" s="27" t="n">
        <v>475</v>
      </c>
      <c r="I655" s="27" t="n">
        <v>505</v>
      </c>
      <c r="J655" s="154">
        <f>I655/H655-1</f>
        <v/>
      </c>
      <c r="K655" s="31" t="inlineStr">
        <is>
          <t>31</t>
        </is>
      </c>
      <c r="L655" s="31" t="inlineStr">
        <is>
          <t>31</t>
        </is>
      </c>
      <c r="M655" s="31" t="inlineStr">
        <is>
          <t>S1</t>
        </is>
      </c>
      <c r="N655" s="31" t="inlineStr">
        <is>
          <t>S2</t>
        </is>
      </c>
      <c r="O655" s="31" t="inlineStr">
        <is>
          <t>108280-199</t>
        </is>
      </c>
      <c r="P655" s="31" t="inlineStr">
        <is>
          <t>SR Technics Switzerland</t>
        </is>
      </c>
    </row>
    <row r="656">
      <c r="B656" s="31" t="inlineStr">
        <is>
          <t>CFM56-5B</t>
        </is>
      </c>
      <c r="C656" s="31" t="inlineStr">
        <is>
          <t>2024-2025</t>
        </is>
      </c>
      <c r="D656" s="31" t="inlineStr">
        <is>
          <t>3249</t>
        </is>
      </c>
      <c r="E656" s="31" t="inlineStr">
        <is>
          <t>71-00-17</t>
        </is>
      </c>
      <c r="F656" s="31" t="inlineStr">
        <is>
          <t>L</t>
        </is>
      </c>
      <c r="G656" s="31" t="inlineStr">
        <is>
          <t>Other / assembly</t>
        </is>
      </c>
      <c r="H656" s="27" t="n">
        <v>255</v>
      </c>
      <c r="I656" s="27" t="n">
        <v>275</v>
      </c>
      <c r="J656" s="154">
        <f>I656/H656-1</f>
        <v/>
      </c>
      <c r="K656" s="31" t="inlineStr">
        <is>
          <t>31</t>
        </is>
      </c>
      <c r="L656" s="31" t="inlineStr">
        <is>
          <t>31</t>
        </is>
      </c>
      <c r="M656" s="31" t="inlineStr">
        <is>
          <t>S1</t>
        </is>
      </c>
      <c r="N656" s="31" t="inlineStr">
        <is>
          <t>S2</t>
        </is>
      </c>
      <c r="O656" s="31" t="inlineStr">
        <is>
          <t>108280-199</t>
        </is>
      </c>
      <c r="P656" s="31" t="inlineStr">
        <is>
          <t>SR Technics Switzerland</t>
        </is>
      </c>
    </row>
    <row r="657">
      <c r="B657" s="31" t="inlineStr">
        <is>
          <t>CFM56-5B</t>
        </is>
      </c>
      <c r="C657" s="31" t="inlineStr">
        <is>
          <t>2024-2025</t>
        </is>
      </c>
      <c r="D657" s="31" t="inlineStr">
        <is>
          <t>3249</t>
        </is>
      </c>
      <c r="E657" s="31" t="inlineStr">
        <is>
          <t>71-00-17</t>
        </is>
      </c>
      <c r="F657" s="31" t="inlineStr">
        <is>
          <t>M</t>
        </is>
      </c>
      <c r="G657" s="31" t="inlineStr">
        <is>
          <t>Other / assembly</t>
        </is>
      </c>
      <c r="H657" s="27" t="n">
        <v>680</v>
      </c>
      <c r="I657" s="27" t="n">
        <v>725</v>
      </c>
      <c r="J657" s="154">
        <f>I657/H657-1</f>
        <v/>
      </c>
      <c r="K657" s="31" t="inlineStr">
        <is>
          <t>31</t>
        </is>
      </c>
      <c r="L657" s="31" t="inlineStr">
        <is>
          <t>31</t>
        </is>
      </c>
      <c r="M657" s="31" t="inlineStr">
        <is>
          <t>S1</t>
        </is>
      </c>
      <c r="N657" s="31" t="inlineStr">
        <is>
          <t>S2</t>
        </is>
      </c>
      <c r="O657" s="31" t="inlineStr">
        <is>
          <t>108280-199</t>
        </is>
      </c>
      <c r="P657" s="31" t="inlineStr">
        <is>
          <t>SR Technics Switzerland</t>
        </is>
      </c>
    </row>
    <row r="658">
      <c r="B658" s="31" t="inlineStr">
        <is>
          <t>CFM56-5B</t>
        </is>
      </c>
      <c r="C658" s="31" t="inlineStr">
        <is>
          <t>2024-2025</t>
        </is>
      </c>
      <c r="D658" s="31" t="inlineStr">
        <is>
          <t>3249</t>
        </is>
      </c>
      <c r="E658" s="31" t="inlineStr">
        <is>
          <t>71-00-17</t>
        </is>
      </c>
      <c r="F658" s="31" t="inlineStr">
        <is>
          <t>Q</t>
        </is>
      </c>
      <c r="G658" s="31" t="inlineStr">
        <is>
          <t>Other / assembly</t>
        </is>
      </c>
      <c r="H658" s="27" t="n">
        <v>595</v>
      </c>
      <c r="I658" s="27" t="n">
        <v>635</v>
      </c>
      <c r="J658" s="154">
        <f>I658/H658-1</f>
        <v/>
      </c>
      <c r="K658" s="31" t="inlineStr">
        <is>
          <t>31</t>
        </is>
      </c>
      <c r="L658" s="31" t="inlineStr">
        <is>
          <t>31</t>
        </is>
      </c>
      <c r="M658" s="31" t="inlineStr">
        <is>
          <t>S1</t>
        </is>
      </c>
      <c r="N658" s="31" t="inlineStr">
        <is>
          <t>S2</t>
        </is>
      </c>
      <c r="O658" s="31" t="inlineStr">
        <is>
          <t>108280-199</t>
        </is>
      </c>
      <c r="P658" s="31" t="inlineStr">
        <is>
          <t>SR Technics Switzerland</t>
        </is>
      </c>
    </row>
    <row r="659">
      <c r="B659" s="31" t="inlineStr">
        <is>
          <t>CFM56-5B</t>
        </is>
      </c>
      <c r="C659" s="31" t="inlineStr">
        <is>
          <t>2024-2025</t>
        </is>
      </c>
      <c r="D659" s="31" t="inlineStr">
        <is>
          <t>3249</t>
        </is>
      </c>
      <c r="E659" s="31" t="inlineStr">
        <is>
          <t>71-00-17</t>
        </is>
      </c>
      <c r="F659" s="31" t="inlineStr">
        <is>
          <t>S</t>
        </is>
      </c>
      <c r="G659" s="31" t="inlineStr">
        <is>
          <t>Other / assembly</t>
        </is>
      </c>
      <c r="H659" s="27" t="n">
        <v>935</v>
      </c>
      <c r="I659" s="27" t="n">
        <v>995</v>
      </c>
      <c r="J659" s="154">
        <f>I659/H659-1</f>
        <v/>
      </c>
      <c r="K659" s="31" t="inlineStr">
        <is>
          <t>31</t>
        </is>
      </c>
      <c r="L659" s="31" t="inlineStr">
        <is>
          <t>31</t>
        </is>
      </c>
      <c r="M659" s="31" t="inlineStr">
        <is>
          <t>S1</t>
        </is>
      </c>
      <c r="N659" s="31" t="inlineStr">
        <is>
          <t>S2</t>
        </is>
      </c>
      <c r="O659" s="31" t="inlineStr">
        <is>
          <t>108280-199</t>
        </is>
      </c>
      <c r="P659" s="31" t="inlineStr">
        <is>
          <t>SR Technics Switzerland</t>
        </is>
      </c>
    </row>
    <row r="660">
      <c r="B660" s="31" t="inlineStr">
        <is>
          <t>CFM56-5B</t>
        </is>
      </c>
      <c r="C660" s="31" t="inlineStr">
        <is>
          <t>2024-2025</t>
        </is>
      </c>
      <c r="D660" s="31" t="inlineStr">
        <is>
          <t>3249</t>
        </is>
      </c>
      <c r="E660" s="31" t="inlineStr">
        <is>
          <t>71-00-17</t>
        </is>
      </c>
      <c r="F660" s="31" t="inlineStr">
        <is>
          <t>SB00</t>
        </is>
      </c>
      <c r="G660" s="31" t="inlineStr">
        <is>
          <t>Other / assembly</t>
        </is>
      </c>
      <c r="H660" s="27" t="n">
        <v>395</v>
      </c>
      <c r="I660" s="27" t="n">
        <v>420</v>
      </c>
      <c r="J660" s="154">
        <f>I660/H660-1</f>
        <v/>
      </c>
      <c r="K660" s="31" t="inlineStr">
        <is>
          <t>31</t>
        </is>
      </c>
      <c r="L660" s="31" t="inlineStr">
        <is>
          <t>31</t>
        </is>
      </c>
      <c r="M660" s="31" t="inlineStr">
        <is>
          <t>S1</t>
        </is>
      </c>
      <c r="N660" s="31" t="inlineStr">
        <is>
          <t>S2</t>
        </is>
      </c>
      <c r="O660" s="31" t="inlineStr">
        <is>
          <t>108280-199</t>
        </is>
      </c>
      <c r="P660" s="31" t="inlineStr">
        <is>
          <t>SR Technics Switzerland</t>
        </is>
      </c>
    </row>
    <row r="661">
      <c r="B661" s="31" t="inlineStr">
        <is>
          <t>CFM56-5B</t>
        </is>
      </c>
      <c r="C661" s="31" t="inlineStr">
        <is>
          <t>2024-2025</t>
        </is>
      </c>
      <c r="D661" s="31" t="inlineStr">
        <is>
          <t>3249</t>
        </is>
      </c>
      <c r="E661" s="31" t="inlineStr">
        <is>
          <t>71-00-17</t>
        </is>
      </c>
      <c r="F661" s="31" t="inlineStr">
        <is>
          <t>SB01</t>
        </is>
      </c>
      <c r="G661" s="31" t="inlineStr">
        <is>
          <t>Other / assembly</t>
        </is>
      </c>
      <c r="H661" s="27" t="n">
        <v>465</v>
      </c>
      <c r="I661" s="27" t="n">
        <v>495</v>
      </c>
      <c r="J661" s="154">
        <f>I661/H661-1</f>
        <v/>
      </c>
      <c r="K661" s="31" t="inlineStr">
        <is>
          <t>31</t>
        </is>
      </c>
      <c r="L661" s="31" t="inlineStr">
        <is>
          <t>31</t>
        </is>
      </c>
      <c r="M661" s="31" t="inlineStr">
        <is>
          <t>S1</t>
        </is>
      </c>
      <c r="N661" s="31" t="inlineStr">
        <is>
          <t>S2</t>
        </is>
      </c>
      <c r="O661" s="31" t="inlineStr">
        <is>
          <t>108280-199</t>
        </is>
      </c>
      <c r="P661" s="31" t="inlineStr">
        <is>
          <t>SR Technics Switzerland</t>
        </is>
      </c>
    </row>
    <row r="662">
      <c r="B662" s="31" t="inlineStr">
        <is>
          <t>CFM56-5B</t>
        </is>
      </c>
      <c r="C662" s="31" t="inlineStr">
        <is>
          <t>2024-2025</t>
        </is>
      </c>
      <c r="D662" s="31" t="inlineStr">
        <is>
          <t>3249</t>
        </is>
      </c>
      <c r="E662" s="31" t="inlineStr">
        <is>
          <t>71-00-17</t>
        </is>
      </c>
      <c r="F662" s="31" t="inlineStr">
        <is>
          <t>SB02</t>
        </is>
      </c>
      <c r="G662" s="31" t="inlineStr">
        <is>
          <t>Other / assembly</t>
        </is>
      </c>
      <c r="H662" s="27" t="n">
        <v>540</v>
      </c>
      <c r="I662" s="27" t="n">
        <v>575</v>
      </c>
      <c r="J662" s="154">
        <f>I662/H662-1</f>
        <v/>
      </c>
      <c r="K662" s="31" t="inlineStr">
        <is>
          <t>31</t>
        </is>
      </c>
      <c r="L662" s="31" t="inlineStr">
        <is>
          <t>31</t>
        </is>
      </c>
      <c r="M662" s="31" t="inlineStr">
        <is>
          <t>S1</t>
        </is>
      </c>
      <c r="N662" s="31" t="inlineStr">
        <is>
          <t>S2</t>
        </is>
      </c>
      <c r="O662" s="31" t="inlineStr">
        <is>
          <t>108280-199</t>
        </is>
      </c>
      <c r="P662" s="31" t="inlineStr">
        <is>
          <t>SR Technics Switzerland</t>
        </is>
      </c>
    </row>
    <row r="663">
      <c r="B663" s="31" t="inlineStr">
        <is>
          <t>CFM56-5B</t>
        </is>
      </c>
      <c r="C663" s="31" t="inlineStr">
        <is>
          <t>2024-2025</t>
        </is>
      </c>
      <c r="D663" s="31" t="inlineStr">
        <is>
          <t>3249</t>
        </is>
      </c>
      <c r="E663" s="31" t="inlineStr">
        <is>
          <t>71-00-17</t>
        </is>
      </c>
      <c r="F663" s="31" t="inlineStr">
        <is>
          <t>SB03</t>
        </is>
      </c>
      <c r="G663" s="31" t="inlineStr">
        <is>
          <t>Other / assembly</t>
        </is>
      </c>
      <c r="H663" s="27" t="n">
        <v>315</v>
      </c>
      <c r="I663" s="27" t="n">
        <v>335</v>
      </c>
      <c r="J663" s="154">
        <f>I663/H663-1</f>
        <v/>
      </c>
      <c r="K663" s="31" t="inlineStr">
        <is>
          <t>31</t>
        </is>
      </c>
      <c r="L663" s="31" t="inlineStr">
        <is>
          <t>31</t>
        </is>
      </c>
      <c r="M663" s="31" t="inlineStr">
        <is>
          <t>S1</t>
        </is>
      </c>
      <c r="N663" s="31" t="inlineStr">
        <is>
          <t>S2</t>
        </is>
      </c>
      <c r="O663" s="31" t="inlineStr">
        <is>
          <t>108280-199</t>
        </is>
      </c>
      <c r="P663" s="31" t="inlineStr">
        <is>
          <t>SR Technics Switzerland</t>
        </is>
      </c>
    </row>
    <row r="664">
      <c r="B664" s="31" t="inlineStr">
        <is>
          <t>CFM56-5B</t>
        </is>
      </c>
      <c r="C664" s="31" t="inlineStr">
        <is>
          <t>2024-2025</t>
        </is>
      </c>
      <c r="D664" s="31" t="inlineStr">
        <is>
          <t>3461</t>
        </is>
      </c>
      <c r="E664" s="31" t="inlineStr">
        <is>
          <t>72-09-01</t>
        </is>
      </c>
      <c r="F664" s="31" t="inlineStr">
        <is>
          <t>A</t>
        </is>
      </c>
      <c r="G664" s="31" t="inlineStr">
        <is>
          <t>Other / assembly</t>
        </is>
      </c>
      <c r="H664" s="27" t="n">
        <v>1320</v>
      </c>
      <c r="I664" s="27" t="n">
        <v>1400</v>
      </c>
      <c r="J664" s="154">
        <f>I664/H664-1</f>
        <v/>
      </c>
      <c r="K664" s="31" t="inlineStr">
        <is>
          <t>32</t>
        </is>
      </c>
      <c r="L664" s="31" t="inlineStr">
        <is>
          <t>33</t>
        </is>
      </c>
      <c r="M664" s="31" t="inlineStr">
        <is>
          <t>S1</t>
        </is>
      </c>
      <c r="N664" s="31" t="inlineStr">
        <is>
          <t>S2</t>
        </is>
      </c>
      <c r="O664" s="31" t="inlineStr">
        <is>
          <t>301-480-220-0</t>
        </is>
      </c>
      <c r="P664" s="31" t="inlineStr">
        <is>
          <t>SR Technics Switzerland</t>
        </is>
      </c>
    </row>
    <row r="665">
      <c r="B665" s="31" t="inlineStr">
        <is>
          <t>CFM56-5B</t>
        </is>
      </c>
      <c r="C665" s="31" t="inlineStr">
        <is>
          <t>2024-2025</t>
        </is>
      </c>
      <c r="D665" s="31" t="inlineStr">
        <is>
          <t>3473</t>
        </is>
      </c>
      <c r="E665" s="31" t="inlineStr">
        <is>
          <t>72-56-06</t>
        </is>
      </c>
      <c r="F665" s="31" t="inlineStr">
        <is>
          <t>A</t>
        </is>
      </c>
      <c r="G665" s="31" t="inlineStr">
        <is>
          <t>LPT</t>
        </is>
      </c>
      <c r="H665" s="27" t="n">
        <v>1585</v>
      </c>
      <c r="I665" s="27" t="n">
        <v>1685</v>
      </c>
      <c r="J665" s="154">
        <f>I665/H665-1</f>
        <v/>
      </c>
      <c r="K665" s="31" t="inlineStr">
        <is>
          <t>4</t>
        </is>
      </c>
      <c r="L665" s="31" t="inlineStr">
        <is>
          <t>4</t>
        </is>
      </c>
      <c r="M665" s="31" t="inlineStr">
        <is>
          <t>S1</t>
        </is>
      </c>
      <c r="N665" s="31" t="inlineStr">
        <is>
          <t>S2</t>
        </is>
      </c>
      <c r="O665" s="31" t="inlineStr">
        <is>
          <t>336-024-704-0</t>
        </is>
      </c>
      <c r="P665" s="31" t="inlineStr">
        <is>
          <t>SR Technics Switzerland</t>
        </is>
      </c>
    </row>
    <row r="666">
      <c r="B666" s="31" t="inlineStr">
        <is>
          <t>CFM56-5B</t>
        </is>
      </c>
      <c r="C666" s="31" t="inlineStr">
        <is>
          <t>2024-2025</t>
        </is>
      </c>
      <c r="D666" s="31" t="inlineStr">
        <is>
          <t>3473</t>
        </is>
      </c>
      <c r="E666" s="31" t="inlineStr">
        <is>
          <t>72-56-06</t>
        </is>
      </c>
      <c r="F666" s="31" t="inlineStr">
        <is>
          <t>B</t>
        </is>
      </c>
      <c r="G666" s="31" t="inlineStr">
        <is>
          <t>LPT</t>
        </is>
      </c>
      <c r="H666" s="27" t="n">
        <v>4670</v>
      </c>
      <c r="I666" s="27" t="n">
        <v>4955</v>
      </c>
      <c r="J666" s="154">
        <f>I666/H666-1</f>
        <v/>
      </c>
      <c r="K666" s="31" t="inlineStr">
        <is>
          <t>4</t>
        </is>
      </c>
      <c r="L666" s="31" t="inlineStr">
        <is>
          <t>4</t>
        </is>
      </c>
      <c r="M666" s="31" t="inlineStr">
        <is>
          <t>S1</t>
        </is>
      </c>
      <c r="N666" s="31" t="inlineStr">
        <is>
          <t>S2</t>
        </is>
      </c>
      <c r="O666" s="31" t="inlineStr">
        <is>
          <t>336-024-704-0</t>
        </is>
      </c>
      <c r="P666" s="31" t="inlineStr">
        <is>
          <t>SR Technics Switzerland</t>
        </is>
      </c>
    </row>
    <row r="667">
      <c r="B667" s="31" t="inlineStr">
        <is>
          <t>CFM56-5B</t>
        </is>
      </c>
      <c r="C667" s="31" t="inlineStr">
        <is>
          <t>2024-2025</t>
        </is>
      </c>
      <c r="D667" s="31" t="inlineStr">
        <is>
          <t>3473</t>
        </is>
      </c>
      <c r="E667" s="31" t="inlineStr">
        <is>
          <t>72-56-06</t>
        </is>
      </c>
      <c r="F667" s="31" t="inlineStr">
        <is>
          <t>C</t>
        </is>
      </c>
      <c r="G667" s="31" t="inlineStr">
        <is>
          <t>LPT</t>
        </is>
      </c>
      <c r="H667" s="27" t="n">
        <v>805</v>
      </c>
      <c r="I667" s="27" t="n">
        <v>855</v>
      </c>
      <c r="J667" s="154">
        <f>I667/H667-1</f>
        <v/>
      </c>
      <c r="K667" s="31" t="inlineStr">
        <is>
          <t>4</t>
        </is>
      </c>
      <c r="L667" s="31" t="inlineStr">
        <is>
          <t>4</t>
        </is>
      </c>
      <c r="M667" s="31" t="inlineStr">
        <is>
          <t>S1</t>
        </is>
      </c>
      <c r="N667" s="31" t="inlineStr">
        <is>
          <t>S2</t>
        </is>
      </c>
      <c r="O667" s="31" t="inlineStr">
        <is>
          <t>336-024-704-0</t>
        </is>
      </c>
      <c r="P667" s="31" t="inlineStr">
        <is>
          <t>SR Technics Switzerland</t>
        </is>
      </c>
    </row>
    <row r="668">
      <c r="B668" s="31" t="inlineStr">
        <is>
          <t>CFM56-5B</t>
        </is>
      </c>
      <c r="C668" s="31" t="inlineStr">
        <is>
          <t>2024-2025</t>
        </is>
      </c>
      <c r="D668" s="31" t="inlineStr">
        <is>
          <t>3473</t>
        </is>
      </c>
      <c r="E668" s="31" t="inlineStr">
        <is>
          <t>72-56-06</t>
        </is>
      </c>
      <c r="F668" s="31" t="inlineStr">
        <is>
          <t>E</t>
        </is>
      </c>
      <c r="G668" s="31" t="inlineStr">
        <is>
          <t>LPT</t>
        </is>
      </c>
      <c r="H668" s="27" t="n">
        <v>2760</v>
      </c>
      <c r="I668" s="27" t="n">
        <v>2930</v>
      </c>
      <c r="J668" s="154">
        <f>I668/H668-1</f>
        <v/>
      </c>
      <c r="K668" s="31" t="inlineStr">
        <is>
          <t>4</t>
        </is>
      </c>
      <c r="L668" s="31" t="inlineStr">
        <is>
          <t>4</t>
        </is>
      </c>
      <c r="M668" s="31" t="inlineStr">
        <is>
          <t>S1</t>
        </is>
      </c>
      <c r="N668" s="31" t="inlineStr">
        <is>
          <t>S2</t>
        </is>
      </c>
      <c r="O668" s="31" t="inlineStr">
        <is>
          <t>336-024-704-0</t>
        </is>
      </c>
      <c r="P668" s="31" t="inlineStr">
        <is>
          <t>SR Technics Switzerland</t>
        </is>
      </c>
    </row>
    <row r="669">
      <c r="B669" s="31" t="inlineStr">
        <is>
          <t>CFM56-5B</t>
        </is>
      </c>
      <c r="C669" s="31" t="inlineStr">
        <is>
          <t>2024-2025</t>
        </is>
      </c>
      <c r="D669" s="31" t="inlineStr">
        <is>
          <t>3473</t>
        </is>
      </c>
      <c r="E669" s="31" t="inlineStr">
        <is>
          <t>72-56-06</t>
        </is>
      </c>
      <c r="F669" s="31" t="inlineStr">
        <is>
          <t>SB00</t>
        </is>
      </c>
      <c r="G669" s="31" t="inlineStr">
        <is>
          <t>LPT</t>
        </is>
      </c>
      <c r="H669" s="27" t="n">
        <v>1135</v>
      </c>
      <c r="I669" s="27" t="n">
        <v>1205</v>
      </c>
      <c r="J669" s="154">
        <f>I669/H669-1</f>
        <v/>
      </c>
      <c r="K669" s="31" t="inlineStr">
        <is>
          <t>4</t>
        </is>
      </c>
      <c r="L669" s="31" t="inlineStr">
        <is>
          <t>4</t>
        </is>
      </c>
      <c r="M669" s="31" t="inlineStr">
        <is>
          <t>S1</t>
        </is>
      </c>
      <c r="N669" s="31" t="inlineStr">
        <is>
          <t>S2</t>
        </is>
      </c>
      <c r="O669" s="31" t="inlineStr">
        <is>
          <t>336-024-704-0</t>
        </is>
      </c>
      <c r="P669" s="31" t="inlineStr">
        <is>
          <t>SR Technics Switzerland</t>
        </is>
      </c>
    </row>
    <row r="670">
      <c r="B670" s="31" t="inlineStr">
        <is>
          <t>CFM56-5B</t>
        </is>
      </c>
      <c r="C670" s="31" t="inlineStr">
        <is>
          <t>2024-2025</t>
        </is>
      </c>
      <c r="D670" s="31" t="inlineStr">
        <is>
          <t>3473</t>
        </is>
      </c>
      <c r="E670" s="31" t="inlineStr">
        <is>
          <t>72-56-06</t>
        </is>
      </c>
      <c r="F670" s="31" t="inlineStr">
        <is>
          <t>SB01</t>
        </is>
      </c>
      <c r="G670" s="31" t="inlineStr">
        <is>
          <t>LPT</t>
        </is>
      </c>
      <c r="H670" s="27" t="n">
        <v>1135</v>
      </c>
      <c r="I670" s="27" t="n">
        <v>1205</v>
      </c>
      <c r="J670" s="154">
        <f>I670/H670-1</f>
        <v/>
      </c>
      <c r="K670" s="31" t="inlineStr">
        <is>
          <t>4</t>
        </is>
      </c>
      <c r="L670" s="31" t="inlineStr">
        <is>
          <t>4</t>
        </is>
      </c>
      <c r="M670" s="31" t="inlineStr">
        <is>
          <t>S1</t>
        </is>
      </c>
      <c r="N670" s="31" t="inlineStr">
        <is>
          <t>S2</t>
        </is>
      </c>
      <c r="O670" s="31" t="inlineStr">
        <is>
          <t>336-024-704-0</t>
        </is>
      </c>
      <c r="P670" s="31" t="inlineStr">
        <is>
          <t>SR Technics Switzerland</t>
        </is>
      </c>
    </row>
    <row r="671">
      <c r="B671" s="31" t="inlineStr">
        <is>
          <t>CFM56-5B</t>
        </is>
      </c>
      <c r="C671" s="31" t="inlineStr">
        <is>
          <t>2024-2025</t>
        </is>
      </c>
      <c r="D671" s="31" t="inlineStr">
        <is>
          <t>3941</t>
        </is>
      </c>
      <c r="E671" s="31" t="inlineStr">
        <is>
          <t>72-21-11</t>
        </is>
      </c>
      <c r="F671" s="31" t="inlineStr">
        <is>
          <t>A</t>
        </is>
      </c>
      <c r="G671" s="31" t="inlineStr">
        <is>
          <t>Fan / booster</t>
        </is>
      </c>
      <c r="H671" s="27" t="n">
        <v>35</v>
      </c>
      <c r="I671" s="27" t="n">
        <v>40</v>
      </c>
      <c r="J671" s="154">
        <f>I671/H671-1</f>
        <v/>
      </c>
      <c r="K671" s="31" t="inlineStr">
        <is>
          <t>34</t>
        </is>
      </c>
      <c r="L671" s="31" t="inlineStr">
        <is>
          <t>34</t>
        </is>
      </c>
      <c r="M671" s="31" t="inlineStr">
        <is>
          <t>S1</t>
        </is>
      </c>
      <c r="N671" s="31" t="inlineStr">
        <is>
          <t>S2</t>
        </is>
      </c>
      <c r="O671" s="31" t="inlineStr">
        <is>
          <t>J816P050A</t>
        </is>
      </c>
      <c r="P671" s="31" t="inlineStr">
        <is>
          <t>SR Technics Switzerland</t>
        </is>
      </c>
    </row>
    <row r="672">
      <c r="B672" s="31" t="inlineStr">
        <is>
          <t>CFM56-5B</t>
        </is>
      </c>
      <c r="C672" s="31" t="inlineStr">
        <is>
          <t>2024-2025</t>
        </is>
      </c>
      <c r="D672" s="31" t="inlineStr">
        <is>
          <t>3975</t>
        </is>
      </c>
      <c r="E672" s="31" t="inlineStr">
        <is>
          <t>72-51-10</t>
        </is>
      </c>
      <c r="F672" s="31" t="inlineStr">
        <is>
          <t>A</t>
        </is>
      </c>
      <c r="G672" s="31" t="inlineStr">
        <is>
          <t>HPT / nozzle</t>
        </is>
      </c>
      <c r="H672" s="27" t="n">
        <v>475</v>
      </c>
      <c r="I672" s="27" t="n">
        <v>505</v>
      </c>
      <c r="J672" s="154">
        <f>I672/H672-1</f>
        <v/>
      </c>
      <c r="K672" s="31" t="inlineStr">
        <is>
          <t>4</t>
        </is>
      </c>
      <c r="L672" s="31" t="inlineStr">
        <is>
          <t>4</t>
        </is>
      </c>
      <c r="M672" s="31" t="inlineStr">
        <is>
          <t>S1</t>
        </is>
      </c>
      <c r="N672" s="31" t="inlineStr">
        <is>
          <t>S2</t>
        </is>
      </c>
      <c r="O672" s="31" t="inlineStr">
        <is>
          <t>1358M80P04</t>
        </is>
      </c>
      <c r="P672" s="31" t="inlineStr">
        <is>
          <t>SR Technics Switzerland</t>
        </is>
      </c>
    </row>
    <row r="673">
      <c r="B673" s="31" t="inlineStr">
        <is>
          <t>CFM56-5B</t>
        </is>
      </c>
      <c r="C673" s="31" t="inlineStr">
        <is>
          <t>2024-2025</t>
        </is>
      </c>
      <c r="D673" s="31" t="inlineStr">
        <is>
          <t>3975</t>
        </is>
      </c>
      <c r="E673" s="31" t="inlineStr">
        <is>
          <t>72-51-10</t>
        </is>
      </c>
      <c r="F673" s="31" t="inlineStr">
        <is>
          <t>B</t>
        </is>
      </c>
      <c r="G673" s="31" t="inlineStr">
        <is>
          <t>HPT / nozzle</t>
        </is>
      </c>
      <c r="H673" s="27" t="n">
        <v>3400</v>
      </c>
      <c r="I673" s="27" t="n">
        <v>3605</v>
      </c>
      <c r="J673" s="154">
        <f>I673/H673-1</f>
        <v/>
      </c>
      <c r="K673" s="31" t="inlineStr">
        <is>
          <t>4</t>
        </is>
      </c>
      <c r="L673" s="31" t="inlineStr">
        <is>
          <t>4</t>
        </is>
      </c>
      <c r="M673" s="31" t="inlineStr">
        <is>
          <t>S1</t>
        </is>
      </c>
      <c r="N673" s="31" t="inlineStr">
        <is>
          <t>S2</t>
        </is>
      </c>
      <c r="O673" s="31" t="inlineStr">
        <is>
          <t>1358M80P04</t>
        </is>
      </c>
      <c r="P673" s="31" t="inlineStr">
        <is>
          <t>SR Technics Switzerland</t>
        </is>
      </c>
    </row>
    <row r="674">
      <c r="B674" s="31" t="inlineStr">
        <is>
          <t>CFM56-5B</t>
        </is>
      </c>
      <c r="C674" s="31" t="inlineStr">
        <is>
          <t>2024-2025</t>
        </is>
      </c>
      <c r="D674" s="31" t="inlineStr">
        <is>
          <t>44969</t>
        </is>
      </c>
      <c r="E674" s="31" t="inlineStr">
        <is>
          <t>72-42-01</t>
        </is>
      </c>
      <c r="F674" s="31" t="inlineStr">
        <is>
          <t>A</t>
        </is>
      </c>
      <c r="G674" s="31" t="inlineStr">
        <is>
          <t>Combustor</t>
        </is>
      </c>
      <c r="H674" s="27" t="n">
        <v>905</v>
      </c>
      <c r="I674" s="27" t="n">
        <v>960</v>
      </c>
      <c r="J674" s="154">
        <f>I674/H674-1</f>
        <v/>
      </c>
      <c r="K674" s="31" t="inlineStr">
        <is>
          <t>7</t>
        </is>
      </c>
      <c r="L674" s="31" t="inlineStr">
        <is>
          <t>7</t>
        </is>
      </c>
      <c r="M674" s="31" t="inlineStr">
        <is>
          <t>S1</t>
        </is>
      </c>
      <c r="N674" s="31" t="inlineStr">
        <is>
          <t>S2</t>
        </is>
      </c>
      <c r="O674" s="31" t="inlineStr">
        <is>
          <t>9531M11G02</t>
        </is>
      </c>
      <c r="P674" s="31" t="inlineStr">
        <is>
          <t>SR Technics Switzerland</t>
        </is>
      </c>
    </row>
    <row r="675">
      <c r="B675" s="31" t="inlineStr">
        <is>
          <t>CFM56-5B</t>
        </is>
      </c>
      <c r="C675" s="31" t="inlineStr">
        <is>
          <t>2024-2025</t>
        </is>
      </c>
      <c r="D675" s="31" t="inlineStr">
        <is>
          <t>44969</t>
        </is>
      </c>
      <c r="E675" s="31" t="inlineStr">
        <is>
          <t>72-42-01</t>
        </is>
      </c>
      <c r="F675" s="31" t="inlineStr">
        <is>
          <t>C</t>
        </is>
      </c>
      <c r="G675" s="31" t="inlineStr">
        <is>
          <t>Combustor</t>
        </is>
      </c>
      <c r="H675" s="27" t="n">
        <v>1460</v>
      </c>
      <c r="I675" s="27" t="n">
        <v>1550</v>
      </c>
      <c r="J675" s="154">
        <f>I675/H675-1</f>
        <v/>
      </c>
      <c r="K675" s="31" t="inlineStr">
        <is>
          <t>7</t>
        </is>
      </c>
      <c r="L675" s="31" t="inlineStr">
        <is>
          <t>7</t>
        </is>
      </c>
      <c r="M675" s="31" t="inlineStr">
        <is>
          <t>S1</t>
        </is>
      </c>
      <c r="N675" s="31" t="inlineStr">
        <is>
          <t>S2</t>
        </is>
      </c>
      <c r="O675" s="31" t="inlineStr">
        <is>
          <t>9531M11G02</t>
        </is>
      </c>
      <c r="P675" s="31" t="inlineStr">
        <is>
          <t>SR Technics Switzerland</t>
        </is>
      </c>
    </row>
    <row r="676">
      <c r="B676" s="31" t="inlineStr">
        <is>
          <t>CFM56-5B</t>
        </is>
      </c>
      <c r="C676" s="31" t="inlineStr">
        <is>
          <t>2024-2025</t>
        </is>
      </c>
      <c r="D676" s="31" t="inlineStr">
        <is>
          <t>453</t>
        </is>
      </c>
      <c r="E676" s="31" t="inlineStr">
        <is>
          <t>72-53-08</t>
        </is>
      </c>
      <c r="F676" s="31" t="inlineStr">
        <is>
          <t>A</t>
        </is>
      </c>
      <c r="G676" s="31" t="inlineStr">
        <is>
          <t>HPT / nozzle</t>
        </is>
      </c>
      <c r="H676" s="27" t="n">
        <v>1035</v>
      </c>
      <c r="I676" s="27" t="n">
        <v>1100</v>
      </c>
      <c r="J676" s="154">
        <f>I676/H676-1</f>
        <v/>
      </c>
      <c r="K676" s="31" t="inlineStr">
        <is>
          <t>28</t>
        </is>
      </c>
      <c r="L676" s="31" t="inlineStr">
        <is>
          <t>28</t>
        </is>
      </c>
      <c r="M676" s="31" t="inlineStr">
        <is>
          <t>S1</t>
        </is>
      </c>
      <c r="N676" s="31" t="inlineStr">
        <is>
          <t>S2</t>
        </is>
      </c>
      <c r="O676" s="31" t="inlineStr">
        <is>
          <t>338-111-303-0</t>
        </is>
      </c>
      <c r="P676" s="31" t="inlineStr">
        <is>
          <t>SR Technics Switzerland</t>
        </is>
      </c>
    </row>
    <row r="677">
      <c r="B677" s="31" t="inlineStr">
        <is>
          <t>CFM56-5B</t>
        </is>
      </c>
      <c r="C677" s="31" t="inlineStr">
        <is>
          <t>2024-2025</t>
        </is>
      </c>
      <c r="D677" s="31" t="inlineStr">
        <is>
          <t>55101</t>
        </is>
      </c>
      <c r="E677" s="31" t="inlineStr">
        <is>
          <t>78-36-55</t>
        </is>
      </c>
      <c r="F677" s="31" t="inlineStr">
        <is>
          <t>A</t>
        </is>
      </c>
      <c r="G677" s="31" t="inlineStr">
        <is>
          <t>Other / assembly</t>
        </is>
      </c>
      <c r="H677" s="27" t="n">
        <v>340</v>
      </c>
      <c r="I677" s="27" t="n">
        <v>365</v>
      </c>
      <c r="J677" s="154">
        <f>I677/H677-1</f>
        <v/>
      </c>
      <c r="K677" s="31" t="inlineStr">
        <is>
          <t>41</t>
        </is>
      </c>
      <c r="L677" s="31" t="inlineStr">
        <is>
          <t>41</t>
        </is>
      </c>
      <c r="M677" s="31" t="inlineStr">
        <is>
          <t>S1</t>
        </is>
      </c>
      <c r="N677" s="31" t="inlineStr">
        <is>
          <t>S2</t>
        </is>
      </c>
      <c r="O677" s="31" t="inlineStr">
        <is>
          <t>321-451-602-0</t>
        </is>
      </c>
      <c r="P677" s="31" t="inlineStr">
        <is>
          <t>SR Technics Switzerland</t>
        </is>
      </c>
    </row>
    <row r="678">
      <c r="B678" s="31" t="inlineStr">
        <is>
          <t>CFM56-5B</t>
        </is>
      </c>
      <c r="C678" s="31" t="inlineStr">
        <is>
          <t>2024-2025</t>
        </is>
      </c>
      <c r="D678" s="31" t="inlineStr">
        <is>
          <t>600262</t>
        </is>
      </c>
      <c r="E678" s="31" t="inlineStr">
        <is>
          <t>73-11-14</t>
        </is>
      </c>
      <c r="F678" s="31" t="inlineStr">
        <is>
          <t>B</t>
        </is>
      </c>
      <c r="G678" s="31" t="inlineStr">
        <is>
          <t>Fuel system</t>
        </is>
      </c>
      <c r="H678" s="27" t="n">
        <v>1040</v>
      </c>
      <c r="I678" s="27" t="n">
        <v>1105</v>
      </c>
      <c r="J678" s="154">
        <f>I678/H678-1</f>
        <v/>
      </c>
      <c r="K678" s="31" t="inlineStr">
        <is>
          <t>18</t>
        </is>
      </c>
      <c r="L678" s="31" t="inlineStr">
        <is>
          <t>18</t>
        </is>
      </c>
      <c r="M678" s="31" t="inlineStr">
        <is>
          <t>S1</t>
        </is>
      </c>
      <c r="N678" s="31" t="inlineStr">
        <is>
          <t>S2</t>
        </is>
      </c>
      <c r="O678" s="31" t="inlineStr">
        <is>
          <t>218921-1</t>
        </is>
      </c>
      <c r="P678" s="31" t="inlineStr">
        <is>
          <t>SR Technics Switzerland</t>
        </is>
      </c>
    </row>
    <row r="679">
      <c r="B679" s="31" t="inlineStr">
        <is>
          <t>CFM56-5B</t>
        </is>
      </c>
      <c r="C679" s="31" t="inlineStr">
        <is>
          <t>2024-2025</t>
        </is>
      </c>
      <c r="D679" s="31" t="inlineStr">
        <is>
          <t>603639</t>
        </is>
      </c>
      <c r="E679" s="31" t="inlineStr">
        <is>
          <t>72-23-02</t>
        </is>
      </c>
      <c r="F679" s="31" t="inlineStr">
        <is>
          <t>A</t>
        </is>
      </c>
      <c r="G679" s="31" t="inlineStr">
        <is>
          <t>Fan / booster</t>
        </is>
      </c>
      <c r="H679" s="27" t="n">
        <v>1100</v>
      </c>
      <c r="I679" s="27" t="n">
        <v>2545</v>
      </c>
      <c r="J679" s="154">
        <f>I679/H679-1</f>
        <v/>
      </c>
      <c r="K679" s="31" t="inlineStr">
        <is>
          <t>18</t>
        </is>
      </c>
      <c r="L679" s="31" t="inlineStr">
        <is>
          <t>18</t>
        </is>
      </c>
      <c r="M679" s="31" t="inlineStr">
        <is>
          <t>S1</t>
        </is>
      </c>
      <c r="N679" s="31" t="inlineStr">
        <is>
          <t>S2</t>
        </is>
      </c>
      <c r="O679" s="31" t="inlineStr">
        <is>
          <t>2423M40G01</t>
        </is>
      </c>
      <c r="P679" s="31" t="inlineStr">
        <is>
          <t>SR Technics Switzerland</t>
        </is>
      </c>
    </row>
    <row r="680">
      <c r="B680" s="31" t="inlineStr">
        <is>
          <t>CFM56-5B</t>
        </is>
      </c>
      <c r="C680" s="31" t="inlineStr">
        <is>
          <t>2024-2025</t>
        </is>
      </c>
      <c r="D680" s="31" t="inlineStr">
        <is>
          <t>603639</t>
        </is>
      </c>
      <c r="E680" s="31" t="inlineStr">
        <is>
          <t>72-23-02</t>
        </is>
      </c>
      <c r="F680" s="31" t="inlineStr">
        <is>
          <t>AN</t>
        </is>
      </c>
      <c r="G680" s="31" t="inlineStr">
        <is>
          <t>Fan / booster</t>
        </is>
      </c>
      <c r="H680" s="27" t="n">
        <v>16680</v>
      </c>
      <c r="I680" s="27" t="n">
        <v>17685</v>
      </c>
      <c r="J680" s="154">
        <f>I680/H680-1</f>
        <v/>
      </c>
      <c r="K680" s="31" t="inlineStr">
        <is>
          <t>18</t>
        </is>
      </c>
      <c r="L680" s="31" t="inlineStr">
        <is>
          <t>18</t>
        </is>
      </c>
      <c r="M680" s="31" t="inlineStr">
        <is>
          <t>S1</t>
        </is>
      </c>
      <c r="N680" s="31" t="inlineStr">
        <is>
          <t>S2</t>
        </is>
      </c>
      <c r="O680" s="31" t="inlineStr">
        <is>
          <t>2423M40G01</t>
        </is>
      </c>
      <c r="P680" s="31" t="inlineStr">
        <is>
          <t>SR Technics Switzerland</t>
        </is>
      </c>
    </row>
    <row r="681">
      <c r="B681" s="31" t="inlineStr">
        <is>
          <t>CFM56-5B</t>
        </is>
      </c>
      <c r="C681" s="31" t="inlineStr">
        <is>
          <t>2024-2025</t>
        </is>
      </c>
      <c r="D681" s="31" t="inlineStr">
        <is>
          <t>603639</t>
        </is>
      </c>
      <c r="E681" s="31" t="inlineStr">
        <is>
          <t>72-23-02</t>
        </is>
      </c>
      <c r="F681" s="31" t="inlineStr">
        <is>
          <t>B</t>
        </is>
      </c>
      <c r="G681" s="31" t="inlineStr">
        <is>
          <t>Fan / booster</t>
        </is>
      </c>
      <c r="H681" s="27" t="n">
        <v>990</v>
      </c>
      <c r="I681" s="27" t="n">
        <v>1050</v>
      </c>
      <c r="J681" s="154">
        <f>I681/H681-1</f>
        <v/>
      </c>
      <c r="K681" s="31" t="inlineStr">
        <is>
          <t>18</t>
        </is>
      </c>
      <c r="L681" s="31" t="inlineStr">
        <is>
          <t>18</t>
        </is>
      </c>
      <c r="M681" s="31" t="inlineStr">
        <is>
          <t>S1</t>
        </is>
      </c>
      <c r="N681" s="31" t="inlineStr">
        <is>
          <t>S2</t>
        </is>
      </c>
      <c r="O681" s="31" t="inlineStr">
        <is>
          <t>2423M40G01</t>
        </is>
      </c>
      <c r="P681" s="31" t="inlineStr">
        <is>
          <t>SR Technics Switzerland</t>
        </is>
      </c>
    </row>
    <row r="682">
      <c r="B682" s="31" t="inlineStr">
        <is>
          <t>CFM56-5B</t>
        </is>
      </c>
      <c r="C682" s="31" t="inlineStr">
        <is>
          <t>2024-2025</t>
        </is>
      </c>
      <c r="D682" s="31" t="inlineStr">
        <is>
          <t>603639</t>
        </is>
      </c>
      <c r="E682" s="31" t="inlineStr">
        <is>
          <t>72-23-02</t>
        </is>
      </c>
      <c r="F682" s="31" t="inlineStr">
        <is>
          <t>D</t>
        </is>
      </c>
      <c r="G682" s="31" t="inlineStr">
        <is>
          <t>Fan / booster</t>
        </is>
      </c>
      <c r="H682" s="27" t="n">
        <v>1305</v>
      </c>
      <c r="I682" s="27" t="n">
        <v>1385</v>
      </c>
      <c r="J682" s="154">
        <f>I682/H682-1</f>
        <v/>
      </c>
      <c r="K682" s="31" t="inlineStr">
        <is>
          <t>18</t>
        </is>
      </c>
      <c r="L682" s="31" t="inlineStr">
        <is>
          <t>18</t>
        </is>
      </c>
      <c r="M682" s="31" t="inlineStr">
        <is>
          <t>S1</t>
        </is>
      </c>
      <c r="N682" s="31" t="inlineStr">
        <is>
          <t>S2</t>
        </is>
      </c>
      <c r="O682" s="31" t="inlineStr">
        <is>
          <t>2423M40G01</t>
        </is>
      </c>
      <c r="P682" s="31" t="inlineStr">
        <is>
          <t>SR Technics Switzerland</t>
        </is>
      </c>
    </row>
    <row r="683">
      <c r="B683" s="31" t="inlineStr">
        <is>
          <t>CFM56-5B</t>
        </is>
      </c>
      <c r="C683" s="31" t="inlineStr">
        <is>
          <t>2024-2025</t>
        </is>
      </c>
      <c r="D683" s="31" t="inlineStr">
        <is>
          <t>603639</t>
        </is>
      </c>
      <c r="E683" s="31" t="inlineStr">
        <is>
          <t>72-23-02</t>
        </is>
      </c>
      <c r="F683" s="31" t="inlineStr">
        <is>
          <t>H</t>
        </is>
      </c>
      <c r="G683" s="31" t="inlineStr">
        <is>
          <t>Fan / booster</t>
        </is>
      </c>
      <c r="H683" s="27" t="n">
        <v>1440</v>
      </c>
      <c r="I683" s="27" t="n">
        <v>1530</v>
      </c>
      <c r="J683" s="154">
        <f>I683/H683-1</f>
        <v/>
      </c>
      <c r="K683" s="31" t="inlineStr">
        <is>
          <t>18</t>
        </is>
      </c>
      <c r="L683" s="31" t="inlineStr">
        <is>
          <t>18</t>
        </is>
      </c>
      <c r="M683" s="31" t="inlineStr">
        <is>
          <t>S1</t>
        </is>
      </c>
      <c r="N683" s="31" t="inlineStr">
        <is>
          <t>S2</t>
        </is>
      </c>
      <c r="O683" s="31" t="inlineStr">
        <is>
          <t>2423M40G01</t>
        </is>
      </c>
      <c r="P683" s="31" t="inlineStr">
        <is>
          <t>SR Technics Switzerland</t>
        </is>
      </c>
    </row>
    <row r="684">
      <c r="B684" s="31" t="inlineStr">
        <is>
          <t>CFM56-5B</t>
        </is>
      </c>
      <c r="C684" s="31" t="inlineStr">
        <is>
          <t>2024-2025</t>
        </is>
      </c>
      <c r="D684" s="31" t="inlineStr">
        <is>
          <t>603639</t>
        </is>
      </c>
      <c r="E684" s="31" t="inlineStr">
        <is>
          <t>72-23-02</t>
        </is>
      </c>
      <c r="F684" s="31" t="inlineStr">
        <is>
          <t>I</t>
        </is>
      </c>
      <c r="G684" s="31" t="inlineStr">
        <is>
          <t>Fan / booster</t>
        </is>
      </c>
      <c r="H684" s="27" t="n">
        <v>1515</v>
      </c>
      <c r="I684" s="27" t="n">
        <v>1610</v>
      </c>
      <c r="J684" s="154">
        <f>I684/H684-1</f>
        <v/>
      </c>
      <c r="K684" s="31" t="inlineStr">
        <is>
          <t>18</t>
        </is>
      </c>
      <c r="L684" s="31" t="inlineStr">
        <is>
          <t>18</t>
        </is>
      </c>
      <c r="M684" s="31" t="inlineStr">
        <is>
          <t>S1</t>
        </is>
      </c>
      <c r="N684" s="31" t="inlineStr">
        <is>
          <t>S2</t>
        </is>
      </c>
      <c r="O684" s="31" t="inlineStr">
        <is>
          <t>2423M40G01</t>
        </is>
      </c>
      <c r="P684" s="31" t="inlineStr">
        <is>
          <t>SR Technics Switzerland</t>
        </is>
      </c>
    </row>
    <row r="685">
      <c r="B685" s="31" t="inlineStr">
        <is>
          <t>CFM56-5B</t>
        </is>
      </c>
      <c r="C685" s="31" t="inlineStr">
        <is>
          <t>2024-2025</t>
        </is>
      </c>
      <c r="D685" s="31" t="inlineStr">
        <is>
          <t>603639</t>
        </is>
      </c>
      <c r="E685" s="31" t="inlineStr">
        <is>
          <t>72-23-02</t>
        </is>
      </c>
      <c r="F685" s="31" t="inlineStr">
        <is>
          <t>K</t>
        </is>
      </c>
      <c r="G685" s="31" t="inlineStr">
        <is>
          <t>Fan / booster</t>
        </is>
      </c>
      <c r="H685" s="27" t="n">
        <v>1385</v>
      </c>
      <c r="I685" s="27" t="n">
        <v>1470</v>
      </c>
      <c r="J685" s="154">
        <f>I685/H685-1</f>
        <v/>
      </c>
      <c r="K685" s="31" t="inlineStr">
        <is>
          <t>18</t>
        </is>
      </c>
      <c r="L685" s="31" t="inlineStr">
        <is>
          <t>18</t>
        </is>
      </c>
      <c r="M685" s="31" t="inlineStr">
        <is>
          <t>S1</t>
        </is>
      </c>
      <c r="N685" s="31" t="inlineStr">
        <is>
          <t>S2</t>
        </is>
      </c>
      <c r="O685" s="31" t="inlineStr">
        <is>
          <t>2423M40G01</t>
        </is>
      </c>
      <c r="P685" s="31" t="inlineStr">
        <is>
          <t>SR Technics Switzerland</t>
        </is>
      </c>
    </row>
    <row r="686">
      <c r="B686" s="31" t="inlineStr">
        <is>
          <t>CFM56-5B</t>
        </is>
      </c>
      <c r="C686" s="31" t="inlineStr">
        <is>
          <t>2024-2025</t>
        </is>
      </c>
      <c r="D686" s="31" t="inlineStr">
        <is>
          <t>603639</t>
        </is>
      </c>
      <c r="E686" s="31" t="inlineStr">
        <is>
          <t>72-23-02</t>
        </is>
      </c>
      <c r="F686" s="31" t="inlineStr">
        <is>
          <t>L</t>
        </is>
      </c>
      <c r="G686" s="31" t="inlineStr">
        <is>
          <t>Fan / booster</t>
        </is>
      </c>
      <c r="H686" s="27" t="n">
        <v>21815</v>
      </c>
      <c r="I686" s="27" t="n">
        <v>23125</v>
      </c>
      <c r="J686" s="154">
        <f>I686/H686-1</f>
        <v/>
      </c>
      <c r="K686" s="31" t="inlineStr">
        <is>
          <t>18</t>
        </is>
      </c>
      <c r="L686" s="31" t="inlineStr">
        <is>
          <t>18</t>
        </is>
      </c>
      <c r="M686" s="31" t="inlineStr">
        <is>
          <t>S1</t>
        </is>
      </c>
      <c r="N686" s="31" t="inlineStr">
        <is>
          <t>S2</t>
        </is>
      </c>
      <c r="O686" s="31" t="inlineStr">
        <is>
          <t>2423M40G01</t>
        </is>
      </c>
      <c r="P686" s="31" t="inlineStr">
        <is>
          <t>SR Technics Switzerland</t>
        </is>
      </c>
    </row>
    <row r="687">
      <c r="B687" s="31" t="inlineStr">
        <is>
          <t>CFM56-5B</t>
        </is>
      </c>
      <c r="C687" s="31" t="inlineStr">
        <is>
          <t>2024-2025</t>
        </is>
      </c>
      <c r="D687" s="31" t="inlineStr">
        <is>
          <t>603639</t>
        </is>
      </c>
      <c r="E687" s="31" t="inlineStr">
        <is>
          <t>72-23-02</t>
        </is>
      </c>
      <c r="F687" s="31" t="inlineStr">
        <is>
          <t>M</t>
        </is>
      </c>
      <c r="G687" s="31" t="inlineStr">
        <is>
          <t>Fan / booster</t>
        </is>
      </c>
      <c r="H687" s="27" t="n">
        <v>6905</v>
      </c>
      <c r="I687" s="27" t="n">
        <v>7320</v>
      </c>
      <c r="J687" s="154">
        <f>I687/H687-1</f>
        <v/>
      </c>
      <c r="K687" s="31" t="inlineStr">
        <is>
          <t>18</t>
        </is>
      </c>
      <c r="L687" s="31" t="inlineStr">
        <is>
          <t>18</t>
        </is>
      </c>
      <c r="M687" s="31" t="inlineStr">
        <is>
          <t>S1</t>
        </is>
      </c>
      <c r="N687" s="31" t="inlineStr">
        <is>
          <t>S2</t>
        </is>
      </c>
      <c r="O687" s="31" t="inlineStr">
        <is>
          <t>2423M40G01</t>
        </is>
      </c>
      <c r="P687" s="31" t="inlineStr">
        <is>
          <t>SR Technics Switzerland</t>
        </is>
      </c>
    </row>
    <row r="688">
      <c r="B688" s="31" t="inlineStr">
        <is>
          <t>CFM56-5B</t>
        </is>
      </c>
      <c r="C688" s="31" t="inlineStr">
        <is>
          <t>2024-2025</t>
        </is>
      </c>
      <c r="D688" s="31" t="inlineStr">
        <is>
          <t>603639</t>
        </is>
      </c>
      <c r="E688" s="31" t="inlineStr">
        <is>
          <t>72-23-02</t>
        </is>
      </c>
      <c r="F688" s="31" t="inlineStr">
        <is>
          <t>R</t>
        </is>
      </c>
      <c r="G688" s="31" t="inlineStr">
        <is>
          <t>Fan / booster</t>
        </is>
      </c>
      <c r="H688" s="27" t="n">
        <v>3520</v>
      </c>
      <c r="I688" s="27" t="n">
        <v>3735</v>
      </c>
      <c r="J688" s="154">
        <f>I688/H688-1</f>
        <v/>
      </c>
      <c r="K688" s="31" t="inlineStr">
        <is>
          <t>18</t>
        </is>
      </c>
      <c r="L688" s="31" t="inlineStr">
        <is>
          <t>18</t>
        </is>
      </c>
      <c r="M688" s="31" t="inlineStr">
        <is>
          <t>S1</t>
        </is>
      </c>
      <c r="N688" s="31" t="inlineStr">
        <is>
          <t>S2</t>
        </is>
      </c>
      <c r="O688" s="31" t="inlineStr">
        <is>
          <t>2423M40G01</t>
        </is>
      </c>
      <c r="P688" s="31" t="inlineStr">
        <is>
          <t>SR Technics Switzerland</t>
        </is>
      </c>
    </row>
    <row r="689">
      <c r="B689" s="31" t="inlineStr">
        <is>
          <t>CFM56-5B</t>
        </is>
      </c>
      <c r="C689" s="31" t="inlineStr">
        <is>
          <t>2024-2025</t>
        </is>
      </c>
      <c r="D689" s="31" t="inlineStr">
        <is>
          <t>603639</t>
        </is>
      </c>
      <c r="E689" s="31" t="inlineStr">
        <is>
          <t>72-23-02</t>
        </is>
      </c>
      <c r="F689" s="31" t="inlineStr">
        <is>
          <t>S</t>
        </is>
      </c>
      <c r="G689" s="31" t="inlineStr">
        <is>
          <t>Fan / booster</t>
        </is>
      </c>
      <c r="H689" s="27" t="n">
        <v>1515</v>
      </c>
      <c r="I689" s="27" t="n">
        <v>1610</v>
      </c>
      <c r="J689" s="154">
        <f>I689/H689-1</f>
        <v/>
      </c>
      <c r="K689" s="31" t="inlineStr">
        <is>
          <t>18</t>
        </is>
      </c>
      <c r="L689" s="31" t="inlineStr">
        <is>
          <t>18</t>
        </is>
      </c>
      <c r="M689" s="31" t="inlineStr">
        <is>
          <t>S1</t>
        </is>
      </c>
      <c r="N689" s="31" t="inlineStr">
        <is>
          <t>S2</t>
        </is>
      </c>
      <c r="O689" s="31" t="inlineStr">
        <is>
          <t>2423M40G01</t>
        </is>
      </c>
      <c r="P689" s="31" t="inlineStr">
        <is>
          <t>SR Technics Switzerland</t>
        </is>
      </c>
    </row>
    <row r="690">
      <c r="B690" s="31" t="inlineStr">
        <is>
          <t>CFM56-5B</t>
        </is>
      </c>
      <c r="C690" s="31" t="inlineStr">
        <is>
          <t>2024-2025</t>
        </is>
      </c>
      <c r="D690" s="31" t="inlineStr">
        <is>
          <t>603639</t>
        </is>
      </c>
      <c r="E690" s="31" t="inlineStr">
        <is>
          <t>72-23-02</t>
        </is>
      </c>
      <c r="F690" s="31" t="inlineStr">
        <is>
          <t>SB00</t>
        </is>
      </c>
      <c r="G690" s="31" t="inlineStr">
        <is>
          <t>Fan / booster</t>
        </is>
      </c>
      <c r="H690" s="27" t="n">
        <v>430</v>
      </c>
      <c r="I690" s="27" t="n">
        <v>460</v>
      </c>
      <c r="J690" s="154">
        <f>I690/H690-1</f>
        <v/>
      </c>
      <c r="K690" s="31" t="inlineStr">
        <is>
          <t>18</t>
        </is>
      </c>
      <c r="L690" s="31" t="inlineStr">
        <is>
          <t>18</t>
        </is>
      </c>
      <c r="M690" s="31" t="inlineStr">
        <is>
          <t>S1</t>
        </is>
      </c>
      <c r="N690" s="31" t="inlineStr">
        <is>
          <t>S2</t>
        </is>
      </c>
      <c r="O690" s="31" t="inlineStr">
        <is>
          <t>2423M40G01</t>
        </is>
      </c>
      <c r="P690" s="31" t="inlineStr">
        <is>
          <t>SR Technics Switzerland</t>
        </is>
      </c>
    </row>
    <row r="691">
      <c r="B691" s="31" t="inlineStr">
        <is>
          <t>CFM56-5B</t>
        </is>
      </c>
      <c r="C691" s="31" t="inlineStr">
        <is>
          <t>2024-2025</t>
        </is>
      </c>
      <c r="D691" s="31" t="inlineStr">
        <is>
          <t>603639</t>
        </is>
      </c>
      <c r="E691" s="31" t="inlineStr">
        <is>
          <t>72-23-02</t>
        </is>
      </c>
      <c r="F691" s="31" t="inlineStr">
        <is>
          <t>T</t>
        </is>
      </c>
      <c r="G691" s="31" t="inlineStr">
        <is>
          <t>Fan / booster</t>
        </is>
      </c>
      <c r="H691" s="27" t="n">
        <v>3915</v>
      </c>
      <c r="I691" s="27" t="n">
        <v>4150</v>
      </c>
      <c r="J691" s="154">
        <f>I691/H691-1</f>
        <v/>
      </c>
      <c r="K691" s="31" t="inlineStr">
        <is>
          <t>18</t>
        </is>
      </c>
      <c r="L691" s="31" t="inlineStr">
        <is>
          <t>18</t>
        </is>
      </c>
      <c r="M691" s="31" t="inlineStr">
        <is>
          <t>S1</t>
        </is>
      </c>
      <c r="N691" s="31" t="inlineStr">
        <is>
          <t>S2</t>
        </is>
      </c>
      <c r="O691" s="31" t="inlineStr">
        <is>
          <t>2423M40G01</t>
        </is>
      </c>
      <c r="P691" s="31" t="inlineStr">
        <is>
          <t>SR Technics Switzerland</t>
        </is>
      </c>
    </row>
    <row r="692">
      <c r="B692" s="31" t="inlineStr">
        <is>
          <t>CFM56-5B</t>
        </is>
      </c>
      <c r="C692" s="31" t="inlineStr">
        <is>
          <t>2024-2025</t>
        </is>
      </c>
      <c r="D692" s="31" t="inlineStr">
        <is>
          <t>603639</t>
        </is>
      </c>
      <c r="E692" s="31" t="inlineStr">
        <is>
          <t>72-23-02</t>
        </is>
      </c>
      <c r="F692" s="31" t="inlineStr">
        <is>
          <t>U</t>
        </is>
      </c>
      <c r="G692" s="31" t="inlineStr">
        <is>
          <t>Fan / booster</t>
        </is>
      </c>
      <c r="H692" s="27" t="n">
        <v>3685</v>
      </c>
      <c r="I692" s="27" t="n">
        <v>3910</v>
      </c>
      <c r="J692" s="154">
        <f>I692/H692-1</f>
        <v/>
      </c>
      <c r="K692" s="31" t="inlineStr">
        <is>
          <t>18</t>
        </is>
      </c>
      <c r="L692" s="31" t="inlineStr">
        <is>
          <t>18</t>
        </is>
      </c>
      <c r="M692" s="31" t="inlineStr">
        <is>
          <t>S1</t>
        </is>
      </c>
      <c r="N692" s="31" t="inlineStr">
        <is>
          <t>S2</t>
        </is>
      </c>
      <c r="O692" s="31" t="inlineStr">
        <is>
          <t>2423M40G01</t>
        </is>
      </c>
      <c r="P692" s="31" t="inlineStr">
        <is>
          <t>SR Technics Switzerland</t>
        </is>
      </c>
    </row>
    <row r="693">
      <c r="B693" s="31" t="inlineStr">
        <is>
          <t>CFM56-5B</t>
        </is>
      </c>
      <c r="C693" s="31" t="inlineStr">
        <is>
          <t>2024-2025</t>
        </is>
      </c>
      <c r="D693" s="31" t="inlineStr">
        <is>
          <t>603670</t>
        </is>
      </c>
      <c r="E693" s="31" t="inlineStr">
        <is>
          <t>72-22-00</t>
        </is>
      </c>
      <c r="F693" s="31" t="inlineStr">
        <is>
          <t>A</t>
        </is>
      </c>
      <c r="G693" s="31" t="inlineStr">
        <is>
          <t>Fan / booster</t>
        </is>
      </c>
      <c r="H693" s="27" t="n">
        <v>75</v>
      </c>
      <c r="I693" s="27" t="n">
        <v>80</v>
      </c>
      <c r="J693" s="154">
        <f>I693/H693-1</f>
        <v/>
      </c>
      <c r="K693" s="31" t="inlineStr">
        <is>
          <t>18</t>
        </is>
      </c>
      <c r="L693" s="31" t="inlineStr">
        <is>
          <t>18</t>
        </is>
      </c>
      <c r="M693" s="31" t="inlineStr">
        <is>
          <t>S1</t>
        </is>
      </c>
      <c r="N693" s="31" t="inlineStr">
        <is>
          <t>S2</t>
        </is>
      </c>
      <c r="O693" s="31" t="inlineStr">
        <is>
          <t>301-475-904-6</t>
        </is>
      </c>
      <c r="P693" s="31" t="inlineStr">
        <is>
          <t>SR Technics Switzerland</t>
        </is>
      </c>
    </row>
    <row r="694">
      <c r="B694" s="31" t="inlineStr">
        <is>
          <t>CFM56-5B</t>
        </is>
      </c>
      <c r="C694" s="31" t="inlineStr">
        <is>
          <t>2024-2025</t>
        </is>
      </c>
      <c r="D694" s="31" t="inlineStr">
        <is>
          <t>603670</t>
        </is>
      </c>
      <c r="E694" s="31" t="inlineStr">
        <is>
          <t>72-22-00</t>
        </is>
      </c>
      <c r="F694" s="31" t="inlineStr">
        <is>
          <t>B</t>
        </is>
      </c>
      <c r="G694" s="31" t="inlineStr">
        <is>
          <t>Fan / booster</t>
        </is>
      </c>
      <c r="H694" s="27" t="n">
        <v>210</v>
      </c>
      <c r="I694" s="27" t="n">
        <v>225</v>
      </c>
      <c r="J694" s="154">
        <f>I694/H694-1</f>
        <v/>
      </c>
      <c r="K694" s="31" t="inlineStr">
        <is>
          <t>18</t>
        </is>
      </c>
      <c r="L694" s="31" t="inlineStr">
        <is>
          <t>18</t>
        </is>
      </c>
      <c r="M694" s="31" t="inlineStr">
        <is>
          <t>S1</t>
        </is>
      </c>
      <c r="N694" s="31" t="inlineStr">
        <is>
          <t>S2</t>
        </is>
      </c>
      <c r="O694" s="31" t="inlineStr">
        <is>
          <t>301-475-904-6</t>
        </is>
      </c>
      <c r="P694" s="31" t="inlineStr">
        <is>
          <t>SR Technics Switzerland</t>
        </is>
      </c>
    </row>
    <row r="695">
      <c r="B695" s="31" t="inlineStr">
        <is>
          <t>CFM56-5B</t>
        </is>
      </c>
      <c r="C695" s="31" t="inlineStr">
        <is>
          <t>2024-2025</t>
        </is>
      </c>
      <c r="D695" s="31" t="inlineStr">
        <is>
          <t>604567</t>
        </is>
      </c>
      <c r="E695" s="31" t="inlineStr">
        <is>
          <t>71-50-03</t>
        </is>
      </c>
      <c r="F695" s="31" t="inlineStr">
        <is>
          <t>C</t>
        </is>
      </c>
      <c r="G695" s="31" t="inlineStr">
        <is>
          <t>Other / assembly</t>
        </is>
      </c>
      <c r="H695" s="27" t="n">
        <v>395</v>
      </c>
      <c r="I695" s="27" t="n">
        <v>420</v>
      </c>
      <c r="J695" s="154">
        <f>I695/H695-1</f>
        <v/>
      </c>
      <c r="K695" s="31" t="inlineStr">
        <is>
          <t>18</t>
        </is>
      </c>
      <c r="L695" s="31" t="inlineStr">
        <is>
          <t>19</t>
        </is>
      </c>
      <c r="M695" s="31" t="inlineStr">
        <is>
          <t>S1</t>
        </is>
      </c>
      <c r="N695" s="31" t="inlineStr">
        <is>
          <t>S2</t>
        </is>
      </c>
      <c r="O695" s="31" t="inlineStr">
        <is>
          <t>642W9810-505</t>
        </is>
      </c>
      <c r="P695" s="31" t="inlineStr">
        <is>
          <t>SR Technics Switzerland</t>
        </is>
      </c>
    </row>
    <row r="696">
      <c r="B696" s="31" t="inlineStr">
        <is>
          <t>CFM56-5B</t>
        </is>
      </c>
      <c r="C696" s="31" t="inlineStr">
        <is>
          <t>2024-2025</t>
        </is>
      </c>
      <c r="D696" s="31" t="inlineStr">
        <is>
          <t>604567</t>
        </is>
      </c>
      <c r="E696" s="31" t="inlineStr">
        <is>
          <t>71-50-03</t>
        </is>
      </c>
      <c r="F696" s="31" t="inlineStr">
        <is>
          <t>D</t>
        </is>
      </c>
      <c r="G696" s="31" t="inlineStr">
        <is>
          <t>Other / assembly</t>
        </is>
      </c>
      <c r="H696" s="27" t="n">
        <v>1230</v>
      </c>
      <c r="I696" s="27" t="n">
        <v>1305</v>
      </c>
      <c r="J696" s="154">
        <f>I696/H696-1</f>
        <v/>
      </c>
      <c r="K696" s="31" t="inlineStr">
        <is>
          <t>18</t>
        </is>
      </c>
      <c r="L696" s="31" t="inlineStr">
        <is>
          <t>19</t>
        </is>
      </c>
      <c r="M696" s="31" t="inlineStr">
        <is>
          <t>S1</t>
        </is>
      </c>
      <c r="N696" s="31" t="inlineStr">
        <is>
          <t>S2</t>
        </is>
      </c>
      <c r="O696" s="31" t="inlineStr">
        <is>
          <t>642W9810-505</t>
        </is>
      </c>
      <c r="P696" s="31" t="inlineStr">
        <is>
          <t>SR Technics Switzerland</t>
        </is>
      </c>
    </row>
    <row r="697">
      <c r="B697" s="31" t="inlineStr">
        <is>
          <t>CFM56-5B</t>
        </is>
      </c>
      <c r="C697" s="31" t="inlineStr">
        <is>
          <t>2024-2025</t>
        </is>
      </c>
      <c r="D697" s="31" t="inlineStr">
        <is>
          <t>604567</t>
        </is>
      </c>
      <c r="E697" s="31" t="inlineStr">
        <is>
          <t>71-50-03</t>
        </is>
      </c>
      <c r="F697" s="31" t="inlineStr">
        <is>
          <t>E</t>
        </is>
      </c>
      <c r="G697" s="31" t="inlineStr">
        <is>
          <t>Other / assembly</t>
        </is>
      </c>
      <c r="H697" s="27" t="n">
        <v>3785</v>
      </c>
      <c r="I697" s="27" t="n">
        <v>4015</v>
      </c>
      <c r="J697" s="154">
        <f>I697/H697-1</f>
        <v/>
      </c>
      <c r="K697" s="31" t="inlineStr">
        <is>
          <t>18</t>
        </is>
      </c>
      <c r="L697" s="31" t="inlineStr">
        <is>
          <t>19</t>
        </is>
      </c>
      <c r="M697" s="31" t="inlineStr">
        <is>
          <t>S1</t>
        </is>
      </c>
      <c r="N697" s="31" t="inlineStr">
        <is>
          <t>S2</t>
        </is>
      </c>
      <c r="O697" s="31" t="inlineStr">
        <is>
          <t>642W9810-505</t>
        </is>
      </c>
      <c r="P697" s="31" t="inlineStr">
        <is>
          <t>SR Technics Switzerland</t>
        </is>
      </c>
    </row>
    <row r="698">
      <c r="B698" s="31" t="inlineStr">
        <is>
          <t>CFM56-5B</t>
        </is>
      </c>
      <c r="C698" s="31" t="inlineStr">
        <is>
          <t>2024-2025</t>
        </is>
      </c>
      <c r="D698" s="31" t="inlineStr">
        <is>
          <t>604567</t>
        </is>
      </c>
      <c r="E698" s="31" t="inlineStr">
        <is>
          <t>71-50-03</t>
        </is>
      </c>
      <c r="F698" s="31" t="inlineStr">
        <is>
          <t>F</t>
        </is>
      </c>
      <c r="G698" s="31" t="inlineStr">
        <is>
          <t>Other / assembly</t>
        </is>
      </c>
      <c r="H698" s="27" t="n">
        <v>7305</v>
      </c>
      <c r="I698" s="27" t="n">
        <v>7745</v>
      </c>
      <c r="J698" s="154">
        <f>I698/H698-1</f>
        <v/>
      </c>
      <c r="K698" s="31" t="inlineStr">
        <is>
          <t>18</t>
        </is>
      </c>
      <c r="L698" s="31" t="inlineStr">
        <is>
          <t>19</t>
        </is>
      </c>
      <c r="M698" s="31" t="inlineStr">
        <is>
          <t>S1</t>
        </is>
      </c>
      <c r="N698" s="31" t="inlineStr">
        <is>
          <t>S2</t>
        </is>
      </c>
      <c r="O698" s="31" t="inlineStr">
        <is>
          <t>642W9810-505</t>
        </is>
      </c>
      <c r="P698" s="31" t="inlineStr">
        <is>
          <t>SR Technics Switzerland</t>
        </is>
      </c>
    </row>
    <row r="699">
      <c r="B699" s="31" t="inlineStr">
        <is>
          <t>CFM56-5B</t>
        </is>
      </c>
      <c r="C699" s="31" t="inlineStr">
        <is>
          <t>2024-2025</t>
        </is>
      </c>
      <c r="D699" s="31" t="inlineStr">
        <is>
          <t>604600</t>
        </is>
      </c>
      <c r="E699" s="31" t="inlineStr">
        <is>
          <t>71-50-03</t>
        </is>
      </c>
      <c r="F699" s="31" t="inlineStr">
        <is>
          <t>C</t>
        </is>
      </c>
      <c r="G699" s="31" t="inlineStr">
        <is>
          <t>Other / assembly</t>
        </is>
      </c>
      <c r="H699" s="27" t="n">
        <v>360</v>
      </c>
      <c r="I699" s="27" t="n">
        <v>385</v>
      </c>
      <c r="J699" s="154">
        <f>I699/H699-1</f>
        <v/>
      </c>
      <c r="K699" s="31" t="inlineStr">
        <is>
          <t>18</t>
        </is>
      </c>
      <c r="L699" s="31" t="inlineStr">
        <is>
          <t>19</t>
        </is>
      </c>
      <c r="M699" s="31" t="inlineStr">
        <is>
          <t>S1</t>
        </is>
      </c>
      <c r="N699" s="31" t="inlineStr">
        <is>
          <t>S2</t>
        </is>
      </c>
      <c r="O699" s="31" t="inlineStr">
        <is>
          <t>642W9811-505</t>
        </is>
      </c>
      <c r="P699" s="31" t="inlineStr">
        <is>
          <t>SR Technics Switzerland</t>
        </is>
      </c>
    </row>
    <row r="700">
      <c r="B700" s="31" t="inlineStr">
        <is>
          <t>CFM56-5B</t>
        </is>
      </c>
      <c r="C700" s="31" t="inlineStr">
        <is>
          <t>2024-2025</t>
        </is>
      </c>
      <c r="D700" s="31" t="inlineStr">
        <is>
          <t>604600</t>
        </is>
      </c>
      <c r="E700" s="31" t="inlineStr">
        <is>
          <t>71-50-03</t>
        </is>
      </c>
      <c r="F700" s="31" t="inlineStr">
        <is>
          <t>D</t>
        </is>
      </c>
      <c r="G700" s="31" t="inlineStr">
        <is>
          <t>Other / assembly</t>
        </is>
      </c>
      <c r="H700" s="27" t="n">
        <v>1190</v>
      </c>
      <c r="I700" s="27" t="n">
        <v>1265</v>
      </c>
      <c r="J700" s="154">
        <f>I700/H700-1</f>
        <v/>
      </c>
      <c r="K700" s="31" t="inlineStr">
        <is>
          <t>18</t>
        </is>
      </c>
      <c r="L700" s="31" t="inlineStr">
        <is>
          <t>19</t>
        </is>
      </c>
      <c r="M700" s="31" t="inlineStr">
        <is>
          <t>S1</t>
        </is>
      </c>
      <c r="N700" s="31" t="inlineStr">
        <is>
          <t>S2</t>
        </is>
      </c>
      <c r="O700" s="31" t="inlineStr">
        <is>
          <t>642W9811-505</t>
        </is>
      </c>
      <c r="P700" s="31" t="inlineStr">
        <is>
          <t>SR Technics Switzerland</t>
        </is>
      </c>
    </row>
    <row r="701">
      <c r="B701" s="31" t="inlineStr">
        <is>
          <t>CFM56-5B</t>
        </is>
      </c>
      <c r="C701" s="31" t="inlineStr">
        <is>
          <t>2024-2025</t>
        </is>
      </c>
      <c r="D701" s="31" t="inlineStr">
        <is>
          <t>604600</t>
        </is>
      </c>
      <c r="E701" s="31" t="inlineStr">
        <is>
          <t>71-50-03</t>
        </is>
      </c>
      <c r="F701" s="31" t="inlineStr">
        <is>
          <t>E</t>
        </is>
      </c>
      <c r="G701" s="31" t="inlineStr">
        <is>
          <t>Other / assembly</t>
        </is>
      </c>
      <c r="H701" s="27" t="n">
        <v>3915</v>
      </c>
      <c r="I701" s="27" t="n">
        <v>4150</v>
      </c>
      <c r="J701" s="154">
        <f>I701/H701-1</f>
        <v/>
      </c>
      <c r="K701" s="31" t="inlineStr">
        <is>
          <t>18</t>
        </is>
      </c>
      <c r="L701" s="31" t="inlineStr">
        <is>
          <t>19</t>
        </is>
      </c>
      <c r="M701" s="31" t="inlineStr">
        <is>
          <t>S1</t>
        </is>
      </c>
      <c r="N701" s="31" t="inlineStr">
        <is>
          <t>S2</t>
        </is>
      </c>
      <c r="O701" s="31" t="inlineStr">
        <is>
          <t>642W9811-505</t>
        </is>
      </c>
      <c r="P701" s="31" t="inlineStr">
        <is>
          <t>SR Technics Switzerland</t>
        </is>
      </c>
    </row>
    <row r="702">
      <c r="B702" s="31" t="inlineStr">
        <is>
          <t>CFM56-5B</t>
        </is>
      </c>
      <c r="C702" s="31" t="inlineStr">
        <is>
          <t>2024-2025</t>
        </is>
      </c>
      <c r="D702" s="31" t="inlineStr">
        <is>
          <t>604600</t>
        </is>
      </c>
      <c r="E702" s="31" t="inlineStr">
        <is>
          <t>71-50-03</t>
        </is>
      </c>
      <c r="F702" s="31" t="inlineStr">
        <is>
          <t>F</t>
        </is>
      </c>
      <c r="G702" s="31" t="inlineStr">
        <is>
          <t>Other / assembly</t>
        </is>
      </c>
      <c r="H702" s="27" t="n">
        <v>7885</v>
      </c>
      <c r="I702" s="27" t="n">
        <v>8360</v>
      </c>
      <c r="J702" s="154">
        <f>I702/H702-1</f>
        <v/>
      </c>
      <c r="K702" s="31" t="inlineStr">
        <is>
          <t>18</t>
        </is>
      </c>
      <c r="L702" s="31" t="inlineStr">
        <is>
          <t>19</t>
        </is>
      </c>
      <c r="M702" s="31" t="inlineStr">
        <is>
          <t>S1</t>
        </is>
      </c>
      <c r="N702" s="31" t="inlineStr">
        <is>
          <t>S2</t>
        </is>
      </c>
      <c r="O702" s="31" t="inlineStr">
        <is>
          <t>642W9811-505</t>
        </is>
      </c>
      <c r="P702" s="31" t="inlineStr">
        <is>
          <t>SR Technics Switzerland</t>
        </is>
      </c>
    </row>
    <row r="703">
      <c r="B703" s="31" t="inlineStr">
        <is>
          <t>CFM56-5B</t>
        </is>
      </c>
      <c r="C703" s="31" t="inlineStr">
        <is>
          <t>2024-2025</t>
        </is>
      </c>
      <c r="D703" s="31" t="inlineStr">
        <is>
          <t>604601</t>
        </is>
      </c>
      <c r="E703" s="31" t="inlineStr">
        <is>
          <t>71-50-03</t>
        </is>
      </c>
      <c r="F703" s="31" t="inlineStr">
        <is>
          <t>C</t>
        </is>
      </c>
      <c r="G703" s="31" t="inlineStr">
        <is>
          <t>Other / assembly</t>
        </is>
      </c>
      <c r="H703" s="27" t="n">
        <v>360</v>
      </c>
      <c r="I703" s="27" t="n">
        <v>385</v>
      </c>
      <c r="J703" s="154">
        <f>I703/H703-1</f>
        <v/>
      </c>
      <c r="K703" s="31" t="inlineStr">
        <is>
          <t>18</t>
        </is>
      </c>
      <c r="L703" s="31" t="inlineStr">
        <is>
          <t>19</t>
        </is>
      </c>
      <c r="M703" s="31" t="inlineStr">
        <is>
          <t>S1</t>
        </is>
      </c>
      <c r="N703" s="31" t="inlineStr">
        <is>
          <t>S2</t>
        </is>
      </c>
      <c r="O703" s="31" t="inlineStr">
        <is>
          <t>642W9812-505</t>
        </is>
      </c>
      <c r="P703" s="31" t="inlineStr">
        <is>
          <t>SR Technics Switzerland</t>
        </is>
      </c>
    </row>
    <row r="704">
      <c r="B704" s="31" t="inlineStr">
        <is>
          <t>CFM56-5B</t>
        </is>
      </c>
      <c r="C704" s="31" t="inlineStr">
        <is>
          <t>2024-2025</t>
        </is>
      </c>
      <c r="D704" s="31" t="inlineStr">
        <is>
          <t>604601</t>
        </is>
      </c>
      <c r="E704" s="31" t="inlineStr">
        <is>
          <t>71-50-03</t>
        </is>
      </c>
      <c r="F704" s="31" t="inlineStr">
        <is>
          <t>D</t>
        </is>
      </c>
      <c r="G704" s="31" t="inlineStr">
        <is>
          <t>Other / assembly</t>
        </is>
      </c>
      <c r="H704" s="27" t="n">
        <v>1190</v>
      </c>
      <c r="I704" s="27" t="n">
        <v>1265</v>
      </c>
      <c r="J704" s="154">
        <f>I704/H704-1</f>
        <v/>
      </c>
      <c r="K704" s="31" t="inlineStr">
        <is>
          <t>18</t>
        </is>
      </c>
      <c r="L704" s="31" t="inlineStr">
        <is>
          <t>19</t>
        </is>
      </c>
      <c r="M704" s="31" t="inlineStr">
        <is>
          <t>S1</t>
        </is>
      </c>
      <c r="N704" s="31" t="inlineStr">
        <is>
          <t>S2</t>
        </is>
      </c>
      <c r="O704" s="31" t="inlineStr">
        <is>
          <t>642W9812-505</t>
        </is>
      </c>
      <c r="P704" s="31" t="inlineStr">
        <is>
          <t>SR Technics Switzerland</t>
        </is>
      </c>
    </row>
    <row r="705">
      <c r="B705" s="31" t="inlineStr">
        <is>
          <t>CFM56-5B</t>
        </is>
      </c>
      <c r="C705" s="31" t="inlineStr">
        <is>
          <t>2024-2025</t>
        </is>
      </c>
      <c r="D705" s="31" t="inlineStr">
        <is>
          <t>604601</t>
        </is>
      </c>
      <c r="E705" s="31" t="inlineStr">
        <is>
          <t>71-50-03</t>
        </is>
      </c>
      <c r="F705" s="31" t="inlineStr">
        <is>
          <t>E</t>
        </is>
      </c>
      <c r="G705" s="31" t="inlineStr">
        <is>
          <t>Other / assembly</t>
        </is>
      </c>
      <c r="H705" s="27" t="n">
        <v>3100</v>
      </c>
      <c r="I705" s="27" t="n">
        <v>3290</v>
      </c>
      <c r="J705" s="154">
        <f>I705/H705-1</f>
        <v/>
      </c>
      <c r="K705" s="31" t="inlineStr">
        <is>
          <t>18</t>
        </is>
      </c>
      <c r="L705" s="31" t="inlineStr">
        <is>
          <t>19</t>
        </is>
      </c>
      <c r="M705" s="31" t="inlineStr">
        <is>
          <t>S1</t>
        </is>
      </c>
      <c r="N705" s="31" t="inlineStr">
        <is>
          <t>S2</t>
        </is>
      </c>
      <c r="O705" s="31" t="inlineStr">
        <is>
          <t>642W9812-505</t>
        </is>
      </c>
      <c r="P705" s="31" t="inlineStr">
        <is>
          <t>SR Technics Switzerland</t>
        </is>
      </c>
    </row>
    <row r="706">
      <c r="B706" s="31" t="inlineStr">
        <is>
          <t>CFM56-5B</t>
        </is>
      </c>
      <c r="C706" s="31" t="inlineStr">
        <is>
          <t>2024-2025</t>
        </is>
      </c>
      <c r="D706" s="31" t="inlineStr">
        <is>
          <t>604601</t>
        </is>
      </c>
      <c r="E706" s="31" t="inlineStr">
        <is>
          <t>71-50-03</t>
        </is>
      </c>
      <c r="F706" s="31" t="inlineStr">
        <is>
          <t>F</t>
        </is>
      </c>
      <c r="G706" s="31" t="inlineStr">
        <is>
          <t>Other / assembly</t>
        </is>
      </c>
      <c r="H706" s="27" t="n">
        <v>3765</v>
      </c>
      <c r="I706" s="27" t="n">
        <v>3995</v>
      </c>
      <c r="J706" s="154">
        <f>I706/H706-1</f>
        <v/>
      </c>
      <c r="K706" s="31" t="inlineStr">
        <is>
          <t>18</t>
        </is>
      </c>
      <c r="L706" s="31" t="inlineStr">
        <is>
          <t>19</t>
        </is>
      </c>
      <c r="M706" s="31" t="inlineStr">
        <is>
          <t>S1</t>
        </is>
      </c>
      <c r="N706" s="31" t="inlineStr">
        <is>
          <t>S2</t>
        </is>
      </c>
      <c r="O706" s="31" t="inlineStr">
        <is>
          <t>642W9812-505</t>
        </is>
      </c>
      <c r="P706" s="31" t="inlineStr">
        <is>
          <t>SR Technics Switzerland</t>
        </is>
      </c>
    </row>
    <row r="707">
      <c r="B707" s="31" t="inlineStr">
        <is>
          <t>CFM56-5B</t>
        </is>
      </c>
      <c r="C707" s="31" t="inlineStr">
        <is>
          <t>2024-2025</t>
        </is>
      </c>
      <c r="D707" s="31" t="inlineStr">
        <is>
          <t>604602</t>
        </is>
      </c>
      <c r="E707" s="31" t="inlineStr">
        <is>
          <t>71-50-03</t>
        </is>
      </c>
      <c r="F707" s="31" t="inlineStr">
        <is>
          <t>C</t>
        </is>
      </c>
      <c r="G707" s="31" t="inlineStr">
        <is>
          <t>Other / assembly</t>
        </is>
      </c>
      <c r="H707" s="27" t="n">
        <v>360</v>
      </c>
      <c r="I707" s="27" t="n">
        <v>385</v>
      </c>
      <c r="J707" s="154">
        <f>I707/H707-1</f>
        <v/>
      </c>
      <c r="K707" s="31" t="inlineStr">
        <is>
          <t>18</t>
        </is>
      </c>
      <c r="L707" s="31" t="inlineStr">
        <is>
          <t>19</t>
        </is>
      </c>
      <c r="M707" s="31" t="inlineStr">
        <is>
          <t>S1</t>
        </is>
      </c>
      <c r="N707" s="31" t="inlineStr">
        <is>
          <t>S2</t>
        </is>
      </c>
      <c r="O707" s="31" t="inlineStr">
        <is>
          <t>642W9813-505</t>
        </is>
      </c>
      <c r="P707" s="31" t="inlineStr">
        <is>
          <t>SR Technics Switzerland</t>
        </is>
      </c>
    </row>
    <row r="708">
      <c r="B708" s="31" t="inlineStr">
        <is>
          <t>CFM56-5B</t>
        </is>
      </c>
      <c r="C708" s="31" t="inlineStr">
        <is>
          <t>2024-2025</t>
        </is>
      </c>
      <c r="D708" s="31" t="inlineStr">
        <is>
          <t>604602</t>
        </is>
      </c>
      <c r="E708" s="31" t="inlineStr">
        <is>
          <t>71-50-03</t>
        </is>
      </c>
      <c r="F708" s="31" t="inlineStr">
        <is>
          <t>D</t>
        </is>
      </c>
      <c r="G708" s="31" t="inlineStr">
        <is>
          <t>Other / assembly</t>
        </is>
      </c>
      <c r="H708" s="27" t="n">
        <v>1190</v>
      </c>
      <c r="I708" s="27" t="n">
        <v>1265</v>
      </c>
      <c r="J708" s="154">
        <f>I708/H708-1</f>
        <v/>
      </c>
      <c r="K708" s="31" t="inlineStr">
        <is>
          <t>18</t>
        </is>
      </c>
      <c r="L708" s="31" t="inlineStr">
        <is>
          <t>19</t>
        </is>
      </c>
      <c r="M708" s="31" t="inlineStr">
        <is>
          <t>S1</t>
        </is>
      </c>
      <c r="N708" s="31" t="inlineStr">
        <is>
          <t>S2</t>
        </is>
      </c>
      <c r="O708" s="31" t="inlineStr">
        <is>
          <t>642W9813-505</t>
        </is>
      </c>
      <c r="P708" s="31" t="inlineStr">
        <is>
          <t>SR Technics Switzerland</t>
        </is>
      </c>
    </row>
    <row r="709">
      <c r="B709" s="31" t="inlineStr">
        <is>
          <t>CFM56-5B</t>
        </is>
      </c>
      <c r="C709" s="31" t="inlineStr">
        <is>
          <t>2024-2025</t>
        </is>
      </c>
      <c r="D709" s="31" t="inlineStr">
        <is>
          <t>604602</t>
        </is>
      </c>
      <c r="E709" s="31" t="inlineStr">
        <is>
          <t>71-50-03</t>
        </is>
      </c>
      <c r="F709" s="31" t="inlineStr">
        <is>
          <t>E</t>
        </is>
      </c>
      <c r="G709" s="31" t="inlineStr">
        <is>
          <t>Other / assembly</t>
        </is>
      </c>
      <c r="H709" s="27" t="n">
        <v>3100</v>
      </c>
      <c r="I709" s="27" t="n">
        <v>3290</v>
      </c>
      <c r="J709" s="154">
        <f>I709/H709-1</f>
        <v/>
      </c>
      <c r="K709" s="31" t="inlineStr">
        <is>
          <t>19</t>
        </is>
      </c>
      <c r="L709" s="31" t="inlineStr">
        <is>
          <t>19</t>
        </is>
      </c>
      <c r="M709" s="31" t="inlineStr">
        <is>
          <t>S1</t>
        </is>
      </c>
      <c r="N709" s="31" t="inlineStr">
        <is>
          <t>S2</t>
        </is>
      </c>
      <c r="O709" s="31" t="inlineStr">
        <is>
          <t>642W9813-505</t>
        </is>
      </c>
      <c r="P709" s="31" t="inlineStr">
        <is>
          <t>SR Technics Switzerland</t>
        </is>
      </c>
    </row>
    <row r="710">
      <c r="B710" s="31" t="inlineStr">
        <is>
          <t>CFM56-5B</t>
        </is>
      </c>
      <c r="C710" s="31" t="inlineStr">
        <is>
          <t>2024-2025</t>
        </is>
      </c>
      <c r="D710" s="31" t="inlineStr">
        <is>
          <t>604602</t>
        </is>
      </c>
      <c r="E710" s="31" t="inlineStr">
        <is>
          <t>71-50-03</t>
        </is>
      </c>
      <c r="F710" s="31" t="inlineStr">
        <is>
          <t>F</t>
        </is>
      </c>
      <c r="G710" s="31" t="inlineStr">
        <is>
          <t>Other / assembly</t>
        </is>
      </c>
      <c r="H710" s="27" t="n">
        <v>3765</v>
      </c>
      <c r="I710" s="27" t="n">
        <v>3995</v>
      </c>
      <c r="J710" s="154">
        <f>I710/H710-1</f>
        <v/>
      </c>
      <c r="K710" s="31" t="inlineStr">
        <is>
          <t>19</t>
        </is>
      </c>
      <c r="L710" s="31" t="inlineStr">
        <is>
          <t>19</t>
        </is>
      </c>
      <c r="M710" s="31" t="inlineStr">
        <is>
          <t>S1</t>
        </is>
      </c>
      <c r="N710" s="31" t="inlineStr">
        <is>
          <t>S2</t>
        </is>
      </c>
      <c r="O710" s="31" t="inlineStr">
        <is>
          <t>642W9813-505</t>
        </is>
      </c>
      <c r="P710" s="31" t="inlineStr">
        <is>
          <t>SR Technics Switzerland</t>
        </is>
      </c>
    </row>
    <row r="711">
      <c r="B711" s="31" t="inlineStr">
        <is>
          <t>CFM56-5B</t>
        </is>
      </c>
      <c r="C711" s="31" t="inlineStr">
        <is>
          <t>2024-2025</t>
        </is>
      </c>
      <c r="D711" s="31" t="inlineStr">
        <is>
          <t>604603</t>
        </is>
      </c>
      <c r="E711" s="31" t="inlineStr">
        <is>
          <t>71-50-03</t>
        </is>
      </c>
      <c r="F711" s="31" t="inlineStr">
        <is>
          <t>C</t>
        </is>
      </c>
      <c r="G711" s="31" t="inlineStr">
        <is>
          <t>Other / assembly</t>
        </is>
      </c>
      <c r="H711" s="27" t="n">
        <v>360</v>
      </c>
      <c r="I711" s="27" t="n">
        <v>385</v>
      </c>
      <c r="J711" s="154">
        <f>I711/H711-1</f>
        <v/>
      </c>
      <c r="K711" s="31" t="inlineStr">
        <is>
          <t>19</t>
        </is>
      </c>
      <c r="L711" s="31" t="inlineStr">
        <is>
          <t>19</t>
        </is>
      </c>
      <c r="M711" s="31" t="inlineStr">
        <is>
          <t>S1</t>
        </is>
      </c>
      <c r="N711" s="31" t="inlineStr">
        <is>
          <t>S2</t>
        </is>
      </c>
      <c r="O711" s="31" t="inlineStr">
        <is>
          <t>642W9814-503</t>
        </is>
      </c>
      <c r="P711" s="31" t="inlineStr">
        <is>
          <t>SR Technics Switzerland</t>
        </is>
      </c>
    </row>
    <row r="712">
      <c r="B712" s="31" t="inlineStr">
        <is>
          <t>CFM56-5B</t>
        </is>
      </c>
      <c r="C712" s="31" t="inlineStr">
        <is>
          <t>2024-2025</t>
        </is>
      </c>
      <c r="D712" s="31" t="inlineStr">
        <is>
          <t>604603</t>
        </is>
      </c>
      <c r="E712" s="31" t="inlineStr">
        <is>
          <t>71-50-03</t>
        </is>
      </c>
      <c r="F712" s="31" t="inlineStr">
        <is>
          <t>D</t>
        </is>
      </c>
      <c r="G712" s="31" t="inlineStr">
        <is>
          <t>Other / assembly</t>
        </is>
      </c>
      <c r="H712" s="27" t="n">
        <v>1190</v>
      </c>
      <c r="I712" s="27" t="n">
        <v>1265</v>
      </c>
      <c r="J712" s="154">
        <f>I712/H712-1</f>
        <v/>
      </c>
      <c r="K712" s="31" t="inlineStr">
        <is>
          <t>19</t>
        </is>
      </c>
      <c r="L712" s="31" t="inlineStr">
        <is>
          <t>19</t>
        </is>
      </c>
      <c r="M712" s="31" t="inlineStr">
        <is>
          <t>S1</t>
        </is>
      </c>
      <c r="N712" s="31" t="inlineStr">
        <is>
          <t>S2</t>
        </is>
      </c>
      <c r="O712" s="31" t="inlineStr">
        <is>
          <t>642W9814-503</t>
        </is>
      </c>
      <c r="P712" s="31" t="inlineStr">
        <is>
          <t>SR Technics Switzerland</t>
        </is>
      </c>
    </row>
    <row r="713">
      <c r="B713" s="31" t="inlineStr">
        <is>
          <t>CFM56-5B</t>
        </is>
      </c>
      <c r="C713" s="31" t="inlineStr">
        <is>
          <t>2024-2025</t>
        </is>
      </c>
      <c r="D713" s="31" t="inlineStr">
        <is>
          <t>604603</t>
        </is>
      </c>
      <c r="E713" s="31" t="inlineStr">
        <is>
          <t>71-50-03</t>
        </is>
      </c>
      <c r="F713" s="31" t="inlineStr">
        <is>
          <t>E</t>
        </is>
      </c>
      <c r="G713" s="31" t="inlineStr">
        <is>
          <t>Other / assembly</t>
        </is>
      </c>
      <c r="H713" s="27" t="n">
        <v>4745</v>
      </c>
      <c r="I713" s="27" t="n">
        <v>5030</v>
      </c>
      <c r="J713" s="154">
        <f>I713/H713-1</f>
        <v/>
      </c>
      <c r="K713" s="31" t="inlineStr">
        <is>
          <t>19</t>
        </is>
      </c>
      <c r="L713" s="31" t="inlineStr">
        <is>
          <t>19</t>
        </is>
      </c>
      <c r="M713" s="31" t="inlineStr">
        <is>
          <t>S1</t>
        </is>
      </c>
      <c r="N713" s="31" t="inlineStr">
        <is>
          <t>S2</t>
        </is>
      </c>
      <c r="O713" s="31" t="inlineStr">
        <is>
          <t>642W9814-503</t>
        </is>
      </c>
      <c r="P713" s="31" t="inlineStr">
        <is>
          <t>SR Technics Switzerland</t>
        </is>
      </c>
    </row>
    <row r="714">
      <c r="B714" s="31" t="inlineStr">
        <is>
          <t>CFM56-5B</t>
        </is>
      </c>
      <c r="C714" s="31" t="inlineStr">
        <is>
          <t>2024-2025</t>
        </is>
      </c>
      <c r="D714" s="31" t="inlineStr">
        <is>
          <t>604603</t>
        </is>
      </c>
      <c r="E714" s="31" t="inlineStr">
        <is>
          <t>71-50-03</t>
        </is>
      </c>
      <c r="F714" s="31" t="inlineStr">
        <is>
          <t>F</t>
        </is>
      </c>
      <c r="G714" s="31" t="inlineStr">
        <is>
          <t>Other / assembly</t>
        </is>
      </c>
      <c r="H714" s="27" t="n">
        <v>7115</v>
      </c>
      <c r="I714" s="27" t="n">
        <v>7545</v>
      </c>
      <c r="J714" s="154">
        <f>I714/H714-1</f>
        <v/>
      </c>
      <c r="K714" s="31" t="inlineStr">
        <is>
          <t>19</t>
        </is>
      </c>
      <c r="L714" s="31" t="inlineStr">
        <is>
          <t>19</t>
        </is>
      </c>
      <c r="M714" s="31" t="inlineStr">
        <is>
          <t>S1</t>
        </is>
      </c>
      <c r="N714" s="31" t="inlineStr">
        <is>
          <t>S2</t>
        </is>
      </c>
      <c r="O714" s="31" t="inlineStr">
        <is>
          <t>642W9814-503</t>
        </is>
      </c>
      <c r="P714" s="31" t="inlineStr">
        <is>
          <t>SR Technics Switzerland</t>
        </is>
      </c>
    </row>
    <row r="715">
      <c r="B715" s="31" t="inlineStr">
        <is>
          <t>CFM56-5B</t>
        </is>
      </c>
      <c r="C715" s="31" t="inlineStr">
        <is>
          <t>2024-2025</t>
        </is>
      </c>
      <c r="D715" s="31" t="inlineStr">
        <is>
          <t>604604</t>
        </is>
      </c>
      <c r="E715" s="31" t="inlineStr">
        <is>
          <t>71-50-03</t>
        </is>
      </c>
      <c r="F715" s="31" t="inlineStr">
        <is>
          <t>C</t>
        </is>
      </c>
      <c r="G715" s="31" t="inlineStr">
        <is>
          <t>Other / assembly</t>
        </is>
      </c>
      <c r="H715" s="27" t="n">
        <v>395</v>
      </c>
      <c r="I715" s="27" t="n">
        <v>420</v>
      </c>
      <c r="J715" s="154">
        <f>I715/H715-1</f>
        <v/>
      </c>
      <c r="K715" s="31" t="inlineStr">
        <is>
          <t>19</t>
        </is>
      </c>
      <c r="L715" s="31" t="inlineStr">
        <is>
          <t>19</t>
        </is>
      </c>
      <c r="M715" s="31" t="inlineStr">
        <is>
          <t>S1</t>
        </is>
      </c>
      <c r="N715" s="31" t="inlineStr">
        <is>
          <t>S2</t>
        </is>
      </c>
      <c r="O715" s="31" t="inlineStr">
        <is>
          <t>642W9815-503</t>
        </is>
      </c>
      <c r="P715" s="31" t="inlineStr">
        <is>
          <t>SR Technics Switzerland</t>
        </is>
      </c>
    </row>
    <row r="716">
      <c r="B716" s="31" t="inlineStr">
        <is>
          <t>CFM56-5B</t>
        </is>
      </c>
      <c r="C716" s="31" t="inlineStr">
        <is>
          <t>2024-2025</t>
        </is>
      </c>
      <c r="D716" s="31" t="inlineStr">
        <is>
          <t>604604</t>
        </is>
      </c>
      <c r="E716" s="31" t="inlineStr">
        <is>
          <t>71-50-03</t>
        </is>
      </c>
      <c r="F716" s="31" t="inlineStr">
        <is>
          <t>D</t>
        </is>
      </c>
      <c r="G716" s="31" t="inlineStr">
        <is>
          <t>Other / assembly</t>
        </is>
      </c>
      <c r="H716" s="27" t="n">
        <v>1495</v>
      </c>
      <c r="I716" s="27" t="n">
        <v>1585</v>
      </c>
      <c r="J716" s="154">
        <f>I716/H716-1</f>
        <v/>
      </c>
      <c r="K716" s="31" t="inlineStr">
        <is>
          <t>19</t>
        </is>
      </c>
      <c r="L716" s="31" t="inlineStr">
        <is>
          <t>19</t>
        </is>
      </c>
      <c r="M716" s="31" t="inlineStr">
        <is>
          <t>S1</t>
        </is>
      </c>
      <c r="N716" s="31" t="inlineStr">
        <is>
          <t>S2</t>
        </is>
      </c>
      <c r="O716" s="31" t="inlineStr">
        <is>
          <t>642W9815-503</t>
        </is>
      </c>
      <c r="P716" s="31" t="inlineStr">
        <is>
          <t>SR Technics Switzerland</t>
        </is>
      </c>
    </row>
    <row r="717">
      <c r="B717" s="31" t="inlineStr">
        <is>
          <t>CFM56-5B</t>
        </is>
      </c>
      <c r="C717" s="31" t="inlineStr">
        <is>
          <t>2024-2025</t>
        </is>
      </c>
      <c r="D717" s="31" t="inlineStr">
        <is>
          <t>604604</t>
        </is>
      </c>
      <c r="E717" s="31" t="inlineStr">
        <is>
          <t>71-50-03</t>
        </is>
      </c>
      <c r="F717" s="31" t="inlineStr">
        <is>
          <t>E</t>
        </is>
      </c>
      <c r="G717" s="31" t="inlineStr">
        <is>
          <t>Other / assembly</t>
        </is>
      </c>
      <c r="H717" s="27" t="n">
        <v>5385</v>
      </c>
      <c r="I717" s="27" t="n">
        <v>5710</v>
      </c>
      <c r="J717" s="154">
        <f>I717/H717-1</f>
        <v/>
      </c>
      <c r="K717" s="31" t="inlineStr">
        <is>
          <t>19</t>
        </is>
      </c>
      <c r="L717" s="31" t="inlineStr">
        <is>
          <t>19</t>
        </is>
      </c>
      <c r="M717" s="31" t="inlineStr">
        <is>
          <t>S1</t>
        </is>
      </c>
      <c r="N717" s="31" t="inlineStr">
        <is>
          <t>S2</t>
        </is>
      </c>
      <c r="O717" s="31" t="inlineStr">
        <is>
          <t>642W9815-503</t>
        </is>
      </c>
      <c r="P717" s="31" t="inlineStr">
        <is>
          <t>SR Technics Switzerland</t>
        </is>
      </c>
    </row>
    <row r="718">
      <c r="B718" s="31" t="inlineStr">
        <is>
          <t>CFM56-5B</t>
        </is>
      </c>
      <c r="C718" s="31" t="inlineStr">
        <is>
          <t>2024-2025</t>
        </is>
      </c>
      <c r="D718" s="31" t="inlineStr">
        <is>
          <t>604604</t>
        </is>
      </c>
      <c r="E718" s="31" t="inlineStr">
        <is>
          <t>71-50-03</t>
        </is>
      </c>
      <c r="F718" s="31" t="inlineStr">
        <is>
          <t>F</t>
        </is>
      </c>
      <c r="G718" s="31" t="inlineStr">
        <is>
          <t>Other / assembly</t>
        </is>
      </c>
      <c r="H718" s="27" t="n">
        <v>7110</v>
      </c>
      <c r="I718" s="27" t="n">
        <v>7540</v>
      </c>
      <c r="J718" s="154">
        <f>I718/H718-1</f>
        <v/>
      </c>
      <c r="K718" s="31" t="inlineStr">
        <is>
          <t>19</t>
        </is>
      </c>
      <c r="L718" s="31" t="inlineStr">
        <is>
          <t>19</t>
        </is>
      </c>
      <c r="M718" s="31" t="inlineStr">
        <is>
          <t>S1</t>
        </is>
      </c>
      <c r="N718" s="31" t="inlineStr">
        <is>
          <t>S2</t>
        </is>
      </c>
      <c r="O718" s="31" t="inlineStr">
        <is>
          <t>642W9815-503</t>
        </is>
      </c>
      <c r="P718" s="31" t="inlineStr">
        <is>
          <t>SR Technics Switzerland</t>
        </is>
      </c>
    </row>
    <row r="719">
      <c r="B719" s="31" t="inlineStr">
        <is>
          <t>CFM56-5B</t>
        </is>
      </c>
      <c r="C719" s="31" t="inlineStr">
        <is>
          <t>2024-2025</t>
        </is>
      </c>
      <c r="D719" s="31" t="inlineStr">
        <is>
          <t>604605</t>
        </is>
      </c>
      <c r="E719" s="31" t="inlineStr">
        <is>
          <t>71-50-03</t>
        </is>
      </c>
      <c r="F719" s="31" t="inlineStr">
        <is>
          <t>C</t>
        </is>
      </c>
      <c r="G719" s="31" t="inlineStr">
        <is>
          <t>Other / assembly</t>
        </is>
      </c>
      <c r="H719" s="27" t="n">
        <v>360</v>
      </c>
      <c r="I719" s="27" t="n">
        <v>385</v>
      </c>
      <c r="J719" s="154">
        <f>I719/H719-1</f>
        <v/>
      </c>
      <c r="K719" s="31" t="inlineStr">
        <is>
          <t>19</t>
        </is>
      </c>
      <c r="L719" s="31" t="inlineStr">
        <is>
          <t>19</t>
        </is>
      </c>
      <c r="M719" s="31" t="inlineStr">
        <is>
          <t>S1</t>
        </is>
      </c>
      <c r="N719" s="31" t="inlineStr">
        <is>
          <t>S2</t>
        </is>
      </c>
      <c r="O719" s="31" t="inlineStr">
        <is>
          <t>642W9817-501</t>
        </is>
      </c>
      <c r="P719" s="31" t="inlineStr">
        <is>
          <t>SR Technics Switzerland</t>
        </is>
      </c>
    </row>
    <row r="720">
      <c r="B720" s="31" t="inlineStr">
        <is>
          <t>CFM56-5B</t>
        </is>
      </c>
      <c r="C720" s="31" t="inlineStr">
        <is>
          <t>2024-2025</t>
        </is>
      </c>
      <c r="D720" s="31" t="inlineStr">
        <is>
          <t>604605</t>
        </is>
      </c>
      <c r="E720" s="31" t="inlineStr">
        <is>
          <t>71-50-03</t>
        </is>
      </c>
      <c r="F720" s="31" t="inlineStr">
        <is>
          <t>D</t>
        </is>
      </c>
      <c r="G720" s="31" t="inlineStr">
        <is>
          <t>Other / assembly</t>
        </is>
      </c>
      <c r="H720" s="27" t="n">
        <v>840</v>
      </c>
      <c r="I720" s="27" t="n">
        <v>895</v>
      </c>
      <c r="J720" s="154">
        <f>I720/H720-1</f>
        <v/>
      </c>
      <c r="K720" s="31" t="inlineStr">
        <is>
          <t>19</t>
        </is>
      </c>
      <c r="L720" s="31" t="inlineStr">
        <is>
          <t>19</t>
        </is>
      </c>
      <c r="M720" s="31" t="inlineStr">
        <is>
          <t>S1</t>
        </is>
      </c>
      <c r="N720" s="31" t="inlineStr">
        <is>
          <t>S2</t>
        </is>
      </c>
      <c r="O720" s="31" t="inlineStr">
        <is>
          <t>642W9817-501</t>
        </is>
      </c>
      <c r="P720" s="31" t="inlineStr">
        <is>
          <t>SR Technics Switzerland</t>
        </is>
      </c>
    </row>
    <row r="721">
      <c r="B721" s="31" t="inlineStr">
        <is>
          <t>CFM56-5B</t>
        </is>
      </c>
      <c r="C721" s="31" t="inlineStr">
        <is>
          <t>2024-2025</t>
        </is>
      </c>
      <c r="D721" s="31" t="inlineStr">
        <is>
          <t>604605</t>
        </is>
      </c>
      <c r="E721" s="31" t="inlineStr">
        <is>
          <t>71-50-03</t>
        </is>
      </c>
      <c r="F721" s="31" t="inlineStr">
        <is>
          <t>E</t>
        </is>
      </c>
      <c r="G721" s="31" t="inlineStr">
        <is>
          <t>Other / assembly</t>
        </is>
      </c>
      <c r="H721" s="27" t="n">
        <v>1780</v>
      </c>
      <c r="I721" s="27" t="n">
        <v>1890</v>
      </c>
      <c r="J721" s="154">
        <f>I721/H721-1</f>
        <v/>
      </c>
      <c r="K721" s="31" t="inlineStr">
        <is>
          <t>19</t>
        </is>
      </c>
      <c r="L721" s="31" t="inlineStr">
        <is>
          <t>19</t>
        </is>
      </c>
      <c r="M721" s="31" t="inlineStr">
        <is>
          <t>S1</t>
        </is>
      </c>
      <c r="N721" s="31" t="inlineStr">
        <is>
          <t>S2</t>
        </is>
      </c>
      <c r="O721" s="31" t="inlineStr">
        <is>
          <t>642W9817-501</t>
        </is>
      </c>
      <c r="P721" s="31" t="inlineStr">
        <is>
          <t>SR Technics Switzerland</t>
        </is>
      </c>
    </row>
    <row r="722">
      <c r="B722" s="31" t="inlineStr">
        <is>
          <t>CFM56-5B</t>
        </is>
      </c>
      <c r="C722" s="31" t="inlineStr">
        <is>
          <t>2024-2025</t>
        </is>
      </c>
      <c r="D722" s="31" t="inlineStr">
        <is>
          <t>604605</t>
        </is>
      </c>
      <c r="E722" s="31" t="inlineStr">
        <is>
          <t>71-50-03</t>
        </is>
      </c>
      <c r="F722" s="31" t="inlineStr">
        <is>
          <t>F</t>
        </is>
      </c>
      <c r="G722" s="31" t="inlineStr">
        <is>
          <t>Other / assembly</t>
        </is>
      </c>
      <c r="H722" s="27" t="n">
        <v>3325</v>
      </c>
      <c r="I722" s="27" t="n">
        <v>3525</v>
      </c>
      <c r="J722" s="154">
        <f>I722/H722-1</f>
        <v/>
      </c>
      <c r="K722" s="31" t="inlineStr">
        <is>
          <t>19</t>
        </is>
      </c>
      <c r="L722" s="31" t="inlineStr">
        <is>
          <t>19</t>
        </is>
      </c>
      <c r="M722" s="31" t="inlineStr">
        <is>
          <t>S1</t>
        </is>
      </c>
      <c r="N722" s="31" t="inlineStr">
        <is>
          <t>S2</t>
        </is>
      </c>
      <c r="O722" s="31" t="inlineStr">
        <is>
          <t>642W9817-501</t>
        </is>
      </c>
      <c r="P722" s="31" t="inlineStr">
        <is>
          <t>SR Technics Switzerland</t>
        </is>
      </c>
    </row>
    <row r="723">
      <c r="B723" s="31" t="inlineStr">
        <is>
          <t>CFM56-5B</t>
        </is>
      </c>
      <c r="C723" s="31" t="inlineStr">
        <is>
          <t>2024-2025</t>
        </is>
      </c>
      <c r="D723" s="31" t="inlineStr">
        <is>
          <t>604606</t>
        </is>
      </c>
      <c r="E723" s="31" t="inlineStr">
        <is>
          <t>71-50-03</t>
        </is>
      </c>
      <c r="F723" s="31" t="inlineStr">
        <is>
          <t>C</t>
        </is>
      </c>
      <c r="G723" s="31" t="inlineStr">
        <is>
          <t>Other / assembly</t>
        </is>
      </c>
      <c r="H723" s="27" t="n">
        <v>360</v>
      </c>
      <c r="I723" s="27" t="n">
        <v>385</v>
      </c>
      <c r="J723" s="154">
        <f>I723/H723-1</f>
        <v/>
      </c>
      <c r="K723" s="31" t="inlineStr">
        <is>
          <t>19</t>
        </is>
      </c>
      <c r="L723" s="31" t="inlineStr">
        <is>
          <t>19</t>
        </is>
      </c>
      <c r="M723" s="31" t="inlineStr">
        <is>
          <t>S1</t>
        </is>
      </c>
      <c r="N723" s="31" t="inlineStr">
        <is>
          <t>S2</t>
        </is>
      </c>
      <c r="O723" s="31" t="inlineStr">
        <is>
          <t>642W9818-503</t>
        </is>
      </c>
      <c r="P723" s="31" t="inlineStr">
        <is>
          <t>SR Technics Switzerland</t>
        </is>
      </c>
    </row>
    <row r="724">
      <c r="B724" s="31" t="inlineStr">
        <is>
          <t>CFM56-5B</t>
        </is>
      </c>
      <c r="C724" s="31" t="inlineStr">
        <is>
          <t>2024-2025</t>
        </is>
      </c>
      <c r="D724" s="31" t="inlineStr">
        <is>
          <t>604606</t>
        </is>
      </c>
      <c r="E724" s="31" t="inlineStr">
        <is>
          <t>71-50-03</t>
        </is>
      </c>
      <c r="F724" s="31" t="inlineStr">
        <is>
          <t>D</t>
        </is>
      </c>
      <c r="G724" s="31" t="inlineStr">
        <is>
          <t>Other / assembly</t>
        </is>
      </c>
      <c r="H724" s="27" t="n">
        <v>1190</v>
      </c>
      <c r="I724" s="27" t="n">
        <v>1265</v>
      </c>
      <c r="J724" s="154">
        <f>I724/H724-1</f>
        <v/>
      </c>
      <c r="K724" s="31" t="inlineStr">
        <is>
          <t>19</t>
        </is>
      </c>
      <c r="L724" s="31" t="inlineStr">
        <is>
          <t>19</t>
        </is>
      </c>
      <c r="M724" s="31" t="inlineStr">
        <is>
          <t>S1</t>
        </is>
      </c>
      <c r="N724" s="31" t="inlineStr">
        <is>
          <t>S2</t>
        </is>
      </c>
      <c r="O724" s="31" t="inlineStr">
        <is>
          <t>642W9818-503</t>
        </is>
      </c>
      <c r="P724" s="31" t="inlineStr">
        <is>
          <t>SR Technics Switzerland</t>
        </is>
      </c>
    </row>
    <row r="725">
      <c r="B725" s="31" t="inlineStr">
        <is>
          <t>CFM56-5B</t>
        </is>
      </c>
      <c r="C725" s="31" t="inlineStr">
        <is>
          <t>2024-2025</t>
        </is>
      </c>
      <c r="D725" s="31" t="inlineStr">
        <is>
          <t>604606</t>
        </is>
      </c>
      <c r="E725" s="31" t="inlineStr">
        <is>
          <t>71-50-03</t>
        </is>
      </c>
      <c r="F725" s="31" t="inlineStr">
        <is>
          <t>E</t>
        </is>
      </c>
      <c r="G725" s="31" t="inlineStr">
        <is>
          <t>Other / assembly</t>
        </is>
      </c>
      <c r="H725" s="27" t="n">
        <v>2390</v>
      </c>
      <c r="I725" s="27" t="n">
        <v>2535</v>
      </c>
      <c r="J725" s="154">
        <f>I725/H725-1</f>
        <v/>
      </c>
      <c r="K725" s="31" t="inlineStr">
        <is>
          <t>19</t>
        </is>
      </c>
      <c r="L725" s="31" t="inlineStr">
        <is>
          <t>19</t>
        </is>
      </c>
      <c r="M725" s="31" t="inlineStr">
        <is>
          <t>S1</t>
        </is>
      </c>
      <c r="N725" s="31" t="inlineStr">
        <is>
          <t>S2</t>
        </is>
      </c>
      <c r="O725" s="31" t="inlineStr">
        <is>
          <t>642W9818-503</t>
        </is>
      </c>
      <c r="P725" s="31" t="inlineStr">
        <is>
          <t>SR Technics Switzerland</t>
        </is>
      </c>
    </row>
    <row r="726">
      <c r="B726" s="31" t="inlineStr">
        <is>
          <t>CFM56-5B</t>
        </is>
      </c>
      <c r="C726" s="31" t="inlineStr">
        <is>
          <t>2024-2025</t>
        </is>
      </c>
      <c r="D726" s="31" t="inlineStr">
        <is>
          <t>604606</t>
        </is>
      </c>
      <c r="E726" s="31" t="inlineStr">
        <is>
          <t>71-50-03</t>
        </is>
      </c>
      <c r="F726" s="31" t="inlineStr">
        <is>
          <t>F</t>
        </is>
      </c>
      <c r="G726" s="31" t="inlineStr">
        <is>
          <t>Other / assembly</t>
        </is>
      </c>
      <c r="H726" s="27" t="n">
        <v>2665</v>
      </c>
      <c r="I726" s="27" t="n">
        <v>2825</v>
      </c>
      <c r="J726" s="154">
        <f>I726/H726-1</f>
        <v/>
      </c>
      <c r="K726" s="31" t="inlineStr">
        <is>
          <t>19</t>
        </is>
      </c>
      <c r="L726" s="31" t="inlineStr">
        <is>
          <t>19</t>
        </is>
      </c>
      <c r="M726" s="31" t="inlineStr">
        <is>
          <t>S1</t>
        </is>
      </c>
      <c r="N726" s="31" t="inlineStr">
        <is>
          <t>S2</t>
        </is>
      </c>
      <c r="O726" s="31" t="inlineStr">
        <is>
          <t>642W9818-503</t>
        </is>
      </c>
      <c r="P726" s="31" t="inlineStr">
        <is>
          <t>SR Technics Switzerland</t>
        </is>
      </c>
    </row>
    <row r="727">
      <c r="B727" s="31" t="inlineStr">
        <is>
          <t>CFM56-5B</t>
        </is>
      </c>
      <c r="C727" s="31" t="inlineStr">
        <is>
          <t>2024-2025</t>
        </is>
      </c>
      <c r="D727" s="31" t="inlineStr">
        <is>
          <t>604607</t>
        </is>
      </c>
      <c r="E727" s="31" t="inlineStr">
        <is>
          <t>71-50-03</t>
        </is>
      </c>
      <c r="F727" s="31" t="inlineStr">
        <is>
          <t>C</t>
        </is>
      </c>
      <c r="G727" s="31" t="inlineStr">
        <is>
          <t>Other / assembly</t>
        </is>
      </c>
      <c r="H727" s="27" t="n">
        <v>360</v>
      </c>
      <c r="I727" s="27" t="n">
        <v>385</v>
      </c>
      <c r="J727" s="154">
        <f>I727/H727-1</f>
        <v/>
      </c>
      <c r="K727" s="31" t="inlineStr">
        <is>
          <t>19</t>
        </is>
      </c>
      <c r="L727" s="31" t="inlineStr">
        <is>
          <t>19</t>
        </is>
      </c>
      <c r="M727" s="31" t="inlineStr">
        <is>
          <t>S1</t>
        </is>
      </c>
      <c r="N727" s="31" t="inlineStr">
        <is>
          <t>S2</t>
        </is>
      </c>
      <c r="O727" s="31" t="inlineStr">
        <is>
          <t>642W9819-503</t>
        </is>
      </c>
      <c r="P727" s="31" t="inlineStr">
        <is>
          <t>SR Technics Switzerland</t>
        </is>
      </c>
    </row>
    <row r="728">
      <c r="B728" s="31" t="inlineStr">
        <is>
          <t>CFM56-5B</t>
        </is>
      </c>
      <c r="C728" s="31" t="inlineStr">
        <is>
          <t>2024-2025</t>
        </is>
      </c>
      <c r="D728" s="31" t="inlineStr">
        <is>
          <t>604607</t>
        </is>
      </c>
      <c r="E728" s="31" t="inlineStr">
        <is>
          <t>71-50-03</t>
        </is>
      </c>
      <c r="F728" s="31" t="inlineStr">
        <is>
          <t>D</t>
        </is>
      </c>
      <c r="G728" s="31" t="inlineStr">
        <is>
          <t>Other / assembly</t>
        </is>
      </c>
      <c r="H728" s="27" t="n">
        <v>1170</v>
      </c>
      <c r="I728" s="27" t="n">
        <v>1245</v>
      </c>
      <c r="J728" s="154">
        <f>I728/H728-1</f>
        <v/>
      </c>
      <c r="K728" s="31" t="inlineStr">
        <is>
          <t>19</t>
        </is>
      </c>
      <c r="L728" s="31" t="inlineStr">
        <is>
          <t>19</t>
        </is>
      </c>
      <c r="M728" s="31" t="inlineStr">
        <is>
          <t>S1</t>
        </is>
      </c>
      <c r="N728" s="31" t="inlineStr">
        <is>
          <t>S2</t>
        </is>
      </c>
      <c r="O728" s="31" t="inlineStr">
        <is>
          <t>642W9819-503</t>
        </is>
      </c>
      <c r="P728" s="31" t="inlineStr">
        <is>
          <t>SR Technics Switzerland</t>
        </is>
      </c>
    </row>
    <row r="729">
      <c r="B729" s="31" t="inlineStr">
        <is>
          <t>CFM56-5B</t>
        </is>
      </c>
      <c r="C729" s="31" t="inlineStr">
        <is>
          <t>2024-2025</t>
        </is>
      </c>
      <c r="D729" s="31" t="inlineStr">
        <is>
          <t>604607</t>
        </is>
      </c>
      <c r="E729" s="31" t="inlineStr">
        <is>
          <t>71-50-03</t>
        </is>
      </c>
      <c r="F729" s="31" t="inlineStr">
        <is>
          <t>E</t>
        </is>
      </c>
      <c r="G729" s="31" t="inlineStr">
        <is>
          <t>Other / assembly</t>
        </is>
      </c>
      <c r="H729" s="27" t="n">
        <v>1610</v>
      </c>
      <c r="I729" s="27" t="n">
        <v>1710</v>
      </c>
      <c r="J729" s="154">
        <f>I729/H729-1</f>
        <v/>
      </c>
      <c r="K729" s="31" t="inlineStr">
        <is>
          <t>19</t>
        </is>
      </c>
      <c r="L729" s="31" t="inlineStr">
        <is>
          <t>19</t>
        </is>
      </c>
      <c r="M729" s="31" t="inlineStr">
        <is>
          <t>S1</t>
        </is>
      </c>
      <c r="N729" s="31" t="inlineStr">
        <is>
          <t>S2</t>
        </is>
      </c>
      <c r="O729" s="31" t="inlineStr">
        <is>
          <t>642W9819-503</t>
        </is>
      </c>
      <c r="P729" s="31" t="inlineStr">
        <is>
          <t>SR Technics Switzerland</t>
        </is>
      </c>
    </row>
    <row r="730">
      <c r="B730" s="31" t="inlineStr">
        <is>
          <t>CFM56-5B</t>
        </is>
      </c>
      <c r="C730" s="31" t="inlineStr">
        <is>
          <t>2024-2025</t>
        </is>
      </c>
      <c r="D730" s="31" t="inlineStr">
        <is>
          <t>604607</t>
        </is>
      </c>
      <c r="E730" s="31" t="inlineStr">
        <is>
          <t>71-50-03</t>
        </is>
      </c>
      <c r="F730" s="31" t="inlineStr">
        <is>
          <t>F</t>
        </is>
      </c>
      <c r="G730" s="31" t="inlineStr">
        <is>
          <t>Other / assembly</t>
        </is>
      </c>
      <c r="H730" s="27" t="n">
        <v>3325</v>
      </c>
      <c r="I730" s="27" t="n">
        <v>3525</v>
      </c>
      <c r="J730" s="154">
        <f>I730/H730-1</f>
        <v/>
      </c>
      <c r="K730" s="31" t="inlineStr">
        <is>
          <t>19</t>
        </is>
      </c>
      <c r="L730" s="31" t="inlineStr">
        <is>
          <t>19</t>
        </is>
      </c>
      <c r="M730" s="31" t="inlineStr">
        <is>
          <t>S1</t>
        </is>
      </c>
      <c r="N730" s="31" t="inlineStr">
        <is>
          <t>S2</t>
        </is>
      </c>
      <c r="O730" s="31" t="inlineStr">
        <is>
          <t>642W9819-503</t>
        </is>
      </c>
      <c r="P730" s="31" t="inlineStr">
        <is>
          <t>SR Technics Switzerland</t>
        </is>
      </c>
    </row>
    <row r="731">
      <c r="B731" s="31" t="inlineStr">
        <is>
          <t>CFM56-5B</t>
        </is>
      </c>
      <c r="C731" s="31" t="inlineStr">
        <is>
          <t>2024-2025</t>
        </is>
      </c>
      <c r="D731" s="31" t="inlineStr">
        <is>
          <t>604608</t>
        </is>
      </c>
      <c r="E731" s="31" t="inlineStr">
        <is>
          <t>71-50-03</t>
        </is>
      </c>
      <c r="F731" s="31" t="inlineStr">
        <is>
          <t>C</t>
        </is>
      </c>
      <c r="G731" s="31" t="inlineStr">
        <is>
          <t>Other / assembly</t>
        </is>
      </c>
      <c r="H731" s="27" t="n">
        <v>360</v>
      </c>
      <c r="I731" s="27" t="n">
        <v>385</v>
      </c>
      <c r="J731" s="154">
        <f>I731/H731-1</f>
        <v/>
      </c>
      <c r="K731" s="31" t="inlineStr">
        <is>
          <t>19</t>
        </is>
      </c>
      <c r="L731" s="31" t="inlineStr">
        <is>
          <t>19</t>
        </is>
      </c>
      <c r="M731" s="31" t="inlineStr">
        <is>
          <t>S1</t>
        </is>
      </c>
      <c r="N731" s="31" t="inlineStr">
        <is>
          <t>S2</t>
        </is>
      </c>
      <c r="O731" s="31" t="inlineStr">
        <is>
          <t>642W9820-503</t>
        </is>
      </c>
      <c r="P731" s="31" t="inlineStr">
        <is>
          <t>SR Technics Switzerland</t>
        </is>
      </c>
    </row>
    <row r="732">
      <c r="B732" s="31" t="inlineStr">
        <is>
          <t>CFM56-5B</t>
        </is>
      </c>
      <c r="C732" s="31" t="inlineStr">
        <is>
          <t>2024-2025</t>
        </is>
      </c>
      <c r="D732" s="31" t="inlineStr">
        <is>
          <t>604608</t>
        </is>
      </c>
      <c r="E732" s="31" t="inlineStr">
        <is>
          <t>71-50-03</t>
        </is>
      </c>
      <c r="F732" s="31" t="inlineStr">
        <is>
          <t>D</t>
        </is>
      </c>
      <c r="G732" s="31" t="inlineStr">
        <is>
          <t>Other / assembly</t>
        </is>
      </c>
      <c r="H732" s="27" t="n">
        <v>1170</v>
      </c>
      <c r="I732" s="27" t="n">
        <v>1245</v>
      </c>
      <c r="J732" s="154">
        <f>I732/H732-1</f>
        <v/>
      </c>
      <c r="K732" s="31" t="inlineStr">
        <is>
          <t>19</t>
        </is>
      </c>
      <c r="L732" s="31" t="inlineStr">
        <is>
          <t>19</t>
        </is>
      </c>
      <c r="M732" s="31" t="inlineStr">
        <is>
          <t>S1</t>
        </is>
      </c>
      <c r="N732" s="31" t="inlineStr">
        <is>
          <t>S2</t>
        </is>
      </c>
      <c r="O732" s="31" t="inlineStr">
        <is>
          <t>642W9820-503</t>
        </is>
      </c>
      <c r="P732" s="31" t="inlineStr">
        <is>
          <t>SR Technics Switzerland</t>
        </is>
      </c>
    </row>
    <row r="733">
      <c r="B733" s="31" t="inlineStr">
        <is>
          <t>CFM56-5B</t>
        </is>
      </c>
      <c r="C733" s="31" t="inlineStr">
        <is>
          <t>2024-2025</t>
        </is>
      </c>
      <c r="D733" s="31" t="inlineStr">
        <is>
          <t>604608</t>
        </is>
      </c>
      <c r="E733" s="31" t="inlineStr">
        <is>
          <t>71-50-03</t>
        </is>
      </c>
      <c r="F733" s="31" t="inlineStr">
        <is>
          <t>E</t>
        </is>
      </c>
      <c r="G733" s="31" t="inlineStr">
        <is>
          <t>Other / assembly</t>
        </is>
      </c>
      <c r="H733" s="27" t="n">
        <v>1610</v>
      </c>
      <c r="I733" s="27" t="n">
        <v>1710</v>
      </c>
      <c r="J733" s="154">
        <f>I733/H733-1</f>
        <v/>
      </c>
      <c r="K733" s="31" t="inlineStr">
        <is>
          <t>19</t>
        </is>
      </c>
      <c r="L733" s="31" t="inlineStr">
        <is>
          <t>19</t>
        </is>
      </c>
      <c r="M733" s="31" t="inlineStr">
        <is>
          <t>S1</t>
        </is>
      </c>
      <c r="N733" s="31" t="inlineStr">
        <is>
          <t>S2</t>
        </is>
      </c>
      <c r="O733" s="31" t="inlineStr">
        <is>
          <t>642W9820-503</t>
        </is>
      </c>
      <c r="P733" s="31" t="inlineStr">
        <is>
          <t>SR Technics Switzerland</t>
        </is>
      </c>
    </row>
    <row r="734">
      <c r="B734" s="31" t="inlineStr">
        <is>
          <t>CFM56-5B</t>
        </is>
      </c>
      <c r="C734" s="31" t="inlineStr">
        <is>
          <t>2024-2025</t>
        </is>
      </c>
      <c r="D734" s="31" t="inlineStr">
        <is>
          <t>604608</t>
        </is>
      </c>
      <c r="E734" s="31" t="inlineStr">
        <is>
          <t>71-50-03</t>
        </is>
      </c>
      <c r="F734" s="31" t="inlineStr">
        <is>
          <t>F</t>
        </is>
      </c>
      <c r="G734" s="31" t="inlineStr">
        <is>
          <t>Other / assembly</t>
        </is>
      </c>
      <c r="H734" s="27" t="n">
        <v>3325</v>
      </c>
      <c r="I734" s="27" t="n">
        <v>3525</v>
      </c>
      <c r="J734" s="154">
        <f>I734/H734-1</f>
        <v/>
      </c>
      <c r="K734" s="31" t="inlineStr">
        <is>
          <t>19</t>
        </is>
      </c>
      <c r="L734" s="31" t="inlineStr">
        <is>
          <t>19</t>
        </is>
      </c>
      <c r="M734" s="31" t="inlineStr">
        <is>
          <t>S1</t>
        </is>
      </c>
      <c r="N734" s="31" t="inlineStr">
        <is>
          <t>S2</t>
        </is>
      </c>
      <c r="O734" s="31" t="inlineStr">
        <is>
          <t>642W9820-503</t>
        </is>
      </c>
      <c r="P734" s="31" t="inlineStr">
        <is>
          <t>SR Technics Switzerland</t>
        </is>
      </c>
    </row>
    <row r="735">
      <c r="B735" s="31" t="inlineStr">
        <is>
          <t>CFM56-5B</t>
        </is>
      </c>
      <c r="C735" s="31" t="inlineStr">
        <is>
          <t>2024-2025</t>
        </is>
      </c>
      <c r="D735" s="31" t="inlineStr">
        <is>
          <t>604609</t>
        </is>
      </c>
      <c r="E735" s="31" t="inlineStr">
        <is>
          <t>71-50-03</t>
        </is>
      </c>
      <c r="F735" s="31" t="inlineStr">
        <is>
          <t>C</t>
        </is>
      </c>
      <c r="G735" s="31" t="inlineStr">
        <is>
          <t>Other / assembly</t>
        </is>
      </c>
      <c r="H735" s="27" t="n">
        <v>360</v>
      </c>
      <c r="I735" s="27" t="n">
        <v>385</v>
      </c>
      <c r="J735" s="154">
        <f>I735/H735-1</f>
        <v/>
      </c>
      <c r="K735" s="31" t="inlineStr">
        <is>
          <t>55</t>
        </is>
      </c>
      <c r="L735" s="31" t="inlineStr">
        <is>
          <t>56</t>
        </is>
      </c>
      <c r="M735" s="31" t="inlineStr">
        <is>
          <t>S1</t>
        </is>
      </c>
      <c r="N735" s="31" t="inlineStr">
        <is>
          <t>S2</t>
        </is>
      </c>
      <c r="O735" s="31" t="inlineStr">
        <is>
          <t>642W9821-501</t>
        </is>
      </c>
      <c r="P735" s="31" t="inlineStr">
        <is>
          <t>SR Technics Switzerland</t>
        </is>
      </c>
    </row>
    <row r="736">
      <c r="B736" s="31" t="inlineStr">
        <is>
          <t>CFM56-5B</t>
        </is>
      </c>
      <c r="C736" s="31" t="inlineStr">
        <is>
          <t>2024-2025</t>
        </is>
      </c>
      <c r="D736" s="31" t="inlineStr">
        <is>
          <t>604609</t>
        </is>
      </c>
      <c r="E736" s="31" t="inlineStr">
        <is>
          <t>71-50-03</t>
        </is>
      </c>
      <c r="F736" s="31" t="inlineStr">
        <is>
          <t>D</t>
        </is>
      </c>
      <c r="G736" s="31" t="inlineStr">
        <is>
          <t>Other / assembly</t>
        </is>
      </c>
      <c r="H736" s="27" t="n">
        <v>1190</v>
      </c>
      <c r="I736" s="27" t="n">
        <v>1265</v>
      </c>
      <c r="J736" s="154">
        <f>I736/H736-1</f>
        <v/>
      </c>
      <c r="K736" s="31" t="inlineStr">
        <is>
          <t>55</t>
        </is>
      </c>
      <c r="L736" s="31" t="inlineStr">
        <is>
          <t>56</t>
        </is>
      </c>
      <c r="M736" s="31" t="inlineStr">
        <is>
          <t>S1</t>
        </is>
      </c>
      <c r="N736" s="31" t="inlineStr">
        <is>
          <t>S2</t>
        </is>
      </c>
      <c r="O736" s="31" t="inlineStr">
        <is>
          <t>642W9821-501</t>
        </is>
      </c>
      <c r="P736" s="31" t="inlineStr">
        <is>
          <t>SR Technics Switzerland</t>
        </is>
      </c>
    </row>
    <row r="737">
      <c r="B737" s="31" t="inlineStr">
        <is>
          <t>CFM56-5B</t>
        </is>
      </c>
      <c r="C737" s="31" t="inlineStr">
        <is>
          <t>2024-2025</t>
        </is>
      </c>
      <c r="D737" s="31" t="inlineStr">
        <is>
          <t>604609</t>
        </is>
      </c>
      <c r="E737" s="31" t="inlineStr">
        <is>
          <t>71-50-03</t>
        </is>
      </c>
      <c r="F737" s="31" t="inlineStr">
        <is>
          <t>E</t>
        </is>
      </c>
      <c r="G737" s="31" t="inlineStr">
        <is>
          <t>Other / assembly</t>
        </is>
      </c>
      <c r="H737" s="27" t="n">
        <v>3370</v>
      </c>
      <c r="I737" s="27" t="n">
        <v>3575</v>
      </c>
      <c r="J737" s="154">
        <f>I737/H737-1</f>
        <v/>
      </c>
      <c r="K737" s="31" t="inlineStr">
        <is>
          <t>55</t>
        </is>
      </c>
      <c r="L737" s="31" t="inlineStr">
        <is>
          <t>56</t>
        </is>
      </c>
      <c r="M737" s="31" t="inlineStr">
        <is>
          <t>S1</t>
        </is>
      </c>
      <c r="N737" s="31" t="inlineStr">
        <is>
          <t>S2</t>
        </is>
      </c>
      <c r="O737" s="31" t="inlineStr">
        <is>
          <t>642W9821-501</t>
        </is>
      </c>
      <c r="P737" s="31" t="inlineStr">
        <is>
          <t>SR Technics Switzerland</t>
        </is>
      </c>
    </row>
    <row r="738">
      <c r="B738" s="31" t="inlineStr">
        <is>
          <t>CFM56-5B</t>
        </is>
      </c>
      <c r="C738" s="31" t="inlineStr">
        <is>
          <t>2024-2025</t>
        </is>
      </c>
      <c r="D738" s="31" t="inlineStr">
        <is>
          <t>604609</t>
        </is>
      </c>
      <c r="E738" s="31" t="inlineStr">
        <is>
          <t>71-50-03</t>
        </is>
      </c>
      <c r="F738" s="31" t="inlineStr">
        <is>
          <t>F</t>
        </is>
      </c>
      <c r="G738" s="31" t="inlineStr">
        <is>
          <t>Other / assembly</t>
        </is>
      </c>
      <c r="H738" s="27" t="n">
        <v>4440</v>
      </c>
      <c r="I738" s="27" t="n">
        <v>4710</v>
      </c>
      <c r="J738" s="154">
        <f>I738/H738-1</f>
        <v/>
      </c>
      <c r="K738" s="31" t="inlineStr">
        <is>
          <t>56</t>
        </is>
      </c>
      <c r="L738" s="31" t="inlineStr">
        <is>
          <t>56</t>
        </is>
      </c>
      <c r="M738" s="31" t="inlineStr">
        <is>
          <t>S1</t>
        </is>
      </c>
      <c r="N738" s="31" t="inlineStr">
        <is>
          <t>S2</t>
        </is>
      </c>
      <c r="O738" s="31" t="inlineStr">
        <is>
          <t>642W9821-501</t>
        </is>
      </c>
      <c r="P738" s="31" t="inlineStr">
        <is>
          <t>SR Technics Switzerland</t>
        </is>
      </c>
    </row>
    <row r="739">
      <c r="B739" s="31" t="inlineStr">
        <is>
          <t>CFM56-5B</t>
        </is>
      </c>
      <c r="C739" s="31" t="inlineStr">
        <is>
          <t>2024-2025</t>
        </is>
      </c>
      <c r="D739" s="31" t="inlineStr">
        <is>
          <t>604610</t>
        </is>
      </c>
      <c r="E739" s="31" t="inlineStr">
        <is>
          <t>71-50-03</t>
        </is>
      </c>
      <c r="F739" s="31" t="inlineStr">
        <is>
          <t>C</t>
        </is>
      </c>
      <c r="G739" s="31" t="inlineStr">
        <is>
          <t>Other / assembly</t>
        </is>
      </c>
      <c r="H739" s="27" t="n">
        <v>325</v>
      </c>
      <c r="I739" s="27" t="n">
        <v>345</v>
      </c>
      <c r="J739" s="154">
        <f>I739/H739-1</f>
        <v/>
      </c>
      <c r="K739" s="31" t="inlineStr">
        <is>
          <t>19</t>
        </is>
      </c>
      <c r="L739" s="31" t="inlineStr">
        <is>
          <t>19</t>
        </is>
      </c>
      <c r="M739" s="31" t="inlineStr">
        <is>
          <t>S1</t>
        </is>
      </c>
      <c r="N739" s="31" t="inlineStr">
        <is>
          <t>S2</t>
        </is>
      </c>
      <c r="O739" s="31" t="inlineStr">
        <is>
          <t>642W9945-505</t>
        </is>
      </c>
      <c r="P739" s="31" t="inlineStr">
        <is>
          <t>SR Technics Switzerland</t>
        </is>
      </c>
    </row>
    <row r="740">
      <c r="B740" s="31" t="inlineStr">
        <is>
          <t>CFM56-5B</t>
        </is>
      </c>
      <c r="C740" s="31" t="inlineStr">
        <is>
          <t>2024-2025</t>
        </is>
      </c>
      <c r="D740" s="31" t="inlineStr">
        <is>
          <t>604610</t>
        </is>
      </c>
      <c r="E740" s="31" t="inlineStr">
        <is>
          <t>71-50-03</t>
        </is>
      </c>
      <c r="F740" s="31" t="inlineStr">
        <is>
          <t>D</t>
        </is>
      </c>
      <c r="G740" s="31" t="inlineStr">
        <is>
          <t>Other / assembly</t>
        </is>
      </c>
      <c r="H740" s="27" t="n">
        <v>1075</v>
      </c>
      <c r="I740" s="27" t="n">
        <v>1140</v>
      </c>
      <c r="J740" s="154">
        <f>I740/H740-1</f>
        <v/>
      </c>
      <c r="K740" s="31" t="inlineStr">
        <is>
          <t>19</t>
        </is>
      </c>
      <c r="L740" s="31" t="inlineStr">
        <is>
          <t>19</t>
        </is>
      </c>
      <c r="M740" s="31" t="inlineStr">
        <is>
          <t>S1</t>
        </is>
      </c>
      <c r="N740" s="31" t="inlineStr">
        <is>
          <t>S2</t>
        </is>
      </c>
      <c r="O740" s="31" t="inlineStr">
        <is>
          <t>642W9945-505</t>
        </is>
      </c>
      <c r="P740" s="31" t="inlineStr">
        <is>
          <t>SR Technics Switzerland</t>
        </is>
      </c>
    </row>
    <row r="741">
      <c r="B741" s="31" t="inlineStr">
        <is>
          <t>CFM56-5B</t>
        </is>
      </c>
      <c r="C741" s="31" t="inlineStr">
        <is>
          <t>2024-2025</t>
        </is>
      </c>
      <c r="D741" s="31" t="inlineStr">
        <is>
          <t>604610</t>
        </is>
      </c>
      <c r="E741" s="31" t="inlineStr">
        <is>
          <t>71-50-03</t>
        </is>
      </c>
      <c r="F741" s="31" t="inlineStr">
        <is>
          <t>E</t>
        </is>
      </c>
      <c r="G741" s="31" t="inlineStr">
        <is>
          <t>Other / assembly</t>
        </is>
      </c>
      <c r="H741" s="27" t="n">
        <v>1510</v>
      </c>
      <c r="I741" s="27" t="n">
        <v>1605</v>
      </c>
      <c r="J741" s="154">
        <f>I741/H741-1</f>
        <v/>
      </c>
      <c r="K741" s="31" t="inlineStr">
        <is>
          <t>19</t>
        </is>
      </c>
      <c r="L741" s="31" t="inlineStr">
        <is>
          <t>19</t>
        </is>
      </c>
      <c r="M741" s="31" t="inlineStr">
        <is>
          <t>S1</t>
        </is>
      </c>
      <c r="N741" s="31" t="inlineStr">
        <is>
          <t>S2</t>
        </is>
      </c>
      <c r="O741" s="31" t="inlineStr">
        <is>
          <t>642W9945-505</t>
        </is>
      </c>
      <c r="P741" s="31" t="inlineStr">
        <is>
          <t>SR Technics Switzerland</t>
        </is>
      </c>
    </row>
    <row r="742">
      <c r="B742" s="31" t="inlineStr">
        <is>
          <t>CFM56-5B</t>
        </is>
      </c>
      <c r="C742" s="31" t="inlineStr">
        <is>
          <t>2024-2025</t>
        </is>
      </c>
      <c r="D742" s="31" t="inlineStr">
        <is>
          <t>604610</t>
        </is>
      </c>
      <c r="E742" s="31" t="inlineStr">
        <is>
          <t>71-50-03</t>
        </is>
      </c>
      <c r="F742" s="31" t="inlineStr">
        <is>
          <t>F</t>
        </is>
      </c>
      <c r="G742" s="31" t="inlineStr">
        <is>
          <t>Other / assembly</t>
        </is>
      </c>
      <c r="H742" s="27" t="n">
        <v>2250</v>
      </c>
      <c r="I742" s="27" t="n">
        <v>2385</v>
      </c>
      <c r="J742" s="154">
        <f>I742/H742-1</f>
        <v/>
      </c>
      <c r="K742" s="31" t="inlineStr">
        <is>
          <t>19</t>
        </is>
      </c>
      <c r="L742" s="31" t="inlineStr">
        <is>
          <t>19</t>
        </is>
      </c>
      <c r="M742" s="31" t="inlineStr">
        <is>
          <t>S1</t>
        </is>
      </c>
      <c r="N742" s="31" t="inlineStr">
        <is>
          <t>S2</t>
        </is>
      </c>
      <c r="O742" s="31" t="inlineStr">
        <is>
          <t>642W9945-505</t>
        </is>
      </c>
      <c r="P742" s="31" t="inlineStr">
        <is>
          <t>SR Technics Switzerland</t>
        </is>
      </c>
    </row>
    <row r="743">
      <c r="B743" s="31" t="inlineStr">
        <is>
          <t>CFM56-5B</t>
        </is>
      </c>
      <c r="C743" s="31" t="inlineStr">
        <is>
          <t>2024-2025</t>
        </is>
      </c>
      <c r="D743" s="31" t="inlineStr">
        <is>
          <t>604611</t>
        </is>
      </c>
      <c r="E743" s="31" t="inlineStr">
        <is>
          <t>71-50-03</t>
        </is>
      </c>
      <c r="F743" s="31" t="inlineStr">
        <is>
          <t>C</t>
        </is>
      </c>
      <c r="G743" s="31" t="inlineStr">
        <is>
          <t>Other / assembly</t>
        </is>
      </c>
      <c r="H743" s="27" t="n">
        <v>370</v>
      </c>
      <c r="I743" s="27" t="n">
        <v>395</v>
      </c>
      <c r="J743" s="154">
        <f>I743/H743-1</f>
        <v/>
      </c>
      <c r="K743" s="31" t="inlineStr">
        <is>
          <t>19</t>
        </is>
      </c>
      <c r="L743" s="31" t="inlineStr">
        <is>
          <t>19</t>
        </is>
      </c>
      <c r="M743" s="31" t="inlineStr">
        <is>
          <t>S1</t>
        </is>
      </c>
      <c r="N743" s="31" t="inlineStr">
        <is>
          <t>S2</t>
        </is>
      </c>
      <c r="O743" s="31" t="inlineStr">
        <is>
          <t>642W9946-505</t>
        </is>
      </c>
      <c r="P743" s="31" t="inlineStr">
        <is>
          <t>SR Technics Switzerland</t>
        </is>
      </c>
    </row>
    <row r="744">
      <c r="B744" s="31" t="inlineStr">
        <is>
          <t>CFM56-5B</t>
        </is>
      </c>
      <c r="C744" s="31" t="inlineStr">
        <is>
          <t>2024-2025</t>
        </is>
      </c>
      <c r="D744" s="31" t="inlineStr">
        <is>
          <t>604611</t>
        </is>
      </c>
      <c r="E744" s="31" t="inlineStr">
        <is>
          <t>71-50-03</t>
        </is>
      </c>
      <c r="F744" s="31" t="inlineStr">
        <is>
          <t>D</t>
        </is>
      </c>
      <c r="G744" s="31" t="inlineStr">
        <is>
          <t>Other / assembly</t>
        </is>
      </c>
      <c r="H744" s="27" t="n">
        <v>1230</v>
      </c>
      <c r="I744" s="27" t="n">
        <v>1305</v>
      </c>
      <c r="J744" s="154">
        <f>I744/H744-1</f>
        <v/>
      </c>
      <c r="K744" s="31" t="inlineStr">
        <is>
          <t>19</t>
        </is>
      </c>
      <c r="L744" s="31" t="inlineStr">
        <is>
          <t>19</t>
        </is>
      </c>
      <c r="M744" s="31" t="inlineStr">
        <is>
          <t>S1</t>
        </is>
      </c>
      <c r="N744" s="31" t="inlineStr">
        <is>
          <t>S2</t>
        </is>
      </c>
      <c r="O744" s="31" t="inlineStr">
        <is>
          <t>642W9946-505</t>
        </is>
      </c>
      <c r="P744" s="31" t="inlineStr">
        <is>
          <t>SR Technics Switzerland</t>
        </is>
      </c>
    </row>
    <row r="745">
      <c r="B745" s="31" t="inlineStr">
        <is>
          <t>CFM56-5B</t>
        </is>
      </c>
      <c r="C745" s="31" t="inlineStr">
        <is>
          <t>2024-2025</t>
        </is>
      </c>
      <c r="D745" s="31" t="inlineStr">
        <is>
          <t>604611</t>
        </is>
      </c>
      <c r="E745" s="31" t="inlineStr">
        <is>
          <t>71-50-03</t>
        </is>
      </c>
      <c r="F745" s="31" t="inlineStr">
        <is>
          <t>E</t>
        </is>
      </c>
      <c r="G745" s="31" t="inlineStr">
        <is>
          <t>Other / assembly</t>
        </is>
      </c>
      <c r="H745" s="27" t="n">
        <v>1835</v>
      </c>
      <c r="I745" s="27" t="n">
        <v>1950</v>
      </c>
      <c r="J745" s="154">
        <f>I745/H745-1</f>
        <v/>
      </c>
      <c r="K745" s="31" t="inlineStr">
        <is>
          <t>19</t>
        </is>
      </c>
      <c r="L745" s="31" t="inlineStr">
        <is>
          <t>19</t>
        </is>
      </c>
      <c r="M745" s="31" t="inlineStr">
        <is>
          <t>S1</t>
        </is>
      </c>
      <c r="N745" s="31" t="inlineStr">
        <is>
          <t>S2</t>
        </is>
      </c>
      <c r="O745" s="31" t="inlineStr">
        <is>
          <t>642W9946-505</t>
        </is>
      </c>
      <c r="P745" s="31" t="inlineStr">
        <is>
          <t>SR Technics Switzerland</t>
        </is>
      </c>
    </row>
    <row r="746">
      <c r="B746" s="31" t="inlineStr">
        <is>
          <t>CFM56-5B</t>
        </is>
      </c>
      <c r="C746" s="31" t="inlineStr">
        <is>
          <t>2024-2025</t>
        </is>
      </c>
      <c r="D746" s="31" t="inlineStr">
        <is>
          <t>604611</t>
        </is>
      </c>
      <c r="E746" s="31" t="inlineStr">
        <is>
          <t>71-50-03</t>
        </is>
      </c>
      <c r="F746" s="31" t="inlineStr">
        <is>
          <t>F</t>
        </is>
      </c>
      <c r="G746" s="31" t="inlineStr">
        <is>
          <t>Other / assembly</t>
        </is>
      </c>
      <c r="H746" s="27" t="n">
        <v>2325</v>
      </c>
      <c r="I746" s="27" t="n">
        <v>2465</v>
      </c>
      <c r="J746" s="154">
        <f>I746/H746-1</f>
        <v/>
      </c>
      <c r="K746" s="31" t="inlineStr">
        <is>
          <t>19</t>
        </is>
      </c>
      <c r="L746" s="31" t="inlineStr">
        <is>
          <t>19</t>
        </is>
      </c>
      <c r="M746" s="31" t="inlineStr">
        <is>
          <t>S1</t>
        </is>
      </c>
      <c r="N746" s="31" t="inlineStr">
        <is>
          <t>S2</t>
        </is>
      </c>
      <c r="O746" s="31" t="inlineStr">
        <is>
          <t>642W9946-505</t>
        </is>
      </c>
      <c r="P746" s="31" t="inlineStr">
        <is>
          <t>SR Technics Switzerland</t>
        </is>
      </c>
    </row>
    <row r="747">
      <c r="B747" s="31" t="inlineStr">
        <is>
          <t>CFM56-5B</t>
        </is>
      </c>
      <c r="C747" s="31" t="inlineStr">
        <is>
          <t>2024-2025</t>
        </is>
      </c>
      <c r="D747" s="31" t="inlineStr">
        <is>
          <t>604612</t>
        </is>
      </c>
      <c r="E747" s="31" t="inlineStr">
        <is>
          <t>71-50-03</t>
        </is>
      </c>
      <c r="F747" s="31" t="inlineStr">
        <is>
          <t>B</t>
        </is>
      </c>
      <c r="G747" s="31" t="inlineStr">
        <is>
          <t>Other / assembly</t>
        </is>
      </c>
      <c r="H747" s="27" t="n">
        <v>305</v>
      </c>
      <c r="I747" s="27" t="n">
        <v>325</v>
      </c>
      <c r="J747" s="154">
        <f>I747/H747-1</f>
        <v/>
      </c>
      <c r="K747" s="31" t="inlineStr">
        <is>
          <t>19</t>
        </is>
      </c>
      <c r="L747" s="31" t="inlineStr">
        <is>
          <t>20</t>
        </is>
      </c>
      <c r="M747" s="31" t="inlineStr">
        <is>
          <t>S1</t>
        </is>
      </c>
      <c r="N747" s="31" t="inlineStr">
        <is>
          <t>S2</t>
        </is>
      </c>
      <c r="O747" s="31" t="inlineStr">
        <is>
          <t>642W9947-505</t>
        </is>
      </c>
      <c r="P747" s="31" t="inlineStr">
        <is>
          <t>SR Technics Switzerland</t>
        </is>
      </c>
    </row>
    <row r="748">
      <c r="B748" s="31" t="inlineStr">
        <is>
          <t>CFM56-5B</t>
        </is>
      </c>
      <c r="C748" s="31" t="inlineStr">
        <is>
          <t>2024-2025</t>
        </is>
      </c>
      <c r="D748" s="31" t="inlineStr">
        <is>
          <t>604612</t>
        </is>
      </c>
      <c r="E748" s="31" t="inlineStr">
        <is>
          <t>71-50-03</t>
        </is>
      </c>
      <c r="F748" s="31" t="inlineStr">
        <is>
          <t>C</t>
        </is>
      </c>
      <c r="G748" s="31" t="inlineStr">
        <is>
          <t>Other / assembly</t>
        </is>
      </c>
      <c r="H748" s="27" t="n">
        <v>1075</v>
      </c>
      <c r="I748" s="27" t="n">
        <v>1140</v>
      </c>
      <c r="J748" s="154">
        <f>I748/H748-1</f>
        <v/>
      </c>
      <c r="K748" s="31" t="inlineStr">
        <is>
          <t>19</t>
        </is>
      </c>
      <c r="L748" s="31" t="inlineStr">
        <is>
          <t>20</t>
        </is>
      </c>
      <c r="M748" s="31" t="inlineStr">
        <is>
          <t>S1</t>
        </is>
      </c>
      <c r="N748" s="31" t="inlineStr">
        <is>
          <t>S2</t>
        </is>
      </c>
      <c r="O748" s="31" t="inlineStr">
        <is>
          <t>642W9947-505</t>
        </is>
      </c>
      <c r="P748" s="31" t="inlineStr">
        <is>
          <t>SR Technics Switzerland</t>
        </is>
      </c>
    </row>
    <row r="749">
      <c r="B749" s="31" t="inlineStr">
        <is>
          <t>CFM56-5B</t>
        </is>
      </c>
      <c r="C749" s="31" t="inlineStr">
        <is>
          <t>2024-2025</t>
        </is>
      </c>
      <c r="D749" s="31" t="inlineStr">
        <is>
          <t>604612</t>
        </is>
      </c>
      <c r="E749" s="31" t="inlineStr">
        <is>
          <t>71-50-03</t>
        </is>
      </c>
      <c r="F749" s="31" t="inlineStr">
        <is>
          <t>D</t>
        </is>
      </c>
      <c r="G749" s="31" t="inlineStr">
        <is>
          <t>Other / assembly</t>
        </is>
      </c>
      <c r="H749" s="27" t="n">
        <v>1510</v>
      </c>
      <c r="I749" s="27" t="n">
        <v>1605</v>
      </c>
      <c r="J749" s="154">
        <f>I749/H749-1</f>
        <v/>
      </c>
      <c r="K749" s="31" t="inlineStr">
        <is>
          <t>19</t>
        </is>
      </c>
      <c r="L749" s="31" t="inlineStr">
        <is>
          <t>20</t>
        </is>
      </c>
      <c r="M749" s="31" t="inlineStr">
        <is>
          <t>S1</t>
        </is>
      </c>
      <c r="N749" s="31" t="inlineStr">
        <is>
          <t>S2</t>
        </is>
      </c>
      <c r="O749" s="31" t="inlineStr">
        <is>
          <t>642W9947-505</t>
        </is>
      </c>
      <c r="P749" s="31" t="inlineStr">
        <is>
          <t>SR Technics Switzerland</t>
        </is>
      </c>
    </row>
    <row r="750">
      <c r="B750" s="31" t="inlineStr">
        <is>
          <t>CFM56-5B</t>
        </is>
      </c>
      <c r="C750" s="31" t="inlineStr">
        <is>
          <t>2024-2025</t>
        </is>
      </c>
      <c r="D750" s="31" t="inlineStr">
        <is>
          <t>604612</t>
        </is>
      </c>
      <c r="E750" s="31" t="inlineStr">
        <is>
          <t>71-50-03</t>
        </is>
      </c>
      <c r="F750" s="31" t="inlineStr">
        <is>
          <t>E</t>
        </is>
      </c>
      <c r="G750" s="31" t="inlineStr">
        <is>
          <t>Other / assembly</t>
        </is>
      </c>
      <c r="H750" s="27" t="n">
        <v>1960</v>
      </c>
      <c r="I750" s="27" t="n">
        <v>2080</v>
      </c>
      <c r="J750" s="154">
        <f>I750/H750-1</f>
        <v/>
      </c>
      <c r="K750" s="31" t="inlineStr">
        <is>
          <t>19</t>
        </is>
      </c>
      <c r="L750" s="31" t="inlineStr">
        <is>
          <t>20</t>
        </is>
      </c>
      <c r="M750" s="31" t="inlineStr">
        <is>
          <t>S1</t>
        </is>
      </c>
      <c r="N750" s="31" t="inlineStr">
        <is>
          <t>S2</t>
        </is>
      </c>
      <c r="O750" s="31" t="inlineStr">
        <is>
          <t>642W9947-505</t>
        </is>
      </c>
      <c r="P750" s="31" t="inlineStr">
        <is>
          <t>SR Technics Switzerland</t>
        </is>
      </c>
    </row>
    <row r="751">
      <c r="B751" s="31" t="inlineStr">
        <is>
          <t>CFM56-5B</t>
        </is>
      </c>
      <c r="C751" s="31" t="inlineStr">
        <is>
          <t>2024-2025</t>
        </is>
      </c>
      <c r="D751" s="31" t="inlineStr">
        <is>
          <t>604613</t>
        </is>
      </c>
      <c r="E751" s="31" t="inlineStr">
        <is>
          <t>71-50-03</t>
        </is>
      </c>
      <c r="F751" s="31" t="inlineStr">
        <is>
          <t>C</t>
        </is>
      </c>
      <c r="G751" s="31" t="inlineStr">
        <is>
          <t>Other / assembly</t>
        </is>
      </c>
      <c r="H751" s="27" t="n">
        <v>315</v>
      </c>
      <c r="I751" s="27" t="n">
        <v>335</v>
      </c>
      <c r="J751" s="154">
        <f>I751/H751-1</f>
        <v/>
      </c>
      <c r="K751" s="31" t="inlineStr">
        <is>
          <t>19</t>
        </is>
      </c>
      <c r="L751" s="31" t="inlineStr">
        <is>
          <t>20</t>
        </is>
      </c>
      <c r="M751" s="31" t="inlineStr">
        <is>
          <t>S1</t>
        </is>
      </c>
      <c r="N751" s="31" t="inlineStr">
        <is>
          <t>S2</t>
        </is>
      </c>
      <c r="O751" s="31" t="inlineStr">
        <is>
          <t>642W9948-505</t>
        </is>
      </c>
      <c r="P751" s="31" t="inlineStr">
        <is>
          <t>SR Technics Switzerland</t>
        </is>
      </c>
    </row>
    <row r="752">
      <c r="B752" s="31" t="inlineStr">
        <is>
          <t>CFM56-5B</t>
        </is>
      </c>
      <c r="C752" s="31" t="inlineStr">
        <is>
          <t>2024-2025</t>
        </is>
      </c>
      <c r="D752" s="31" t="inlineStr">
        <is>
          <t>604613</t>
        </is>
      </c>
      <c r="E752" s="31" t="inlineStr">
        <is>
          <t>71-50-03</t>
        </is>
      </c>
      <c r="F752" s="31" t="inlineStr">
        <is>
          <t>D</t>
        </is>
      </c>
      <c r="G752" s="31" t="inlineStr">
        <is>
          <t>Other / assembly</t>
        </is>
      </c>
      <c r="H752" s="27" t="n">
        <v>1045</v>
      </c>
      <c r="I752" s="27" t="n">
        <v>1110</v>
      </c>
      <c r="J752" s="154">
        <f>I752/H752-1</f>
        <v/>
      </c>
      <c r="K752" s="31" t="inlineStr">
        <is>
          <t>19</t>
        </is>
      </c>
      <c r="L752" s="31" t="inlineStr">
        <is>
          <t>20</t>
        </is>
      </c>
      <c r="M752" s="31" t="inlineStr">
        <is>
          <t>S1</t>
        </is>
      </c>
      <c r="N752" s="31" t="inlineStr">
        <is>
          <t>S2</t>
        </is>
      </c>
      <c r="O752" s="31" t="inlineStr">
        <is>
          <t>642W9948-505</t>
        </is>
      </c>
      <c r="P752" s="31" t="inlineStr">
        <is>
          <t>SR Technics Switzerland</t>
        </is>
      </c>
    </row>
    <row r="753">
      <c r="B753" s="31" t="inlineStr">
        <is>
          <t>CFM56-5B</t>
        </is>
      </c>
      <c r="C753" s="31" t="inlineStr">
        <is>
          <t>2024-2025</t>
        </is>
      </c>
      <c r="D753" s="31" t="inlineStr">
        <is>
          <t>604613</t>
        </is>
      </c>
      <c r="E753" s="31" t="inlineStr">
        <is>
          <t>71-50-03</t>
        </is>
      </c>
      <c r="F753" s="31" t="inlineStr">
        <is>
          <t>E</t>
        </is>
      </c>
      <c r="G753" s="31" t="inlineStr">
        <is>
          <t>Other / assembly</t>
        </is>
      </c>
      <c r="H753" s="27" t="n">
        <v>3510</v>
      </c>
      <c r="I753" s="27" t="n">
        <v>3725</v>
      </c>
      <c r="J753" s="154">
        <f>I753/H753-1</f>
        <v/>
      </c>
      <c r="K753" s="31" t="inlineStr">
        <is>
          <t>19</t>
        </is>
      </c>
      <c r="L753" s="31" t="inlineStr">
        <is>
          <t>20</t>
        </is>
      </c>
      <c r="M753" s="31" t="inlineStr">
        <is>
          <t>S1</t>
        </is>
      </c>
      <c r="N753" s="31" t="inlineStr">
        <is>
          <t>S2</t>
        </is>
      </c>
      <c r="O753" s="31" t="inlineStr">
        <is>
          <t>642W9948-505</t>
        </is>
      </c>
      <c r="P753" s="31" t="inlineStr">
        <is>
          <t>SR Technics Switzerland</t>
        </is>
      </c>
    </row>
    <row r="754">
      <c r="B754" s="31" t="inlineStr">
        <is>
          <t>CFM56-5B</t>
        </is>
      </c>
      <c r="C754" s="31" t="inlineStr">
        <is>
          <t>2024-2025</t>
        </is>
      </c>
      <c r="D754" s="31" t="inlineStr">
        <is>
          <t>604613</t>
        </is>
      </c>
      <c r="E754" s="31" t="inlineStr">
        <is>
          <t>71-50-03</t>
        </is>
      </c>
      <c r="F754" s="31" t="inlineStr">
        <is>
          <t>F</t>
        </is>
      </c>
      <c r="G754" s="31" t="inlineStr">
        <is>
          <t>Other / assembly</t>
        </is>
      </c>
      <c r="H754" s="27" t="n">
        <v>5420</v>
      </c>
      <c r="I754" s="27" t="n">
        <v>5750</v>
      </c>
      <c r="J754" s="154">
        <f>I754/H754-1</f>
        <v/>
      </c>
      <c r="K754" s="31" t="inlineStr">
        <is>
          <t>19</t>
        </is>
      </c>
      <c r="L754" s="31" t="inlineStr">
        <is>
          <t>20</t>
        </is>
      </c>
      <c r="M754" s="31" t="inlineStr">
        <is>
          <t>S1</t>
        </is>
      </c>
      <c r="N754" s="31" t="inlineStr">
        <is>
          <t>S2</t>
        </is>
      </c>
      <c r="O754" s="31" t="inlineStr">
        <is>
          <t>642W9948-505</t>
        </is>
      </c>
      <c r="P754" s="31" t="inlineStr">
        <is>
          <t>SR Technics Switzerland</t>
        </is>
      </c>
    </row>
    <row r="755">
      <c r="B755" s="31" t="inlineStr">
        <is>
          <t>CFM56-5B</t>
        </is>
      </c>
      <c r="C755" s="31" t="inlineStr">
        <is>
          <t>2024-2025</t>
        </is>
      </c>
      <c r="D755" s="31" t="inlineStr">
        <is>
          <t>604614</t>
        </is>
      </c>
      <c r="E755" s="31" t="inlineStr">
        <is>
          <t>71-50-03</t>
        </is>
      </c>
      <c r="F755" s="31" t="inlineStr">
        <is>
          <t>C</t>
        </is>
      </c>
      <c r="G755" s="31" t="inlineStr">
        <is>
          <t>Other / assembly</t>
        </is>
      </c>
      <c r="H755" s="27" t="n">
        <v>360</v>
      </c>
      <c r="I755" s="27" t="n">
        <v>385</v>
      </c>
      <c r="J755" s="154">
        <f>I755/H755-1</f>
        <v/>
      </c>
      <c r="K755" s="31" t="inlineStr">
        <is>
          <t>19</t>
        </is>
      </c>
      <c r="L755" s="31" t="inlineStr">
        <is>
          <t>20</t>
        </is>
      </c>
      <c r="M755" s="31" t="inlineStr">
        <is>
          <t>S1</t>
        </is>
      </c>
      <c r="N755" s="31" t="inlineStr">
        <is>
          <t>S2</t>
        </is>
      </c>
      <c r="O755" s="31" t="inlineStr">
        <is>
          <t>642W9985-501</t>
        </is>
      </c>
      <c r="P755" s="31" t="inlineStr">
        <is>
          <t>SR Technics Switzerland</t>
        </is>
      </c>
    </row>
    <row r="756">
      <c r="B756" s="31" t="inlineStr">
        <is>
          <t>CFM56-5B</t>
        </is>
      </c>
      <c r="C756" s="31" t="inlineStr">
        <is>
          <t>2024-2025</t>
        </is>
      </c>
      <c r="D756" s="31" t="inlineStr">
        <is>
          <t>604614</t>
        </is>
      </c>
      <c r="E756" s="31" t="inlineStr">
        <is>
          <t>71-50-03</t>
        </is>
      </c>
      <c r="F756" s="31" t="inlineStr">
        <is>
          <t>D</t>
        </is>
      </c>
      <c r="G756" s="31" t="inlineStr">
        <is>
          <t>Other / assembly</t>
        </is>
      </c>
      <c r="H756" s="27" t="n">
        <v>725</v>
      </c>
      <c r="I756" s="27" t="n">
        <v>770</v>
      </c>
      <c r="J756" s="154">
        <f>I756/H756-1</f>
        <v/>
      </c>
      <c r="K756" s="31" t="inlineStr">
        <is>
          <t>19</t>
        </is>
      </c>
      <c r="L756" s="31" t="inlineStr">
        <is>
          <t>20</t>
        </is>
      </c>
      <c r="M756" s="31" t="inlineStr">
        <is>
          <t>S1</t>
        </is>
      </c>
      <c r="N756" s="31" t="inlineStr">
        <is>
          <t>S2</t>
        </is>
      </c>
      <c r="O756" s="31" t="inlineStr">
        <is>
          <t>642W9985-501</t>
        </is>
      </c>
      <c r="P756" s="31" t="inlineStr">
        <is>
          <t>SR Technics Switzerland</t>
        </is>
      </c>
    </row>
    <row r="757">
      <c r="B757" s="31" t="inlineStr">
        <is>
          <t>CFM56-5B</t>
        </is>
      </c>
      <c r="C757" s="31" t="inlineStr">
        <is>
          <t>2024-2025</t>
        </is>
      </c>
      <c r="D757" s="31" t="inlineStr">
        <is>
          <t>604614</t>
        </is>
      </c>
      <c r="E757" s="31" t="inlineStr">
        <is>
          <t>71-50-03</t>
        </is>
      </c>
      <c r="F757" s="31" t="inlineStr">
        <is>
          <t>E</t>
        </is>
      </c>
      <c r="G757" s="31" t="inlineStr">
        <is>
          <t>Other / assembly</t>
        </is>
      </c>
      <c r="H757" s="27" t="n">
        <v>1375</v>
      </c>
      <c r="I757" s="27" t="n">
        <v>1460</v>
      </c>
      <c r="J757" s="154">
        <f>I757/H757-1</f>
        <v/>
      </c>
      <c r="K757" s="31" t="inlineStr">
        <is>
          <t>19</t>
        </is>
      </c>
      <c r="L757" s="31" t="inlineStr">
        <is>
          <t>20</t>
        </is>
      </c>
      <c r="M757" s="31" t="inlineStr">
        <is>
          <t>S1</t>
        </is>
      </c>
      <c r="N757" s="31" t="inlineStr">
        <is>
          <t>S2</t>
        </is>
      </c>
      <c r="O757" s="31" t="inlineStr">
        <is>
          <t>642W9985-501</t>
        </is>
      </c>
      <c r="P757" s="31" t="inlineStr">
        <is>
          <t>SR Technics Switzerland</t>
        </is>
      </c>
    </row>
    <row r="758">
      <c r="B758" s="31" t="inlineStr">
        <is>
          <t>CFM56-5B</t>
        </is>
      </c>
      <c r="C758" s="31" t="inlineStr">
        <is>
          <t>2024-2025</t>
        </is>
      </c>
      <c r="D758" s="31" t="inlineStr">
        <is>
          <t>604614</t>
        </is>
      </c>
      <c r="E758" s="31" t="inlineStr">
        <is>
          <t>71-50-03</t>
        </is>
      </c>
      <c r="F758" s="31" t="inlineStr">
        <is>
          <t>F</t>
        </is>
      </c>
      <c r="G758" s="31" t="inlineStr">
        <is>
          <t>Other / assembly</t>
        </is>
      </c>
      <c r="H758" s="27" t="n">
        <v>1665</v>
      </c>
      <c r="I758" s="27" t="n">
        <v>1765</v>
      </c>
      <c r="J758" s="154">
        <f>I758/H758-1</f>
        <v/>
      </c>
      <c r="K758" s="31" t="inlineStr">
        <is>
          <t>19</t>
        </is>
      </c>
      <c r="L758" s="31" t="inlineStr">
        <is>
          <t>20</t>
        </is>
      </c>
      <c r="M758" s="31" t="inlineStr">
        <is>
          <t>S1</t>
        </is>
      </c>
      <c r="N758" s="31" t="inlineStr">
        <is>
          <t>S2</t>
        </is>
      </c>
      <c r="O758" s="31" t="inlineStr">
        <is>
          <t>642W9985-501</t>
        </is>
      </c>
      <c r="P758" s="31" t="inlineStr">
        <is>
          <t>SR Technics Switzerland</t>
        </is>
      </c>
    </row>
    <row r="759">
      <c r="B759" s="31" t="inlineStr">
        <is>
          <t>CFM56-5B</t>
        </is>
      </c>
      <c r="C759" s="31" t="inlineStr">
        <is>
          <t>2024-2025</t>
        </is>
      </c>
      <c r="D759" s="31" t="inlineStr">
        <is>
          <t>609271</t>
        </is>
      </c>
      <c r="E759" s="31" t="inlineStr">
        <is>
          <t>73-22-97</t>
        </is>
      </c>
      <c r="F759" s="31" t="inlineStr">
        <is>
          <t>C</t>
        </is>
      </c>
      <c r="G759" s="31" t="inlineStr">
        <is>
          <t>Fuel system</t>
        </is>
      </c>
      <c r="H759" s="27" t="n">
        <v>350</v>
      </c>
      <c r="I759" s="27" t="n">
        <v>375</v>
      </c>
      <c r="J759" s="154">
        <f>I759/H759-1</f>
        <v/>
      </c>
      <c r="K759" s="31" t="inlineStr">
        <is>
          <t>19</t>
        </is>
      </c>
      <c r="L759" s="31" t="inlineStr">
        <is>
          <t>20</t>
        </is>
      </c>
      <c r="M759" s="31" t="inlineStr">
        <is>
          <t>S1</t>
        </is>
      </c>
      <c r="N759" s="31" t="inlineStr">
        <is>
          <t>S2</t>
        </is>
      </c>
      <c r="O759" s="31" t="inlineStr">
        <is>
          <t>320-402-301-0</t>
        </is>
      </c>
      <c r="P759" s="31" t="inlineStr">
        <is>
          <t>SR Technics Switzerland</t>
        </is>
      </c>
    </row>
    <row r="760">
      <c r="B760" s="31" t="inlineStr">
        <is>
          <t>CFM56-5B</t>
        </is>
      </c>
      <c r="C760" s="31" t="inlineStr">
        <is>
          <t>2024-2025</t>
        </is>
      </c>
      <c r="D760" s="31" t="inlineStr">
        <is>
          <t>609271</t>
        </is>
      </c>
      <c r="E760" s="31" t="inlineStr">
        <is>
          <t>73-22-97</t>
        </is>
      </c>
      <c r="F760" s="31" t="inlineStr">
        <is>
          <t>D</t>
        </is>
      </c>
      <c r="G760" s="31" t="inlineStr">
        <is>
          <t>Fuel system</t>
        </is>
      </c>
      <c r="H760" s="27" t="n">
        <v>1205</v>
      </c>
      <c r="I760" s="27" t="n">
        <v>1280</v>
      </c>
      <c r="J760" s="154">
        <f>I760/H760-1</f>
        <v/>
      </c>
      <c r="K760" s="31" t="inlineStr">
        <is>
          <t>19</t>
        </is>
      </c>
      <c r="L760" s="31" t="inlineStr">
        <is>
          <t>20</t>
        </is>
      </c>
      <c r="M760" s="31" t="inlineStr">
        <is>
          <t>S1</t>
        </is>
      </c>
      <c r="N760" s="31" t="inlineStr">
        <is>
          <t>S2</t>
        </is>
      </c>
      <c r="O760" s="31" t="inlineStr">
        <is>
          <t>320-402-301-0</t>
        </is>
      </c>
      <c r="P760" s="31" t="inlineStr">
        <is>
          <t>SR Technics Switzerland</t>
        </is>
      </c>
    </row>
    <row r="761">
      <c r="B761" s="31" t="inlineStr">
        <is>
          <t>CFM56-5B</t>
        </is>
      </c>
      <c r="C761" s="31" t="inlineStr">
        <is>
          <t>2024-2025</t>
        </is>
      </c>
      <c r="D761" s="31" t="inlineStr">
        <is>
          <t>609271</t>
        </is>
      </c>
      <c r="E761" s="31" t="inlineStr">
        <is>
          <t>73-22-97</t>
        </is>
      </c>
      <c r="F761" s="31" t="inlineStr">
        <is>
          <t>E</t>
        </is>
      </c>
      <c r="G761" s="31" t="inlineStr">
        <is>
          <t>Fuel system</t>
        </is>
      </c>
      <c r="H761" s="27" t="n">
        <v>3535</v>
      </c>
      <c r="I761" s="27" t="n">
        <v>3750</v>
      </c>
      <c r="J761" s="154">
        <f>I761/H761-1</f>
        <v/>
      </c>
      <c r="K761" s="31" t="inlineStr">
        <is>
          <t>19</t>
        </is>
      </c>
      <c r="L761" s="31" t="inlineStr">
        <is>
          <t>20</t>
        </is>
      </c>
      <c r="M761" s="31" t="inlineStr">
        <is>
          <t>S1</t>
        </is>
      </c>
      <c r="N761" s="31" t="inlineStr">
        <is>
          <t>S2</t>
        </is>
      </c>
      <c r="O761" s="31" t="inlineStr">
        <is>
          <t>320-402-301-0</t>
        </is>
      </c>
      <c r="P761" s="31" t="inlineStr">
        <is>
          <t>SR Technics Switzerland</t>
        </is>
      </c>
    </row>
    <row r="762">
      <c r="B762" s="31" t="inlineStr">
        <is>
          <t>CFM56-5B</t>
        </is>
      </c>
      <c r="C762" s="31" t="inlineStr">
        <is>
          <t>2024-2025</t>
        </is>
      </c>
      <c r="D762" s="31" t="inlineStr">
        <is>
          <t>609271</t>
        </is>
      </c>
      <c r="E762" s="31" t="inlineStr">
        <is>
          <t>73-22-97</t>
        </is>
      </c>
      <c r="F762" s="31" t="inlineStr">
        <is>
          <t>F</t>
        </is>
      </c>
      <c r="G762" s="31" t="inlineStr">
        <is>
          <t>Fuel system</t>
        </is>
      </c>
      <c r="H762" s="27" t="n">
        <v>5055</v>
      </c>
      <c r="I762" s="27" t="n">
        <v>5360</v>
      </c>
      <c r="J762" s="154">
        <f>I762/H762-1</f>
        <v/>
      </c>
      <c r="K762" s="31" t="inlineStr">
        <is>
          <t>20</t>
        </is>
      </c>
      <c r="L762" s="31" t="inlineStr">
        <is>
          <t>20</t>
        </is>
      </c>
      <c r="M762" s="31" t="inlineStr">
        <is>
          <t>S1</t>
        </is>
      </c>
      <c r="N762" s="31" t="inlineStr">
        <is>
          <t>S2</t>
        </is>
      </c>
      <c r="O762" s="31" t="inlineStr">
        <is>
          <t>320-402-301-0</t>
        </is>
      </c>
      <c r="P762" s="31" t="inlineStr">
        <is>
          <t>SR Technics Switzerland</t>
        </is>
      </c>
    </row>
    <row r="763">
      <c r="B763" s="31" t="inlineStr">
        <is>
          <t>CFM56-5B</t>
        </is>
      </c>
      <c r="C763" s="31" t="inlineStr">
        <is>
          <t>2024-2025</t>
        </is>
      </c>
      <c r="D763" s="31" t="inlineStr">
        <is>
          <t>609410</t>
        </is>
      </c>
      <c r="E763" s="31" t="inlineStr">
        <is>
          <t>73-22-83</t>
        </is>
      </c>
      <c r="F763" s="31" t="inlineStr">
        <is>
          <t>C</t>
        </is>
      </c>
      <c r="G763" s="31" t="inlineStr">
        <is>
          <t>Fuel system</t>
        </is>
      </c>
      <c r="H763" s="27" t="n">
        <v>350</v>
      </c>
      <c r="I763" s="27" t="n">
        <v>375</v>
      </c>
      <c r="J763" s="154">
        <f>I763/H763-1</f>
        <v/>
      </c>
      <c r="K763" s="31" t="inlineStr">
        <is>
          <t>20</t>
        </is>
      </c>
      <c r="L763" s="31" t="inlineStr">
        <is>
          <t>20</t>
        </is>
      </c>
      <c r="M763" s="31" t="inlineStr">
        <is>
          <t>S1</t>
        </is>
      </c>
      <c r="N763" s="31" t="inlineStr">
        <is>
          <t>S2</t>
        </is>
      </c>
      <c r="O763" s="31" t="inlineStr">
        <is>
          <t>320-282-901-0</t>
        </is>
      </c>
      <c r="P763" s="31" t="inlineStr">
        <is>
          <t>SR Technics Switzerland</t>
        </is>
      </c>
    </row>
    <row r="764">
      <c r="B764" s="31" t="inlineStr">
        <is>
          <t>CFM56-5B</t>
        </is>
      </c>
      <c r="C764" s="31" t="inlineStr">
        <is>
          <t>2024-2025</t>
        </is>
      </c>
      <c r="D764" s="31" t="inlineStr">
        <is>
          <t>609410</t>
        </is>
      </c>
      <c r="E764" s="31" t="inlineStr">
        <is>
          <t>73-22-83</t>
        </is>
      </c>
      <c r="F764" s="31" t="inlineStr">
        <is>
          <t>D</t>
        </is>
      </c>
      <c r="G764" s="31" t="inlineStr">
        <is>
          <t>Fuel system</t>
        </is>
      </c>
      <c r="H764" s="27" t="n">
        <v>1205</v>
      </c>
      <c r="I764" s="27" t="n">
        <v>1280</v>
      </c>
      <c r="J764" s="154">
        <f>I764/H764-1</f>
        <v/>
      </c>
      <c r="K764" s="31" t="inlineStr">
        <is>
          <t>20</t>
        </is>
      </c>
      <c r="L764" s="31" t="inlineStr">
        <is>
          <t>20</t>
        </is>
      </c>
      <c r="M764" s="31" t="inlineStr">
        <is>
          <t>S1</t>
        </is>
      </c>
      <c r="N764" s="31" t="inlineStr">
        <is>
          <t>S2</t>
        </is>
      </c>
      <c r="O764" s="31" t="inlineStr">
        <is>
          <t>320-282-901-0</t>
        </is>
      </c>
      <c r="P764" s="31" t="inlineStr">
        <is>
          <t>SR Technics Switzerland</t>
        </is>
      </c>
    </row>
    <row r="765">
      <c r="B765" s="31" t="inlineStr">
        <is>
          <t>CFM56-5B</t>
        </is>
      </c>
      <c r="C765" s="31" t="inlineStr">
        <is>
          <t>2024-2025</t>
        </is>
      </c>
      <c r="D765" s="31" t="inlineStr">
        <is>
          <t>609410</t>
        </is>
      </c>
      <c r="E765" s="31" t="inlineStr">
        <is>
          <t>73-22-83</t>
        </is>
      </c>
      <c r="F765" s="31" t="inlineStr">
        <is>
          <t>E</t>
        </is>
      </c>
      <c r="G765" s="31" t="inlineStr">
        <is>
          <t>Fuel system</t>
        </is>
      </c>
      <c r="H765" s="27" t="n">
        <v>3535</v>
      </c>
      <c r="I765" s="27" t="n">
        <v>3750</v>
      </c>
      <c r="J765" s="154">
        <f>I765/H765-1</f>
        <v/>
      </c>
      <c r="K765" s="31" t="inlineStr">
        <is>
          <t>20</t>
        </is>
      </c>
      <c r="L765" s="31" t="inlineStr">
        <is>
          <t>20</t>
        </is>
      </c>
      <c r="M765" s="31" t="inlineStr">
        <is>
          <t>S1</t>
        </is>
      </c>
      <c r="N765" s="31" t="inlineStr">
        <is>
          <t>S2</t>
        </is>
      </c>
      <c r="O765" s="31" t="inlineStr">
        <is>
          <t>320-282-901-0</t>
        </is>
      </c>
      <c r="P765" s="31" t="inlineStr">
        <is>
          <t>SR Technics Switzerland</t>
        </is>
      </c>
    </row>
    <row r="766">
      <c r="B766" s="31" t="inlineStr">
        <is>
          <t>CFM56-5B</t>
        </is>
      </c>
      <c r="C766" s="31" t="inlineStr">
        <is>
          <t>2024-2025</t>
        </is>
      </c>
      <c r="D766" s="31" t="inlineStr">
        <is>
          <t>609410</t>
        </is>
      </c>
      <c r="E766" s="31" t="inlineStr">
        <is>
          <t>73-22-83</t>
        </is>
      </c>
      <c r="F766" s="31" t="inlineStr">
        <is>
          <t>F</t>
        </is>
      </c>
      <c r="G766" s="31" t="inlineStr">
        <is>
          <t>Fuel system</t>
        </is>
      </c>
      <c r="H766" s="27" t="n">
        <v>5055</v>
      </c>
      <c r="I766" s="27" t="n">
        <v>5360</v>
      </c>
      <c r="J766" s="154">
        <f>I766/H766-1</f>
        <v/>
      </c>
      <c r="K766" s="31" t="inlineStr">
        <is>
          <t>20</t>
        </is>
      </c>
      <c r="L766" s="31" t="inlineStr">
        <is>
          <t>20</t>
        </is>
      </c>
      <c r="M766" s="31" t="inlineStr">
        <is>
          <t>S1</t>
        </is>
      </c>
      <c r="N766" s="31" t="inlineStr">
        <is>
          <t>S2</t>
        </is>
      </c>
      <c r="O766" s="31" t="inlineStr">
        <is>
          <t>320-282-901-0</t>
        </is>
      </c>
      <c r="P766" s="31" t="inlineStr">
        <is>
          <t>SR Technics Switzerland</t>
        </is>
      </c>
    </row>
    <row r="767">
      <c r="B767" s="31" t="inlineStr">
        <is>
          <t>CFM56-5B</t>
        </is>
      </c>
      <c r="C767" s="31" t="inlineStr">
        <is>
          <t>2024-2025</t>
        </is>
      </c>
      <c r="D767" s="31" t="inlineStr">
        <is>
          <t>609411</t>
        </is>
      </c>
      <c r="E767" s="31" t="inlineStr">
        <is>
          <t>73-22-98</t>
        </is>
      </c>
      <c r="F767" s="31" t="inlineStr">
        <is>
          <t>C</t>
        </is>
      </c>
      <c r="G767" s="31" t="inlineStr">
        <is>
          <t>Fuel system</t>
        </is>
      </c>
      <c r="H767" s="27" t="n">
        <v>350</v>
      </c>
      <c r="I767" s="27" t="n">
        <v>375</v>
      </c>
      <c r="J767" s="154">
        <f>I767/H767-1</f>
        <v/>
      </c>
      <c r="K767" s="31" t="inlineStr">
        <is>
          <t>20</t>
        </is>
      </c>
      <c r="L767" s="31" t="inlineStr">
        <is>
          <t>20</t>
        </is>
      </c>
      <c r="M767" s="31" t="inlineStr">
        <is>
          <t>S1</t>
        </is>
      </c>
      <c r="N767" s="31" t="inlineStr">
        <is>
          <t>S2</t>
        </is>
      </c>
      <c r="O767" s="31" t="inlineStr">
        <is>
          <t>320-402-401-0</t>
        </is>
      </c>
      <c r="P767" s="31" t="inlineStr">
        <is>
          <t>SR Technics Switzerland</t>
        </is>
      </c>
    </row>
    <row r="768">
      <c r="B768" s="31" t="inlineStr">
        <is>
          <t>CFM56-5B</t>
        </is>
      </c>
      <c r="C768" s="31" t="inlineStr">
        <is>
          <t>2024-2025</t>
        </is>
      </c>
      <c r="D768" s="31" t="inlineStr">
        <is>
          <t>609411</t>
        </is>
      </c>
      <c r="E768" s="31" t="inlineStr">
        <is>
          <t>73-22-98</t>
        </is>
      </c>
      <c r="F768" s="31" t="inlineStr">
        <is>
          <t>D</t>
        </is>
      </c>
      <c r="G768" s="31" t="inlineStr">
        <is>
          <t>Fuel system</t>
        </is>
      </c>
      <c r="H768" s="27" t="n">
        <v>1205</v>
      </c>
      <c r="I768" s="27" t="n">
        <v>1280</v>
      </c>
      <c r="J768" s="154">
        <f>I768/H768-1</f>
        <v/>
      </c>
      <c r="K768" s="31" t="inlineStr">
        <is>
          <t>20</t>
        </is>
      </c>
      <c r="L768" s="31" t="inlineStr">
        <is>
          <t>20</t>
        </is>
      </c>
      <c r="M768" s="31" t="inlineStr">
        <is>
          <t>S1</t>
        </is>
      </c>
      <c r="N768" s="31" t="inlineStr">
        <is>
          <t>S2</t>
        </is>
      </c>
      <c r="O768" s="31" t="inlineStr">
        <is>
          <t>320-402-401-0</t>
        </is>
      </c>
      <c r="P768" s="31" t="inlineStr">
        <is>
          <t>SR Technics Switzerland</t>
        </is>
      </c>
    </row>
    <row r="769">
      <c r="B769" s="31" t="inlineStr">
        <is>
          <t>CFM56-5B</t>
        </is>
      </c>
      <c r="C769" s="31" t="inlineStr">
        <is>
          <t>2024-2025</t>
        </is>
      </c>
      <c r="D769" s="31" t="inlineStr">
        <is>
          <t>609411</t>
        </is>
      </c>
      <c r="E769" s="31" t="inlineStr">
        <is>
          <t>73-22-98</t>
        </is>
      </c>
      <c r="F769" s="31" t="inlineStr">
        <is>
          <t>E</t>
        </is>
      </c>
      <c r="G769" s="31" t="inlineStr">
        <is>
          <t>Fuel system</t>
        </is>
      </c>
      <c r="H769" s="27" t="n">
        <v>3785</v>
      </c>
      <c r="I769" s="27" t="n">
        <v>4015</v>
      </c>
      <c r="J769" s="154">
        <f>I769/H769-1</f>
        <v/>
      </c>
      <c r="K769" s="31" t="inlineStr">
        <is>
          <t>20</t>
        </is>
      </c>
      <c r="L769" s="31" t="inlineStr">
        <is>
          <t>20</t>
        </is>
      </c>
      <c r="M769" s="31" t="inlineStr">
        <is>
          <t>S1</t>
        </is>
      </c>
      <c r="N769" s="31" t="inlineStr">
        <is>
          <t>S2</t>
        </is>
      </c>
      <c r="O769" s="31" t="inlineStr">
        <is>
          <t>320-402-401-0</t>
        </is>
      </c>
      <c r="P769" s="31" t="inlineStr">
        <is>
          <t>SR Technics Switzerland</t>
        </is>
      </c>
    </row>
    <row r="770">
      <c r="B770" s="31" t="inlineStr">
        <is>
          <t>CFM56-5B</t>
        </is>
      </c>
      <c r="C770" s="31" t="inlineStr">
        <is>
          <t>2024-2025</t>
        </is>
      </c>
      <c r="D770" s="31" t="inlineStr">
        <is>
          <t>609411</t>
        </is>
      </c>
      <c r="E770" s="31" t="inlineStr">
        <is>
          <t>73-22-98</t>
        </is>
      </c>
      <c r="F770" s="31" t="inlineStr">
        <is>
          <t>F</t>
        </is>
      </c>
      <c r="G770" s="31" t="inlineStr">
        <is>
          <t>Fuel system</t>
        </is>
      </c>
      <c r="H770" s="27" t="n">
        <v>5120</v>
      </c>
      <c r="I770" s="27" t="n">
        <v>5430</v>
      </c>
      <c r="J770" s="154">
        <f>I770/H770-1</f>
        <v/>
      </c>
      <c r="K770" s="31" t="inlineStr">
        <is>
          <t>20</t>
        </is>
      </c>
      <c r="L770" s="31" t="inlineStr">
        <is>
          <t>20</t>
        </is>
      </c>
      <c r="M770" s="31" t="inlineStr">
        <is>
          <t>S1</t>
        </is>
      </c>
      <c r="N770" s="31" t="inlineStr">
        <is>
          <t>S2</t>
        </is>
      </c>
      <c r="O770" s="31" t="inlineStr">
        <is>
          <t>320-402-401-0</t>
        </is>
      </c>
      <c r="P770" s="31" t="inlineStr">
        <is>
          <t>SR Technics Switzerland</t>
        </is>
      </c>
    </row>
    <row r="771">
      <c r="B771" s="31" t="inlineStr">
        <is>
          <t>CFM56-5B</t>
        </is>
      </c>
      <c r="C771" s="31" t="inlineStr">
        <is>
          <t>2024-2025</t>
        </is>
      </c>
      <c r="D771" s="31" t="inlineStr">
        <is>
          <t>609412</t>
        </is>
      </c>
      <c r="E771" s="31" t="inlineStr">
        <is>
          <t>73-22-85</t>
        </is>
      </c>
      <c r="F771" s="31" t="inlineStr">
        <is>
          <t>C</t>
        </is>
      </c>
      <c r="G771" s="31" t="inlineStr">
        <is>
          <t>Fuel system</t>
        </is>
      </c>
      <c r="H771" s="27" t="n">
        <v>350</v>
      </c>
      <c r="I771" s="27" t="n">
        <v>375</v>
      </c>
      <c r="J771" s="154">
        <f>I771/H771-1</f>
        <v/>
      </c>
      <c r="K771" s="31" t="inlineStr">
        <is>
          <t>20</t>
        </is>
      </c>
      <c r="L771" s="31" t="inlineStr">
        <is>
          <t>20</t>
        </is>
      </c>
      <c r="M771" s="31" t="inlineStr">
        <is>
          <t>S1</t>
        </is>
      </c>
      <c r="N771" s="31" t="inlineStr">
        <is>
          <t>S2</t>
        </is>
      </c>
      <c r="O771" s="31" t="inlineStr">
        <is>
          <t>320-290-201-0</t>
        </is>
      </c>
      <c r="P771" s="31" t="inlineStr">
        <is>
          <t>SR Technics Switzerland</t>
        </is>
      </c>
    </row>
    <row r="772">
      <c r="B772" s="31" t="inlineStr">
        <is>
          <t>CFM56-5B</t>
        </is>
      </c>
      <c r="C772" s="31" t="inlineStr">
        <is>
          <t>2024-2025</t>
        </is>
      </c>
      <c r="D772" s="31" t="inlineStr">
        <is>
          <t>609412</t>
        </is>
      </c>
      <c r="E772" s="31" t="inlineStr">
        <is>
          <t>73-22-85</t>
        </is>
      </c>
      <c r="F772" s="31" t="inlineStr">
        <is>
          <t>D</t>
        </is>
      </c>
      <c r="G772" s="31" t="inlineStr">
        <is>
          <t>Fuel system</t>
        </is>
      </c>
      <c r="H772" s="27" t="n">
        <v>1205</v>
      </c>
      <c r="I772" s="27" t="n">
        <v>1280</v>
      </c>
      <c r="J772" s="154">
        <f>I772/H772-1</f>
        <v/>
      </c>
      <c r="K772" s="31" t="inlineStr">
        <is>
          <t>20</t>
        </is>
      </c>
      <c r="L772" s="31" t="inlineStr">
        <is>
          <t>20</t>
        </is>
      </c>
      <c r="M772" s="31" t="inlineStr">
        <is>
          <t>S1</t>
        </is>
      </c>
      <c r="N772" s="31" t="inlineStr">
        <is>
          <t>S2</t>
        </is>
      </c>
      <c r="O772" s="31" t="inlineStr">
        <is>
          <t>320-290-201-0</t>
        </is>
      </c>
      <c r="P772" s="31" t="inlineStr">
        <is>
          <t>SR Technics Switzerland</t>
        </is>
      </c>
    </row>
    <row r="773">
      <c r="B773" s="31" t="inlineStr">
        <is>
          <t>CFM56-5B</t>
        </is>
      </c>
      <c r="C773" s="31" t="inlineStr">
        <is>
          <t>2024-2025</t>
        </is>
      </c>
      <c r="D773" s="31" t="inlineStr">
        <is>
          <t>609412</t>
        </is>
      </c>
      <c r="E773" s="31" t="inlineStr">
        <is>
          <t>73-22-85</t>
        </is>
      </c>
      <c r="F773" s="31" t="inlineStr">
        <is>
          <t>E</t>
        </is>
      </c>
      <c r="G773" s="31" t="inlineStr">
        <is>
          <t>Fuel system</t>
        </is>
      </c>
      <c r="H773" s="27" t="n">
        <v>3785</v>
      </c>
      <c r="I773" s="27" t="n">
        <v>4015</v>
      </c>
      <c r="J773" s="154">
        <f>I773/H773-1</f>
        <v/>
      </c>
      <c r="K773" s="31" t="inlineStr">
        <is>
          <t>20</t>
        </is>
      </c>
      <c r="L773" s="31" t="inlineStr">
        <is>
          <t>20</t>
        </is>
      </c>
      <c r="M773" s="31" t="inlineStr">
        <is>
          <t>S1</t>
        </is>
      </c>
      <c r="N773" s="31" t="inlineStr">
        <is>
          <t>S2</t>
        </is>
      </c>
      <c r="O773" s="31" t="inlineStr">
        <is>
          <t>320-290-201-0</t>
        </is>
      </c>
      <c r="P773" s="31" t="inlineStr">
        <is>
          <t>SR Technics Switzerland</t>
        </is>
      </c>
    </row>
    <row r="774">
      <c r="B774" s="31" t="inlineStr">
        <is>
          <t>CFM56-5B</t>
        </is>
      </c>
      <c r="C774" s="31" t="inlineStr">
        <is>
          <t>2024-2025</t>
        </is>
      </c>
      <c r="D774" s="31" t="inlineStr">
        <is>
          <t>609412</t>
        </is>
      </c>
      <c r="E774" s="31" t="inlineStr">
        <is>
          <t>73-22-85</t>
        </is>
      </c>
      <c r="F774" s="31" t="inlineStr">
        <is>
          <t>F</t>
        </is>
      </c>
      <c r="G774" s="31" t="inlineStr">
        <is>
          <t>Fuel system</t>
        </is>
      </c>
      <c r="H774" s="27" t="n">
        <v>5120</v>
      </c>
      <c r="I774" s="27" t="n">
        <v>5430</v>
      </c>
      <c r="J774" s="154">
        <f>I774/H774-1</f>
        <v/>
      </c>
      <c r="K774" s="31" t="inlineStr">
        <is>
          <t>20</t>
        </is>
      </c>
      <c r="L774" s="31" t="inlineStr">
        <is>
          <t>20</t>
        </is>
      </c>
      <c r="M774" s="31" t="inlineStr">
        <is>
          <t>S1</t>
        </is>
      </c>
      <c r="N774" s="31" t="inlineStr">
        <is>
          <t>S2</t>
        </is>
      </c>
      <c r="O774" s="31" t="inlineStr">
        <is>
          <t>320-290-201-0</t>
        </is>
      </c>
      <c r="P774" s="31" t="inlineStr">
        <is>
          <t>SR Technics Switzerland</t>
        </is>
      </c>
    </row>
    <row r="775">
      <c r="B775" s="31" t="inlineStr">
        <is>
          <t>CFM56-5B</t>
        </is>
      </c>
      <c r="C775" s="31" t="inlineStr">
        <is>
          <t>2024-2025</t>
        </is>
      </c>
      <c r="D775" s="31" t="inlineStr">
        <is>
          <t>609413</t>
        </is>
      </c>
      <c r="E775" s="31" t="inlineStr">
        <is>
          <t>73-22-74</t>
        </is>
      </c>
      <c r="F775" s="31" t="inlineStr">
        <is>
          <t>C</t>
        </is>
      </c>
      <c r="G775" s="31" t="inlineStr">
        <is>
          <t>Fuel system</t>
        </is>
      </c>
      <c r="H775" s="27" t="n">
        <v>350</v>
      </c>
      <c r="I775" s="27" t="n">
        <v>375</v>
      </c>
      <c r="J775" s="154">
        <f>I775/H775-1</f>
        <v/>
      </c>
      <c r="K775" s="31" t="inlineStr">
        <is>
          <t>20</t>
        </is>
      </c>
      <c r="L775" s="31" t="inlineStr">
        <is>
          <t>20</t>
        </is>
      </c>
      <c r="M775" s="31" t="inlineStr">
        <is>
          <t>S1</t>
        </is>
      </c>
      <c r="N775" s="31" t="inlineStr">
        <is>
          <t>S2</t>
        </is>
      </c>
      <c r="O775" s="31" t="inlineStr">
        <is>
          <t>320-364-201-0</t>
        </is>
      </c>
      <c r="P775" s="31" t="inlineStr">
        <is>
          <t>SR Technics Switzerland</t>
        </is>
      </c>
    </row>
    <row r="776">
      <c r="B776" s="31" t="inlineStr">
        <is>
          <t>CFM56-5B</t>
        </is>
      </c>
      <c r="C776" s="31" t="inlineStr">
        <is>
          <t>2024-2025</t>
        </is>
      </c>
      <c r="D776" s="31" t="inlineStr">
        <is>
          <t>609413</t>
        </is>
      </c>
      <c r="E776" s="31" t="inlineStr">
        <is>
          <t>73-22-74</t>
        </is>
      </c>
      <c r="F776" s="31" t="inlineStr">
        <is>
          <t>D</t>
        </is>
      </c>
      <c r="G776" s="31" t="inlineStr">
        <is>
          <t>Fuel system</t>
        </is>
      </c>
      <c r="H776" s="27" t="n">
        <v>1205</v>
      </c>
      <c r="I776" s="27" t="n">
        <v>1280</v>
      </c>
      <c r="J776" s="154">
        <f>I776/H776-1</f>
        <v/>
      </c>
      <c r="K776" s="31" t="inlineStr">
        <is>
          <t>20</t>
        </is>
      </c>
      <c r="L776" s="31" t="inlineStr">
        <is>
          <t>20</t>
        </is>
      </c>
      <c r="M776" s="31" t="inlineStr">
        <is>
          <t>S1</t>
        </is>
      </c>
      <c r="N776" s="31" t="inlineStr">
        <is>
          <t>S2</t>
        </is>
      </c>
      <c r="O776" s="31" t="inlineStr">
        <is>
          <t>320-364-201-0</t>
        </is>
      </c>
      <c r="P776" s="31" t="inlineStr">
        <is>
          <t>SR Technics Switzerland</t>
        </is>
      </c>
    </row>
    <row r="777">
      <c r="B777" s="31" t="inlineStr">
        <is>
          <t>CFM56-5B</t>
        </is>
      </c>
      <c r="C777" s="31" t="inlineStr">
        <is>
          <t>2024-2025</t>
        </is>
      </c>
      <c r="D777" s="31" t="inlineStr">
        <is>
          <t>609413</t>
        </is>
      </c>
      <c r="E777" s="31" t="inlineStr">
        <is>
          <t>73-22-74</t>
        </is>
      </c>
      <c r="F777" s="31" t="inlineStr">
        <is>
          <t>E</t>
        </is>
      </c>
      <c r="G777" s="31" t="inlineStr">
        <is>
          <t>Fuel system</t>
        </is>
      </c>
      <c r="H777" s="27" t="n">
        <v>3785</v>
      </c>
      <c r="I777" s="27" t="n">
        <v>4015</v>
      </c>
      <c r="J777" s="154">
        <f>I777/H777-1</f>
        <v/>
      </c>
      <c r="K777" s="31" t="inlineStr">
        <is>
          <t>20</t>
        </is>
      </c>
      <c r="L777" s="31" t="inlineStr">
        <is>
          <t>20</t>
        </is>
      </c>
      <c r="M777" s="31" t="inlineStr">
        <is>
          <t>S1</t>
        </is>
      </c>
      <c r="N777" s="31" t="inlineStr">
        <is>
          <t>S2</t>
        </is>
      </c>
      <c r="O777" s="31" t="inlineStr">
        <is>
          <t>320-364-201-0</t>
        </is>
      </c>
      <c r="P777" s="31" t="inlineStr">
        <is>
          <t>SR Technics Switzerland</t>
        </is>
      </c>
    </row>
    <row r="778">
      <c r="B778" s="31" t="inlineStr">
        <is>
          <t>CFM56-5B</t>
        </is>
      </c>
      <c r="C778" s="31" t="inlineStr">
        <is>
          <t>2024-2025</t>
        </is>
      </c>
      <c r="D778" s="31" t="inlineStr">
        <is>
          <t>609413</t>
        </is>
      </c>
      <c r="E778" s="31" t="inlineStr">
        <is>
          <t>73-22-74</t>
        </is>
      </c>
      <c r="F778" s="31" t="inlineStr">
        <is>
          <t>F</t>
        </is>
      </c>
      <c r="G778" s="31" t="inlineStr">
        <is>
          <t>Fuel system</t>
        </is>
      </c>
      <c r="H778" s="27" t="n">
        <v>5120</v>
      </c>
      <c r="I778" s="27" t="n">
        <v>5430</v>
      </c>
      <c r="J778" s="154">
        <f>I778/H778-1</f>
        <v/>
      </c>
      <c r="K778" s="31" t="inlineStr">
        <is>
          <t>20</t>
        </is>
      </c>
      <c r="L778" s="31" t="inlineStr">
        <is>
          <t>20</t>
        </is>
      </c>
      <c r="M778" s="31" t="inlineStr">
        <is>
          <t>S1</t>
        </is>
      </c>
      <c r="N778" s="31" t="inlineStr">
        <is>
          <t>S2</t>
        </is>
      </c>
      <c r="O778" s="31" t="inlineStr">
        <is>
          <t>320-364-201-0</t>
        </is>
      </c>
      <c r="P778" s="31" t="inlineStr">
        <is>
          <t>SR Technics Switzerland</t>
        </is>
      </c>
    </row>
    <row r="779">
      <c r="B779" s="31" t="inlineStr">
        <is>
          <t>CFM56-5B</t>
        </is>
      </c>
      <c r="C779" s="31" t="inlineStr">
        <is>
          <t>2024-2025</t>
        </is>
      </c>
      <c r="D779" s="31" t="inlineStr">
        <is>
          <t>609413</t>
        </is>
      </c>
      <c r="E779" s="31" t="inlineStr">
        <is>
          <t>73-22-74</t>
        </is>
      </c>
      <c r="F779" s="31" t="inlineStr">
        <is>
          <t>SB00</t>
        </is>
      </c>
      <c r="G779" s="31" t="inlineStr">
        <is>
          <t>Fuel system</t>
        </is>
      </c>
      <c r="H779" s="27" t="n">
        <v>350</v>
      </c>
      <c r="I779" s="27" t="n">
        <v>375</v>
      </c>
      <c r="J779" s="154">
        <f>I779/H779-1</f>
        <v/>
      </c>
      <c r="K779" s="31" t="inlineStr">
        <is>
          <t>20</t>
        </is>
      </c>
      <c r="L779" s="31" t="inlineStr">
        <is>
          <t>20</t>
        </is>
      </c>
      <c r="M779" s="31" t="inlineStr">
        <is>
          <t>S1</t>
        </is>
      </c>
      <c r="N779" s="31" t="inlineStr">
        <is>
          <t>S2</t>
        </is>
      </c>
      <c r="O779" s="31" t="inlineStr">
        <is>
          <t>320-364-201-0</t>
        </is>
      </c>
      <c r="P779" s="31" t="inlineStr">
        <is>
          <t>SR Technics Switzerland</t>
        </is>
      </c>
    </row>
    <row r="780">
      <c r="B780" s="31" t="inlineStr">
        <is>
          <t>CFM56-5B</t>
        </is>
      </c>
      <c r="C780" s="31" t="inlineStr">
        <is>
          <t>2024-2025</t>
        </is>
      </c>
      <c r="D780" s="31" t="inlineStr">
        <is>
          <t>609413</t>
        </is>
      </c>
      <c r="E780" s="31" t="inlineStr">
        <is>
          <t>73-22-74</t>
        </is>
      </c>
      <c r="F780" s="31" t="inlineStr">
        <is>
          <t>SB01</t>
        </is>
      </c>
      <c r="G780" s="31" t="inlineStr">
        <is>
          <t>Fuel system</t>
        </is>
      </c>
      <c r="H780" s="27" t="n">
        <v>350</v>
      </c>
      <c r="I780" s="27" t="n">
        <v>375</v>
      </c>
      <c r="J780" s="154">
        <f>I780/H780-1</f>
        <v/>
      </c>
      <c r="K780" s="31" t="inlineStr">
        <is>
          <t>20</t>
        </is>
      </c>
      <c r="L780" s="31" t="inlineStr">
        <is>
          <t>20</t>
        </is>
      </c>
      <c r="M780" s="31" t="inlineStr">
        <is>
          <t>S1</t>
        </is>
      </c>
      <c r="N780" s="31" t="inlineStr">
        <is>
          <t>S2</t>
        </is>
      </c>
      <c r="O780" s="31" t="inlineStr">
        <is>
          <t>320-364-201-0</t>
        </is>
      </c>
      <c r="P780" s="31" t="inlineStr">
        <is>
          <t>SR Technics Switzerland</t>
        </is>
      </c>
    </row>
    <row r="781">
      <c r="B781" s="31" t="inlineStr">
        <is>
          <t>CFM56-5B</t>
        </is>
      </c>
      <c r="C781" s="31" t="inlineStr">
        <is>
          <t>2024-2025</t>
        </is>
      </c>
      <c r="D781" s="31" t="inlineStr">
        <is>
          <t>609414</t>
        </is>
      </c>
      <c r="E781" s="31" t="inlineStr">
        <is>
          <t>73-22-96</t>
        </is>
      </c>
      <c r="F781" s="31" t="inlineStr">
        <is>
          <t>C</t>
        </is>
      </c>
      <c r="G781" s="31" t="inlineStr">
        <is>
          <t>Fuel system</t>
        </is>
      </c>
      <c r="H781" s="27" t="n">
        <v>350</v>
      </c>
      <c r="I781" s="27" t="n">
        <v>375</v>
      </c>
      <c r="J781" s="154">
        <f>I781/H781-1</f>
        <v/>
      </c>
      <c r="K781" s="31" t="inlineStr">
        <is>
          <t>20</t>
        </is>
      </c>
      <c r="L781" s="31" t="inlineStr">
        <is>
          <t>20</t>
        </is>
      </c>
      <c r="M781" s="31" t="inlineStr">
        <is>
          <t>S1</t>
        </is>
      </c>
      <c r="N781" s="31" t="inlineStr">
        <is>
          <t>S2</t>
        </is>
      </c>
      <c r="O781" s="31" t="inlineStr">
        <is>
          <t>320-366-601-0</t>
        </is>
      </c>
      <c r="P781" s="31" t="inlineStr">
        <is>
          <t>SR Technics Switzerland</t>
        </is>
      </c>
    </row>
    <row r="782">
      <c r="B782" s="31" t="inlineStr">
        <is>
          <t>CFM56-5B</t>
        </is>
      </c>
      <c r="C782" s="31" t="inlineStr">
        <is>
          <t>2024-2025</t>
        </is>
      </c>
      <c r="D782" s="31" t="inlineStr">
        <is>
          <t>609414</t>
        </is>
      </c>
      <c r="E782" s="31" t="inlineStr">
        <is>
          <t>73-22-96</t>
        </is>
      </c>
      <c r="F782" s="31" t="inlineStr">
        <is>
          <t>D</t>
        </is>
      </c>
      <c r="G782" s="31" t="inlineStr">
        <is>
          <t>Fuel system</t>
        </is>
      </c>
      <c r="H782" s="27" t="n">
        <v>1205</v>
      </c>
      <c r="I782" s="27" t="n">
        <v>1280</v>
      </c>
      <c r="J782" s="154">
        <f>I782/H782-1</f>
        <v/>
      </c>
      <c r="K782" s="31" t="inlineStr">
        <is>
          <t>20</t>
        </is>
      </c>
      <c r="L782" s="31" t="inlineStr">
        <is>
          <t>20</t>
        </is>
      </c>
      <c r="M782" s="31" t="inlineStr">
        <is>
          <t>S1</t>
        </is>
      </c>
      <c r="N782" s="31" t="inlineStr">
        <is>
          <t>S2</t>
        </is>
      </c>
      <c r="O782" s="31" t="inlineStr">
        <is>
          <t>320-366-601-0</t>
        </is>
      </c>
      <c r="P782" s="31" t="inlineStr">
        <is>
          <t>SR Technics Switzerland</t>
        </is>
      </c>
    </row>
    <row r="783">
      <c r="B783" s="31" t="inlineStr">
        <is>
          <t>CFM56-5B</t>
        </is>
      </c>
      <c r="C783" s="31" t="inlineStr">
        <is>
          <t>2024-2025</t>
        </is>
      </c>
      <c r="D783" s="31" t="inlineStr">
        <is>
          <t>609414</t>
        </is>
      </c>
      <c r="E783" s="31" t="inlineStr">
        <is>
          <t>73-22-96</t>
        </is>
      </c>
      <c r="F783" s="31" t="inlineStr">
        <is>
          <t>E</t>
        </is>
      </c>
      <c r="G783" s="31" t="inlineStr">
        <is>
          <t>Fuel system</t>
        </is>
      </c>
      <c r="H783" s="27" t="n">
        <v>3480</v>
      </c>
      <c r="I783" s="27" t="n">
        <v>3690</v>
      </c>
      <c r="J783" s="154">
        <f>I783/H783-1</f>
        <v/>
      </c>
      <c r="K783" s="31" t="inlineStr">
        <is>
          <t>20</t>
        </is>
      </c>
      <c r="L783" s="31" t="inlineStr">
        <is>
          <t>20</t>
        </is>
      </c>
      <c r="M783" s="31" t="inlineStr">
        <is>
          <t>S1</t>
        </is>
      </c>
      <c r="N783" s="31" t="inlineStr">
        <is>
          <t>S2</t>
        </is>
      </c>
      <c r="O783" s="31" t="inlineStr">
        <is>
          <t>320-366-601-0</t>
        </is>
      </c>
      <c r="P783" s="31" t="inlineStr">
        <is>
          <t>SR Technics Switzerland</t>
        </is>
      </c>
    </row>
    <row r="784">
      <c r="B784" s="31" t="inlineStr">
        <is>
          <t>CFM56-5B</t>
        </is>
      </c>
      <c r="C784" s="31" t="inlineStr">
        <is>
          <t>2024-2025</t>
        </is>
      </c>
      <c r="D784" s="31" t="inlineStr">
        <is>
          <t>609414</t>
        </is>
      </c>
      <c r="E784" s="31" t="inlineStr">
        <is>
          <t>73-22-96</t>
        </is>
      </c>
      <c r="F784" s="31" t="inlineStr">
        <is>
          <t>F</t>
        </is>
      </c>
      <c r="G784" s="31" t="inlineStr">
        <is>
          <t>Fuel system</t>
        </is>
      </c>
      <c r="H784" s="27" t="n">
        <v>4875</v>
      </c>
      <c r="I784" s="27" t="n">
        <v>5170</v>
      </c>
      <c r="J784" s="154">
        <f>I784/H784-1</f>
        <v/>
      </c>
      <c r="K784" s="31" t="inlineStr">
        <is>
          <t>20</t>
        </is>
      </c>
      <c r="L784" s="31" t="inlineStr">
        <is>
          <t>20</t>
        </is>
      </c>
      <c r="M784" s="31" t="inlineStr">
        <is>
          <t>S1</t>
        </is>
      </c>
      <c r="N784" s="31" t="inlineStr">
        <is>
          <t>S2</t>
        </is>
      </c>
      <c r="O784" s="31" t="inlineStr">
        <is>
          <t>320-366-601-0</t>
        </is>
      </c>
      <c r="P784" s="31" t="inlineStr">
        <is>
          <t>SR Technics Switzerland</t>
        </is>
      </c>
    </row>
    <row r="785">
      <c r="B785" s="31" t="inlineStr">
        <is>
          <t>CFM56-5B</t>
        </is>
      </c>
      <c r="C785" s="31" t="inlineStr">
        <is>
          <t>2024-2025</t>
        </is>
      </c>
      <c r="D785" s="31" t="inlineStr">
        <is>
          <t>609415</t>
        </is>
      </c>
      <c r="E785" s="31" t="inlineStr">
        <is>
          <t>73-22-86</t>
        </is>
      </c>
      <c r="F785" s="31" t="inlineStr">
        <is>
          <t>C</t>
        </is>
      </c>
      <c r="G785" s="31" t="inlineStr">
        <is>
          <t>Fuel system</t>
        </is>
      </c>
      <c r="H785" s="27" t="n">
        <v>350</v>
      </c>
      <c r="I785" s="27" t="n">
        <v>375</v>
      </c>
      <c r="J785" s="154">
        <f>I785/H785-1</f>
        <v/>
      </c>
      <c r="K785" s="31" t="inlineStr">
        <is>
          <t>20</t>
        </is>
      </c>
      <c r="L785" s="31" t="inlineStr">
        <is>
          <t>20</t>
        </is>
      </c>
      <c r="M785" s="31" t="inlineStr">
        <is>
          <t>S1</t>
        </is>
      </c>
      <c r="N785" s="31" t="inlineStr">
        <is>
          <t>S2</t>
        </is>
      </c>
      <c r="O785" s="31" t="inlineStr">
        <is>
          <t>320-290-301-0</t>
        </is>
      </c>
      <c r="P785" s="31" t="inlineStr">
        <is>
          <t>SR Technics Switzerland</t>
        </is>
      </c>
    </row>
    <row r="786">
      <c r="B786" s="31" t="inlineStr">
        <is>
          <t>CFM56-5B</t>
        </is>
      </c>
      <c r="C786" s="31" t="inlineStr">
        <is>
          <t>2024-2025</t>
        </is>
      </c>
      <c r="D786" s="31" t="inlineStr">
        <is>
          <t>609415</t>
        </is>
      </c>
      <c r="E786" s="31" t="inlineStr">
        <is>
          <t>73-22-86</t>
        </is>
      </c>
      <c r="F786" s="31" t="inlineStr">
        <is>
          <t>D</t>
        </is>
      </c>
      <c r="G786" s="31" t="inlineStr">
        <is>
          <t>Fuel system</t>
        </is>
      </c>
      <c r="H786" s="27" t="n">
        <v>1205</v>
      </c>
      <c r="I786" s="27" t="n">
        <v>1280</v>
      </c>
      <c r="J786" s="154">
        <f>I786/H786-1</f>
        <v/>
      </c>
      <c r="K786" s="31" t="inlineStr">
        <is>
          <t>20</t>
        </is>
      </c>
      <c r="L786" s="31" t="inlineStr">
        <is>
          <t>20</t>
        </is>
      </c>
      <c r="M786" s="31" t="inlineStr">
        <is>
          <t>S1</t>
        </is>
      </c>
      <c r="N786" s="31" t="inlineStr">
        <is>
          <t>S2</t>
        </is>
      </c>
      <c r="O786" s="31" t="inlineStr">
        <is>
          <t>320-290-301-0</t>
        </is>
      </c>
      <c r="P786" s="31" t="inlineStr">
        <is>
          <t>SR Technics Switzerland</t>
        </is>
      </c>
    </row>
    <row r="787">
      <c r="B787" s="31" t="inlineStr">
        <is>
          <t>CFM56-5B</t>
        </is>
      </c>
      <c r="C787" s="31" t="inlineStr">
        <is>
          <t>2024-2025</t>
        </is>
      </c>
      <c r="D787" s="31" t="inlineStr">
        <is>
          <t>609415</t>
        </is>
      </c>
      <c r="E787" s="31" t="inlineStr">
        <is>
          <t>73-22-86</t>
        </is>
      </c>
      <c r="F787" s="31" t="inlineStr">
        <is>
          <t>E</t>
        </is>
      </c>
      <c r="G787" s="31" t="inlineStr">
        <is>
          <t>Fuel system</t>
        </is>
      </c>
      <c r="H787" s="27" t="n">
        <v>3480</v>
      </c>
      <c r="I787" s="27" t="n">
        <v>3690</v>
      </c>
      <c r="J787" s="154">
        <f>I787/H787-1</f>
        <v/>
      </c>
      <c r="K787" s="31" t="inlineStr">
        <is>
          <t>20</t>
        </is>
      </c>
      <c r="L787" s="31" t="inlineStr">
        <is>
          <t>20</t>
        </is>
      </c>
      <c r="M787" s="31" t="inlineStr">
        <is>
          <t>S1</t>
        </is>
      </c>
      <c r="N787" s="31" t="inlineStr">
        <is>
          <t>S2</t>
        </is>
      </c>
      <c r="O787" s="31" t="inlineStr">
        <is>
          <t>320-290-301-0</t>
        </is>
      </c>
      <c r="P787" s="31" t="inlineStr">
        <is>
          <t>SR Technics Switzerland</t>
        </is>
      </c>
    </row>
    <row r="788">
      <c r="B788" s="31" t="inlineStr">
        <is>
          <t>CFM56-5B</t>
        </is>
      </c>
      <c r="C788" s="31" t="inlineStr">
        <is>
          <t>2024-2025</t>
        </is>
      </c>
      <c r="D788" s="31" t="inlineStr">
        <is>
          <t>609415</t>
        </is>
      </c>
      <c r="E788" s="31" t="inlineStr">
        <is>
          <t>73-22-86</t>
        </is>
      </c>
      <c r="F788" s="31" t="inlineStr">
        <is>
          <t>F</t>
        </is>
      </c>
      <c r="G788" s="31" t="inlineStr">
        <is>
          <t>Fuel system</t>
        </is>
      </c>
      <c r="H788" s="27" t="n">
        <v>4875</v>
      </c>
      <c r="I788" s="27" t="n">
        <v>5170</v>
      </c>
      <c r="J788" s="154">
        <f>I788/H788-1</f>
        <v/>
      </c>
      <c r="K788" s="31" t="inlineStr">
        <is>
          <t>20</t>
        </is>
      </c>
      <c r="L788" s="31" t="inlineStr">
        <is>
          <t>20</t>
        </is>
      </c>
      <c r="M788" s="31" t="inlineStr">
        <is>
          <t>S1</t>
        </is>
      </c>
      <c r="N788" s="31" t="inlineStr">
        <is>
          <t>S2</t>
        </is>
      </c>
      <c r="O788" s="31" t="inlineStr">
        <is>
          <t>320-290-301-0</t>
        </is>
      </c>
      <c r="P788" s="31" t="inlineStr">
        <is>
          <t>SR Technics Switzerland</t>
        </is>
      </c>
    </row>
    <row r="789">
      <c r="B789" s="31" t="inlineStr">
        <is>
          <t>CFM56-5B</t>
        </is>
      </c>
      <c r="C789" s="31" t="inlineStr">
        <is>
          <t>2024-2025</t>
        </is>
      </c>
      <c r="D789" s="31" t="inlineStr">
        <is>
          <t>609415</t>
        </is>
      </c>
      <c r="E789" s="31" t="inlineStr">
        <is>
          <t>73-22-86</t>
        </is>
      </c>
      <c r="F789" s="31" t="inlineStr">
        <is>
          <t>SB00</t>
        </is>
      </c>
      <c r="G789" s="31" t="inlineStr">
        <is>
          <t>Fuel system</t>
        </is>
      </c>
      <c r="H789" s="27" t="n">
        <v>255</v>
      </c>
      <c r="I789" s="27" t="n">
        <v>275</v>
      </c>
      <c r="J789" s="154">
        <f>I789/H789-1</f>
        <v/>
      </c>
      <c r="K789" s="31" t="inlineStr">
        <is>
          <t>20</t>
        </is>
      </c>
      <c r="L789" s="31" t="inlineStr">
        <is>
          <t>20</t>
        </is>
      </c>
      <c r="M789" s="31" t="inlineStr">
        <is>
          <t>S1</t>
        </is>
      </c>
      <c r="N789" s="31" t="inlineStr">
        <is>
          <t>S2</t>
        </is>
      </c>
      <c r="O789" s="31" t="inlineStr">
        <is>
          <t>320-290-301-0</t>
        </is>
      </c>
      <c r="P789" s="31" t="inlineStr">
        <is>
          <t>SR Technics Switzerland</t>
        </is>
      </c>
    </row>
    <row r="790">
      <c r="B790" s="31" t="inlineStr">
        <is>
          <t>CFM56-5B</t>
        </is>
      </c>
      <c r="C790" s="31" t="inlineStr">
        <is>
          <t>2024-2025</t>
        </is>
      </c>
      <c r="D790" s="31" t="inlineStr">
        <is>
          <t>609416</t>
        </is>
      </c>
      <c r="E790" s="31" t="inlineStr">
        <is>
          <t>73-22-95</t>
        </is>
      </c>
      <c r="F790" s="31" t="inlineStr">
        <is>
          <t>C</t>
        </is>
      </c>
      <c r="G790" s="31" t="inlineStr">
        <is>
          <t>Fuel system</t>
        </is>
      </c>
      <c r="H790" s="27" t="n">
        <v>350</v>
      </c>
      <c r="I790" s="27" t="n">
        <v>375</v>
      </c>
      <c r="J790" s="154">
        <f>I790/H790-1</f>
        <v/>
      </c>
      <c r="K790" s="31" t="inlineStr">
        <is>
          <t>20</t>
        </is>
      </c>
      <c r="L790" s="31" t="inlineStr">
        <is>
          <t>20</t>
        </is>
      </c>
      <c r="M790" s="31" t="inlineStr">
        <is>
          <t>S1</t>
        </is>
      </c>
      <c r="N790" s="31" t="inlineStr">
        <is>
          <t>S2</t>
        </is>
      </c>
      <c r="O790" s="31" t="inlineStr">
        <is>
          <t>320-366-501-0</t>
        </is>
      </c>
      <c r="P790" s="31" t="inlineStr">
        <is>
          <t>SR Technics Switzerland</t>
        </is>
      </c>
    </row>
    <row r="791">
      <c r="B791" s="31" t="inlineStr">
        <is>
          <t>CFM56-5B</t>
        </is>
      </c>
      <c r="C791" s="31" t="inlineStr">
        <is>
          <t>2024-2025</t>
        </is>
      </c>
      <c r="D791" s="31" t="inlineStr">
        <is>
          <t>609416</t>
        </is>
      </c>
      <c r="E791" s="31" t="inlineStr">
        <is>
          <t>73-22-95</t>
        </is>
      </c>
      <c r="F791" s="31" t="inlineStr">
        <is>
          <t>D</t>
        </is>
      </c>
      <c r="G791" s="31" t="inlineStr">
        <is>
          <t>Fuel system</t>
        </is>
      </c>
      <c r="H791" s="27" t="n">
        <v>1205</v>
      </c>
      <c r="I791" s="27" t="n">
        <v>1280</v>
      </c>
      <c r="J791" s="154">
        <f>I791/H791-1</f>
        <v/>
      </c>
      <c r="K791" s="31" t="inlineStr">
        <is>
          <t>20</t>
        </is>
      </c>
      <c r="L791" s="31" t="inlineStr">
        <is>
          <t>20</t>
        </is>
      </c>
      <c r="M791" s="31" t="inlineStr">
        <is>
          <t>S1</t>
        </is>
      </c>
      <c r="N791" s="31" t="inlineStr">
        <is>
          <t>S2</t>
        </is>
      </c>
      <c r="O791" s="31" t="inlineStr">
        <is>
          <t>320-366-501-0</t>
        </is>
      </c>
      <c r="P791" s="31" t="inlineStr">
        <is>
          <t>SR Technics Switzerland</t>
        </is>
      </c>
    </row>
    <row r="792">
      <c r="B792" s="31" t="inlineStr">
        <is>
          <t>CFM56-5B</t>
        </is>
      </c>
      <c r="C792" s="31" t="inlineStr">
        <is>
          <t>2024-2025</t>
        </is>
      </c>
      <c r="D792" s="31" t="inlineStr">
        <is>
          <t>609416</t>
        </is>
      </c>
      <c r="E792" s="31" t="inlineStr">
        <is>
          <t>73-22-95</t>
        </is>
      </c>
      <c r="F792" s="31" t="inlineStr">
        <is>
          <t>E</t>
        </is>
      </c>
      <c r="G792" s="31" t="inlineStr">
        <is>
          <t>Fuel system</t>
        </is>
      </c>
      <c r="H792" s="27" t="n">
        <v>3660</v>
      </c>
      <c r="I792" s="27" t="n">
        <v>3880</v>
      </c>
      <c r="J792" s="154">
        <f>I792/H792-1</f>
        <v/>
      </c>
      <c r="K792" s="31" t="inlineStr">
        <is>
          <t>20</t>
        </is>
      </c>
      <c r="L792" s="31" t="inlineStr">
        <is>
          <t>20</t>
        </is>
      </c>
      <c r="M792" s="31" t="inlineStr">
        <is>
          <t>S1</t>
        </is>
      </c>
      <c r="N792" s="31" t="inlineStr">
        <is>
          <t>S2</t>
        </is>
      </c>
      <c r="O792" s="31" t="inlineStr">
        <is>
          <t>320-366-501-0</t>
        </is>
      </c>
      <c r="P792" s="31" t="inlineStr">
        <is>
          <t>SR Technics Switzerland</t>
        </is>
      </c>
    </row>
    <row r="793">
      <c r="B793" s="31" t="inlineStr">
        <is>
          <t>CFM56-5B</t>
        </is>
      </c>
      <c r="C793" s="31" t="inlineStr">
        <is>
          <t>2024-2025</t>
        </is>
      </c>
      <c r="D793" s="31" t="inlineStr">
        <is>
          <t>609416</t>
        </is>
      </c>
      <c r="E793" s="31" t="inlineStr">
        <is>
          <t>73-22-95</t>
        </is>
      </c>
      <c r="F793" s="31" t="inlineStr">
        <is>
          <t>F</t>
        </is>
      </c>
      <c r="G793" s="31" t="inlineStr">
        <is>
          <t>Fuel system</t>
        </is>
      </c>
      <c r="H793" s="27" t="n">
        <v>4740</v>
      </c>
      <c r="I793" s="27" t="n">
        <v>5025</v>
      </c>
      <c r="J793" s="154">
        <f>I793/H793-1</f>
        <v/>
      </c>
      <c r="K793" s="31" t="inlineStr">
        <is>
          <t>20</t>
        </is>
      </c>
      <c r="L793" s="31" t="inlineStr">
        <is>
          <t>20</t>
        </is>
      </c>
      <c r="M793" s="31" t="inlineStr">
        <is>
          <t>S1</t>
        </is>
      </c>
      <c r="N793" s="31" t="inlineStr">
        <is>
          <t>S2</t>
        </is>
      </c>
      <c r="O793" s="31" t="inlineStr">
        <is>
          <t>320-366-501-0</t>
        </is>
      </c>
      <c r="P793" s="31" t="inlineStr">
        <is>
          <t>SR Technics Switzerland</t>
        </is>
      </c>
    </row>
    <row r="794">
      <c r="B794" s="31" t="inlineStr">
        <is>
          <t>CFM56-5B</t>
        </is>
      </c>
      <c r="C794" s="31" t="inlineStr">
        <is>
          <t>2024-2025</t>
        </is>
      </c>
      <c r="D794" s="31" t="inlineStr">
        <is>
          <t>609417</t>
        </is>
      </c>
      <c r="E794" s="31" t="inlineStr">
        <is>
          <t>73-22-84</t>
        </is>
      </c>
      <c r="F794" s="31" t="inlineStr">
        <is>
          <t>C</t>
        </is>
      </c>
      <c r="G794" s="31" t="inlineStr">
        <is>
          <t>Fuel system</t>
        </is>
      </c>
      <c r="H794" s="27" t="n">
        <v>350</v>
      </c>
      <c r="I794" s="27" t="n">
        <v>375</v>
      </c>
      <c r="J794" s="154">
        <f>I794/H794-1</f>
        <v/>
      </c>
      <c r="K794" s="31" t="inlineStr">
        <is>
          <t>20</t>
        </is>
      </c>
      <c r="L794" s="31" t="inlineStr">
        <is>
          <t>20</t>
        </is>
      </c>
      <c r="M794" s="31" t="inlineStr">
        <is>
          <t>S1</t>
        </is>
      </c>
      <c r="N794" s="31" t="inlineStr">
        <is>
          <t>S2</t>
        </is>
      </c>
      <c r="O794" s="31" t="inlineStr">
        <is>
          <t>320-290-101-0</t>
        </is>
      </c>
      <c r="P794" s="31" t="inlineStr">
        <is>
          <t>SR Technics Switzerland</t>
        </is>
      </c>
    </row>
    <row r="795">
      <c r="B795" s="31" t="inlineStr">
        <is>
          <t>CFM56-5B</t>
        </is>
      </c>
      <c r="C795" s="31" t="inlineStr">
        <is>
          <t>2024-2025</t>
        </is>
      </c>
      <c r="D795" s="31" t="inlineStr">
        <is>
          <t>609417</t>
        </is>
      </c>
      <c r="E795" s="31" t="inlineStr">
        <is>
          <t>73-22-84</t>
        </is>
      </c>
      <c r="F795" s="31" t="inlineStr">
        <is>
          <t>D</t>
        </is>
      </c>
      <c r="G795" s="31" t="inlineStr">
        <is>
          <t>Fuel system</t>
        </is>
      </c>
      <c r="H795" s="27" t="n">
        <v>1205</v>
      </c>
      <c r="I795" s="27" t="n">
        <v>1280</v>
      </c>
      <c r="J795" s="154">
        <f>I795/H795-1</f>
        <v/>
      </c>
      <c r="K795" s="31" t="inlineStr">
        <is>
          <t>20</t>
        </is>
      </c>
      <c r="L795" s="31" t="inlineStr">
        <is>
          <t>21</t>
        </is>
      </c>
      <c r="M795" s="31" t="inlineStr">
        <is>
          <t>S1</t>
        </is>
      </c>
      <c r="N795" s="31" t="inlineStr">
        <is>
          <t>S2</t>
        </is>
      </c>
      <c r="O795" s="31" t="inlineStr">
        <is>
          <t>320-290-101-0</t>
        </is>
      </c>
      <c r="P795" s="31" t="inlineStr">
        <is>
          <t>SR Technics Switzerland</t>
        </is>
      </c>
    </row>
    <row r="796">
      <c r="B796" s="31" t="inlineStr">
        <is>
          <t>CFM56-5B</t>
        </is>
      </c>
      <c r="C796" s="31" t="inlineStr">
        <is>
          <t>2024-2025</t>
        </is>
      </c>
      <c r="D796" s="31" t="inlineStr">
        <is>
          <t>609417</t>
        </is>
      </c>
      <c r="E796" s="31" t="inlineStr">
        <is>
          <t>73-22-84</t>
        </is>
      </c>
      <c r="F796" s="31" t="inlineStr">
        <is>
          <t>E</t>
        </is>
      </c>
      <c r="G796" s="31" t="inlineStr">
        <is>
          <t>Fuel system</t>
        </is>
      </c>
      <c r="H796" s="27" t="n">
        <v>3660</v>
      </c>
      <c r="I796" s="27" t="n">
        <v>3880</v>
      </c>
      <c r="J796" s="154">
        <f>I796/H796-1</f>
        <v/>
      </c>
      <c r="K796" s="31" t="inlineStr">
        <is>
          <t>20</t>
        </is>
      </c>
      <c r="L796" s="31" t="inlineStr">
        <is>
          <t>21</t>
        </is>
      </c>
      <c r="M796" s="31" t="inlineStr">
        <is>
          <t>S1</t>
        </is>
      </c>
      <c r="N796" s="31" t="inlineStr">
        <is>
          <t>S2</t>
        </is>
      </c>
      <c r="O796" s="31" t="inlineStr">
        <is>
          <t>320-290-101-0</t>
        </is>
      </c>
      <c r="P796" s="31" t="inlineStr">
        <is>
          <t>SR Technics Switzerland</t>
        </is>
      </c>
    </row>
    <row r="797">
      <c r="B797" s="31" t="inlineStr">
        <is>
          <t>CFM56-5B</t>
        </is>
      </c>
      <c r="C797" s="31" t="inlineStr">
        <is>
          <t>2024-2025</t>
        </is>
      </c>
      <c r="D797" s="31" t="inlineStr">
        <is>
          <t>609417</t>
        </is>
      </c>
      <c r="E797" s="31" t="inlineStr">
        <is>
          <t>73-22-84</t>
        </is>
      </c>
      <c r="F797" s="31" t="inlineStr">
        <is>
          <t>F</t>
        </is>
      </c>
      <c r="G797" s="31" t="inlineStr">
        <is>
          <t>Fuel system</t>
        </is>
      </c>
      <c r="H797" s="27" t="n">
        <v>4740</v>
      </c>
      <c r="I797" s="27" t="n">
        <v>5025</v>
      </c>
      <c r="J797" s="154">
        <f>I797/H797-1</f>
        <v/>
      </c>
      <c r="K797" s="31" t="inlineStr">
        <is>
          <t>20</t>
        </is>
      </c>
      <c r="L797" s="31" t="inlineStr">
        <is>
          <t>21</t>
        </is>
      </c>
      <c r="M797" s="31" t="inlineStr">
        <is>
          <t>S1</t>
        </is>
      </c>
      <c r="N797" s="31" t="inlineStr">
        <is>
          <t>S2</t>
        </is>
      </c>
      <c r="O797" s="31" t="inlineStr">
        <is>
          <t>320-290-101-0</t>
        </is>
      </c>
      <c r="P797" s="31" t="inlineStr">
        <is>
          <t>SR Technics Switzerland</t>
        </is>
      </c>
    </row>
    <row r="798">
      <c r="B798" s="31" t="inlineStr">
        <is>
          <t>CFM56-5B</t>
        </is>
      </c>
      <c r="C798" s="31" t="inlineStr">
        <is>
          <t>2024-2025</t>
        </is>
      </c>
      <c r="D798" s="31" t="inlineStr">
        <is>
          <t>609417</t>
        </is>
      </c>
      <c r="E798" s="31" t="inlineStr">
        <is>
          <t>73-22-84</t>
        </is>
      </c>
      <c r="F798" s="31" t="inlineStr">
        <is>
          <t>SB00</t>
        </is>
      </c>
      <c r="G798" s="31" t="inlineStr">
        <is>
          <t>Fuel system</t>
        </is>
      </c>
      <c r="H798" s="27" t="n">
        <v>255</v>
      </c>
      <c r="I798" s="27" t="n">
        <v>275</v>
      </c>
      <c r="J798" s="154">
        <f>I798/H798-1</f>
        <v/>
      </c>
      <c r="K798" s="31" t="inlineStr">
        <is>
          <t>20</t>
        </is>
      </c>
      <c r="L798" s="31" t="inlineStr">
        <is>
          <t>21</t>
        </is>
      </c>
      <c r="M798" s="31" t="inlineStr">
        <is>
          <t>S1</t>
        </is>
      </c>
      <c r="N798" s="31" t="inlineStr">
        <is>
          <t>S2</t>
        </is>
      </c>
      <c r="O798" s="31" t="inlineStr">
        <is>
          <t>320-290-101-0</t>
        </is>
      </c>
      <c r="P798" s="31" t="inlineStr">
        <is>
          <t>SR Technics Switzerland</t>
        </is>
      </c>
    </row>
    <row r="799">
      <c r="B799" s="31" t="inlineStr">
        <is>
          <t>CFM56-5B</t>
        </is>
      </c>
      <c r="C799" s="31" t="inlineStr">
        <is>
          <t>2024-2025</t>
        </is>
      </c>
      <c r="D799" s="31" t="inlineStr">
        <is>
          <t>609418</t>
        </is>
      </c>
      <c r="E799" s="31" t="inlineStr">
        <is>
          <t>73-22-94</t>
        </is>
      </c>
      <c r="F799" s="31" t="inlineStr">
        <is>
          <t>C</t>
        </is>
      </c>
      <c r="G799" s="31" t="inlineStr">
        <is>
          <t>Fuel system</t>
        </is>
      </c>
      <c r="H799" s="27" t="n">
        <v>350</v>
      </c>
      <c r="I799" s="27" t="n">
        <v>375</v>
      </c>
      <c r="J799" s="154">
        <f>I799/H799-1</f>
        <v/>
      </c>
      <c r="K799" s="31" t="inlineStr">
        <is>
          <t>20</t>
        </is>
      </c>
      <c r="L799" s="31" t="inlineStr">
        <is>
          <t>21</t>
        </is>
      </c>
      <c r="M799" s="31" t="inlineStr">
        <is>
          <t>S1</t>
        </is>
      </c>
      <c r="N799" s="31" t="inlineStr">
        <is>
          <t>S2</t>
        </is>
      </c>
      <c r="O799" s="31" t="inlineStr">
        <is>
          <t>320-366-301-0</t>
        </is>
      </c>
      <c r="P799" s="31" t="inlineStr">
        <is>
          <t>SR Technics Switzerland</t>
        </is>
      </c>
    </row>
    <row r="800">
      <c r="B800" s="31" t="inlineStr">
        <is>
          <t>CFM56-5B</t>
        </is>
      </c>
      <c r="C800" s="31" t="inlineStr">
        <is>
          <t>2024-2025</t>
        </is>
      </c>
      <c r="D800" s="31" t="inlineStr">
        <is>
          <t>609418</t>
        </is>
      </c>
      <c r="E800" s="31" t="inlineStr">
        <is>
          <t>73-22-94</t>
        </is>
      </c>
      <c r="F800" s="31" t="inlineStr">
        <is>
          <t>D</t>
        </is>
      </c>
      <c r="G800" s="31" t="inlineStr">
        <is>
          <t>Fuel system</t>
        </is>
      </c>
      <c r="H800" s="27" t="n">
        <v>1205</v>
      </c>
      <c r="I800" s="27" t="n">
        <v>1280</v>
      </c>
      <c r="J800" s="154">
        <f>I800/H800-1</f>
        <v/>
      </c>
      <c r="K800" s="31" t="inlineStr">
        <is>
          <t>20</t>
        </is>
      </c>
      <c r="L800" s="31" t="inlineStr">
        <is>
          <t>21</t>
        </is>
      </c>
      <c r="M800" s="31" t="inlineStr">
        <is>
          <t>S1</t>
        </is>
      </c>
      <c r="N800" s="31" t="inlineStr">
        <is>
          <t>S2</t>
        </is>
      </c>
      <c r="O800" s="31" t="inlineStr">
        <is>
          <t>320-366-301-0</t>
        </is>
      </c>
      <c r="P800" s="31" t="inlineStr">
        <is>
          <t>SR Technics Switzerland</t>
        </is>
      </c>
    </row>
    <row r="801">
      <c r="B801" s="31" t="inlineStr">
        <is>
          <t>CFM56-5B</t>
        </is>
      </c>
      <c r="C801" s="31" t="inlineStr">
        <is>
          <t>2024-2025</t>
        </is>
      </c>
      <c r="D801" s="31" t="inlineStr">
        <is>
          <t>609418</t>
        </is>
      </c>
      <c r="E801" s="31" t="inlineStr">
        <is>
          <t>73-22-94</t>
        </is>
      </c>
      <c r="F801" s="31" t="inlineStr">
        <is>
          <t>E</t>
        </is>
      </c>
      <c r="G801" s="31" t="inlineStr">
        <is>
          <t>Fuel system</t>
        </is>
      </c>
      <c r="H801" s="27" t="n">
        <v>1770</v>
      </c>
      <c r="I801" s="27" t="n">
        <v>1880</v>
      </c>
      <c r="J801" s="154">
        <f>I801/H801-1</f>
        <v/>
      </c>
      <c r="K801" s="31" t="inlineStr">
        <is>
          <t>20</t>
        </is>
      </c>
      <c r="L801" s="31" t="inlineStr">
        <is>
          <t>21</t>
        </is>
      </c>
      <c r="M801" s="31" t="inlineStr">
        <is>
          <t>S1</t>
        </is>
      </c>
      <c r="N801" s="31" t="inlineStr">
        <is>
          <t>S2</t>
        </is>
      </c>
      <c r="O801" s="31" t="inlineStr">
        <is>
          <t>320-366-301-0</t>
        </is>
      </c>
      <c r="P801" s="31" t="inlineStr">
        <is>
          <t>SR Technics Switzerland</t>
        </is>
      </c>
    </row>
    <row r="802">
      <c r="B802" s="31" t="inlineStr">
        <is>
          <t>CFM56-5B</t>
        </is>
      </c>
      <c r="C802" s="31" t="inlineStr">
        <is>
          <t>2024-2025</t>
        </is>
      </c>
      <c r="D802" s="31" t="inlineStr">
        <is>
          <t>609418</t>
        </is>
      </c>
      <c r="E802" s="31" t="inlineStr">
        <is>
          <t>73-22-94</t>
        </is>
      </c>
      <c r="F802" s="31" t="inlineStr">
        <is>
          <t>F</t>
        </is>
      </c>
      <c r="G802" s="31" t="inlineStr">
        <is>
          <t>Fuel system</t>
        </is>
      </c>
      <c r="H802" s="27" t="n">
        <v>3535</v>
      </c>
      <c r="I802" s="27" t="n">
        <v>3750</v>
      </c>
      <c r="J802" s="154">
        <f>I802/H802-1</f>
        <v/>
      </c>
      <c r="K802" s="31" t="inlineStr">
        <is>
          <t>20</t>
        </is>
      </c>
      <c r="L802" s="31" t="inlineStr">
        <is>
          <t>21</t>
        </is>
      </c>
      <c r="M802" s="31" t="inlineStr">
        <is>
          <t>S1</t>
        </is>
      </c>
      <c r="N802" s="31" t="inlineStr">
        <is>
          <t>S2</t>
        </is>
      </c>
      <c r="O802" s="31" t="inlineStr">
        <is>
          <t>320-366-301-0</t>
        </is>
      </c>
      <c r="P802" s="31" t="inlineStr">
        <is>
          <t>SR Technics Switzerland</t>
        </is>
      </c>
    </row>
    <row r="803">
      <c r="B803" s="31" t="inlineStr">
        <is>
          <t>CFM56-5B</t>
        </is>
      </c>
      <c r="C803" s="31" t="inlineStr">
        <is>
          <t>2024-2025</t>
        </is>
      </c>
      <c r="D803" s="31" t="inlineStr">
        <is>
          <t>609419</t>
        </is>
      </c>
      <c r="E803" s="31" t="inlineStr">
        <is>
          <t>73-22-78</t>
        </is>
      </c>
      <c r="F803" s="31" t="inlineStr">
        <is>
          <t>C</t>
        </is>
      </c>
      <c r="G803" s="31" t="inlineStr">
        <is>
          <t>Fuel system</t>
        </is>
      </c>
      <c r="H803" s="27" t="n">
        <v>350</v>
      </c>
      <c r="I803" s="27" t="n">
        <v>375</v>
      </c>
      <c r="J803" s="154">
        <f>I803/H803-1</f>
        <v/>
      </c>
      <c r="K803" s="31" t="inlineStr">
        <is>
          <t>20</t>
        </is>
      </c>
      <c r="L803" s="31" t="inlineStr">
        <is>
          <t>21</t>
        </is>
      </c>
      <c r="M803" s="31" t="inlineStr">
        <is>
          <t>S1</t>
        </is>
      </c>
      <c r="N803" s="31" t="inlineStr">
        <is>
          <t>S2</t>
        </is>
      </c>
      <c r="O803" s="31" t="inlineStr">
        <is>
          <t>320-296-801-0</t>
        </is>
      </c>
      <c r="P803" s="31" t="inlineStr">
        <is>
          <t>SR Technics Switzerland</t>
        </is>
      </c>
    </row>
    <row r="804">
      <c r="B804" s="31" t="inlineStr">
        <is>
          <t>CFM56-5B</t>
        </is>
      </c>
      <c r="C804" s="31" t="inlineStr">
        <is>
          <t>2024-2025</t>
        </is>
      </c>
      <c r="D804" s="31" t="inlineStr">
        <is>
          <t>609419</t>
        </is>
      </c>
      <c r="E804" s="31" t="inlineStr">
        <is>
          <t>73-22-78</t>
        </is>
      </c>
      <c r="F804" s="31" t="inlineStr">
        <is>
          <t>D</t>
        </is>
      </c>
      <c r="G804" s="31" t="inlineStr">
        <is>
          <t>Fuel system</t>
        </is>
      </c>
      <c r="H804" s="27" t="n">
        <v>1205</v>
      </c>
      <c r="I804" s="27" t="n">
        <v>1280</v>
      </c>
      <c r="J804" s="154">
        <f>I804/H804-1</f>
        <v/>
      </c>
      <c r="K804" s="31" t="inlineStr">
        <is>
          <t>20</t>
        </is>
      </c>
      <c r="L804" s="31" t="inlineStr">
        <is>
          <t>21</t>
        </is>
      </c>
      <c r="M804" s="31" t="inlineStr">
        <is>
          <t>S1</t>
        </is>
      </c>
      <c r="N804" s="31" t="inlineStr">
        <is>
          <t>S2</t>
        </is>
      </c>
      <c r="O804" s="31" t="inlineStr">
        <is>
          <t>320-296-801-0</t>
        </is>
      </c>
      <c r="P804" s="31" t="inlineStr">
        <is>
          <t>SR Technics Switzerland</t>
        </is>
      </c>
    </row>
    <row r="805">
      <c r="B805" s="31" t="inlineStr">
        <is>
          <t>CFM56-5B</t>
        </is>
      </c>
      <c r="C805" s="31" t="inlineStr">
        <is>
          <t>2024-2025</t>
        </is>
      </c>
      <c r="D805" s="31" t="inlineStr">
        <is>
          <t>609419</t>
        </is>
      </c>
      <c r="E805" s="31" t="inlineStr">
        <is>
          <t>73-22-78</t>
        </is>
      </c>
      <c r="F805" s="31" t="inlineStr">
        <is>
          <t>E</t>
        </is>
      </c>
      <c r="G805" s="31" t="inlineStr">
        <is>
          <t>Fuel system</t>
        </is>
      </c>
      <c r="H805" s="27" t="n">
        <v>1770</v>
      </c>
      <c r="I805" s="27" t="n">
        <v>1880</v>
      </c>
      <c r="J805" s="154">
        <f>I805/H805-1</f>
        <v/>
      </c>
      <c r="K805" s="31" t="inlineStr">
        <is>
          <t>20</t>
        </is>
      </c>
      <c r="L805" s="31" t="inlineStr">
        <is>
          <t>21</t>
        </is>
      </c>
      <c r="M805" s="31" t="inlineStr">
        <is>
          <t>S1</t>
        </is>
      </c>
      <c r="N805" s="31" t="inlineStr">
        <is>
          <t>S2</t>
        </is>
      </c>
      <c r="O805" s="31" t="inlineStr">
        <is>
          <t>320-296-801-0</t>
        </is>
      </c>
      <c r="P805" s="31" t="inlineStr">
        <is>
          <t>SR Technics Switzerland</t>
        </is>
      </c>
    </row>
    <row r="806">
      <c r="B806" s="31" t="inlineStr">
        <is>
          <t>CFM56-5B</t>
        </is>
      </c>
      <c r="C806" s="31" t="inlineStr">
        <is>
          <t>2024-2025</t>
        </is>
      </c>
      <c r="D806" s="31" t="inlineStr">
        <is>
          <t>609419</t>
        </is>
      </c>
      <c r="E806" s="31" t="inlineStr">
        <is>
          <t>73-22-78</t>
        </is>
      </c>
      <c r="F806" s="31" t="inlineStr">
        <is>
          <t>F</t>
        </is>
      </c>
      <c r="G806" s="31" t="inlineStr">
        <is>
          <t>Fuel system</t>
        </is>
      </c>
      <c r="H806" s="27" t="n">
        <v>3535</v>
      </c>
      <c r="I806" s="27" t="n">
        <v>3750</v>
      </c>
      <c r="J806" s="154">
        <f>I806/H806-1</f>
        <v/>
      </c>
      <c r="K806" s="31" t="inlineStr">
        <is>
          <t>20</t>
        </is>
      </c>
      <c r="L806" s="31" t="inlineStr">
        <is>
          <t>21</t>
        </is>
      </c>
      <c r="M806" s="31" t="inlineStr">
        <is>
          <t>S1</t>
        </is>
      </c>
      <c r="N806" s="31" t="inlineStr">
        <is>
          <t>S2</t>
        </is>
      </c>
      <c r="O806" s="31" t="inlineStr">
        <is>
          <t>320-296-801-0</t>
        </is>
      </c>
      <c r="P806" s="31" t="inlineStr">
        <is>
          <t>SR Technics Switzerland</t>
        </is>
      </c>
    </row>
    <row r="807">
      <c r="B807" s="31" t="inlineStr">
        <is>
          <t>CFM56-5B</t>
        </is>
      </c>
      <c r="C807" s="31" t="inlineStr">
        <is>
          <t>2024-2025</t>
        </is>
      </c>
      <c r="D807" s="31" t="inlineStr">
        <is>
          <t>609420</t>
        </is>
      </c>
      <c r="E807" s="31" t="inlineStr">
        <is>
          <t>73-22-91</t>
        </is>
      </c>
      <c r="F807" s="31" t="inlineStr">
        <is>
          <t>C</t>
        </is>
      </c>
      <c r="G807" s="31" t="inlineStr">
        <is>
          <t>Fuel system</t>
        </is>
      </c>
      <c r="H807" s="27" t="n">
        <v>350</v>
      </c>
      <c r="I807" s="27" t="n">
        <v>375</v>
      </c>
      <c r="J807" s="154">
        <f>I807/H807-1</f>
        <v/>
      </c>
      <c r="K807" s="31" t="inlineStr">
        <is>
          <t>20</t>
        </is>
      </c>
      <c r="L807" s="31" t="inlineStr">
        <is>
          <t>21</t>
        </is>
      </c>
      <c r="M807" s="31" t="inlineStr">
        <is>
          <t>S1</t>
        </is>
      </c>
      <c r="N807" s="31" t="inlineStr">
        <is>
          <t>S2</t>
        </is>
      </c>
      <c r="O807" s="31" t="inlineStr">
        <is>
          <t>320-392-801-0</t>
        </is>
      </c>
      <c r="P807" s="31" t="inlineStr">
        <is>
          <t>SR Technics Switzerland</t>
        </is>
      </c>
    </row>
    <row r="808">
      <c r="B808" s="31" t="inlineStr">
        <is>
          <t>CFM56-5B</t>
        </is>
      </c>
      <c r="C808" s="31" t="inlineStr">
        <is>
          <t>2024-2025</t>
        </is>
      </c>
      <c r="D808" s="31" t="inlineStr">
        <is>
          <t>609420</t>
        </is>
      </c>
      <c r="E808" s="31" t="inlineStr">
        <is>
          <t>73-22-91</t>
        </is>
      </c>
      <c r="F808" s="31" t="inlineStr">
        <is>
          <t>D</t>
        </is>
      </c>
      <c r="G808" s="31" t="inlineStr">
        <is>
          <t>Fuel system</t>
        </is>
      </c>
      <c r="H808" s="27" t="n">
        <v>1205</v>
      </c>
      <c r="I808" s="27" t="n">
        <v>1280</v>
      </c>
      <c r="J808" s="154">
        <f>I808/H808-1</f>
        <v/>
      </c>
      <c r="K808" s="31" t="inlineStr">
        <is>
          <t>20</t>
        </is>
      </c>
      <c r="L808" s="31" t="inlineStr">
        <is>
          <t>21</t>
        </is>
      </c>
      <c r="M808" s="31" t="inlineStr">
        <is>
          <t>S1</t>
        </is>
      </c>
      <c r="N808" s="31" t="inlineStr">
        <is>
          <t>S2</t>
        </is>
      </c>
      <c r="O808" s="31" t="inlineStr">
        <is>
          <t>320-392-801-0</t>
        </is>
      </c>
      <c r="P808" s="31" t="inlineStr">
        <is>
          <t>SR Technics Switzerland</t>
        </is>
      </c>
    </row>
    <row r="809">
      <c r="B809" s="31" t="inlineStr">
        <is>
          <t>CFM56-5B</t>
        </is>
      </c>
      <c r="C809" s="31" t="inlineStr">
        <is>
          <t>2024-2025</t>
        </is>
      </c>
      <c r="D809" s="31" t="inlineStr">
        <is>
          <t>609420</t>
        </is>
      </c>
      <c r="E809" s="31" t="inlineStr">
        <is>
          <t>73-22-91</t>
        </is>
      </c>
      <c r="F809" s="31" t="inlineStr">
        <is>
          <t>E</t>
        </is>
      </c>
      <c r="G809" s="31" t="inlineStr">
        <is>
          <t>Fuel system</t>
        </is>
      </c>
      <c r="H809" s="27" t="n">
        <v>3535</v>
      </c>
      <c r="I809" s="27" t="n">
        <v>3750</v>
      </c>
      <c r="J809" s="154">
        <f>I809/H809-1</f>
        <v/>
      </c>
      <c r="K809" s="31" t="inlineStr">
        <is>
          <t>20</t>
        </is>
      </c>
      <c r="L809" s="31" t="inlineStr">
        <is>
          <t>21</t>
        </is>
      </c>
      <c r="M809" s="31" t="inlineStr">
        <is>
          <t>S1</t>
        </is>
      </c>
      <c r="N809" s="31" t="inlineStr">
        <is>
          <t>S2</t>
        </is>
      </c>
      <c r="O809" s="31" t="inlineStr">
        <is>
          <t>320-392-801-0</t>
        </is>
      </c>
      <c r="P809" s="31" t="inlineStr">
        <is>
          <t>SR Technics Switzerland</t>
        </is>
      </c>
    </row>
    <row r="810">
      <c r="B810" s="31" t="inlineStr">
        <is>
          <t>CFM56-5B</t>
        </is>
      </c>
      <c r="C810" s="31" t="inlineStr">
        <is>
          <t>2024-2025</t>
        </is>
      </c>
      <c r="D810" s="31" t="inlineStr">
        <is>
          <t>609420</t>
        </is>
      </c>
      <c r="E810" s="31" t="inlineStr">
        <is>
          <t>73-22-91</t>
        </is>
      </c>
      <c r="F810" s="31" t="inlineStr">
        <is>
          <t>F</t>
        </is>
      </c>
      <c r="G810" s="31" t="inlineStr">
        <is>
          <t>Fuel system</t>
        </is>
      </c>
      <c r="H810" s="27" t="n">
        <v>4875</v>
      </c>
      <c r="I810" s="27" t="n">
        <v>5170</v>
      </c>
      <c r="J810" s="154">
        <f>I810/H810-1</f>
        <v/>
      </c>
      <c r="K810" s="31" t="inlineStr">
        <is>
          <t>20</t>
        </is>
      </c>
      <c r="L810" s="31" t="inlineStr">
        <is>
          <t>21</t>
        </is>
      </c>
      <c r="M810" s="31" t="inlineStr">
        <is>
          <t>S1</t>
        </is>
      </c>
      <c r="N810" s="31" t="inlineStr">
        <is>
          <t>S2</t>
        </is>
      </c>
      <c r="O810" s="31" t="inlineStr">
        <is>
          <t>320-392-801-0</t>
        </is>
      </c>
      <c r="P810" s="31" t="inlineStr">
        <is>
          <t>SR Technics Switzerland</t>
        </is>
      </c>
    </row>
    <row r="811">
      <c r="B811" s="31" t="inlineStr">
        <is>
          <t>CFM56-5B</t>
        </is>
      </c>
      <c r="C811" s="31" t="inlineStr">
        <is>
          <t>2024-2025</t>
        </is>
      </c>
      <c r="D811" s="31" t="inlineStr">
        <is>
          <t>609420</t>
        </is>
      </c>
      <c r="E811" s="31" t="inlineStr">
        <is>
          <t>73-22-91</t>
        </is>
      </c>
      <c r="F811" s="31" t="inlineStr">
        <is>
          <t>SB00</t>
        </is>
      </c>
      <c r="G811" s="31" t="inlineStr">
        <is>
          <t>Fuel system</t>
        </is>
      </c>
      <c r="H811" s="27" t="n">
        <v>255</v>
      </c>
      <c r="I811" s="27" t="n">
        <v>275</v>
      </c>
      <c r="J811" s="154">
        <f>I811/H811-1</f>
        <v/>
      </c>
      <c r="K811" s="31" t="inlineStr">
        <is>
          <t>21</t>
        </is>
      </c>
      <c r="L811" s="31" t="inlineStr">
        <is>
          <t>21</t>
        </is>
      </c>
      <c r="M811" s="31" t="inlineStr">
        <is>
          <t>S1</t>
        </is>
      </c>
      <c r="N811" s="31" t="inlineStr">
        <is>
          <t>S2</t>
        </is>
      </c>
      <c r="O811" s="31" t="inlineStr">
        <is>
          <t>320-392-801-0</t>
        </is>
      </c>
      <c r="P811" s="31" t="inlineStr">
        <is>
          <t>SR Technics Switzerland</t>
        </is>
      </c>
    </row>
    <row r="812">
      <c r="B812" s="31" t="inlineStr">
        <is>
          <t>CFM56-5B</t>
        </is>
      </c>
      <c r="C812" s="31" t="inlineStr">
        <is>
          <t>2024-2025</t>
        </is>
      </c>
      <c r="D812" s="31" t="inlineStr">
        <is>
          <t>609421</t>
        </is>
      </c>
      <c r="E812" s="31" t="inlineStr">
        <is>
          <t>73-22-72</t>
        </is>
      </c>
      <c r="F812" s="31" t="inlineStr">
        <is>
          <t>C</t>
        </is>
      </c>
      <c r="G812" s="31" t="inlineStr">
        <is>
          <t>Fuel system</t>
        </is>
      </c>
      <c r="H812" s="27" t="n">
        <v>350</v>
      </c>
      <c r="I812" s="27" t="n">
        <v>375</v>
      </c>
      <c r="J812" s="154">
        <f>I812/H812-1</f>
        <v/>
      </c>
      <c r="K812" s="31" t="inlineStr">
        <is>
          <t>21</t>
        </is>
      </c>
      <c r="L812" s="31" t="inlineStr">
        <is>
          <t>21</t>
        </is>
      </c>
      <c r="M812" s="31" t="inlineStr">
        <is>
          <t>S1</t>
        </is>
      </c>
      <c r="N812" s="31" t="inlineStr">
        <is>
          <t>S2</t>
        </is>
      </c>
      <c r="O812" s="31" t="inlineStr">
        <is>
          <t>320-364-001-0</t>
        </is>
      </c>
      <c r="P812" s="31" t="inlineStr">
        <is>
          <t>SR Technics Switzerland</t>
        </is>
      </c>
    </row>
    <row r="813">
      <c r="B813" s="31" t="inlineStr">
        <is>
          <t>CFM56-5B</t>
        </is>
      </c>
      <c r="C813" s="31" t="inlineStr">
        <is>
          <t>2024-2025</t>
        </is>
      </c>
      <c r="D813" s="31" t="inlineStr">
        <is>
          <t>609421</t>
        </is>
      </c>
      <c r="E813" s="31" t="inlineStr">
        <is>
          <t>73-22-72</t>
        </is>
      </c>
      <c r="F813" s="31" t="inlineStr">
        <is>
          <t>D</t>
        </is>
      </c>
      <c r="G813" s="31" t="inlineStr">
        <is>
          <t>Fuel system</t>
        </is>
      </c>
      <c r="H813" s="27" t="n">
        <v>1205</v>
      </c>
      <c r="I813" s="27" t="n">
        <v>1280</v>
      </c>
      <c r="J813" s="154">
        <f>I813/H813-1</f>
        <v/>
      </c>
      <c r="K813" s="31" t="inlineStr">
        <is>
          <t>21</t>
        </is>
      </c>
      <c r="L813" s="31" t="inlineStr">
        <is>
          <t>21</t>
        </is>
      </c>
      <c r="M813" s="31" t="inlineStr">
        <is>
          <t>S1</t>
        </is>
      </c>
      <c r="N813" s="31" t="inlineStr">
        <is>
          <t>S2</t>
        </is>
      </c>
      <c r="O813" s="31" t="inlineStr">
        <is>
          <t>320-364-001-0</t>
        </is>
      </c>
      <c r="P813" s="31" t="inlineStr">
        <is>
          <t>SR Technics Switzerland</t>
        </is>
      </c>
    </row>
    <row r="814">
      <c r="B814" s="31" t="inlineStr">
        <is>
          <t>CFM56-5B</t>
        </is>
      </c>
      <c r="C814" s="31" t="inlineStr">
        <is>
          <t>2024-2025</t>
        </is>
      </c>
      <c r="D814" s="31" t="inlineStr">
        <is>
          <t>609421</t>
        </is>
      </c>
      <c r="E814" s="31" t="inlineStr">
        <is>
          <t>73-22-72</t>
        </is>
      </c>
      <c r="F814" s="31" t="inlineStr">
        <is>
          <t>E</t>
        </is>
      </c>
      <c r="G814" s="31" t="inlineStr">
        <is>
          <t>Fuel system</t>
        </is>
      </c>
      <c r="H814" s="27" t="n">
        <v>3535</v>
      </c>
      <c r="I814" s="27" t="n">
        <v>3750</v>
      </c>
      <c r="J814" s="154">
        <f>I814/H814-1</f>
        <v/>
      </c>
      <c r="K814" s="31" t="inlineStr">
        <is>
          <t>21</t>
        </is>
      </c>
      <c r="L814" s="31" t="inlineStr">
        <is>
          <t>21</t>
        </is>
      </c>
      <c r="M814" s="31" t="inlineStr">
        <is>
          <t>S1</t>
        </is>
      </c>
      <c r="N814" s="31" t="inlineStr">
        <is>
          <t>S2</t>
        </is>
      </c>
      <c r="O814" s="31" t="inlineStr">
        <is>
          <t>320-364-001-0</t>
        </is>
      </c>
      <c r="P814" s="31" t="inlineStr">
        <is>
          <t>SR Technics Switzerland</t>
        </is>
      </c>
    </row>
    <row r="815">
      <c r="B815" s="31" t="inlineStr">
        <is>
          <t>CFM56-5B</t>
        </is>
      </c>
      <c r="C815" s="31" t="inlineStr">
        <is>
          <t>2024-2025</t>
        </is>
      </c>
      <c r="D815" s="31" t="inlineStr">
        <is>
          <t>609421</t>
        </is>
      </c>
      <c r="E815" s="31" t="inlineStr">
        <is>
          <t>73-22-72</t>
        </is>
      </c>
      <c r="F815" s="31" t="inlineStr">
        <is>
          <t>F</t>
        </is>
      </c>
      <c r="G815" s="31" t="inlineStr">
        <is>
          <t>Fuel system</t>
        </is>
      </c>
      <c r="H815" s="27" t="n">
        <v>4875</v>
      </c>
      <c r="I815" s="27" t="n">
        <v>5170</v>
      </c>
      <c r="J815" s="154">
        <f>I815/H815-1</f>
        <v/>
      </c>
      <c r="K815" s="31" t="inlineStr">
        <is>
          <t>21</t>
        </is>
      </c>
      <c r="L815" s="31" t="inlineStr">
        <is>
          <t>21</t>
        </is>
      </c>
      <c r="M815" s="31" t="inlineStr">
        <is>
          <t>S1</t>
        </is>
      </c>
      <c r="N815" s="31" t="inlineStr">
        <is>
          <t>S2</t>
        </is>
      </c>
      <c r="O815" s="31" t="inlineStr">
        <is>
          <t>320-364-001-0</t>
        </is>
      </c>
      <c r="P815" s="31" t="inlineStr">
        <is>
          <t>SR Technics Switzerland</t>
        </is>
      </c>
    </row>
    <row r="816">
      <c r="B816" s="31" t="inlineStr">
        <is>
          <t>CFM56-5B</t>
        </is>
      </c>
      <c r="C816" s="31" t="inlineStr">
        <is>
          <t>2024-2025</t>
        </is>
      </c>
      <c r="D816" s="31" t="inlineStr">
        <is>
          <t>609421</t>
        </is>
      </c>
      <c r="E816" s="31" t="inlineStr">
        <is>
          <t>73-22-72</t>
        </is>
      </c>
      <c r="F816" s="31" t="inlineStr">
        <is>
          <t>SB00</t>
        </is>
      </c>
      <c r="G816" s="31" t="inlineStr">
        <is>
          <t>Fuel system</t>
        </is>
      </c>
      <c r="H816" s="27" t="n">
        <v>255</v>
      </c>
      <c r="I816" s="27" t="n">
        <v>275</v>
      </c>
      <c r="J816" s="154">
        <f>I816/H816-1</f>
        <v/>
      </c>
      <c r="K816" s="31" t="inlineStr">
        <is>
          <t>21</t>
        </is>
      </c>
      <c r="L816" s="31" t="inlineStr">
        <is>
          <t>21</t>
        </is>
      </c>
      <c r="M816" s="31" t="inlineStr">
        <is>
          <t>S1</t>
        </is>
      </c>
      <c r="N816" s="31" t="inlineStr">
        <is>
          <t>S2</t>
        </is>
      </c>
      <c r="O816" s="31" t="inlineStr">
        <is>
          <t>320-364-001-0</t>
        </is>
      </c>
      <c r="P816" s="31" t="inlineStr">
        <is>
          <t>SR Technics Switzerland</t>
        </is>
      </c>
    </row>
    <row r="817">
      <c r="B817" s="31" t="inlineStr">
        <is>
          <t>CFM56-5B</t>
        </is>
      </c>
      <c r="C817" s="31" t="inlineStr">
        <is>
          <t>2024-2025</t>
        </is>
      </c>
      <c r="D817" s="31" t="inlineStr">
        <is>
          <t>609422</t>
        </is>
      </c>
      <c r="E817" s="31" t="inlineStr">
        <is>
          <t>73-22-92</t>
        </is>
      </c>
      <c r="F817" s="31" t="inlineStr">
        <is>
          <t>C</t>
        </is>
      </c>
      <c r="G817" s="31" t="inlineStr">
        <is>
          <t>Fuel system</t>
        </is>
      </c>
      <c r="H817" s="27" t="n">
        <v>350</v>
      </c>
      <c r="I817" s="27" t="n">
        <v>375</v>
      </c>
      <c r="J817" s="154">
        <f>I817/H817-1</f>
        <v/>
      </c>
      <c r="K817" s="31" t="inlineStr">
        <is>
          <t>21</t>
        </is>
      </c>
      <c r="L817" s="31" t="inlineStr">
        <is>
          <t>21</t>
        </is>
      </c>
      <c r="M817" s="31" t="inlineStr">
        <is>
          <t>S1</t>
        </is>
      </c>
      <c r="N817" s="31" t="inlineStr">
        <is>
          <t>S2</t>
        </is>
      </c>
      <c r="O817" s="31" t="inlineStr">
        <is>
          <t>320-392-901-0</t>
        </is>
      </c>
      <c r="P817" s="31" t="inlineStr">
        <is>
          <t>SR Technics Switzerland</t>
        </is>
      </c>
    </row>
    <row r="818">
      <c r="B818" s="31" t="inlineStr">
        <is>
          <t>CFM56-5B</t>
        </is>
      </c>
      <c r="C818" s="31" t="inlineStr">
        <is>
          <t>2024-2025</t>
        </is>
      </c>
      <c r="D818" s="31" t="inlineStr">
        <is>
          <t>609422</t>
        </is>
      </c>
      <c r="E818" s="31" t="inlineStr">
        <is>
          <t>73-22-92</t>
        </is>
      </c>
      <c r="F818" s="31" t="inlineStr">
        <is>
          <t>D</t>
        </is>
      </c>
      <c r="G818" s="31" t="inlineStr">
        <is>
          <t>Fuel system</t>
        </is>
      </c>
      <c r="H818" s="27" t="n">
        <v>1205</v>
      </c>
      <c r="I818" s="27" t="n">
        <v>1280</v>
      </c>
      <c r="J818" s="154">
        <f>I818/H818-1</f>
        <v/>
      </c>
      <c r="K818" s="31" t="inlineStr">
        <is>
          <t>21</t>
        </is>
      </c>
      <c r="L818" s="31" t="inlineStr">
        <is>
          <t>21</t>
        </is>
      </c>
      <c r="M818" s="31" t="inlineStr">
        <is>
          <t>S1</t>
        </is>
      </c>
      <c r="N818" s="31" t="inlineStr">
        <is>
          <t>S2</t>
        </is>
      </c>
      <c r="O818" s="31" t="inlineStr">
        <is>
          <t>320-392-901-0</t>
        </is>
      </c>
      <c r="P818" s="31" t="inlineStr">
        <is>
          <t>SR Technics Switzerland</t>
        </is>
      </c>
    </row>
    <row r="819">
      <c r="B819" s="31" t="inlineStr">
        <is>
          <t>CFM56-5B</t>
        </is>
      </c>
      <c r="C819" s="31" t="inlineStr">
        <is>
          <t>2024-2025</t>
        </is>
      </c>
      <c r="D819" s="31" t="inlineStr">
        <is>
          <t>609422</t>
        </is>
      </c>
      <c r="E819" s="31" t="inlineStr">
        <is>
          <t>73-22-92</t>
        </is>
      </c>
      <c r="F819" s="31" t="inlineStr">
        <is>
          <t>E</t>
        </is>
      </c>
      <c r="G819" s="31" t="inlineStr">
        <is>
          <t>Fuel system</t>
        </is>
      </c>
      <c r="H819" s="27" t="n">
        <v>3675</v>
      </c>
      <c r="I819" s="27" t="n">
        <v>3900</v>
      </c>
      <c r="J819" s="154">
        <f>I819/H819-1</f>
        <v/>
      </c>
      <c r="K819" s="31" t="inlineStr">
        <is>
          <t>21</t>
        </is>
      </c>
      <c r="L819" s="31" t="inlineStr">
        <is>
          <t>21</t>
        </is>
      </c>
      <c r="M819" s="31" t="inlineStr">
        <is>
          <t>S1</t>
        </is>
      </c>
      <c r="N819" s="31" t="inlineStr">
        <is>
          <t>S2</t>
        </is>
      </c>
      <c r="O819" s="31" t="inlineStr">
        <is>
          <t>320-392-901-0</t>
        </is>
      </c>
      <c r="P819" s="31" t="inlineStr">
        <is>
          <t>SR Technics Switzerland</t>
        </is>
      </c>
    </row>
    <row r="820">
      <c r="B820" s="31" t="inlineStr">
        <is>
          <t>CFM56-5B</t>
        </is>
      </c>
      <c r="C820" s="31" t="inlineStr">
        <is>
          <t>2024-2025</t>
        </is>
      </c>
      <c r="D820" s="31" t="inlineStr">
        <is>
          <t>609422</t>
        </is>
      </c>
      <c r="E820" s="31" t="inlineStr">
        <is>
          <t>73-22-92</t>
        </is>
      </c>
      <c r="F820" s="31" t="inlineStr">
        <is>
          <t>F</t>
        </is>
      </c>
      <c r="G820" s="31" t="inlineStr">
        <is>
          <t>Fuel system</t>
        </is>
      </c>
      <c r="H820" s="27" t="n">
        <v>5305</v>
      </c>
      <c r="I820" s="27" t="n">
        <v>5625</v>
      </c>
      <c r="J820" s="154">
        <f>I820/H820-1</f>
        <v/>
      </c>
      <c r="K820" s="31" t="inlineStr">
        <is>
          <t>21</t>
        </is>
      </c>
      <c r="L820" s="31" t="inlineStr">
        <is>
          <t>21</t>
        </is>
      </c>
      <c r="M820" s="31" t="inlineStr">
        <is>
          <t>S1</t>
        </is>
      </c>
      <c r="N820" s="31" t="inlineStr">
        <is>
          <t>S2</t>
        </is>
      </c>
      <c r="O820" s="31" t="inlineStr">
        <is>
          <t>320-392-901-0</t>
        </is>
      </c>
      <c r="P820" s="31" t="inlineStr">
        <is>
          <t>SR Technics Switzerland</t>
        </is>
      </c>
    </row>
    <row r="821">
      <c r="B821" s="31" t="inlineStr">
        <is>
          <t>CFM56-5B</t>
        </is>
      </c>
      <c r="C821" s="31" t="inlineStr">
        <is>
          <t>2024-2025</t>
        </is>
      </c>
      <c r="D821" s="31" t="inlineStr">
        <is>
          <t>609422</t>
        </is>
      </c>
      <c r="E821" s="31" t="inlineStr">
        <is>
          <t>73-22-92</t>
        </is>
      </c>
      <c r="F821" s="31" t="inlineStr">
        <is>
          <t>SB00</t>
        </is>
      </c>
      <c r="G821" s="31" t="inlineStr">
        <is>
          <t>Fuel system</t>
        </is>
      </c>
      <c r="H821" s="27" t="n">
        <v>255</v>
      </c>
      <c r="I821" s="27" t="n">
        <v>275</v>
      </c>
      <c r="J821" s="154">
        <f>I821/H821-1</f>
        <v/>
      </c>
      <c r="K821" s="31" t="inlineStr">
        <is>
          <t>21</t>
        </is>
      </c>
      <c r="L821" s="31" t="inlineStr">
        <is>
          <t>21</t>
        </is>
      </c>
      <c r="M821" s="31" t="inlineStr">
        <is>
          <t>S1</t>
        </is>
      </c>
      <c r="N821" s="31" t="inlineStr">
        <is>
          <t>S2</t>
        </is>
      </c>
      <c r="O821" s="31" t="inlineStr">
        <is>
          <t>320-392-901-0</t>
        </is>
      </c>
      <c r="P821" s="31" t="inlineStr">
        <is>
          <t>SR Technics Switzerland</t>
        </is>
      </c>
    </row>
    <row r="822">
      <c r="B822" s="31" t="inlineStr">
        <is>
          <t>CFM56-5B</t>
        </is>
      </c>
      <c r="C822" s="31" t="inlineStr">
        <is>
          <t>2024-2025</t>
        </is>
      </c>
      <c r="D822" s="31" t="inlineStr">
        <is>
          <t>609423</t>
        </is>
      </c>
      <c r="E822" s="31" t="inlineStr">
        <is>
          <t>73-22-73</t>
        </is>
      </c>
      <c r="F822" s="31" t="inlineStr">
        <is>
          <t>C</t>
        </is>
      </c>
      <c r="G822" s="31" t="inlineStr">
        <is>
          <t>Fuel system</t>
        </is>
      </c>
      <c r="H822" s="27" t="n">
        <v>480</v>
      </c>
      <c r="I822" s="27" t="n">
        <v>510</v>
      </c>
      <c r="J822" s="154">
        <f>I822/H822-1</f>
        <v/>
      </c>
      <c r="K822" s="31" t="inlineStr">
        <is>
          <t>21</t>
        </is>
      </c>
      <c r="L822" s="31" t="inlineStr">
        <is>
          <t>21</t>
        </is>
      </c>
      <c r="M822" s="31" t="inlineStr">
        <is>
          <t>S1</t>
        </is>
      </c>
      <c r="N822" s="31" t="inlineStr">
        <is>
          <t>S2</t>
        </is>
      </c>
      <c r="O822" s="31" t="inlineStr">
        <is>
          <t>320-392-701-0</t>
        </is>
      </c>
      <c r="P822" s="31" t="inlineStr">
        <is>
          <t>SR Technics Switzerland</t>
        </is>
      </c>
    </row>
    <row r="823">
      <c r="B823" s="31" t="inlineStr">
        <is>
          <t>CFM56-5B</t>
        </is>
      </c>
      <c r="C823" s="31" t="inlineStr">
        <is>
          <t>2024-2025</t>
        </is>
      </c>
      <c r="D823" s="31" t="inlineStr">
        <is>
          <t>609423</t>
        </is>
      </c>
      <c r="E823" s="31" t="inlineStr">
        <is>
          <t>73-22-73</t>
        </is>
      </c>
      <c r="F823" s="31" t="inlineStr">
        <is>
          <t>D</t>
        </is>
      </c>
      <c r="G823" s="31" t="inlineStr">
        <is>
          <t>Fuel system</t>
        </is>
      </c>
      <c r="H823" s="27" t="n">
        <v>1205</v>
      </c>
      <c r="I823" s="27" t="n">
        <v>1280</v>
      </c>
      <c r="J823" s="154">
        <f>I823/H823-1</f>
        <v/>
      </c>
      <c r="K823" s="31" t="inlineStr">
        <is>
          <t>21</t>
        </is>
      </c>
      <c r="L823" s="31" t="inlineStr">
        <is>
          <t>21</t>
        </is>
      </c>
      <c r="M823" s="31" t="inlineStr">
        <is>
          <t>S1</t>
        </is>
      </c>
      <c r="N823" s="31" t="inlineStr">
        <is>
          <t>S2</t>
        </is>
      </c>
      <c r="O823" s="31" t="inlineStr">
        <is>
          <t>320-392-701-0</t>
        </is>
      </c>
      <c r="P823" s="31" t="inlineStr">
        <is>
          <t>SR Technics Switzerland</t>
        </is>
      </c>
    </row>
    <row r="824">
      <c r="B824" s="31" t="inlineStr">
        <is>
          <t>CFM56-5B</t>
        </is>
      </c>
      <c r="C824" s="31" t="inlineStr">
        <is>
          <t>2024-2025</t>
        </is>
      </c>
      <c r="D824" s="31" t="inlineStr">
        <is>
          <t>609423</t>
        </is>
      </c>
      <c r="E824" s="31" t="inlineStr">
        <is>
          <t>73-22-73</t>
        </is>
      </c>
      <c r="F824" s="31" t="inlineStr">
        <is>
          <t>E</t>
        </is>
      </c>
      <c r="G824" s="31" t="inlineStr">
        <is>
          <t>Fuel system</t>
        </is>
      </c>
      <c r="H824" s="27" t="n">
        <v>3900</v>
      </c>
      <c r="I824" s="27" t="n">
        <v>4135</v>
      </c>
      <c r="J824" s="154">
        <f>I824/H824-1</f>
        <v/>
      </c>
      <c r="K824" s="31" t="inlineStr">
        <is>
          <t>21</t>
        </is>
      </c>
      <c r="L824" s="31" t="inlineStr">
        <is>
          <t>21</t>
        </is>
      </c>
      <c r="M824" s="31" t="inlineStr">
        <is>
          <t>S1</t>
        </is>
      </c>
      <c r="N824" s="31" t="inlineStr">
        <is>
          <t>S2</t>
        </is>
      </c>
      <c r="O824" s="31" t="inlineStr">
        <is>
          <t>320-392-701-0</t>
        </is>
      </c>
      <c r="P824" s="31" t="inlineStr">
        <is>
          <t>SR Technics Switzerland</t>
        </is>
      </c>
    </row>
    <row r="825">
      <c r="B825" s="31" t="inlineStr">
        <is>
          <t>CFM56-5B</t>
        </is>
      </c>
      <c r="C825" s="31" t="inlineStr">
        <is>
          <t>2024-2025</t>
        </is>
      </c>
      <c r="D825" s="31" t="inlineStr">
        <is>
          <t>609423</t>
        </is>
      </c>
      <c r="E825" s="31" t="inlineStr">
        <is>
          <t>73-22-73</t>
        </is>
      </c>
      <c r="F825" s="31" t="inlineStr">
        <is>
          <t>F</t>
        </is>
      </c>
      <c r="G825" s="31" t="inlineStr">
        <is>
          <t>Fuel system</t>
        </is>
      </c>
      <c r="H825" s="27" t="n">
        <v>7920</v>
      </c>
      <c r="I825" s="27" t="n">
        <v>8400</v>
      </c>
      <c r="J825" s="154">
        <f>I825/H825-1</f>
        <v/>
      </c>
      <c r="K825" s="31" t="inlineStr">
        <is>
          <t>21</t>
        </is>
      </c>
      <c r="L825" s="31" t="inlineStr">
        <is>
          <t>21</t>
        </is>
      </c>
      <c r="M825" s="31" t="inlineStr">
        <is>
          <t>S1</t>
        </is>
      </c>
      <c r="N825" s="31" t="inlineStr">
        <is>
          <t>S2</t>
        </is>
      </c>
      <c r="O825" s="31" t="inlineStr">
        <is>
          <t>320-392-701-0</t>
        </is>
      </c>
      <c r="P825" s="31" t="inlineStr">
        <is>
          <t>SR Technics Switzerland</t>
        </is>
      </c>
    </row>
    <row r="826">
      <c r="B826" s="31" t="inlineStr">
        <is>
          <t>CFM56-5B</t>
        </is>
      </c>
      <c r="C826" s="31" t="inlineStr">
        <is>
          <t>2024-2025</t>
        </is>
      </c>
      <c r="D826" s="31" t="inlineStr">
        <is>
          <t>609423</t>
        </is>
      </c>
      <c r="E826" s="31" t="inlineStr">
        <is>
          <t>73-22-73</t>
        </is>
      </c>
      <c r="F826" s="31" t="inlineStr">
        <is>
          <t>SB00</t>
        </is>
      </c>
      <c r="G826" s="31" t="inlineStr">
        <is>
          <t>Fuel system</t>
        </is>
      </c>
      <c r="H826" s="27" t="n">
        <v>255</v>
      </c>
      <c r="I826" s="27" t="n">
        <v>275</v>
      </c>
      <c r="J826" s="154">
        <f>I826/H826-1</f>
        <v/>
      </c>
      <c r="K826" s="31" t="inlineStr">
        <is>
          <t>21</t>
        </is>
      </c>
      <c r="L826" s="31" t="inlineStr">
        <is>
          <t>21</t>
        </is>
      </c>
      <c r="M826" s="31" t="inlineStr">
        <is>
          <t>S1</t>
        </is>
      </c>
      <c r="N826" s="31" t="inlineStr">
        <is>
          <t>S2</t>
        </is>
      </c>
      <c r="O826" s="31" t="inlineStr">
        <is>
          <t>320-392-701-0</t>
        </is>
      </c>
      <c r="P826" s="31" t="inlineStr">
        <is>
          <t>SR Technics Switzerland</t>
        </is>
      </c>
    </row>
    <row r="827">
      <c r="B827" s="31" t="inlineStr">
        <is>
          <t>CFM56-5B</t>
        </is>
      </c>
      <c r="C827" s="31" t="inlineStr">
        <is>
          <t>2024-2025</t>
        </is>
      </c>
      <c r="D827" s="31" t="inlineStr">
        <is>
          <t>609424</t>
        </is>
      </c>
      <c r="E827" s="31" t="inlineStr">
        <is>
          <t>73-22-79</t>
        </is>
      </c>
      <c r="F827" s="31" t="inlineStr">
        <is>
          <t>C</t>
        </is>
      </c>
      <c r="G827" s="31" t="inlineStr">
        <is>
          <t>Fuel system</t>
        </is>
      </c>
      <c r="H827" s="27" t="n">
        <v>350</v>
      </c>
      <c r="I827" s="27" t="n">
        <v>375</v>
      </c>
      <c r="J827" s="154">
        <f>I827/H827-1</f>
        <v/>
      </c>
      <c r="K827" s="31" t="inlineStr">
        <is>
          <t>21</t>
        </is>
      </c>
      <c r="L827" s="31" t="inlineStr">
        <is>
          <t>21</t>
        </is>
      </c>
      <c r="M827" s="31" t="inlineStr">
        <is>
          <t>S1</t>
        </is>
      </c>
      <c r="N827" s="31" t="inlineStr">
        <is>
          <t>S2</t>
        </is>
      </c>
      <c r="O827" s="31" t="inlineStr">
        <is>
          <t>320-364-501-0</t>
        </is>
      </c>
      <c r="P827" s="31" t="inlineStr">
        <is>
          <t>SR Technics Switzerland</t>
        </is>
      </c>
    </row>
    <row r="828">
      <c r="B828" s="31" t="inlineStr">
        <is>
          <t>CFM56-5B</t>
        </is>
      </c>
      <c r="C828" s="31" t="inlineStr">
        <is>
          <t>2024-2025</t>
        </is>
      </c>
      <c r="D828" s="31" t="inlineStr">
        <is>
          <t>609424</t>
        </is>
      </c>
      <c r="E828" s="31" t="inlineStr">
        <is>
          <t>73-22-79</t>
        </is>
      </c>
      <c r="F828" s="31" t="inlineStr">
        <is>
          <t>D</t>
        </is>
      </c>
      <c r="G828" s="31" t="inlineStr">
        <is>
          <t>Fuel system</t>
        </is>
      </c>
      <c r="H828" s="27" t="n">
        <v>1205</v>
      </c>
      <c r="I828" s="27" t="n">
        <v>1280</v>
      </c>
      <c r="J828" s="154">
        <f>I828/H828-1</f>
        <v/>
      </c>
      <c r="K828" s="31" t="inlineStr">
        <is>
          <t>21</t>
        </is>
      </c>
      <c r="L828" s="31" t="inlineStr">
        <is>
          <t>21</t>
        </is>
      </c>
      <c r="M828" s="31" t="inlineStr">
        <is>
          <t>S1</t>
        </is>
      </c>
      <c r="N828" s="31" t="inlineStr">
        <is>
          <t>S2</t>
        </is>
      </c>
      <c r="O828" s="31" t="inlineStr">
        <is>
          <t>320-364-501-0</t>
        </is>
      </c>
      <c r="P828" s="31" t="inlineStr">
        <is>
          <t>SR Technics Switzerland</t>
        </is>
      </c>
    </row>
    <row r="829">
      <c r="B829" s="31" t="inlineStr">
        <is>
          <t>CFM56-5B</t>
        </is>
      </c>
      <c r="C829" s="31" t="inlineStr">
        <is>
          <t>2024-2025</t>
        </is>
      </c>
      <c r="D829" s="31" t="inlineStr">
        <is>
          <t>609424</t>
        </is>
      </c>
      <c r="E829" s="31" t="inlineStr">
        <is>
          <t>73-22-79</t>
        </is>
      </c>
      <c r="F829" s="31" t="inlineStr">
        <is>
          <t>E</t>
        </is>
      </c>
      <c r="G829" s="31" t="inlineStr">
        <is>
          <t>Fuel system</t>
        </is>
      </c>
      <c r="H829" s="27" t="n">
        <v>5120</v>
      </c>
      <c r="I829" s="27" t="n">
        <v>5430</v>
      </c>
      <c r="J829" s="154">
        <f>I829/H829-1</f>
        <v/>
      </c>
      <c r="K829" s="31" t="inlineStr">
        <is>
          <t>21</t>
        </is>
      </c>
      <c r="L829" s="31" t="inlineStr">
        <is>
          <t>21</t>
        </is>
      </c>
      <c r="M829" s="31" t="inlineStr">
        <is>
          <t>S1</t>
        </is>
      </c>
      <c r="N829" s="31" t="inlineStr">
        <is>
          <t>S2</t>
        </is>
      </c>
      <c r="O829" s="31" t="inlineStr">
        <is>
          <t>320-364-501-0</t>
        </is>
      </c>
      <c r="P829" s="31" t="inlineStr">
        <is>
          <t>SR Technics Switzerland</t>
        </is>
      </c>
    </row>
    <row r="830">
      <c r="B830" s="31" t="inlineStr">
        <is>
          <t>CFM56-5B</t>
        </is>
      </c>
      <c r="C830" s="31" t="inlineStr">
        <is>
          <t>2024-2025</t>
        </is>
      </c>
      <c r="D830" s="31" t="inlineStr">
        <is>
          <t>609424</t>
        </is>
      </c>
      <c r="E830" s="31" t="inlineStr">
        <is>
          <t>73-22-79</t>
        </is>
      </c>
      <c r="F830" s="31" t="inlineStr">
        <is>
          <t>F</t>
        </is>
      </c>
      <c r="G830" s="31" t="inlineStr">
        <is>
          <t>Fuel system</t>
        </is>
      </c>
      <c r="H830" s="27" t="n">
        <v>7615</v>
      </c>
      <c r="I830" s="27" t="n">
        <v>8075</v>
      </c>
      <c r="J830" s="154">
        <f>I830/H830-1</f>
        <v/>
      </c>
      <c r="K830" s="31" t="inlineStr">
        <is>
          <t>21</t>
        </is>
      </c>
      <c r="L830" s="31" t="inlineStr">
        <is>
          <t>21</t>
        </is>
      </c>
      <c r="M830" s="31" t="inlineStr">
        <is>
          <t>S1</t>
        </is>
      </c>
      <c r="N830" s="31" t="inlineStr">
        <is>
          <t>S2</t>
        </is>
      </c>
      <c r="O830" s="31" t="inlineStr">
        <is>
          <t>320-364-501-0</t>
        </is>
      </c>
      <c r="P830" s="31" t="inlineStr">
        <is>
          <t>SR Technics Switzerland</t>
        </is>
      </c>
    </row>
    <row r="831">
      <c r="B831" s="31" t="inlineStr">
        <is>
          <t>CFM56-5B</t>
        </is>
      </c>
      <c r="C831" s="31" t="inlineStr">
        <is>
          <t>2024-2025</t>
        </is>
      </c>
      <c r="D831" s="31" t="inlineStr">
        <is>
          <t>609424</t>
        </is>
      </c>
      <c r="E831" s="31" t="inlineStr">
        <is>
          <t>73-22-79</t>
        </is>
      </c>
      <c r="F831" s="31" t="inlineStr">
        <is>
          <t>SB00</t>
        </is>
      </c>
      <c r="G831" s="31" t="inlineStr">
        <is>
          <t>Fuel system</t>
        </is>
      </c>
      <c r="H831" s="27" t="n">
        <v>255</v>
      </c>
      <c r="I831" s="27" t="n">
        <v>275</v>
      </c>
      <c r="J831" s="154">
        <f>I831/H831-1</f>
        <v/>
      </c>
      <c r="K831" s="31" t="inlineStr">
        <is>
          <t>21</t>
        </is>
      </c>
      <c r="L831" s="31" t="inlineStr">
        <is>
          <t>21</t>
        </is>
      </c>
      <c r="M831" s="31" t="inlineStr">
        <is>
          <t>S1</t>
        </is>
      </c>
      <c r="N831" s="31" t="inlineStr">
        <is>
          <t>S2</t>
        </is>
      </c>
      <c r="O831" s="31" t="inlineStr">
        <is>
          <t>320-364-501-0</t>
        </is>
      </c>
      <c r="P831" s="31" t="inlineStr">
        <is>
          <t>SR Technics Switzerland</t>
        </is>
      </c>
    </row>
    <row r="832">
      <c r="B832" s="31" t="inlineStr">
        <is>
          <t>CFM56-5B</t>
        </is>
      </c>
      <c r="C832" s="31" t="inlineStr">
        <is>
          <t>2024-2025</t>
        </is>
      </c>
      <c r="D832" s="31" t="inlineStr">
        <is>
          <t>609438</t>
        </is>
      </c>
      <c r="E832" s="31" t="inlineStr">
        <is>
          <t>73-22-75</t>
        </is>
      </c>
      <c r="F832" s="31" t="inlineStr">
        <is>
          <t>C</t>
        </is>
      </c>
      <c r="G832" s="31" t="inlineStr">
        <is>
          <t>Fuel system</t>
        </is>
      </c>
      <c r="H832" s="27" t="n">
        <v>350</v>
      </c>
      <c r="I832" s="27" t="n">
        <v>375</v>
      </c>
      <c r="J832" s="154">
        <f>I832/H832-1</f>
        <v/>
      </c>
      <c r="K832" s="31" t="inlineStr">
        <is>
          <t>21</t>
        </is>
      </c>
      <c r="L832" s="31" t="inlineStr">
        <is>
          <t>21</t>
        </is>
      </c>
      <c r="M832" s="31" t="inlineStr">
        <is>
          <t>S1</t>
        </is>
      </c>
      <c r="N832" s="31" t="inlineStr">
        <is>
          <t>S2</t>
        </is>
      </c>
      <c r="O832" s="31" t="inlineStr">
        <is>
          <t>320-372-601-0</t>
        </is>
      </c>
      <c r="P832" s="31" t="inlineStr">
        <is>
          <t>SR Technics Switzerland</t>
        </is>
      </c>
    </row>
    <row r="833">
      <c r="B833" s="31" t="inlineStr">
        <is>
          <t>CFM56-5B</t>
        </is>
      </c>
      <c r="C833" s="31" t="inlineStr">
        <is>
          <t>2024-2025</t>
        </is>
      </c>
      <c r="D833" s="31" t="inlineStr">
        <is>
          <t>609438</t>
        </is>
      </c>
      <c r="E833" s="31" t="inlineStr">
        <is>
          <t>73-22-75</t>
        </is>
      </c>
      <c r="F833" s="31" t="inlineStr">
        <is>
          <t>D</t>
        </is>
      </c>
      <c r="G833" s="31" t="inlineStr">
        <is>
          <t>Fuel system</t>
        </is>
      </c>
      <c r="H833" s="27" t="n">
        <v>1205</v>
      </c>
      <c r="I833" s="27" t="n">
        <v>1280</v>
      </c>
      <c r="J833" s="154">
        <f>I833/H833-1</f>
        <v/>
      </c>
      <c r="K833" s="31" t="inlineStr">
        <is>
          <t>21</t>
        </is>
      </c>
      <c r="L833" s="31" t="inlineStr">
        <is>
          <t>21</t>
        </is>
      </c>
      <c r="M833" s="31" t="inlineStr">
        <is>
          <t>S1</t>
        </is>
      </c>
      <c r="N833" s="31" t="inlineStr">
        <is>
          <t>S2</t>
        </is>
      </c>
      <c r="O833" s="31" t="inlineStr">
        <is>
          <t>320-372-601-0</t>
        </is>
      </c>
      <c r="P833" s="31" t="inlineStr">
        <is>
          <t>SR Technics Switzerland</t>
        </is>
      </c>
    </row>
    <row r="834">
      <c r="B834" s="31" t="inlineStr">
        <is>
          <t>CFM56-5B</t>
        </is>
      </c>
      <c r="C834" s="31" t="inlineStr">
        <is>
          <t>2024-2025</t>
        </is>
      </c>
      <c r="D834" s="31" t="inlineStr">
        <is>
          <t>609438</t>
        </is>
      </c>
      <c r="E834" s="31" t="inlineStr">
        <is>
          <t>73-22-75</t>
        </is>
      </c>
      <c r="F834" s="31" t="inlineStr">
        <is>
          <t>E</t>
        </is>
      </c>
      <c r="G834" s="31" t="inlineStr">
        <is>
          <t>Fuel system</t>
        </is>
      </c>
      <c r="H834" s="27" t="n">
        <v>3785</v>
      </c>
      <c r="I834" s="27" t="n">
        <v>4015</v>
      </c>
      <c r="J834" s="154">
        <f>I834/H834-1</f>
        <v/>
      </c>
      <c r="K834" s="31" t="inlineStr">
        <is>
          <t>21</t>
        </is>
      </c>
      <c r="L834" s="31" t="inlineStr">
        <is>
          <t>21</t>
        </is>
      </c>
      <c r="M834" s="31" t="inlineStr">
        <is>
          <t>S1</t>
        </is>
      </c>
      <c r="N834" s="31" t="inlineStr">
        <is>
          <t>S2</t>
        </is>
      </c>
      <c r="O834" s="31" t="inlineStr">
        <is>
          <t>320-372-601-0</t>
        </is>
      </c>
      <c r="P834" s="31" t="inlineStr">
        <is>
          <t>SR Technics Switzerland</t>
        </is>
      </c>
    </row>
    <row r="835">
      <c r="B835" s="31" t="inlineStr">
        <is>
          <t>CFM56-5B</t>
        </is>
      </c>
      <c r="C835" s="31" t="inlineStr">
        <is>
          <t>2024-2025</t>
        </is>
      </c>
      <c r="D835" s="31" t="inlineStr">
        <is>
          <t>609438</t>
        </is>
      </c>
      <c r="E835" s="31" t="inlineStr">
        <is>
          <t>73-22-75</t>
        </is>
      </c>
      <c r="F835" s="31" t="inlineStr">
        <is>
          <t>F</t>
        </is>
      </c>
      <c r="G835" s="31" t="inlineStr">
        <is>
          <t>Fuel system</t>
        </is>
      </c>
      <c r="H835" s="27" t="n">
        <v>5240</v>
      </c>
      <c r="I835" s="27" t="n">
        <v>5555</v>
      </c>
      <c r="J835" s="154">
        <f>I835/H835-1</f>
        <v/>
      </c>
      <c r="K835" s="31" t="inlineStr">
        <is>
          <t>21</t>
        </is>
      </c>
      <c r="L835" s="31" t="inlineStr">
        <is>
          <t>21</t>
        </is>
      </c>
      <c r="M835" s="31" t="inlineStr">
        <is>
          <t>S1</t>
        </is>
      </c>
      <c r="N835" s="31" t="inlineStr">
        <is>
          <t>S2</t>
        </is>
      </c>
      <c r="O835" s="31" t="inlineStr">
        <is>
          <t>320-372-601-0</t>
        </is>
      </c>
      <c r="P835" s="31" t="inlineStr">
        <is>
          <t>SR Technics Switzerland</t>
        </is>
      </c>
    </row>
    <row r="836">
      <c r="B836" s="31" t="inlineStr">
        <is>
          <t>CFM56-5B</t>
        </is>
      </c>
      <c r="C836" s="31" t="inlineStr">
        <is>
          <t>2024-2025</t>
        </is>
      </c>
      <c r="D836" s="31" t="inlineStr">
        <is>
          <t>609438</t>
        </is>
      </c>
      <c r="E836" s="31" t="inlineStr">
        <is>
          <t>73-22-75</t>
        </is>
      </c>
      <c r="F836" s="31" t="inlineStr">
        <is>
          <t>SB00</t>
        </is>
      </c>
      <c r="G836" s="31" t="inlineStr">
        <is>
          <t>Fuel system</t>
        </is>
      </c>
      <c r="H836" s="27" t="n">
        <v>350</v>
      </c>
      <c r="I836" s="27" t="n">
        <v>375</v>
      </c>
      <c r="J836" s="154">
        <f>I836/H836-1</f>
        <v/>
      </c>
      <c r="K836" s="31" t="inlineStr">
        <is>
          <t>21</t>
        </is>
      </c>
      <c r="L836" s="31" t="inlineStr">
        <is>
          <t>21</t>
        </is>
      </c>
      <c r="M836" s="31" t="inlineStr">
        <is>
          <t>S1</t>
        </is>
      </c>
      <c r="N836" s="31" t="inlineStr">
        <is>
          <t>S2</t>
        </is>
      </c>
      <c r="O836" s="31" t="inlineStr">
        <is>
          <t>320-372-601-0</t>
        </is>
      </c>
      <c r="P836" s="31" t="inlineStr">
        <is>
          <t>SR Technics Switzerland</t>
        </is>
      </c>
    </row>
    <row r="837">
      <c r="B837" s="31" t="inlineStr">
        <is>
          <t>CFM56-5B</t>
        </is>
      </c>
      <c r="C837" s="31" t="inlineStr">
        <is>
          <t>2024-2025</t>
        </is>
      </c>
      <c r="D837" s="31" t="inlineStr">
        <is>
          <t>609439</t>
        </is>
      </c>
      <c r="E837" s="31" t="inlineStr">
        <is>
          <t>73-22-82</t>
        </is>
      </c>
      <c r="F837" s="31" t="inlineStr">
        <is>
          <t>C</t>
        </is>
      </c>
      <c r="G837" s="31" t="inlineStr">
        <is>
          <t>Fuel system</t>
        </is>
      </c>
      <c r="H837" s="27" t="n">
        <v>350</v>
      </c>
      <c r="I837" s="27" t="n">
        <v>375</v>
      </c>
      <c r="J837" s="154">
        <f>I837/H837-1</f>
        <v/>
      </c>
      <c r="K837" s="31" t="inlineStr">
        <is>
          <t>21</t>
        </is>
      </c>
      <c r="L837" s="31" t="inlineStr">
        <is>
          <t>21</t>
        </is>
      </c>
      <c r="M837" s="31" t="inlineStr">
        <is>
          <t>S1</t>
        </is>
      </c>
      <c r="N837" s="31" t="inlineStr">
        <is>
          <t>S2</t>
        </is>
      </c>
      <c r="O837" s="31" t="inlineStr">
        <is>
          <t>320-298-101-0</t>
        </is>
      </c>
      <c r="P837" s="31" t="inlineStr">
        <is>
          <t>SR Technics Switzerland</t>
        </is>
      </c>
    </row>
    <row r="838">
      <c r="B838" s="31" t="inlineStr">
        <is>
          <t>CFM56-5B</t>
        </is>
      </c>
      <c r="C838" s="31" t="inlineStr">
        <is>
          <t>2024-2025</t>
        </is>
      </c>
      <c r="D838" s="31" t="inlineStr">
        <is>
          <t>609439</t>
        </is>
      </c>
      <c r="E838" s="31" t="inlineStr">
        <is>
          <t>73-22-82</t>
        </is>
      </c>
      <c r="F838" s="31" t="inlineStr">
        <is>
          <t>D</t>
        </is>
      </c>
      <c r="G838" s="31" t="inlineStr">
        <is>
          <t>Fuel system</t>
        </is>
      </c>
      <c r="H838" s="27" t="n">
        <v>1205</v>
      </c>
      <c r="I838" s="27" t="n">
        <v>1280</v>
      </c>
      <c r="J838" s="154">
        <f>I838/H838-1</f>
        <v/>
      </c>
      <c r="K838" s="31" t="inlineStr">
        <is>
          <t>21</t>
        </is>
      </c>
      <c r="L838" s="31" t="inlineStr">
        <is>
          <t>21</t>
        </is>
      </c>
      <c r="M838" s="31" t="inlineStr">
        <is>
          <t>S1</t>
        </is>
      </c>
      <c r="N838" s="31" t="inlineStr">
        <is>
          <t>S2</t>
        </is>
      </c>
      <c r="O838" s="31" t="inlineStr">
        <is>
          <t>320-298-101-0</t>
        </is>
      </c>
      <c r="P838" s="31" t="inlineStr">
        <is>
          <t>SR Technics Switzerland</t>
        </is>
      </c>
    </row>
    <row r="839">
      <c r="B839" s="31" t="inlineStr">
        <is>
          <t>CFM56-5B</t>
        </is>
      </c>
      <c r="C839" s="31" t="inlineStr">
        <is>
          <t>2024-2025</t>
        </is>
      </c>
      <c r="D839" s="31" t="inlineStr">
        <is>
          <t>609439</t>
        </is>
      </c>
      <c r="E839" s="31" t="inlineStr">
        <is>
          <t>73-22-82</t>
        </is>
      </c>
      <c r="F839" s="31" t="inlineStr">
        <is>
          <t>E</t>
        </is>
      </c>
      <c r="G839" s="31" t="inlineStr">
        <is>
          <t>Fuel system</t>
        </is>
      </c>
      <c r="H839" s="27" t="n">
        <v>3600</v>
      </c>
      <c r="I839" s="27" t="n">
        <v>3820</v>
      </c>
      <c r="J839" s="154">
        <f>I839/H839-1</f>
        <v/>
      </c>
      <c r="K839" s="31" t="inlineStr">
        <is>
          <t>21</t>
        </is>
      </c>
      <c r="L839" s="31" t="inlineStr">
        <is>
          <t>21</t>
        </is>
      </c>
      <c r="M839" s="31" t="inlineStr">
        <is>
          <t>S1</t>
        </is>
      </c>
      <c r="N839" s="31" t="inlineStr">
        <is>
          <t>S2</t>
        </is>
      </c>
      <c r="O839" s="31" t="inlineStr">
        <is>
          <t>320-298-101-0</t>
        </is>
      </c>
      <c r="P839" s="31" t="inlineStr">
        <is>
          <t>SR Technics Switzerland</t>
        </is>
      </c>
    </row>
    <row r="840">
      <c r="B840" s="31" t="inlineStr">
        <is>
          <t>CFM56-5B</t>
        </is>
      </c>
      <c r="C840" s="31" t="inlineStr">
        <is>
          <t>2024-2025</t>
        </is>
      </c>
      <c r="D840" s="31" t="inlineStr">
        <is>
          <t>609439</t>
        </is>
      </c>
      <c r="E840" s="31" t="inlineStr">
        <is>
          <t>73-22-82</t>
        </is>
      </c>
      <c r="F840" s="31" t="inlineStr">
        <is>
          <t>F</t>
        </is>
      </c>
      <c r="G840" s="31" t="inlineStr">
        <is>
          <t>Fuel system</t>
        </is>
      </c>
      <c r="H840" s="27" t="n">
        <v>4390</v>
      </c>
      <c r="I840" s="27" t="n">
        <v>4655</v>
      </c>
      <c r="J840" s="154">
        <f>I840/H840-1</f>
        <v/>
      </c>
      <c r="K840" s="31" t="inlineStr">
        <is>
          <t>21</t>
        </is>
      </c>
      <c r="L840" s="31" t="inlineStr">
        <is>
          <t>21</t>
        </is>
      </c>
      <c r="M840" s="31" t="inlineStr">
        <is>
          <t>S1</t>
        </is>
      </c>
      <c r="N840" s="31" t="inlineStr">
        <is>
          <t>S2</t>
        </is>
      </c>
      <c r="O840" s="31" t="inlineStr">
        <is>
          <t>320-298-101-0</t>
        </is>
      </c>
      <c r="P840" s="31" t="inlineStr">
        <is>
          <t>SR Technics Switzerland</t>
        </is>
      </c>
    </row>
    <row r="841">
      <c r="B841" s="31" t="inlineStr">
        <is>
          <t>CFM56-5B</t>
        </is>
      </c>
      <c r="C841" s="31" t="inlineStr">
        <is>
          <t>2024-2025</t>
        </is>
      </c>
      <c r="D841" s="31" t="inlineStr">
        <is>
          <t>609445</t>
        </is>
      </c>
      <c r="E841" s="31" t="inlineStr">
        <is>
          <t>73-22-76</t>
        </is>
      </c>
      <c r="F841" s="31" t="inlineStr">
        <is>
          <t>C</t>
        </is>
      </c>
      <c r="G841" s="31" t="inlineStr">
        <is>
          <t>Fuel system</t>
        </is>
      </c>
      <c r="H841" s="27" t="n">
        <v>375</v>
      </c>
      <c r="I841" s="27" t="n">
        <v>400</v>
      </c>
      <c r="J841" s="154">
        <f>I841/H841-1</f>
        <v/>
      </c>
      <c r="K841" s="31" t="inlineStr">
        <is>
          <t>21</t>
        </is>
      </c>
      <c r="L841" s="31" t="inlineStr">
        <is>
          <t>21</t>
        </is>
      </c>
      <c r="M841" s="31" t="inlineStr">
        <is>
          <t>S1</t>
        </is>
      </c>
      <c r="N841" s="31" t="inlineStr">
        <is>
          <t>S2</t>
        </is>
      </c>
      <c r="O841" s="31" t="inlineStr">
        <is>
          <t>320-364-401-0</t>
        </is>
      </c>
      <c r="P841" s="31" t="inlineStr">
        <is>
          <t>SR Technics Switzerland</t>
        </is>
      </c>
    </row>
    <row r="842">
      <c r="B842" s="31" t="inlineStr">
        <is>
          <t>CFM56-5B</t>
        </is>
      </c>
      <c r="C842" s="31" t="inlineStr">
        <is>
          <t>2024-2025</t>
        </is>
      </c>
      <c r="D842" s="31" t="inlineStr">
        <is>
          <t>609445</t>
        </is>
      </c>
      <c r="E842" s="31" t="inlineStr">
        <is>
          <t>73-22-76</t>
        </is>
      </c>
      <c r="F842" s="31" t="inlineStr">
        <is>
          <t>D</t>
        </is>
      </c>
      <c r="G842" s="31" t="inlineStr">
        <is>
          <t>Fuel system</t>
        </is>
      </c>
      <c r="H842" s="27" t="n">
        <v>1075</v>
      </c>
      <c r="I842" s="27" t="n">
        <v>1140</v>
      </c>
      <c r="J842" s="154">
        <f>I842/H842-1</f>
        <v/>
      </c>
      <c r="K842" s="31" t="inlineStr">
        <is>
          <t>21</t>
        </is>
      </c>
      <c r="L842" s="31" t="inlineStr">
        <is>
          <t>21</t>
        </is>
      </c>
      <c r="M842" s="31" t="inlineStr">
        <is>
          <t>S1</t>
        </is>
      </c>
      <c r="N842" s="31" t="inlineStr">
        <is>
          <t>S2</t>
        </is>
      </c>
      <c r="O842" s="31" t="inlineStr">
        <is>
          <t>320-364-401-0</t>
        </is>
      </c>
      <c r="P842" s="31" t="inlineStr">
        <is>
          <t>SR Technics Switzerland</t>
        </is>
      </c>
    </row>
    <row r="843">
      <c r="B843" s="31" t="inlineStr">
        <is>
          <t>CFM56-5B</t>
        </is>
      </c>
      <c r="C843" s="31" t="inlineStr">
        <is>
          <t>2024-2025</t>
        </is>
      </c>
      <c r="D843" s="31" t="inlineStr">
        <is>
          <t>609445</t>
        </is>
      </c>
      <c r="E843" s="31" t="inlineStr">
        <is>
          <t>73-22-76</t>
        </is>
      </c>
      <c r="F843" s="31" t="inlineStr">
        <is>
          <t>E</t>
        </is>
      </c>
      <c r="G843" s="31" t="inlineStr">
        <is>
          <t>Fuel system</t>
        </is>
      </c>
      <c r="H843" s="27" t="n">
        <v>3570</v>
      </c>
      <c r="I843" s="27" t="n">
        <v>3785</v>
      </c>
      <c r="J843" s="154">
        <f>I843/H843-1</f>
        <v/>
      </c>
      <c r="K843" s="31" t="inlineStr">
        <is>
          <t>21</t>
        </is>
      </c>
      <c r="L843" s="31" t="inlineStr">
        <is>
          <t>22</t>
        </is>
      </c>
      <c r="M843" s="31" t="inlineStr">
        <is>
          <t>S1</t>
        </is>
      </c>
      <c r="N843" s="31" t="inlineStr">
        <is>
          <t>S2</t>
        </is>
      </c>
      <c r="O843" s="31" t="inlineStr">
        <is>
          <t>320-364-401-0</t>
        </is>
      </c>
      <c r="P843" s="31" t="inlineStr">
        <is>
          <t>SR Technics Switzerland</t>
        </is>
      </c>
    </row>
    <row r="844">
      <c r="B844" s="31" t="inlineStr">
        <is>
          <t>CFM56-5B</t>
        </is>
      </c>
      <c r="C844" s="31" t="inlineStr">
        <is>
          <t>2024-2025</t>
        </is>
      </c>
      <c r="D844" s="31" t="inlineStr">
        <is>
          <t>609445</t>
        </is>
      </c>
      <c r="E844" s="31" t="inlineStr">
        <is>
          <t>73-22-76</t>
        </is>
      </c>
      <c r="F844" s="31" t="inlineStr">
        <is>
          <t>F</t>
        </is>
      </c>
      <c r="G844" s="31" t="inlineStr">
        <is>
          <t>Fuel system</t>
        </is>
      </c>
      <c r="H844" s="27" t="n">
        <v>5055</v>
      </c>
      <c r="I844" s="27" t="n">
        <v>5360</v>
      </c>
      <c r="J844" s="154">
        <f>I844/H844-1</f>
        <v/>
      </c>
      <c r="K844" s="31" t="inlineStr">
        <is>
          <t>21</t>
        </is>
      </c>
      <c r="L844" s="31" t="inlineStr">
        <is>
          <t>22</t>
        </is>
      </c>
      <c r="M844" s="31" t="inlineStr">
        <is>
          <t>S1</t>
        </is>
      </c>
      <c r="N844" s="31" t="inlineStr">
        <is>
          <t>S2</t>
        </is>
      </c>
      <c r="O844" s="31" t="inlineStr">
        <is>
          <t>320-364-401-0</t>
        </is>
      </c>
      <c r="P844" s="31" t="inlineStr">
        <is>
          <t>SR Technics Switzerland</t>
        </is>
      </c>
    </row>
    <row r="845">
      <c r="B845" s="31" t="inlineStr">
        <is>
          <t>CFM56-5B</t>
        </is>
      </c>
      <c r="C845" s="31" t="inlineStr">
        <is>
          <t>2024-2025</t>
        </is>
      </c>
      <c r="D845" s="31" t="inlineStr">
        <is>
          <t>609446</t>
        </is>
      </c>
      <c r="E845" s="31" t="inlineStr">
        <is>
          <t>73-22-87</t>
        </is>
      </c>
      <c r="F845" s="31" t="inlineStr">
        <is>
          <t>C</t>
        </is>
      </c>
      <c r="G845" s="31" t="inlineStr">
        <is>
          <t>Fuel system</t>
        </is>
      </c>
      <c r="H845" s="27" t="n">
        <v>350</v>
      </c>
      <c r="I845" s="27" t="n">
        <v>375</v>
      </c>
      <c r="J845" s="154">
        <f>I845/H845-1</f>
        <v/>
      </c>
      <c r="K845" s="31" t="inlineStr">
        <is>
          <t>21</t>
        </is>
      </c>
      <c r="L845" s="31" t="inlineStr">
        <is>
          <t>22</t>
        </is>
      </c>
      <c r="M845" s="31" t="inlineStr">
        <is>
          <t>S1</t>
        </is>
      </c>
      <c r="N845" s="31" t="inlineStr">
        <is>
          <t>S2</t>
        </is>
      </c>
      <c r="O845" s="31" t="inlineStr">
        <is>
          <t>320-366-701-0</t>
        </is>
      </c>
      <c r="P845" s="31" t="inlineStr">
        <is>
          <t>SR Technics Switzerland</t>
        </is>
      </c>
    </row>
    <row r="846">
      <c r="B846" s="31" t="inlineStr">
        <is>
          <t>CFM56-5B</t>
        </is>
      </c>
      <c r="C846" s="31" t="inlineStr">
        <is>
          <t>2024-2025</t>
        </is>
      </c>
      <c r="D846" s="31" t="inlineStr">
        <is>
          <t>609446</t>
        </is>
      </c>
      <c r="E846" s="31" t="inlineStr">
        <is>
          <t>73-22-87</t>
        </is>
      </c>
      <c r="F846" s="31" t="inlineStr">
        <is>
          <t>D</t>
        </is>
      </c>
      <c r="G846" s="31" t="inlineStr">
        <is>
          <t>Fuel system</t>
        </is>
      </c>
      <c r="H846" s="27" t="n">
        <v>1205</v>
      </c>
      <c r="I846" s="27" t="n">
        <v>1280</v>
      </c>
      <c r="J846" s="154">
        <f>I846/H846-1</f>
        <v/>
      </c>
      <c r="K846" s="31" t="inlineStr">
        <is>
          <t>21</t>
        </is>
      </c>
      <c r="L846" s="31" t="inlineStr">
        <is>
          <t>22</t>
        </is>
      </c>
      <c r="M846" s="31" t="inlineStr">
        <is>
          <t>S1</t>
        </is>
      </c>
      <c r="N846" s="31" t="inlineStr">
        <is>
          <t>S2</t>
        </is>
      </c>
      <c r="O846" s="31" t="inlineStr">
        <is>
          <t>320-366-701-0</t>
        </is>
      </c>
      <c r="P846" s="31" t="inlineStr">
        <is>
          <t>SR Technics Switzerland</t>
        </is>
      </c>
    </row>
    <row r="847">
      <c r="B847" s="31" t="inlineStr">
        <is>
          <t>CFM56-5B</t>
        </is>
      </c>
      <c r="C847" s="31" t="inlineStr">
        <is>
          <t>2024-2025</t>
        </is>
      </c>
      <c r="D847" s="31" t="inlineStr">
        <is>
          <t>609446</t>
        </is>
      </c>
      <c r="E847" s="31" t="inlineStr">
        <is>
          <t>73-22-87</t>
        </is>
      </c>
      <c r="F847" s="31" t="inlineStr">
        <is>
          <t>E</t>
        </is>
      </c>
      <c r="G847" s="31" t="inlineStr">
        <is>
          <t>Fuel system</t>
        </is>
      </c>
      <c r="H847" s="27" t="n">
        <v>5120</v>
      </c>
      <c r="I847" s="27" t="n">
        <v>5430</v>
      </c>
      <c r="J847" s="154">
        <f>I847/H847-1</f>
        <v/>
      </c>
      <c r="K847" s="31" t="inlineStr">
        <is>
          <t>21</t>
        </is>
      </c>
      <c r="L847" s="31" t="inlineStr">
        <is>
          <t>22</t>
        </is>
      </c>
      <c r="M847" s="31" t="inlineStr">
        <is>
          <t>S1</t>
        </is>
      </c>
      <c r="N847" s="31" t="inlineStr">
        <is>
          <t>S2</t>
        </is>
      </c>
      <c r="O847" s="31" t="inlineStr">
        <is>
          <t>320-366-701-0</t>
        </is>
      </c>
      <c r="P847" s="31" t="inlineStr">
        <is>
          <t>SR Technics Switzerland</t>
        </is>
      </c>
    </row>
    <row r="848">
      <c r="B848" s="31" t="inlineStr">
        <is>
          <t>CFM56-5B</t>
        </is>
      </c>
      <c r="C848" s="31" t="inlineStr">
        <is>
          <t>2024-2025</t>
        </is>
      </c>
      <c r="D848" s="31" t="inlineStr">
        <is>
          <t>609446</t>
        </is>
      </c>
      <c r="E848" s="31" t="inlineStr">
        <is>
          <t>73-22-87</t>
        </is>
      </c>
      <c r="F848" s="31" t="inlineStr">
        <is>
          <t>F</t>
        </is>
      </c>
      <c r="G848" s="31" t="inlineStr">
        <is>
          <t>Fuel system</t>
        </is>
      </c>
      <c r="H848" s="27" t="n">
        <v>7615</v>
      </c>
      <c r="I848" s="27" t="n">
        <v>8075</v>
      </c>
      <c r="J848" s="154">
        <f>I848/H848-1</f>
        <v/>
      </c>
      <c r="K848" s="31" t="inlineStr">
        <is>
          <t>21</t>
        </is>
      </c>
      <c r="L848" s="31" t="inlineStr">
        <is>
          <t>22</t>
        </is>
      </c>
      <c r="M848" s="31" t="inlineStr">
        <is>
          <t>S1</t>
        </is>
      </c>
      <c r="N848" s="31" t="inlineStr">
        <is>
          <t>S2</t>
        </is>
      </c>
      <c r="O848" s="31" t="inlineStr">
        <is>
          <t>320-366-701-0</t>
        </is>
      </c>
      <c r="P848" s="31" t="inlineStr">
        <is>
          <t>SR Technics Switzerland</t>
        </is>
      </c>
    </row>
    <row r="849">
      <c r="B849" s="31" t="inlineStr">
        <is>
          <t>CFM56-5B</t>
        </is>
      </c>
      <c r="C849" s="31" t="inlineStr">
        <is>
          <t>2024-2025</t>
        </is>
      </c>
      <c r="D849" s="31" t="inlineStr">
        <is>
          <t>609447</t>
        </is>
      </c>
      <c r="E849" s="31" t="inlineStr">
        <is>
          <t>73-22-93</t>
        </is>
      </c>
      <c r="F849" s="31" t="inlineStr">
        <is>
          <t>C</t>
        </is>
      </c>
      <c r="G849" s="31" t="inlineStr">
        <is>
          <t>Fuel system</t>
        </is>
      </c>
      <c r="H849" s="27" t="n">
        <v>365</v>
      </c>
      <c r="I849" s="27" t="n">
        <v>390</v>
      </c>
      <c r="J849" s="154">
        <f>I849/H849-1</f>
        <v/>
      </c>
      <c r="K849" s="31" t="inlineStr">
        <is>
          <t>21</t>
        </is>
      </c>
      <c r="L849" s="31" t="inlineStr">
        <is>
          <t>22</t>
        </is>
      </c>
      <c r="M849" s="31" t="inlineStr">
        <is>
          <t>S1</t>
        </is>
      </c>
      <c r="N849" s="31" t="inlineStr">
        <is>
          <t>S2</t>
        </is>
      </c>
      <c r="O849" s="31" t="inlineStr">
        <is>
          <t>320-366-201-0</t>
        </is>
      </c>
      <c r="P849" s="31" t="inlineStr">
        <is>
          <t>SR Technics Switzerland</t>
        </is>
      </c>
    </row>
    <row r="850">
      <c r="B850" s="31" t="inlineStr">
        <is>
          <t>CFM56-5B</t>
        </is>
      </c>
      <c r="C850" s="31" t="inlineStr">
        <is>
          <t>2024-2025</t>
        </is>
      </c>
      <c r="D850" s="31" t="inlineStr">
        <is>
          <t>609447</t>
        </is>
      </c>
      <c r="E850" s="31" t="inlineStr">
        <is>
          <t>73-22-93</t>
        </is>
      </c>
      <c r="F850" s="31" t="inlineStr">
        <is>
          <t>D</t>
        </is>
      </c>
      <c r="G850" s="31" t="inlineStr">
        <is>
          <t>Fuel system</t>
        </is>
      </c>
      <c r="H850" s="27" t="n">
        <v>1075</v>
      </c>
      <c r="I850" s="27" t="n">
        <v>1140</v>
      </c>
      <c r="J850" s="154">
        <f>I850/H850-1</f>
        <v/>
      </c>
      <c r="K850" s="31" t="inlineStr">
        <is>
          <t>21</t>
        </is>
      </c>
      <c r="L850" s="31" t="inlineStr">
        <is>
          <t>22</t>
        </is>
      </c>
      <c r="M850" s="31" t="inlineStr">
        <is>
          <t>S1</t>
        </is>
      </c>
      <c r="N850" s="31" t="inlineStr">
        <is>
          <t>S2</t>
        </is>
      </c>
      <c r="O850" s="31" t="inlineStr">
        <is>
          <t>320-366-201-0</t>
        </is>
      </c>
      <c r="P850" s="31" t="inlineStr">
        <is>
          <t>SR Technics Switzerland</t>
        </is>
      </c>
    </row>
    <row r="851">
      <c r="B851" s="31" t="inlineStr">
        <is>
          <t>CFM56-5B</t>
        </is>
      </c>
      <c r="C851" s="31" t="inlineStr">
        <is>
          <t>2024-2025</t>
        </is>
      </c>
      <c r="D851" s="31" t="inlineStr">
        <is>
          <t>609447</t>
        </is>
      </c>
      <c r="E851" s="31" t="inlineStr">
        <is>
          <t>73-22-93</t>
        </is>
      </c>
      <c r="F851" s="31" t="inlineStr">
        <is>
          <t>E</t>
        </is>
      </c>
      <c r="G851" s="31" t="inlineStr">
        <is>
          <t>Fuel system</t>
        </is>
      </c>
      <c r="H851" s="27" t="n">
        <v>3570</v>
      </c>
      <c r="I851" s="27" t="n">
        <v>3785</v>
      </c>
      <c r="J851" s="154">
        <f>I851/H851-1</f>
        <v/>
      </c>
      <c r="K851" s="31" t="inlineStr">
        <is>
          <t>21</t>
        </is>
      </c>
      <c r="L851" s="31" t="inlineStr">
        <is>
          <t>22</t>
        </is>
      </c>
      <c r="M851" s="31" t="inlineStr">
        <is>
          <t>S1</t>
        </is>
      </c>
      <c r="N851" s="31" t="inlineStr">
        <is>
          <t>S2</t>
        </is>
      </c>
      <c r="O851" s="31" t="inlineStr">
        <is>
          <t>320-366-201-0</t>
        </is>
      </c>
      <c r="P851" s="31" t="inlineStr">
        <is>
          <t>SR Technics Switzerland</t>
        </is>
      </c>
    </row>
    <row r="852">
      <c r="B852" s="31" t="inlineStr">
        <is>
          <t>CFM56-5B</t>
        </is>
      </c>
      <c r="C852" s="31" t="inlineStr">
        <is>
          <t>2024-2025</t>
        </is>
      </c>
      <c r="D852" s="31" t="inlineStr">
        <is>
          <t>609447</t>
        </is>
      </c>
      <c r="E852" s="31" t="inlineStr">
        <is>
          <t>73-22-93</t>
        </is>
      </c>
      <c r="F852" s="31" t="inlineStr">
        <is>
          <t>F</t>
        </is>
      </c>
      <c r="G852" s="31" t="inlineStr">
        <is>
          <t>Fuel system</t>
        </is>
      </c>
      <c r="H852" s="27" t="n">
        <v>5055</v>
      </c>
      <c r="I852" s="27" t="n">
        <v>5360</v>
      </c>
      <c r="J852" s="154">
        <f>I852/H852-1</f>
        <v/>
      </c>
      <c r="K852" s="31" t="inlineStr">
        <is>
          <t>21</t>
        </is>
      </c>
      <c r="L852" s="31" t="inlineStr">
        <is>
          <t>22</t>
        </is>
      </c>
      <c r="M852" s="31" t="inlineStr">
        <is>
          <t>S1</t>
        </is>
      </c>
      <c r="N852" s="31" t="inlineStr">
        <is>
          <t>S2</t>
        </is>
      </c>
      <c r="O852" s="31" t="inlineStr">
        <is>
          <t>320-366-201-0</t>
        </is>
      </c>
      <c r="P852" s="31" t="inlineStr">
        <is>
          <t>SR Technics Switzerland</t>
        </is>
      </c>
    </row>
    <row r="853">
      <c r="B853" s="31" t="inlineStr">
        <is>
          <t>CFM56-5B</t>
        </is>
      </c>
      <c r="C853" s="31" t="inlineStr">
        <is>
          <t>2024-2025</t>
        </is>
      </c>
      <c r="D853" s="31" t="inlineStr">
        <is>
          <t>610350</t>
        </is>
      </c>
      <c r="E853" s="31" t="inlineStr">
        <is>
          <t>73-11-14</t>
        </is>
      </c>
      <c r="F853" s="31" t="inlineStr">
        <is>
          <t>B</t>
        </is>
      </c>
      <c r="G853" s="31" t="inlineStr">
        <is>
          <t>Fuel system</t>
        </is>
      </c>
      <c r="H853" s="27" t="n">
        <v>2025</v>
      </c>
      <c r="I853" s="27" t="n">
        <v>2150</v>
      </c>
      <c r="J853" s="154">
        <f>I853/H853-1</f>
        <v/>
      </c>
      <c r="K853" s="31" t="inlineStr">
        <is>
          <t>21</t>
        </is>
      </c>
      <c r="L853" s="31" t="inlineStr">
        <is>
          <t>22</t>
        </is>
      </c>
      <c r="M853" s="31" t="inlineStr">
        <is>
          <t>S1</t>
        </is>
      </c>
      <c r="N853" s="31" t="inlineStr">
        <is>
          <t>S2</t>
        </is>
      </c>
      <c r="O853" s="31" t="inlineStr">
        <is>
          <t>301-797-401-0</t>
        </is>
      </c>
      <c r="P853" s="31" t="inlineStr">
        <is>
          <t>SR Technics Switzerland</t>
        </is>
      </c>
    </row>
    <row r="854">
      <c r="B854" s="31" t="inlineStr">
        <is>
          <t>CFM56-5B</t>
        </is>
      </c>
      <c r="C854" s="31" t="inlineStr">
        <is>
          <t>2024-2025</t>
        </is>
      </c>
      <c r="D854" s="31" t="inlineStr">
        <is>
          <t>610350</t>
        </is>
      </c>
      <c r="E854" s="31" t="inlineStr">
        <is>
          <t>73-11-14</t>
        </is>
      </c>
      <c r="F854" s="31" t="inlineStr">
        <is>
          <t>C</t>
        </is>
      </c>
      <c r="G854" s="31" t="inlineStr">
        <is>
          <t>Fuel system</t>
        </is>
      </c>
      <c r="H854" s="27" t="n">
        <v>150</v>
      </c>
      <c r="I854" s="27" t="n">
        <v>160</v>
      </c>
      <c r="J854" s="154">
        <f>I854/H854-1</f>
        <v/>
      </c>
      <c r="K854" s="31" t="inlineStr">
        <is>
          <t>21</t>
        </is>
      </c>
      <c r="L854" s="31" t="inlineStr">
        <is>
          <t>22</t>
        </is>
      </c>
      <c r="M854" s="31" t="inlineStr">
        <is>
          <t>S1</t>
        </is>
      </c>
      <c r="N854" s="31" t="inlineStr">
        <is>
          <t>S2</t>
        </is>
      </c>
      <c r="O854" s="31" t="inlineStr">
        <is>
          <t>301-797-401-0</t>
        </is>
      </c>
      <c r="P854" s="31" t="inlineStr">
        <is>
          <t>SR Technics Switzerland</t>
        </is>
      </c>
    </row>
    <row r="855">
      <c r="B855" s="31" t="inlineStr">
        <is>
          <t>CFM56-5B</t>
        </is>
      </c>
      <c r="C855" s="31" t="inlineStr">
        <is>
          <t>2024-2025</t>
        </is>
      </c>
      <c r="D855" s="31" t="inlineStr">
        <is>
          <t>610350</t>
        </is>
      </c>
      <c r="E855" s="31" t="inlineStr">
        <is>
          <t>73-11-14</t>
        </is>
      </c>
      <c r="F855" s="31" t="inlineStr">
        <is>
          <t>D</t>
        </is>
      </c>
      <c r="G855" s="31" t="inlineStr">
        <is>
          <t>Fuel system</t>
        </is>
      </c>
      <c r="H855" s="27" t="n">
        <v>4170</v>
      </c>
      <c r="I855" s="27" t="n">
        <v>4425</v>
      </c>
      <c r="J855" s="154">
        <f>I855/H855-1</f>
        <v/>
      </c>
      <c r="K855" s="31" t="inlineStr">
        <is>
          <t>21</t>
        </is>
      </c>
      <c r="L855" s="31" t="inlineStr">
        <is>
          <t>22</t>
        </is>
      </c>
      <c r="M855" s="31" t="inlineStr">
        <is>
          <t>S1</t>
        </is>
      </c>
      <c r="N855" s="31" t="inlineStr">
        <is>
          <t>S2</t>
        </is>
      </c>
      <c r="O855" s="31" t="inlineStr">
        <is>
          <t>301-797-401-0</t>
        </is>
      </c>
      <c r="P855" s="31" t="inlineStr">
        <is>
          <t>SR Technics Switzerland</t>
        </is>
      </c>
    </row>
    <row r="856">
      <c r="B856" s="31" t="inlineStr">
        <is>
          <t>CFM56-5B</t>
        </is>
      </c>
      <c r="C856" s="31" t="inlineStr">
        <is>
          <t>2024-2025</t>
        </is>
      </c>
      <c r="D856" s="31" t="inlineStr">
        <is>
          <t>610350</t>
        </is>
      </c>
      <c r="E856" s="31" t="inlineStr">
        <is>
          <t>73-11-14</t>
        </is>
      </c>
      <c r="F856" s="31" t="inlineStr">
        <is>
          <t>E</t>
        </is>
      </c>
      <c r="G856" s="31" t="inlineStr">
        <is>
          <t>Fuel system</t>
        </is>
      </c>
      <c r="H856" s="27" t="n">
        <v>4850</v>
      </c>
      <c r="I856" s="27" t="n">
        <v>5145</v>
      </c>
      <c r="J856" s="154">
        <f>I856/H856-1</f>
        <v/>
      </c>
      <c r="K856" s="31" t="inlineStr">
        <is>
          <t>21</t>
        </is>
      </c>
      <c r="L856" s="31" t="inlineStr">
        <is>
          <t>22</t>
        </is>
      </c>
      <c r="M856" s="31" t="inlineStr">
        <is>
          <t>S1</t>
        </is>
      </c>
      <c r="N856" s="31" t="inlineStr">
        <is>
          <t>S2</t>
        </is>
      </c>
      <c r="O856" s="31" t="inlineStr">
        <is>
          <t>301-797-401-0</t>
        </is>
      </c>
      <c r="P856" s="31" t="inlineStr">
        <is>
          <t>SR Technics Switzerland</t>
        </is>
      </c>
    </row>
    <row r="857">
      <c r="B857" s="31" t="inlineStr">
        <is>
          <t>CFM56-5B</t>
        </is>
      </c>
      <c r="C857" s="31" t="inlineStr">
        <is>
          <t>2024-2025</t>
        </is>
      </c>
      <c r="D857" s="31" t="inlineStr">
        <is>
          <t>610350</t>
        </is>
      </c>
      <c r="E857" s="31" t="inlineStr">
        <is>
          <t>73-11-14</t>
        </is>
      </c>
      <c r="F857" s="31" t="inlineStr">
        <is>
          <t>F</t>
        </is>
      </c>
      <c r="G857" s="31" t="inlineStr">
        <is>
          <t>Fuel system</t>
        </is>
      </c>
      <c r="H857" s="27" t="n">
        <v>6625</v>
      </c>
      <c r="I857" s="27" t="n">
        <v>7025</v>
      </c>
      <c r="J857" s="154">
        <f>I857/H857-1</f>
        <v/>
      </c>
      <c r="K857" s="31" t="inlineStr">
        <is>
          <t>21</t>
        </is>
      </c>
      <c r="L857" s="31" t="inlineStr">
        <is>
          <t>22</t>
        </is>
      </c>
      <c r="M857" s="31" t="inlineStr">
        <is>
          <t>S1</t>
        </is>
      </c>
      <c r="N857" s="31" t="inlineStr">
        <is>
          <t>S2</t>
        </is>
      </c>
      <c r="O857" s="31" t="inlineStr">
        <is>
          <t>301-797-401-0</t>
        </is>
      </c>
      <c r="P857" s="31" t="inlineStr">
        <is>
          <t>SR Technics Switzerland</t>
        </is>
      </c>
    </row>
    <row r="858">
      <c r="B858" s="31" t="inlineStr">
        <is>
          <t>CFM56-5B</t>
        </is>
      </c>
      <c r="C858" s="31" t="inlineStr">
        <is>
          <t>2024-2025</t>
        </is>
      </c>
      <c r="D858" s="31" t="inlineStr">
        <is>
          <t>610350</t>
        </is>
      </c>
      <c r="E858" s="31" t="inlineStr">
        <is>
          <t>73-11-14</t>
        </is>
      </c>
      <c r="F858" s="31" t="inlineStr">
        <is>
          <t>G</t>
        </is>
      </c>
      <c r="G858" s="31" t="inlineStr">
        <is>
          <t>Fuel system</t>
        </is>
      </c>
      <c r="H858" s="27" t="n">
        <v>8310</v>
      </c>
      <c r="I858" s="27" t="n">
        <v>8810</v>
      </c>
      <c r="J858" s="154">
        <f>I858/H858-1</f>
        <v/>
      </c>
      <c r="K858" s="31" t="inlineStr">
        <is>
          <t>21</t>
        </is>
      </c>
      <c r="L858" s="31" t="inlineStr">
        <is>
          <t>22</t>
        </is>
      </c>
      <c r="M858" s="31" t="inlineStr">
        <is>
          <t>S1</t>
        </is>
      </c>
      <c r="N858" s="31" t="inlineStr">
        <is>
          <t>S2</t>
        </is>
      </c>
      <c r="O858" s="31" t="inlineStr">
        <is>
          <t>301-797-401-0</t>
        </is>
      </c>
      <c r="P858" s="31" t="inlineStr">
        <is>
          <t>SR Technics Switzerland</t>
        </is>
      </c>
    </row>
    <row r="859">
      <c r="B859" s="31" t="inlineStr">
        <is>
          <t>CFM56-5B</t>
        </is>
      </c>
      <c r="C859" s="31" t="inlineStr">
        <is>
          <t>2024-2025</t>
        </is>
      </c>
      <c r="D859" s="31" t="inlineStr">
        <is>
          <t>610972</t>
        </is>
      </c>
      <c r="E859" s="31" t="inlineStr">
        <is>
          <t>72-56-01</t>
        </is>
      </c>
      <c r="F859" s="31" t="inlineStr">
        <is>
          <t>S</t>
        </is>
      </c>
      <c r="G859" s="31" t="inlineStr">
        <is>
          <t>LPT</t>
        </is>
      </c>
      <c r="H859" s="27" t="n">
        <v>150</v>
      </c>
      <c r="I859" s="27" t="n">
        <v>160</v>
      </c>
      <c r="J859" s="154">
        <f>I859/H859-1</f>
        <v/>
      </c>
      <c r="K859" s="31" t="inlineStr">
        <is>
          <t>22</t>
        </is>
      </c>
      <c r="L859" s="31" t="inlineStr">
        <is>
          <t>22</t>
        </is>
      </c>
      <c r="M859" s="31" t="inlineStr">
        <is>
          <t>S1</t>
        </is>
      </c>
      <c r="N859" s="31" t="inlineStr">
        <is>
          <t>S2</t>
        </is>
      </c>
      <c r="O859" s="31" t="inlineStr">
        <is>
          <t>056-000-217-0</t>
        </is>
      </c>
      <c r="P859" s="31" t="inlineStr">
        <is>
          <t>SR Technics Switzerland</t>
        </is>
      </c>
    </row>
    <row r="860">
      <c r="B860" s="31" t="inlineStr">
        <is>
          <t>CFM56-5B</t>
        </is>
      </c>
      <c r="C860" s="31" t="inlineStr">
        <is>
          <t>2024-2025</t>
        </is>
      </c>
      <c r="D860" s="31" t="inlineStr">
        <is>
          <t>613126</t>
        </is>
      </c>
      <c r="E860" s="31" t="inlineStr">
        <is>
          <t>72-53-02</t>
        </is>
      </c>
      <c r="F860" s="31" t="inlineStr">
        <is>
          <t>A</t>
        </is>
      </c>
      <c r="G860" s="31" t="inlineStr">
        <is>
          <t>HPT / nozzle</t>
        </is>
      </c>
      <c r="H860" s="27" t="n">
        <v>420</v>
      </c>
      <c r="I860" s="27" t="n">
        <v>450</v>
      </c>
      <c r="J860" s="154">
        <f>I860/H860-1</f>
        <v/>
      </c>
      <c r="K860" s="31" t="inlineStr">
        <is>
          <t>22</t>
        </is>
      </c>
      <c r="L860" s="31" t="inlineStr">
        <is>
          <t>22</t>
        </is>
      </c>
      <c r="M860" s="31" t="inlineStr">
        <is>
          <t>S1</t>
        </is>
      </c>
      <c r="N860" s="31" t="inlineStr">
        <is>
          <t>S2</t>
        </is>
      </c>
      <c r="O860" s="31" t="inlineStr">
        <is>
          <t>1523M69P01</t>
        </is>
      </c>
      <c r="P860" s="31" t="inlineStr">
        <is>
          <t>SR Technics Switzerland</t>
        </is>
      </c>
    </row>
    <row r="861">
      <c r="B861" s="31" t="inlineStr">
        <is>
          <t>CFM56-5B</t>
        </is>
      </c>
      <c r="C861" s="31" t="inlineStr">
        <is>
          <t>2024-2025</t>
        </is>
      </c>
      <c r="D861" s="31" t="inlineStr">
        <is>
          <t>613126</t>
        </is>
      </c>
      <c r="E861" s="31" t="inlineStr">
        <is>
          <t>72-53-02</t>
        </is>
      </c>
      <c r="F861" s="31" t="inlineStr">
        <is>
          <t>B</t>
        </is>
      </c>
      <c r="G861" s="31" t="inlineStr">
        <is>
          <t>HPT / nozzle</t>
        </is>
      </c>
      <c r="H861" s="27" t="n">
        <v>350</v>
      </c>
      <c r="I861" s="27" t="n">
        <v>375</v>
      </c>
      <c r="J861" s="154">
        <f>I861/H861-1</f>
        <v/>
      </c>
      <c r="K861" s="31" t="inlineStr">
        <is>
          <t>22</t>
        </is>
      </c>
      <c r="L861" s="31" t="inlineStr">
        <is>
          <t>22</t>
        </is>
      </c>
      <c r="M861" s="31" t="inlineStr">
        <is>
          <t>S1</t>
        </is>
      </c>
      <c r="N861" s="31" t="inlineStr">
        <is>
          <t>S2</t>
        </is>
      </c>
      <c r="O861" s="31" t="inlineStr">
        <is>
          <t>1523M69P01</t>
        </is>
      </c>
      <c r="P861" s="31" t="inlineStr">
        <is>
          <t>SR Technics Switzerland</t>
        </is>
      </c>
    </row>
    <row r="862">
      <c r="B862" s="31" t="inlineStr">
        <is>
          <t>CFM56-5B</t>
        </is>
      </c>
      <c r="C862" s="31" t="inlineStr">
        <is>
          <t>2024-2025</t>
        </is>
      </c>
      <c r="D862" s="31" t="inlineStr">
        <is>
          <t>613126</t>
        </is>
      </c>
      <c r="E862" s="31" t="inlineStr">
        <is>
          <t>72-53-02</t>
        </is>
      </c>
      <c r="F862" s="31" t="inlineStr">
        <is>
          <t>Z</t>
        </is>
      </c>
      <c r="G862" s="31" t="inlineStr">
        <is>
          <t>HPT / nozzle</t>
        </is>
      </c>
      <c r="H862" s="27" t="n">
        <v>650</v>
      </c>
      <c r="I862" s="27" t="n">
        <v>690</v>
      </c>
      <c r="J862" s="154">
        <f>I862/H862-1</f>
        <v/>
      </c>
      <c r="K862" s="31" t="inlineStr">
        <is>
          <t>22</t>
        </is>
      </c>
      <c r="L862" s="31" t="inlineStr">
        <is>
          <t>22</t>
        </is>
      </c>
      <c r="M862" s="31" t="inlineStr">
        <is>
          <t>S1</t>
        </is>
      </c>
      <c r="N862" s="31" t="inlineStr">
        <is>
          <t>S2</t>
        </is>
      </c>
      <c r="O862" s="31" t="inlineStr">
        <is>
          <t>1523M69P01</t>
        </is>
      </c>
      <c r="P862" s="31" t="inlineStr">
        <is>
          <t>SR Technics Switzerland</t>
        </is>
      </c>
    </row>
    <row r="863">
      <c r="B863" s="31" t="inlineStr">
        <is>
          <t>CFM56-5B</t>
        </is>
      </c>
      <c r="C863" s="31" t="inlineStr">
        <is>
          <t>2024-2025</t>
        </is>
      </c>
      <c r="D863" s="31" t="inlineStr">
        <is>
          <t>613853</t>
        </is>
      </c>
      <c r="E863" s="31" t="inlineStr">
        <is>
          <t>72-23-06</t>
        </is>
      </c>
      <c r="F863" s="31" t="inlineStr">
        <is>
          <t>A</t>
        </is>
      </c>
      <c r="G863" s="31" t="inlineStr">
        <is>
          <t>Fan / booster</t>
        </is>
      </c>
      <c r="H863" s="27" t="n">
        <v>510</v>
      </c>
      <c r="I863" s="27" t="n">
        <v>545</v>
      </c>
      <c r="J863" s="154">
        <f>I863/H863-1</f>
        <v/>
      </c>
      <c r="K863" s="31" t="inlineStr">
        <is>
          <t>22</t>
        </is>
      </c>
      <c r="L863" s="31" t="inlineStr">
        <is>
          <t>22</t>
        </is>
      </c>
      <c r="M863" s="31" t="inlineStr">
        <is>
          <t>S1</t>
        </is>
      </c>
      <c r="N863" s="31" t="inlineStr">
        <is>
          <t>S2</t>
        </is>
      </c>
      <c r="O863" s="31" t="inlineStr">
        <is>
          <t>301-547-206-0</t>
        </is>
      </c>
      <c r="P863" s="31" t="inlineStr">
        <is>
          <t>SR Technics Switzerland</t>
        </is>
      </c>
    </row>
    <row r="864">
      <c r="B864" s="31" t="inlineStr">
        <is>
          <t>CFM56-5B</t>
        </is>
      </c>
      <c r="C864" s="31" t="inlineStr">
        <is>
          <t>2024-2025</t>
        </is>
      </c>
      <c r="D864" s="31" t="inlineStr">
        <is>
          <t>613853</t>
        </is>
      </c>
      <c r="E864" s="31" t="inlineStr">
        <is>
          <t>72-23-06</t>
        </is>
      </c>
      <c r="F864" s="31" t="inlineStr">
        <is>
          <t>B</t>
        </is>
      </c>
      <c r="G864" s="31" t="inlineStr">
        <is>
          <t>Fan / booster</t>
        </is>
      </c>
      <c r="H864" s="27" t="n">
        <v>645</v>
      </c>
      <c r="I864" s="27" t="n">
        <v>685</v>
      </c>
      <c r="J864" s="154">
        <f>I864/H864-1</f>
        <v/>
      </c>
      <c r="K864" s="31" t="inlineStr">
        <is>
          <t>22</t>
        </is>
      </c>
      <c r="L864" s="31" t="inlineStr">
        <is>
          <t>22</t>
        </is>
      </c>
      <c r="M864" s="31" t="inlineStr">
        <is>
          <t>S1</t>
        </is>
      </c>
      <c r="N864" s="31" t="inlineStr">
        <is>
          <t>S2</t>
        </is>
      </c>
      <c r="O864" s="31" t="inlineStr">
        <is>
          <t>301-547-206-0</t>
        </is>
      </c>
      <c r="P864" s="31" t="inlineStr">
        <is>
          <t>SR Technics Switzerland</t>
        </is>
      </c>
    </row>
    <row r="865">
      <c r="B865" s="31" t="inlineStr">
        <is>
          <t>CFM56-5B</t>
        </is>
      </c>
      <c r="C865" s="31" t="inlineStr">
        <is>
          <t>2024-2025</t>
        </is>
      </c>
      <c r="D865" s="31" t="inlineStr">
        <is>
          <t>61388</t>
        </is>
      </c>
      <c r="E865" s="31" t="inlineStr">
        <is>
          <t>73-21-78</t>
        </is>
      </c>
      <c r="F865" s="31" t="inlineStr">
        <is>
          <t>B</t>
        </is>
      </c>
      <c r="G865" s="31" t="inlineStr">
        <is>
          <t>Fuel system</t>
        </is>
      </c>
      <c r="H865" s="27" t="n">
        <v>3425</v>
      </c>
      <c r="I865" s="27" t="n">
        <v>3635</v>
      </c>
      <c r="J865" s="154">
        <f>I865/H865-1</f>
        <v/>
      </c>
      <c r="K865" s="31" t="inlineStr">
        <is>
          <t>7</t>
        </is>
      </c>
      <c r="L865" s="31" t="inlineStr">
        <is>
          <t>7</t>
        </is>
      </c>
      <c r="M865" s="31" t="inlineStr">
        <is>
          <t>S1</t>
        </is>
      </c>
      <c r="N865" s="31" t="inlineStr">
        <is>
          <t>S2</t>
        </is>
      </c>
      <c r="O865" s="31" t="inlineStr">
        <is>
          <t>1348M79P09</t>
        </is>
      </c>
      <c r="P865" s="31" t="inlineStr">
        <is>
          <t>SR Technics Switzerland</t>
        </is>
      </c>
    </row>
    <row r="866">
      <c r="B866" s="31" t="inlineStr">
        <is>
          <t>CFM56-5B</t>
        </is>
      </c>
      <c r="C866" s="31" t="inlineStr">
        <is>
          <t>2024-2025</t>
        </is>
      </c>
      <c r="D866" s="31" t="inlineStr">
        <is>
          <t>61388</t>
        </is>
      </c>
      <c r="E866" s="31" t="inlineStr">
        <is>
          <t>73-21-78</t>
        </is>
      </c>
      <c r="F866" s="31" t="inlineStr">
        <is>
          <t>D</t>
        </is>
      </c>
      <c r="G866" s="31" t="inlineStr">
        <is>
          <t>Fuel system</t>
        </is>
      </c>
      <c r="H866" s="27" t="n">
        <v>5165</v>
      </c>
      <c r="I866" s="27" t="n">
        <v>5475</v>
      </c>
      <c r="J866" s="154">
        <f>I866/H866-1</f>
        <v/>
      </c>
      <c r="K866" s="31" t="inlineStr">
        <is>
          <t>7</t>
        </is>
      </c>
      <c r="L866" s="31" t="inlineStr">
        <is>
          <t>7</t>
        </is>
      </c>
      <c r="M866" s="31" t="inlineStr">
        <is>
          <t>S1</t>
        </is>
      </c>
      <c r="N866" s="31" t="inlineStr">
        <is>
          <t>S2</t>
        </is>
      </c>
      <c r="O866" s="31" t="inlineStr">
        <is>
          <t>1348M79P09</t>
        </is>
      </c>
      <c r="P866" s="31" t="inlineStr">
        <is>
          <t>SR Technics Switzerland</t>
        </is>
      </c>
    </row>
    <row r="867">
      <c r="B867" s="31" t="inlineStr">
        <is>
          <t>CFM56-5B</t>
        </is>
      </c>
      <c r="C867" s="31" t="inlineStr">
        <is>
          <t>2024-2025</t>
        </is>
      </c>
      <c r="D867" s="31" t="inlineStr">
        <is>
          <t>61388</t>
        </is>
      </c>
      <c r="E867" s="31" t="inlineStr">
        <is>
          <t>73-21-78</t>
        </is>
      </c>
      <c r="F867" s="31" t="inlineStr">
        <is>
          <t>E</t>
        </is>
      </c>
      <c r="G867" s="31" t="inlineStr">
        <is>
          <t>Fuel system</t>
        </is>
      </c>
      <c r="H867" s="27" t="n">
        <v>7550</v>
      </c>
      <c r="I867" s="27" t="n">
        <v>8005</v>
      </c>
      <c r="J867" s="154">
        <f>I867/H867-1</f>
        <v/>
      </c>
      <c r="K867" s="31" t="inlineStr">
        <is>
          <t>7</t>
        </is>
      </c>
      <c r="L867" s="31" t="inlineStr">
        <is>
          <t>7</t>
        </is>
      </c>
      <c r="M867" s="31" t="inlineStr">
        <is>
          <t>S1</t>
        </is>
      </c>
      <c r="N867" s="31" t="inlineStr">
        <is>
          <t>S2</t>
        </is>
      </c>
      <c r="O867" s="31" t="inlineStr">
        <is>
          <t>1348M79P09</t>
        </is>
      </c>
      <c r="P867" s="31" t="inlineStr">
        <is>
          <t>SR Technics Switzerland</t>
        </is>
      </c>
    </row>
    <row r="868">
      <c r="B868" s="31" t="inlineStr">
        <is>
          <t>CFM56-5B</t>
        </is>
      </c>
      <c r="C868" s="31" t="inlineStr">
        <is>
          <t>2024-2025</t>
        </is>
      </c>
      <c r="D868" s="31" t="inlineStr">
        <is>
          <t>61388</t>
        </is>
      </c>
      <c r="E868" s="31" t="inlineStr">
        <is>
          <t>73-21-78</t>
        </is>
      </c>
      <c r="F868" s="31" t="inlineStr">
        <is>
          <t>G</t>
        </is>
      </c>
      <c r="G868" s="31" t="inlineStr">
        <is>
          <t>Fuel system</t>
        </is>
      </c>
      <c r="H868" s="27" t="n">
        <v>10315</v>
      </c>
      <c r="I868" s="27" t="n">
        <v>10935</v>
      </c>
      <c r="J868" s="154">
        <f>I868/H868-1</f>
        <v/>
      </c>
      <c r="K868" s="31" t="inlineStr">
        <is>
          <t>7</t>
        </is>
      </c>
      <c r="L868" s="31" t="inlineStr">
        <is>
          <t>7</t>
        </is>
      </c>
      <c r="M868" s="31" t="inlineStr">
        <is>
          <t>S1</t>
        </is>
      </c>
      <c r="N868" s="31" t="inlineStr">
        <is>
          <t>S2</t>
        </is>
      </c>
      <c r="O868" s="31" t="inlineStr">
        <is>
          <t>1348M79P09</t>
        </is>
      </c>
      <c r="P868" s="31" t="inlineStr">
        <is>
          <t>SR Technics Switzerland</t>
        </is>
      </c>
    </row>
    <row r="869">
      <c r="B869" s="31" t="inlineStr">
        <is>
          <t>CFM56-5B</t>
        </is>
      </c>
      <c r="C869" s="31" t="inlineStr">
        <is>
          <t>2024-2025</t>
        </is>
      </c>
      <c r="D869" s="31" t="inlineStr">
        <is>
          <t>61388</t>
        </is>
      </c>
      <c r="E869" s="31" t="inlineStr">
        <is>
          <t>73-21-78</t>
        </is>
      </c>
      <c r="F869" s="31" t="inlineStr">
        <is>
          <t>SB03</t>
        </is>
      </c>
      <c r="G869" s="31" t="inlineStr">
        <is>
          <t>Fuel system</t>
        </is>
      </c>
      <c r="H869" s="27" t="n">
        <v>660</v>
      </c>
      <c r="I869" s="27" t="n">
        <v>700</v>
      </c>
      <c r="J869" s="154">
        <f>I869/H869-1</f>
        <v/>
      </c>
      <c r="K869" s="31" t="inlineStr">
        <is>
          <t>7</t>
        </is>
      </c>
      <c r="L869" s="31" t="inlineStr">
        <is>
          <t>7</t>
        </is>
      </c>
      <c r="M869" s="31" t="inlineStr">
        <is>
          <t>S1</t>
        </is>
      </c>
      <c r="N869" s="31" t="inlineStr">
        <is>
          <t>S2</t>
        </is>
      </c>
      <c r="O869" s="31" t="inlineStr">
        <is>
          <t>1348M79P09</t>
        </is>
      </c>
      <c r="P869" s="31" t="inlineStr">
        <is>
          <t>SR Technics Switzerland</t>
        </is>
      </c>
    </row>
    <row r="870">
      <c r="B870" s="31" t="inlineStr">
        <is>
          <t>CFM56-5B</t>
        </is>
      </c>
      <c r="C870" s="31" t="inlineStr">
        <is>
          <t>2024-2025</t>
        </is>
      </c>
      <c r="D870" s="31" t="inlineStr">
        <is>
          <t>61388</t>
        </is>
      </c>
      <c r="E870" s="31" t="inlineStr">
        <is>
          <t>73-21-78</t>
        </is>
      </c>
      <c r="F870" s="31" t="inlineStr">
        <is>
          <t>SB05</t>
        </is>
      </c>
      <c r="G870" s="31" t="inlineStr">
        <is>
          <t>Fuel system</t>
        </is>
      </c>
      <c r="H870" s="27" t="n">
        <v>1950</v>
      </c>
      <c r="I870" s="27" t="n">
        <v>2070</v>
      </c>
      <c r="J870" s="154">
        <f>I870/H870-1</f>
        <v/>
      </c>
      <c r="K870" s="31" t="inlineStr">
        <is>
          <t>7</t>
        </is>
      </c>
      <c r="L870" s="31" t="inlineStr">
        <is>
          <t>7</t>
        </is>
      </c>
      <c r="M870" s="31" t="inlineStr">
        <is>
          <t>S1</t>
        </is>
      </c>
      <c r="N870" s="31" t="inlineStr">
        <is>
          <t>S2</t>
        </is>
      </c>
      <c r="O870" s="31" t="inlineStr">
        <is>
          <t>1348M79P09</t>
        </is>
      </c>
      <c r="P870" s="31" t="inlineStr">
        <is>
          <t>SR Technics Switzerland</t>
        </is>
      </c>
    </row>
    <row r="871">
      <c r="B871" s="31" t="inlineStr">
        <is>
          <t>CFM56-5B</t>
        </is>
      </c>
      <c r="C871" s="31" t="inlineStr">
        <is>
          <t>2024-2025</t>
        </is>
      </c>
      <c r="D871" s="31" t="inlineStr">
        <is>
          <t>61388</t>
        </is>
      </c>
      <c r="E871" s="31" t="inlineStr">
        <is>
          <t>73-21-78</t>
        </is>
      </c>
      <c r="F871" s="31" t="inlineStr">
        <is>
          <t>SB07</t>
        </is>
      </c>
      <c r="G871" s="31" t="inlineStr">
        <is>
          <t>Fuel system</t>
        </is>
      </c>
      <c r="H871" s="27" t="n">
        <v>1950</v>
      </c>
      <c r="I871" s="27" t="n">
        <v>2070</v>
      </c>
      <c r="J871" s="154">
        <f>I871/H871-1</f>
        <v/>
      </c>
      <c r="K871" s="31" t="inlineStr">
        <is>
          <t>7</t>
        </is>
      </c>
      <c r="L871" s="31" t="inlineStr">
        <is>
          <t>7</t>
        </is>
      </c>
      <c r="M871" s="31" t="inlineStr">
        <is>
          <t>S1</t>
        </is>
      </c>
      <c r="N871" s="31" t="inlineStr">
        <is>
          <t>S2</t>
        </is>
      </c>
      <c r="O871" s="31" t="inlineStr">
        <is>
          <t>1348M79P09</t>
        </is>
      </c>
      <c r="P871" s="31" t="inlineStr">
        <is>
          <t>SR Technics Switzerland</t>
        </is>
      </c>
    </row>
    <row r="872">
      <c r="B872" s="31" t="inlineStr">
        <is>
          <t>CFM56-5B</t>
        </is>
      </c>
      <c r="C872" s="31" t="inlineStr">
        <is>
          <t>2024-2025</t>
        </is>
      </c>
      <c r="D872" s="31" t="inlineStr">
        <is>
          <t>61388</t>
        </is>
      </c>
      <c r="E872" s="31" t="inlineStr">
        <is>
          <t>73-21-78</t>
        </is>
      </c>
      <c r="F872" s="31" t="inlineStr">
        <is>
          <t>SB08</t>
        </is>
      </c>
      <c r="G872" s="31" t="inlineStr">
        <is>
          <t>Fuel system</t>
        </is>
      </c>
      <c r="H872" s="27" t="n">
        <v>1950</v>
      </c>
      <c r="I872" s="27" t="n">
        <v>2070</v>
      </c>
      <c r="J872" s="154">
        <f>I872/H872-1</f>
        <v/>
      </c>
      <c r="K872" s="31" t="inlineStr">
        <is>
          <t>7</t>
        </is>
      </c>
      <c r="L872" s="31" t="inlineStr">
        <is>
          <t>7</t>
        </is>
      </c>
      <c r="M872" s="31" t="inlineStr">
        <is>
          <t>S1</t>
        </is>
      </c>
      <c r="N872" s="31" t="inlineStr">
        <is>
          <t>S2</t>
        </is>
      </c>
      <c r="O872" s="31" t="inlineStr">
        <is>
          <t>1348M79P09</t>
        </is>
      </c>
      <c r="P872" s="31" t="inlineStr">
        <is>
          <t>SR Technics Switzerland</t>
        </is>
      </c>
    </row>
    <row r="873">
      <c r="B873" s="31" t="inlineStr">
        <is>
          <t>CFM56-5B</t>
        </is>
      </c>
      <c r="C873" s="31" t="inlineStr">
        <is>
          <t>2024-2025</t>
        </is>
      </c>
      <c r="D873" s="31" t="inlineStr">
        <is>
          <t>61388</t>
        </is>
      </c>
      <c r="E873" s="31" t="inlineStr">
        <is>
          <t>73-21-78</t>
        </is>
      </c>
      <c r="F873" s="31" t="inlineStr">
        <is>
          <t>SB12</t>
        </is>
      </c>
      <c r="G873" s="31" t="inlineStr">
        <is>
          <t>Fuel system</t>
        </is>
      </c>
      <c r="H873" s="27" t="n">
        <v>5945</v>
      </c>
      <c r="I873" s="27" t="n">
        <v>6305</v>
      </c>
      <c r="J873" s="154">
        <f>I873/H873-1</f>
        <v/>
      </c>
      <c r="K873" s="31" t="inlineStr">
        <is>
          <t>7</t>
        </is>
      </c>
      <c r="L873" s="31" t="inlineStr">
        <is>
          <t>7</t>
        </is>
      </c>
      <c r="M873" s="31" t="inlineStr">
        <is>
          <t>S1</t>
        </is>
      </c>
      <c r="N873" s="31" t="inlineStr">
        <is>
          <t>S2</t>
        </is>
      </c>
      <c r="O873" s="31" t="inlineStr">
        <is>
          <t>1348M79P09</t>
        </is>
      </c>
      <c r="P873" s="31" t="inlineStr">
        <is>
          <t>SR Technics Switzerland</t>
        </is>
      </c>
    </row>
    <row r="874">
      <c r="B874" s="31" t="inlineStr">
        <is>
          <t>CFM56-5B</t>
        </is>
      </c>
      <c r="C874" s="31" t="inlineStr">
        <is>
          <t>2024-2025</t>
        </is>
      </c>
      <c r="D874" s="31" t="inlineStr">
        <is>
          <t>61388</t>
        </is>
      </c>
      <c r="E874" s="31" t="inlineStr">
        <is>
          <t>73-21-78</t>
        </is>
      </c>
      <c r="F874" s="31" t="inlineStr">
        <is>
          <t>SB14</t>
        </is>
      </c>
      <c r="G874" s="31" t="inlineStr">
        <is>
          <t>Fuel system</t>
        </is>
      </c>
      <c r="H874" s="27" t="n">
        <v>5945</v>
      </c>
      <c r="I874" s="27" t="n">
        <v>6305</v>
      </c>
      <c r="J874" s="154">
        <f>I874/H874-1</f>
        <v/>
      </c>
      <c r="K874" s="31" t="inlineStr">
        <is>
          <t>7</t>
        </is>
      </c>
      <c r="L874" s="31" t="inlineStr">
        <is>
          <t>7</t>
        </is>
      </c>
      <c r="M874" s="31" t="inlineStr">
        <is>
          <t>S1</t>
        </is>
      </c>
      <c r="N874" s="31" t="inlineStr">
        <is>
          <t>S2</t>
        </is>
      </c>
      <c r="O874" s="31" t="inlineStr">
        <is>
          <t>1348M79P09</t>
        </is>
      </c>
      <c r="P874" s="31" t="inlineStr">
        <is>
          <t>SR Technics Switzerland</t>
        </is>
      </c>
    </row>
    <row r="875">
      <c r="B875" s="31" t="inlineStr">
        <is>
          <t>CFM56-5B</t>
        </is>
      </c>
      <c r="C875" s="31" t="inlineStr">
        <is>
          <t>2024-2025</t>
        </is>
      </c>
      <c r="D875" s="31" t="inlineStr">
        <is>
          <t>61388</t>
        </is>
      </c>
      <c r="E875" s="31" t="inlineStr">
        <is>
          <t>73-21-78</t>
        </is>
      </c>
      <c r="F875" s="31" t="inlineStr">
        <is>
          <t>SB15</t>
        </is>
      </c>
      <c r="G875" s="31" t="inlineStr">
        <is>
          <t>Fuel system</t>
        </is>
      </c>
      <c r="H875" s="27" t="n">
        <v>5945</v>
      </c>
      <c r="I875" s="27" t="n">
        <v>6305</v>
      </c>
      <c r="J875" s="154">
        <f>I875/H875-1</f>
        <v/>
      </c>
      <c r="K875" s="31" t="inlineStr">
        <is>
          <t>7</t>
        </is>
      </c>
      <c r="L875" s="31" t="inlineStr">
        <is>
          <t>7</t>
        </is>
      </c>
      <c r="M875" s="31" t="inlineStr">
        <is>
          <t>S1</t>
        </is>
      </c>
      <c r="N875" s="31" t="inlineStr">
        <is>
          <t>S2</t>
        </is>
      </c>
      <c r="O875" s="31" t="inlineStr">
        <is>
          <t>1348M79P09</t>
        </is>
      </c>
      <c r="P875" s="31" t="inlineStr">
        <is>
          <t>SR Technics Switzerland</t>
        </is>
      </c>
    </row>
    <row r="876">
      <c r="B876" s="31" t="inlineStr">
        <is>
          <t>CFM56-5B</t>
        </is>
      </c>
      <c r="C876" s="31" t="inlineStr">
        <is>
          <t>2024-2025</t>
        </is>
      </c>
      <c r="D876" s="31" t="inlineStr">
        <is>
          <t>61388</t>
        </is>
      </c>
      <c r="E876" s="31" t="inlineStr">
        <is>
          <t>73-21-78</t>
        </is>
      </c>
      <c r="F876" s="31" t="inlineStr">
        <is>
          <t>SB18</t>
        </is>
      </c>
      <c r="G876" s="31" t="inlineStr">
        <is>
          <t>Fuel system</t>
        </is>
      </c>
      <c r="H876" s="27" t="n">
        <v>480</v>
      </c>
      <c r="I876" s="27" t="n">
        <v>510</v>
      </c>
      <c r="J876" s="154">
        <f>I876/H876-1</f>
        <v/>
      </c>
      <c r="K876" s="31" t="inlineStr">
        <is>
          <t>7, 8</t>
        </is>
      </c>
      <c r="L876" s="31" t="inlineStr">
        <is>
          <t>7, 8</t>
        </is>
      </c>
      <c r="M876" s="31" t="inlineStr">
        <is>
          <t>S1</t>
        </is>
      </c>
      <c r="N876" s="31" t="inlineStr">
        <is>
          <t>S2</t>
        </is>
      </c>
      <c r="O876" s="31" t="inlineStr">
        <is>
          <t>1348M79P09</t>
        </is>
      </c>
      <c r="P876" s="31" t="inlineStr">
        <is>
          <t>SR Technics Switzerland</t>
        </is>
      </c>
    </row>
    <row r="877">
      <c r="B877" s="31" t="inlineStr">
        <is>
          <t>CFM56-5B</t>
        </is>
      </c>
      <c r="C877" s="31" t="inlineStr">
        <is>
          <t>2024-2025</t>
        </is>
      </c>
      <c r="D877" s="31" t="inlineStr">
        <is>
          <t>61388</t>
        </is>
      </c>
      <c r="E877" s="31" t="inlineStr">
        <is>
          <t>73-21-78</t>
        </is>
      </c>
      <c r="F877" s="31" t="inlineStr">
        <is>
          <t>SB19</t>
        </is>
      </c>
      <c r="G877" s="31" t="inlineStr">
        <is>
          <t>Fuel system</t>
        </is>
      </c>
      <c r="H877" s="27" t="n">
        <v>5945</v>
      </c>
      <c r="I877" s="27" t="n">
        <v>6305</v>
      </c>
      <c r="J877" s="154">
        <f>I877/H877-1</f>
        <v/>
      </c>
      <c r="K877" s="31" t="inlineStr">
        <is>
          <t>8</t>
        </is>
      </c>
      <c r="L877" s="31" t="inlineStr">
        <is>
          <t>8</t>
        </is>
      </c>
      <c r="M877" s="31" t="inlineStr">
        <is>
          <t>S1</t>
        </is>
      </c>
      <c r="N877" s="31" t="inlineStr">
        <is>
          <t>S2</t>
        </is>
      </c>
      <c r="O877" s="31" t="inlineStr">
        <is>
          <t>1348M79P09</t>
        </is>
      </c>
      <c r="P877" s="31" t="inlineStr">
        <is>
          <t>SR Technics Switzerland</t>
        </is>
      </c>
    </row>
    <row r="878">
      <c r="B878" s="31" t="inlineStr">
        <is>
          <t>CFM56-5B</t>
        </is>
      </c>
      <c r="C878" s="31" t="inlineStr">
        <is>
          <t>2024-2025</t>
        </is>
      </c>
      <c r="D878" s="31" t="inlineStr">
        <is>
          <t>614086</t>
        </is>
      </c>
      <c r="E878" s="31" t="inlineStr">
        <is>
          <t>72-56-04</t>
        </is>
      </c>
      <c r="F878" s="31" t="inlineStr">
        <is>
          <t>A</t>
        </is>
      </c>
      <c r="G878" s="31" t="inlineStr">
        <is>
          <t>LPT</t>
        </is>
      </c>
      <c r="H878" s="27" t="n">
        <v>715</v>
      </c>
      <c r="I878" s="27" t="n">
        <v>760</v>
      </c>
      <c r="J878" s="154">
        <f>I878/H878-1</f>
        <v/>
      </c>
      <c r="K878" s="31" t="inlineStr">
        <is>
          <t>22</t>
        </is>
      </c>
      <c r="L878" s="31" t="inlineStr">
        <is>
          <t>22</t>
        </is>
      </c>
      <c r="M878" s="31" t="inlineStr">
        <is>
          <t>S1</t>
        </is>
      </c>
      <c r="N878" s="31" t="inlineStr">
        <is>
          <t>S2</t>
        </is>
      </c>
      <c r="O878" s="31" t="inlineStr">
        <is>
          <t>340-165-503-0</t>
        </is>
      </c>
      <c r="P878" s="31" t="inlineStr">
        <is>
          <t>SR Technics Switzerland</t>
        </is>
      </c>
    </row>
    <row r="879">
      <c r="B879" s="31" t="inlineStr">
        <is>
          <t>CFM56-5B</t>
        </is>
      </c>
      <c r="C879" s="31" t="inlineStr">
        <is>
          <t>2024-2025</t>
        </is>
      </c>
      <c r="D879" s="31" t="inlineStr">
        <is>
          <t>614086</t>
        </is>
      </c>
      <c r="E879" s="31" t="inlineStr">
        <is>
          <t>72-56-04</t>
        </is>
      </c>
      <c r="F879" s="31" t="inlineStr">
        <is>
          <t>B</t>
        </is>
      </c>
      <c r="G879" s="31" t="inlineStr">
        <is>
          <t>LPT</t>
        </is>
      </c>
      <c r="H879" s="27" t="n">
        <v>465</v>
      </c>
      <c r="I879" s="27" t="n">
        <v>495</v>
      </c>
      <c r="J879" s="154">
        <f>I879/H879-1</f>
        <v/>
      </c>
      <c r="K879" s="31" t="inlineStr">
        <is>
          <t>22</t>
        </is>
      </c>
      <c r="L879" s="31" t="inlineStr">
        <is>
          <t>22</t>
        </is>
      </c>
      <c r="M879" s="31" t="inlineStr">
        <is>
          <t>S1</t>
        </is>
      </c>
      <c r="N879" s="31" t="inlineStr">
        <is>
          <t>S2</t>
        </is>
      </c>
      <c r="O879" s="31" t="inlineStr">
        <is>
          <t>340-165-503-0</t>
        </is>
      </c>
      <c r="P879" s="31" t="inlineStr">
        <is>
          <t>SR Technics Switzerland</t>
        </is>
      </c>
    </row>
    <row r="880">
      <c r="B880" s="31" t="inlineStr">
        <is>
          <t>CFM56-5B</t>
        </is>
      </c>
      <c r="C880" s="31" t="inlineStr">
        <is>
          <t>2024-2025</t>
        </is>
      </c>
      <c r="D880" s="31" t="inlineStr">
        <is>
          <t>614157</t>
        </is>
      </c>
      <c r="E880" s="31" t="inlineStr">
        <is>
          <t>72-61-13</t>
        </is>
      </c>
      <c r="F880" s="31" t="inlineStr">
        <is>
          <t>A</t>
        </is>
      </c>
      <c r="G880" s="31" t="inlineStr">
        <is>
          <t>Gearbox</t>
        </is>
      </c>
      <c r="H880" s="27" t="n">
        <v>1050</v>
      </c>
      <c r="I880" s="27" t="n">
        <v>1115</v>
      </c>
      <c r="J880" s="154">
        <f>I880/H880-1</f>
        <v/>
      </c>
      <c r="K880" s="31" t="inlineStr">
        <is>
          <t>56</t>
        </is>
      </c>
      <c r="L880" s="31" t="inlineStr">
        <is>
          <t>56</t>
        </is>
      </c>
      <c r="M880" s="31" t="inlineStr">
        <is>
          <t>S1</t>
        </is>
      </c>
      <c r="N880" s="31" t="inlineStr">
        <is>
          <t>S2</t>
        </is>
      </c>
      <c r="O880" s="31" t="inlineStr">
        <is>
          <t>9542M62P02</t>
        </is>
      </c>
      <c r="P880" s="31" t="inlineStr">
        <is>
          <t>SR Technics Switzerland</t>
        </is>
      </c>
    </row>
    <row r="881">
      <c r="B881" s="31" t="inlineStr">
        <is>
          <t>CFM56-5B</t>
        </is>
      </c>
      <c r="C881" s="31" t="inlineStr">
        <is>
          <t>2024-2025</t>
        </is>
      </c>
      <c r="D881" s="31" t="inlineStr">
        <is>
          <t>618231</t>
        </is>
      </c>
      <c r="E881" s="31" t="inlineStr">
        <is>
          <t>72-61-15</t>
        </is>
      </c>
      <c r="F881" s="31" t="inlineStr">
        <is>
          <t>A</t>
        </is>
      </c>
      <c r="G881" s="31" t="inlineStr">
        <is>
          <t>Gearbox</t>
        </is>
      </c>
      <c r="H881" s="27" t="n">
        <v>340</v>
      </c>
      <c r="I881" s="27" t="n">
        <v>365</v>
      </c>
      <c r="J881" s="154">
        <f>I881/H881-1</f>
        <v/>
      </c>
      <c r="K881" s="31" t="inlineStr">
        <is>
          <t>56</t>
        </is>
      </c>
      <c r="L881" s="31" t="inlineStr">
        <is>
          <t>56</t>
        </is>
      </c>
      <c r="M881" s="31" t="inlineStr">
        <is>
          <t>S1</t>
        </is>
      </c>
      <c r="N881" s="31" t="inlineStr">
        <is>
          <t>S2</t>
        </is>
      </c>
      <c r="O881" s="31" t="inlineStr">
        <is>
          <t>9725M81P02</t>
        </is>
      </c>
      <c r="P881" s="31" t="inlineStr">
        <is>
          <t>SR Technics Switzerland</t>
        </is>
      </c>
    </row>
    <row r="882">
      <c r="B882" s="31" t="inlineStr">
        <is>
          <t>CFM56-5B</t>
        </is>
      </c>
      <c r="C882" s="31" t="inlineStr">
        <is>
          <t>2024-2025</t>
        </is>
      </c>
      <c r="D882" s="31" t="inlineStr">
        <is>
          <t>618233</t>
        </is>
      </c>
      <c r="E882" s="31" t="inlineStr">
        <is>
          <t>72-61-06</t>
        </is>
      </c>
      <c r="F882" s="31" t="inlineStr">
        <is>
          <t>A</t>
        </is>
      </c>
      <c r="G882" s="31" t="inlineStr">
        <is>
          <t>Gearbox</t>
        </is>
      </c>
      <c r="H882" s="27" t="n">
        <v>170</v>
      </c>
      <c r="I882" s="27" t="n">
        <v>185</v>
      </c>
      <c r="J882" s="154">
        <f>I882/H882-1</f>
        <v/>
      </c>
      <c r="K882" s="31" t="inlineStr">
        <is>
          <t>22</t>
        </is>
      </c>
      <c r="L882" s="31" t="inlineStr">
        <is>
          <t>22</t>
        </is>
      </c>
      <c r="M882" s="31" t="inlineStr">
        <is>
          <t>S1</t>
        </is>
      </c>
      <c r="N882" s="31" t="inlineStr">
        <is>
          <t>S2</t>
        </is>
      </c>
      <c r="O882" s="31" t="inlineStr">
        <is>
          <t>9972M48P01</t>
        </is>
      </c>
      <c r="P882" s="31" t="inlineStr">
        <is>
          <t>SR Technics Switzerland</t>
        </is>
      </c>
    </row>
    <row r="883">
      <c r="B883" s="31" t="inlineStr">
        <is>
          <t>CFM56-5B</t>
        </is>
      </c>
      <c r="C883" s="31" t="inlineStr">
        <is>
          <t>2024-2025</t>
        </is>
      </c>
      <c r="D883" s="31" t="inlineStr">
        <is>
          <t>618234</t>
        </is>
      </c>
      <c r="E883" s="31" t="inlineStr">
        <is>
          <t>72-61-12</t>
        </is>
      </c>
      <c r="F883" s="31" t="inlineStr">
        <is>
          <t>A</t>
        </is>
      </c>
      <c r="G883" s="31" t="inlineStr">
        <is>
          <t>Gearbox</t>
        </is>
      </c>
      <c r="H883" s="27" t="n">
        <v>975</v>
      </c>
      <c r="I883" s="27" t="n">
        <v>1035</v>
      </c>
      <c r="J883" s="154">
        <f>I883/H883-1</f>
        <v/>
      </c>
      <c r="K883" s="31" t="inlineStr">
        <is>
          <t>22</t>
        </is>
      </c>
      <c r="L883" s="31" t="inlineStr">
        <is>
          <t>22</t>
        </is>
      </c>
      <c r="M883" s="31" t="inlineStr">
        <is>
          <t>S1</t>
        </is>
      </c>
      <c r="N883" s="31" t="inlineStr">
        <is>
          <t>S2</t>
        </is>
      </c>
      <c r="O883" s="31" t="inlineStr">
        <is>
          <t>9542M68P02</t>
        </is>
      </c>
      <c r="P883" s="31" t="inlineStr">
        <is>
          <t>SR Technics Switzerland</t>
        </is>
      </c>
    </row>
    <row r="884">
      <c r="B884" s="31" t="inlineStr">
        <is>
          <t>CFM56-5B</t>
        </is>
      </c>
      <c r="C884" s="31" t="inlineStr">
        <is>
          <t>2024-2025</t>
        </is>
      </c>
      <c r="D884" s="31" t="inlineStr">
        <is>
          <t>618701</t>
        </is>
      </c>
      <c r="E884" s="31" t="inlineStr">
        <is>
          <t>72-56-02</t>
        </is>
      </c>
      <c r="F884" s="31" t="inlineStr">
        <is>
          <t>A</t>
        </is>
      </c>
      <c r="G884" s="31" t="inlineStr">
        <is>
          <t>LPT</t>
        </is>
      </c>
      <c r="H884" s="27" t="n">
        <v>850</v>
      </c>
      <c r="I884" s="27" t="n">
        <v>905</v>
      </c>
      <c r="J884" s="154">
        <f>I884/H884-1</f>
        <v/>
      </c>
      <c r="K884" s="31" t="inlineStr">
        <is>
          <t>22</t>
        </is>
      </c>
      <c r="L884" s="31" t="inlineStr">
        <is>
          <t>22</t>
        </is>
      </c>
      <c r="M884" s="31" t="inlineStr">
        <is>
          <t>S1</t>
        </is>
      </c>
      <c r="N884" s="31" t="inlineStr">
        <is>
          <t>S2</t>
        </is>
      </c>
      <c r="O884" s="31" t="inlineStr">
        <is>
          <t>336-026-806-0</t>
        </is>
      </c>
      <c r="P884" s="31" t="inlineStr">
        <is>
          <t>SR Technics Switzerland</t>
        </is>
      </c>
    </row>
    <row r="885">
      <c r="B885" s="31" t="inlineStr">
        <is>
          <t>CFM56-5B</t>
        </is>
      </c>
      <c r="C885" s="31" t="inlineStr">
        <is>
          <t>2024-2025</t>
        </is>
      </c>
      <c r="D885" s="31" t="inlineStr">
        <is>
          <t>618701</t>
        </is>
      </c>
      <c r="E885" s="31" t="inlineStr">
        <is>
          <t>72-56-02</t>
        </is>
      </c>
      <c r="F885" s="31" t="inlineStr">
        <is>
          <t>C</t>
        </is>
      </c>
      <c r="G885" s="31" t="inlineStr">
        <is>
          <t>LPT</t>
        </is>
      </c>
      <c r="H885" s="27" t="n">
        <v>3055</v>
      </c>
      <c r="I885" s="27" t="n">
        <v>3240</v>
      </c>
      <c r="J885" s="154">
        <f>I885/H885-1</f>
        <v/>
      </c>
      <c r="K885" s="31" t="inlineStr">
        <is>
          <t>22</t>
        </is>
      </c>
      <c r="L885" s="31" t="inlineStr">
        <is>
          <t>22</t>
        </is>
      </c>
      <c r="M885" s="31" t="inlineStr">
        <is>
          <t>S1</t>
        </is>
      </c>
      <c r="N885" s="31" t="inlineStr">
        <is>
          <t>S2</t>
        </is>
      </c>
      <c r="O885" s="31" t="inlineStr">
        <is>
          <t>336-026-806-0</t>
        </is>
      </c>
      <c r="P885" s="31" t="inlineStr">
        <is>
          <t>SR Technics Switzerland</t>
        </is>
      </c>
    </row>
    <row r="886">
      <c r="B886" s="31" t="inlineStr">
        <is>
          <t>CFM56-5B</t>
        </is>
      </c>
      <c r="C886" s="31" t="inlineStr">
        <is>
          <t>2024-2025</t>
        </is>
      </c>
      <c r="D886" s="31" t="inlineStr">
        <is>
          <t>618701</t>
        </is>
      </c>
      <c r="E886" s="31" t="inlineStr">
        <is>
          <t>72-56-02</t>
        </is>
      </c>
      <c r="F886" s="31" t="inlineStr">
        <is>
          <t>G</t>
        </is>
      </c>
      <c r="G886" s="31" t="inlineStr">
        <is>
          <t>LPT</t>
        </is>
      </c>
      <c r="H886" s="27" t="n">
        <v>2700</v>
      </c>
      <c r="I886" s="27" t="n">
        <v>2865</v>
      </c>
      <c r="J886" s="154">
        <f>I886/H886-1</f>
        <v/>
      </c>
      <c r="K886" s="31" t="inlineStr">
        <is>
          <t>22</t>
        </is>
      </c>
      <c r="L886" s="31" t="inlineStr">
        <is>
          <t>22</t>
        </is>
      </c>
      <c r="M886" s="31" t="inlineStr">
        <is>
          <t>S1</t>
        </is>
      </c>
      <c r="N886" s="31" t="inlineStr">
        <is>
          <t>S2</t>
        </is>
      </c>
      <c r="O886" s="31" t="inlineStr">
        <is>
          <t>336-026-806-0</t>
        </is>
      </c>
      <c r="P886" s="31" t="inlineStr">
        <is>
          <t>SR Technics Switzerland</t>
        </is>
      </c>
    </row>
    <row r="887">
      <c r="B887" s="31" t="inlineStr">
        <is>
          <t>CFM56-5B</t>
        </is>
      </c>
      <c r="C887" s="31" t="inlineStr">
        <is>
          <t>2024-2025</t>
        </is>
      </c>
      <c r="D887" s="31" t="inlineStr">
        <is>
          <t>618701</t>
        </is>
      </c>
      <c r="E887" s="31" t="inlineStr">
        <is>
          <t>72-56-02</t>
        </is>
      </c>
      <c r="F887" s="31" t="inlineStr">
        <is>
          <t>H</t>
        </is>
      </c>
      <c r="G887" s="31" t="inlineStr">
        <is>
          <t>LPT</t>
        </is>
      </c>
      <c r="H887" s="27" t="n">
        <v>4645</v>
      </c>
      <c r="I887" s="27" t="n">
        <v>4925</v>
      </c>
      <c r="J887" s="154">
        <f>I887/H887-1</f>
        <v/>
      </c>
      <c r="K887" s="31" t="inlineStr">
        <is>
          <t>22</t>
        </is>
      </c>
      <c r="L887" s="31" t="inlineStr">
        <is>
          <t>22</t>
        </is>
      </c>
      <c r="M887" s="31" t="inlineStr">
        <is>
          <t>S1</t>
        </is>
      </c>
      <c r="N887" s="31" t="inlineStr">
        <is>
          <t>S2</t>
        </is>
      </c>
      <c r="O887" s="31" t="inlineStr">
        <is>
          <t>336-026-806-0</t>
        </is>
      </c>
      <c r="P887" s="31" t="inlineStr">
        <is>
          <t>SR Technics Switzerland</t>
        </is>
      </c>
    </row>
    <row r="888">
      <c r="B888" s="31" t="inlineStr">
        <is>
          <t>CFM56-5B</t>
        </is>
      </c>
      <c r="C888" s="31" t="inlineStr">
        <is>
          <t>2024-2025</t>
        </is>
      </c>
      <c r="D888" s="31" t="inlineStr">
        <is>
          <t>618701</t>
        </is>
      </c>
      <c r="E888" s="31" t="inlineStr">
        <is>
          <t>72-56-02</t>
        </is>
      </c>
      <c r="F888" s="31" t="inlineStr">
        <is>
          <t>I</t>
        </is>
      </c>
      <c r="G888" s="31" t="inlineStr">
        <is>
          <t>LPT</t>
        </is>
      </c>
      <c r="H888" s="27" t="n">
        <v>3055</v>
      </c>
      <c r="I888" s="27" t="n">
        <v>3240</v>
      </c>
      <c r="J888" s="154">
        <f>I888/H888-1</f>
        <v/>
      </c>
      <c r="K888" s="31" t="inlineStr">
        <is>
          <t>22</t>
        </is>
      </c>
      <c r="L888" s="31" t="inlineStr">
        <is>
          <t>22</t>
        </is>
      </c>
      <c r="M888" s="31" t="inlineStr">
        <is>
          <t>S1</t>
        </is>
      </c>
      <c r="N888" s="31" t="inlineStr">
        <is>
          <t>S2</t>
        </is>
      </c>
      <c r="O888" s="31" t="inlineStr">
        <is>
          <t>336-026-806-0</t>
        </is>
      </c>
      <c r="P888" s="31" t="inlineStr">
        <is>
          <t>SR Technics Switzerland</t>
        </is>
      </c>
    </row>
    <row r="889">
      <c r="B889" s="31" t="inlineStr">
        <is>
          <t>CFM56-5B</t>
        </is>
      </c>
      <c r="C889" s="31" t="inlineStr">
        <is>
          <t>2024-2025</t>
        </is>
      </c>
      <c r="D889" s="31" t="inlineStr">
        <is>
          <t>618701</t>
        </is>
      </c>
      <c r="E889" s="31" t="inlineStr">
        <is>
          <t>72-56-02</t>
        </is>
      </c>
      <c r="F889" s="31" t="inlineStr">
        <is>
          <t>J</t>
        </is>
      </c>
      <c r="G889" s="31" t="inlineStr">
        <is>
          <t>LPT</t>
        </is>
      </c>
      <c r="H889" s="27" t="n">
        <v>4770</v>
      </c>
      <c r="I889" s="27" t="n">
        <v>5060</v>
      </c>
      <c r="J889" s="154">
        <f>I889/H889-1</f>
        <v/>
      </c>
      <c r="K889" s="31" t="inlineStr">
        <is>
          <t>22</t>
        </is>
      </c>
      <c r="L889" s="31" t="inlineStr">
        <is>
          <t>22</t>
        </is>
      </c>
      <c r="M889" s="31" t="inlineStr">
        <is>
          <t>S1</t>
        </is>
      </c>
      <c r="N889" s="31" t="inlineStr">
        <is>
          <t>S2</t>
        </is>
      </c>
      <c r="O889" s="31" t="inlineStr">
        <is>
          <t>336-026-806-0</t>
        </is>
      </c>
      <c r="P889" s="31" t="inlineStr">
        <is>
          <t>SR Technics Switzerland</t>
        </is>
      </c>
    </row>
    <row r="890">
      <c r="B890" s="31" t="inlineStr">
        <is>
          <t>CFM56-5B</t>
        </is>
      </c>
      <c r="C890" s="31" t="inlineStr">
        <is>
          <t>2024-2025</t>
        </is>
      </c>
      <c r="D890" s="31" t="inlineStr">
        <is>
          <t>618701</t>
        </is>
      </c>
      <c r="E890" s="31" t="inlineStr">
        <is>
          <t>72-56-02</t>
        </is>
      </c>
      <c r="F890" s="31" t="inlineStr">
        <is>
          <t>M</t>
        </is>
      </c>
      <c r="G890" s="31" t="inlineStr">
        <is>
          <t>LPT</t>
        </is>
      </c>
      <c r="H890" s="27" t="n">
        <v>3545</v>
      </c>
      <c r="I890" s="27" t="n">
        <v>3760</v>
      </c>
      <c r="J890" s="154">
        <f>I890/H890-1</f>
        <v/>
      </c>
      <c r="K890" s="31" t="inlineStr">
        <is>
          <t>22</t>
        </is>
      </c>
      <c r="L890" s="31" t="inlineStr">
        <is>
          <t>22</t>
        </is>
      </c>
      <c r="M890" s="31" t="inlineStr">
        <is>
          <t>S1</t>
        </is>
      </c>
      <c r="N890" s="31" t="inlineStr">
        <is>
          <t>S2</t>
        </is>
      </c>
      <c r="O890" s="31" t="inlineStr">
        <is>
          <t>336-026-806-0</t>
        </is>
      </c>
      <c r="P890" s="31" t="inlineStr">
        <is>
          <t>SR Technics Switzerland</t>
        </is>
      </c>
    </row>
    <row r="891">
      <c r="B891" s="31" t="inlineStr">
        <is>
          <t>CFM56-5B</t>
        </is>
      </c>
      <c r="C891" s="31" t="inlineStr">
        <is>
          <t>2024-2025</t>
        </is>
      </c>
      <c r="D891" s="31" t="inlineStr">
        <is>
          <t>618701</t>
        </is>
      </c>
      <c r="E891" s="31" t="inlineStr">
        <is>
          <t>72-56-02</t>
        </is>
      </c>
      <c r="F891" s="31" t="inlineStr">
        <is>
          <t>N</t>
        </is>
      </c>
      <c r="G891" s="31" t="inlineStr">
        <is>
          <t>LPT</t>
        </is>
      </c>
      <c r="H891" s="27" t="n">
        <v>1840</v>
      </c>
      <c r="I891" s="27" t="n">
        <v>1955</v>
      </c>
      <c r="J891" s="154">
        <f>I891/H891-1</f>
        <v/>
      </c>
      <c r="K891" s="31" t="inlineStr">
        <is>
          <t>22</t>
        </is>
      </c>
      <c r="L891" s="31" t="inlineStr">
        <is>
          <t>22</t>
        </is>
      </c>
      <c r="M891" s="31" t="inlineStr">
        <is>
          <t>S1</t>
        </is>
      </c>
      <c r="N891" s="31" t="inlineStr">
        <is>
          <t>S2</t>
        </is>
      </c>
      <c r="O891" s="31" t="inlineStr">
        <is>
          <t>336-026-806-0</t>
        </is>
      </c>
      <c r="P891" s="31" t="inlineStr">
        <is>
          <t>SR Technics Switzerland</t>
        </is>
      </c>
    </row>
    <row r="892">
      <c r="B892" s="31" t="inlineStr">
        <is>
          <t>CFM56-5B</t>
        </is>
      </c>
      <c r="C892" s="31" t="inlineStr">
        <is>
          <t>2024-2025</t>
        </is>
      </c>
      <c r="D892" s="31" t="inlineStr">
        <is>
          <t>618701</t>
        </is>
      </c>
      <c r="E892" s="31" t="inlineStr">
        <is>
          <t>72-56-02</t>
        </is>
      </c>
      <c r="F892" s="31" t="inlineStr">
        <is>
          <t>R</t>
        </is>
      </c>
      <c r="G892" s="31" t="inlineStr">
        <is>
          <t>LPT</t>
        </is>
      </c>
      <c r="H892" s="27" t="n">
        <v>3055</v>
      </c>
      <c r="I892" s="27" t="n">
        <v>3240</v>
      </c>
      <c r="J892" s="154">
        <f>I892/H892-1</f>
        <v/>
      </c>
      <c r="K892" s="31" t="inlineStr">
        <is>
          <t>22</t>
        </is>
      </c>
      <c r="L892" s="31" t="inlineStr">
        <is>
          <t>22</t>
        </is>
      </c>
      <c r="M892" s="31" t="inlineStr">
        <is>
          <t>S1</t>
        </is>
      </c>
      <c r="N892" s="31" t="inlineStr">
        <is>
          <t>S2</t>
        </is>
      </c>
      <c r="O892" s="31" t="inlineStr">
        <is>
          <t>336-026-806-0</t>
        </is>
      </c>
      <c r="P892" s="31" t="inlineStr">
        <is>
          <t>SR Technics Switzerland</t>
        </is>
      </c>
    </row>
    <row r="893">
      <c r="B893" s="31" t="inlineStr">
        <is>
          <t>CFM56-5B</t>
        </is>
      </c>
      <c r="C893" s="31" t="inlineStr">
        <is>
          <t>2024-2025</t>
        </is>
      </c>
      <c r="D893" s="31" t="inlineStr">
        <is>
          <t>618701</t>
        </is>
      </c>
      <c r="E893" s="31" t="inlineStr">
        <is>
          <t>72-56-02</t>
        </is>
      </c>
      <c r="F893" s="31" t="inlineStr">
        <is>
          <t>SB00</t>
        </is>
      </c>
      <c r="G893" s="31" t="inlineStr">
        <is>
          <t>LPT</t>
        </is>
      </c>
      <c r="H893" s="27" t="n">
        <v>1110</v>
      </c>
      <c r="I893" s="27" t="n">
        <v>1180</v>
      </c>
      <c r="J893" s="154">
        <f>I893/H893-1</f>
        <v/>
      </c>
      <c r="K893" s="31" t="inlineStr">
        <is>
          <t>22</t>
        </is>
      </c>
      <c r="L893" s="31" t="inlineStr">
        <is>
          <t>22</t>
        </is>
      </c>
      <c r="M893" s="31" t="inlineStr">
        <is>
          <t>S1</t>
        </is>
      </c>
      <c r="N893" s="31" t="inlineStr">
        <is>
          <t>S2</t>
        </is>
      </c>
      <c r="O893" s="31" t="inlineStr">
        <is>
          <t>336-026-806-0</t>
        </is>
      </c>
      <c r="P893" s="31" t="inlineStr">
        <is>
          <t>SR Technics Switzerland</t>
        </is>
      </c>
    </row>
    <row r="894">
      <c r="B894" s="31" t="inlineStr">
        <is>
          <t>CFM56-5B</t>
        </is>
      </c>
      <c r="C894" s="31" t="inlineStr">
        <is>
          <t>2024-2025</t>
        </is>
      </c>
      <c r="D894" s="31" t="inlineStr">
        <is>
          <t>618701</t>
        </is>
      </c>
      <c r="E894" s="31" t="inlineStr">
        <is>
          <t>72-56-02</t>
        </is>
      </c>
      <c r="F894" s="31" t="inlineStr">
        <is>
          <t>SB02</t>
        </is>
      </c>
      <c r="G894" s="31" t="inlineStr">
        <is>
          <t>LPT</t>
        </is>
      </c>
      <c r="H894" s="27" t="n">
        <v>4710</v>
      </c>
      <c r="I894" s="27" t="n">
        <v>4995</v>
      </c>
      <c r="J894" s="154">
        <f>I894/H894-1</f>
        <v/>
      </c>
      <c r="K894" s="31" t="inlineStr">
        <is>
          <t>22</t>
        </is>
      </c>
      <c r="L894" s="31" t="inlineStr">
        <is>
          <t>22</t>
        </is>
      </c>
      <c r="M894" s="31" t="inlineStr">
        <is>
          <t>S1</t>
        </is>
      </c>
      <c r="N894" s="31" t="inlineStr">
        <is>
          <t>S2</t>
        </is>
      </c>
      <c r="O894" s="31" t="inlineStr">
        <is>
          <t>336-026-806-0</t>
        </is>
      </c>
      <c r="P894" s="31" t="inlineStr">
        <is>
          <t>SR Technics Switzerland</t>
        </is>
      </c>
    </row>
    <row r="895">
      <c r="B895" s="31" t="inlineStr">
        <is>
          <t>CFM56-5B</t>
        </is>
      </c>
      <c r="C895" s="31" t="inlineStr">
        <is>
          <t>2024-2025</t>
        </is>
      </c>
      <c r="D895" s="31" t="inlineStr">
        <is>
          <t>618701</t>
        </is>
      </c>
      <c r="E895" s="31" t="inlineStr">
        <is>
          <t>72-56-02</t>
        </is>
      </c>
      <c r="F895" s="31" t="inlineStr">
        <is>
          <t>SB03</t>
        </is>
      </c>
      <c r="G895" s="31" t="inlineStr">
        <is>
          <t>LPT</t>
        </is>
      </c>
      <c r="H895" s="27" t="n">
        <v>1270</v>
      </c>
      <c r="I895" s="27" t="n">
        <v>1350</v>
      </c>
      <c r="J895" s="154">
        <f>I895/H895-1</f>
        <v/>
      </c>
      <c r="K895" s="31" t="inlineStr">
        <is>
          <t>22</t>
        </is>
      </c>
      <c r="L895" s="31" t="inlineStr">
        <is>
          <t>22</t>
        </is>
      </c>
      <c r="M895" s="31" t="inlineStr">
        <is>
          <t>S1</t>
        </is>
      </c>
      <c r="N895" s="31" t="inlineStr">
        <is>
          <t>S2</t>
        </is>
      </c>
      <c r="O895" s="31" t="inlineStr">
        <is>
          <t>336-026-806-0</t>
        </is>
      </c>
      <c r="P895" s="31" t="inlineStr">
        <is>
          <t>SR Technics Switzerland</t>
        </is>
      </c>
    </row>
    <row r="896">
      <c r="B896" s="31" t="inlineStr">
        <is>
          <t>CFM56-5B</t>
        </is>
      </c>
      <c r="C896" s="31" t="inlineStr">
        <is>
          <t>2024-2025</t>
        </is>
      </c>
      <c r="D896" s="31" t="inlineStr">
        <is>
          <t>618701</t>
        </is>
      </c>
      <c r="E896" s="31" t="inlineStr">
        <is>
          <t>72-56-02</t>
        </is>
      </c>
      <c r="F896" s="31" t="inlineStr">
        <is>
          <t>U</t>
        </is>
      </c>
      <c r="G896" s="31" t="inlineStr">
        <is>
          <t>LPT</t>
        </is>
      </c>
      <c r="H896" s="27" t="n">
        <v>2395</v>
      </c>
      <c r="I896" s="27" t="n">
        <v>2540</v>
      </c>
      <c r="J896" s="154">
        <f>I896/H896-1</f>
        <v/>
      </c>
      <c r="K896" s="31" t="inlineStr">
        <is>
          <t>22</t>
        </is>
      </c>
      <c r="L896" s="31" t="inlineStr">
        <is>
          <t>22</t>
        </is>
      </c>
      <c r="M896" s="31" t="inlineStr">
        <is>
          <t>S1</t>
        </is>
      </c>
      <c r="N896" s="31" t="inlineStr">
        <is>
          <t>S2</t>
        </is>
      </c>
      <c r="O896" s="31" t="inlineStr">
        <is>
          <t>336-026-806-0</t>
        </is>
      </c>
      <c r="P896" s="31" t="inlineStr">
        <is>
          <t>SR Technics Switzerland</t>
        </is>
      </c>
    </row>
    <row r="897">
      <c r="B897" s="31" t="inlineStr">
        <is>
          <t>CFM56-5B</t>
        </is>
      </c>
      <c r="C897" s="31" t="inlineStr">
        <is>
          <t>2024-2025</t>
        </is>
      </c>
      <c r="D897" s="31" t="inlineStr">
        <is>
          <t>619936</t>
        </is>
      </c>
      <c r="E897" s="31" t="inlineStr">
        <is>
          <t>72-56-07</t>
        </is>
      </c>
      <c r="F897" s="31" t="inlineStr">
        <is>
          <t>A</t>
        </is>
      </c>
      <c r="G897" s="31" t="inlineStr">
        <is>
          <t>LPT</t>
        </is>
      </c>
      <c r="H897" s="27" t="n">
        <v>695</v>
      </c>
      <c r="I897" s="27" t="n">
        <v>740</v>
      </c>
      <c r="J897" s="154">
        <f>I897/H897-1</f>
        <v/>
      </c>
      <c r="K897" s="31" t="inlineStr">
        <is>
          <t>56</t>
        </is>
      </c>
      <c r="L897" s="31" t="inlineStr">
        <is>
          <t>56</t>
        </is>
      </c>
      <c r="M897" s="31" t="inlineStr">
        <is>
          <t>S1</t>
        </is>
      </c>
      <c r="N897" s="31" t="inlineStr">
        <is>
          <t>S2</t>
        </is>
      </c>
      <c r="O897" s="31" t="inlineStr">
        <is>
          <t>336-031-901-0</t>
        </is>
      </c>
      <c r="P897" s="31" t="inlineStr">
        <is>
          <t>SR Technics Switzerland</t>
        </is>
      </c>
    </row>
    <row r="898">
      <c r="B898" s="31" t="inlineStr">
        <is>
          <t>CFM56-5B</t>
        </is>
      </c>
      <c r="C898" s="31" t="inlineStr">
        <is>
          <t>2024-2025</t>
        </is>
      </c>
      <c r="D898" s="31" t="inlineStr">
        <is>
          <t>619936</t>
        </is>
      </c>
      <c r="E898" s="31" t="inlineStr">
        <is>
          <t>72-56-07</t>
        </is>
      </c>
      <c r="F898" s="31" t="inlineStr">
        <is>
          <t>B</t>
        </is>
      </c>
      <c r="G898" s="31" t="inlineStr">
        <is>
          <t>LPT</t>
        </is>
      </c>
      <c r="H898" s="27" t="n">
        <v>925</v>
      </c>
      <c r="I898" s="27" t="n">
        <v>985</v>
      </c>
      <c r="J898" s="154">
        <f>I898/H898-1</f>
        <v/>
      </c>
      <c r="K898" s="31" t="inlineStr">
        <is>
          <t>56</t>
        </is>
      </c>
      <c r="L898" s="31" t="inlineStr">
        <is>
          <t>56</t>
        </is>
      </c>
      <c r="M898" s="31" t="inlineStr">
        <is>
          <t>S1</t>
        </is>
      </c>
      <c r="N898" s="31" t="inlineStr">
        <is>
          <t>S2</t>
        </is>
      </c>
      <c r="O898" s="31" t="inlineStr">
        <is>
          <t>336-031-901-0</t>
        </is>
      </c>
      <c r="P898" s="31" t="inlineStr">
        <is>
          <t>SR Technics Switzerland</t>
        </is>
      </c>
    </row>
    <row r="899">
      <c r="B899" s="31" t="inlineStr">
        <is>
          <t>CFM56-5B</t>
        </is>
      </c>
      <c r="C899" s="31" t="inlineStr">
        <is>
          <t>2024-2025</t>
        </is>
      </c>
      <c r="D899" s="31" t="inlineStr">
        <is>
          <t>619936</t>
        </is>
      </c>
      <c r="E899" s="31" t="inlineStr">
        <is>
          <t>72-56-07</t>
        </is>
      </c>
      <c r="F899" s="31" t="inlineStr">
        <is>
          <t>C</t>
        </is>
      </c>
      <c r="G899" s="31" t="inlineStr">
        <is>
          <t>LPT</t>
        </is>
      </c>
      <c r="H899" s="27" t="n">
        <v>3310</v>
      </c>
      <c r="I899" s="27" t="n">
        <v>3510</v>
      </c>
      <c r="J899" s="154">
        <f>I899/H899-1</f>
        <v/>
      </c>
      <c r="K899" s="31" t="inlineStr">
        <is>
          <t>56</t>
        </is>
      </c>
      <c r="L899" s="31" t="inlineStr">
        <is>
          <t>56</t>
        </is>
      </c>
      <c r="M899" s="31" t="inlineStr">
        <is>
          <t>S1</t>
        </is>
      </c>
      <c r="N899" s="31" t="inlineStr">
        <is>
          <t>S2</t>
        </is>
      </c>
      <c r="O899" s="31" t="inlineStr">
        <is>
          <t>336-031-901-0</t>
        </is>
      </c>
      <c r="P899" s="31" t="inlineStr">
        <is>
          <t>SR Technics Switzerland</t>
        </is>
      </c>
    </row>
    <row r="900">
      <c r="B900" s="31" t="inlineStr">
        <is>
          <t>CFM56-5B</t>
        </is>
      </c>
      <c r="C900" s="31" t="inlineStr">
        <is>
          <t>2024-2025</t>
        </is>
      </c>
      <c r="D900" s="31" t="inlineStr">
        <is>
          <t>619936</t>
        </is>
      </c>
      <c r="E900" s="31" t="inlineStr">
        <is>
          <t>72-56-07</t>
        </is>
      </c>
      <c r="F900" s="31" t="inlineStr">
        <is>
          <t>D</t>
        </is>
      </c>
      <c r="G900" s="31" t="inlineStr">
        <is>
          <t>LPT</t>
        </is>
      </c>
      <c r="H900" s="27" t="n">
        <v>685</v>
      </c>
      <c r="I900" s="27" t="n">
        <v>730</v>
      </c>
      <c r="J900" s="154">
        <f>I900/H900-1</f>
        <v/>
      </c>
      <c r="K900" s="31" t="inlineStr">
        <is>
          <t>56</t>
        </is>
      </c>
      <c r="L900" s="31" t="inlineStr">
        <is>
          <t>56</t>
        </is>
      </c>
      <c r="M900" s="31" t="inlineStr">
        <is>
          <t>S1</t>
        </is>
      </c>
      <c r="N900" s="31" t="inlineStr">
        <is>
          <t>S2</t>
        </is>
      </c>
      <c r="O900" s="31" t="inlineStr">
        <is>
          <t>336-031-901-0</t>
        </is>
      </c>
      <c r="P900" s="31" t="inlineStr">
        <is>
          <t>SR Technics Switzerland</t>
        </is>
      </c>
    </row>
    <row r="901">
      <c r="B901" s="31" t="inlineStr">
        <is>
          <t>CFM56-5B</t>
        </is>
      </c>
      <c r="C901" s="31" t="inlineStr">
        <is>
          <t>2024-2025</t>
        </is>
      </c>
      <c r="D901" s="31" t="inlineStr">
        <is>
          <t>619936</t>
        </is>
      </c>
      <c r="E901" s="31" t="inlineStr">
        <is>
          <t>72-56-07</t>
        </is>
      </c>
      <c r="F901" s="31" t="inlineStr">
        <is>
          <t>E</t>
        </is>
      </c>
      <c r="G901" s="31" t="inlineStr">
        <is>
          <t>LPT</t>
        </is>
      </c>
      <c r="H901" s="27" t="n">
        <v>440</v>
      </c>
      <c r="I901" s="27" t="n">
        <v>470</v>
      </c>
      <c r="J901" s="154">
        <f>I901/H901-1</f>
        <v/>
      </c>
      <c r="K901" s="31" t="inlineStr">
        <is>
          <t>56</t>
        </is>
      </c>
      <c r="L901" s="31" t="inlineStr">
        <is>
          <t>56</t>
        </is>
      </c>
      <c r="M901" s="31" t="inlineStr">
        <is>
          <t>S1</t>
        </is>
      </c>
      <c r="N901" s="31" t="inlineStr">
        <is>
          <t>S2</t>
        </is>
      </c>
      <c r="O901" s="31" t="inlineStr">
        <is>
          <t>336-031-901-0</t>
        </is>
      </c>
      <c r="P901" s="31" t="inlineStr">
        <is>
          <t>SR Technics Switzerland</t>
        </is>
      </c>
    </row>
    <row r="902">
      <c r="B902" s="31" t="inlineStr">
        <is>
          <t>CFM56-5B</t>
        </is>
      </c>
      <c r="C902" s="31" t="inlineStr">
        <is>
          <t>2024-2025</t>
        </is>
      </c>
      <c r="D902" s="31" t="inlineStr">
        <is>
          <t>619936</t>
        </is>
      </c>
      <c r="E902" s="31" t="inlineStr">
        <is>
          <t>72-56-07</t>
        </is>
      </c>
      <c r="F902" s="31" t="inlineStr">
        <is>
          <t>F</t>
        </is>
      </c>
      <c r="G902" s="31" t="inlineStr">
        <is>
          <t>LPT</t>
        </is>
      </c>
      <c r="H902" s="27" t="n">
        <v>480</v>
      </c>
      <c r="I902" s="27" t="n">
        <v>510</v>
      </c>
      <c r="J902" s="154">
        <f>I902/H902-1</f>
        <v/>
      </c>
      <c r="K902" s="31" t="inlineStr">
        <is>
          <t>56</t>
        </is>
      </c>
      <c r="L902" s="31" t="inlineStr">
        <is>
          <t>56</t>
        </is>
      </c>
      <c r="M902" s="31" t="inlineStr">
        <is>
          <t>S1</t>
        </is>
      </c>
      <c r="N902" s="31" t="inlineStr">
        <is>
          <t>S2</t>
        </is>
      </c>
      <c r="O902" s="31" t="inlineStr">
        <is>
          <t>336-031-901-0</t>
        </is>
      </c>
      <c r="P902" s="31" t="inlineStr">
        <is>
          <t>SR Technics Switzerland</t>
        </is>
      </c>
    </row>
    <row r="903">
      <c r="B903" s="31" t="inlineStr">
        <is>
          <t>CFM56-5B</t>
        </is>
      </c>
      <c r="C903" s="31" t="inlineStr">
        <is>
          <t>2024-2025</t>
        </is>
      </c>
      <c r="D903" s="31" t="inlineStr">
        <is>
          <t>619936</t>
        </is>
      </c>
      <c r="E903" s="31" t="inlineStr">
        <is>
          <t>72-56-07</t>
        </is>
      </c>
      <c r="F903" s="31" t="inlineStr">
        <is>
          <t>G</t>
        </is>
      </c>
      <c r="G903" s="31" t="inlineStr">
        <is>
          <t>LPT</t>
        </is>
      </c>
      <c r="H903" s="27" t="n">
        <v>175</v>
      </c>
      <c r="I903" s="27" t="n">
        <v>190</v>
      </c>
      <c r="J903" s="154">
        <f>I903/H903-1</f>
        <v/>
      </c>
      <c r="K903" s="31" t="inlineStr">
        <is>
          <t>56</t>
        </is>
      </c>
      <c r="L903" s="31" t="inlineStr">
        <is>
          <t>56</t>
        </is>
      </c>
      <c r="M903" s="31" t="inlineStr">
        <is>
          <t>S1</t>
        </is>
      </c>
      <c r="N903" s="31" t="inlineStr">
        <is>
          <t>S2</t>
        </is>
      </c>
      <c r="O903" s="31" t="inlineStr">
        <is>
          <t>336-031-901-0</t>
        </is>
      </c>
      <c r="P903" s="31" t="inlineStr">
        <is>
          <t>SR Technics Switzerland</t>
        </is>
      </c>
    </row>
    <row r="904">
      <c r="B904" s="31" t="inlineStr">
        <is>
          <t>CFM56-5B</t>
        </is>
      </c>
      <c r="C904" s="31" t="inlineStr">
        <is>
          <t>2024-2025</t>
        </is>
      </c>
      <c r="D904" s="31" t="inlineStr">
        <is>
          <t>622278</t>
        </is>
      </c>
      <c r="E904" s="31" t="inlineStr">
        <is>
          <t>72-00-63</t>
        </is>
      </c>
      <c r="F904" s="31" t="inlineStr">
        <is>
          <t>A</t>
        </is>
      </c>
      <c r="G904" s="31" t="inlineStr">
        <is>
          <t>Other / assembly</t>
        </is>
      </c>
      <c r="H904" s="27" t="n">
        <v>4560</v>
      </c>
      <c r="I904" s="27" t="n">
        <v>4835</v>
      </c>
      <c r="J904" s="154">
        <f>I904/H904-1</f>
        <v/>
      </c>
      <c r="K904" s="31" t="inlineStr">
        <is>
          <t>56</t>
        </is>
      </c>
      <c r="L904" s="31" t="inlineStr">
        <is>
          <t>56</t>
        </is>
      </c>
      <c r="M904" s="31" t="inlineStr">
        <is>
          <t>S1</t>
        </is>
      </c>
      <c r="N904" s="31" t="inlineStr">
        <is>
          <t>S2</t>
        </is>
      </c>
      <c r="O904" s="31" t="inlineStr">
        <is>
          <t>337-004-103-0</t>
        </is>
      </c>
      <c r="P904" s="31" t="inlineStr">
        <is>
          <t>SR Technics Switzerland</t>
        </is>
      </c>
    </row>
    <row r="905">
      <c r="B905" s="31" t="inlineStr">
        <is>
          <t>CFM56-5B</t>
        </is>
      </c>
      <c r="C905" s="31" t="inlineStr">
        <is>
          <t>2024-2025</t>
        </is>
      </c>
      <c r="D905" s="31" t="inlineStr">
        <is>
          <t>623552</t>
        </is>
      </c>
      <c r="E905" s="31" t="inlineStr">
        <is>
          <t>72-55-13</t>
        </is>
      </c>
      <c r="F905" s="31" t="inlineStr">
        <is>
          <t>A</t>
        </is>
      </c>
      <c r="G905" s="31" t="inlineStr">
        <is>
          <t>LPT</t>
        </is>
      </c>
      <c r="H905" s="27" t="n">
        <v>350</v>
      </c>
      <c r="I905" s="27" t="n">
        <v>375</v>
      </c>
      <c r="J905" s="154">
        <f>I905/H905-1</f>
        <v/>
      </c>
      <c r="K905" s="31" t="inlineStr">
        <is>
          <t>22</t>
        </is>
      </c>
      <c r="L905" s="31" t="inlineStr">
        <is>
          <t>22</t>
        </is>
      </c>
      <c r="M905" s="31" t="inlineStr">
        <is>
          <t>S1</t>
        </is>
      </c>
      <c r="N905" s="31" t="inlineStr">
        <is>
          <t>S2</t>
        </is>
      </c>
      <c r="O905" s="31" t="inlineStr">
        <is>
          <t>337-111-302-0</t>
        </is>
      </c>
      <c r="P905" s="31" t="inlineStr">
        <is>
          <t>SR Technics Switzerland</t>
        </is>
      </c>
    </row>
    <row r="906">
      <c r="B906" s="31" t="inlineStr">
        <is>
          <t>CFM56-5B</t>
        </is>
      </c>
      <c r="C906" s="31" t="inlineStr">
        <is>
          <t>2024-2025</t>
        </is>
      </c>
      <c r="D906" s="31" t="inlineStr">
        <is>
          <t>62366</t>
        </is>
      </c>
      <c r="E906" s="31" t="inlineStr">
        <is>
          <t>73-11-13</t>
        </is>
      </c>
      <c r="F906" s="31" t="inlineStr">
        <is>
          <t>A</t>
        </is>
      </c>
      <c r="G906" s="31" t="inlineStr">
        <is>
          <t>Fuel system</t>
        </is>
      </c>
      <c r="H906" s="27" t="n">
        <v>390</v>
      </c>
      <c r="I906" s="27" t="n">
        <v>415</v>
      </c>
      <c r="J906" s="154">
        <f>I906/H906-1</f>
        <v/>
      </c>
      <c r="K906" s="31" t="inlineStr">
        <is>
          <t>8</t>
        </is>
      </c>
      <c r="L906" s="31" t="inlineStr">
        <is>
          <t>8</t>
        </is>
      </c>
      <c r="M906" s="31" t="inlineStr">
        <is>
          <t>S1</t>
        </is>
      </c>
      <c r="N906" s="31" t="inlineStr">
        <is>
          <t>S2</t>
        </is>
      </c>
      <c r="O906" s="31" t="inlineStr">
        <is>
          <t>301-785-501-0</t>
        </is>
      </c>
      <c r="P906" s="31" t="inlineStr">
        <is>
          <t>SR Technics Switzerland</t>
        </is>
      </c>
    </row>
    <row r="907">
      <c r="B907" s="31" t="inlineStr">
        <is>
          <t>CFM56-5B</t>
        </is>
      </c>
      <c r="C907" s="31" t="inlineStr">
        <is>
          <t>2024-2025</t>
        </is>
      </c>
      <c r="D907" s="31" t="inlineStr">
        <is>
          <t>62366</t>
        </is>
      </c>
      <c r="E907" s="31" t="inlineStr">
        <is>
          <t>73-11-13</t>
        </is>
      </c>
      <c r="F907" s="31" t="inlineStr">
        <is>
          <t>B</t>
        </is>
      </c>
      <c r="G907" s="31" t="inlineStr">
        <is>
          <t>Fuel system</t>
        </is>
      </c>
      <c r="H907" s="27" t="n">
        <v>2090</v>
      </c>
      <c r="I907" s="27" t="n">
        <v>2220</v>
      </c>
      <c r="J907" s="154">
        <f>I907/H907-1</f>
        <v/>
      </c>
      <c r="K907" s="31" t="inlineStr">
        <is>
          <t>8</t>
        </is>
      </c>
      <c r="L907" s="31" t="inlineStr">
        <is>
          <t>8</t>
        </is>
      </c>
      <c r="M907" s="31" t="inlineStr">
        <is>
          <t>S1</t>
        </is>
      </c>
      <c r="N907" s="31" t="inlineStr">
        <is>
          <t>S2</t>
        </is>
      </c>
      <c r="O907" s="31" t="inlineStr">
        <is>
          <t>301-785-501-0</t>
        </is>
      </c>
      <c r="P907" s="31" t="inlineStr">
        <is>
          <t>SR Technics Switzerland</t>
        </is>
      </c>
    </row>
    <row r="908">
      <c r="B908" s="31" t="inlineStr">
        <is>
          <t>CFM56-5B</t>
        </is>
      </c>
      <c r="C908" s="31" t="inlineStr">
        <is>
          <t>2024-2025</t>
        </is>
      </c>
      <c r="D908" s="31" t="inlineStr">
        <is>
          <t>62366</t>
        </is>
      </c>
      <c r="E908" s="31" t="inlineStr">
        <is>
          <t>73-11-13</t>
        </is>
      </c>
      <c r="F908" s="31" t="inlineStr">
        <is>
          <t>E</t>
        </is>
      </c>
      <c r="G908" s="31" t="inlineStr">
        <is>
          <t>Fuel system</t>
        </is>
      </c>
      <c r="H908" s="27" t="n">
        <v>4850</v>
      </c>
      <c r="I908" s="27" t="n">
        <v>5145</v>
      </c>
      <c r="J908" s="154">
        <f>I908/H908-1</f>
        <v/>
      </c>
      <c r="K908" s="31" t="inlineStr">
        <is>
          <t>8</t>
        </is>
      </c>
      <c r="L908" s="31" t="inlineStr">
        <is>
          <t>8</t>
        </is>
      </c>
      <c r="M908" s="31" t="inlineStr">
        <is>
          <t>S1</t>
        </is>
      </c>
      <c r="N908" s="31" t="inlineStr">
        <is>
          <t>S2</t>
        </is>
      </c>
      <c r="O908" s="31" t="inlineStr">
        <is>
          <t>301-785-501-0</t>
        </is>
      </c>
      <c r="P908" s="31" t="inlineStr">
        <is>
          <t>SR Technics Switzerland</t>
        </is>
      </c>
    </row>
    <row r="909">
      <c r="B909" s="31" t="inlineStr">
        <is>
          <t>CFM56-5B</t>
        </is>
      </c>
      <c r="C909" s="31" t="inlineStr">
        <is>
          <t>2024-2025</t>
        </is>
      </c>
      <c r="D909" s="31" t="inlineStr">
        <is>
          <t>62366</t>
        </is>
      </c>
      <c r="E909" s="31" t="inlineStr">
        <is>
          <t>73-11-13</t>
        </is>
      </c>
      <c r="F909" s="31" t="inlineStr">
        <is>
          <t>G</t>
        </is>
      </c>
      <c r="G909" s="31" t="inlineStr">
        <is>
          <t>Fuel system</t>
        </is>
      </c>
      <c r="H909" s="27" t="n">
        <v>8985</v>
      </c>
      <c r="I909" s="27" t="n">
        <v>9525</v>
      </c>
      <c r="J909" s="154">
        <f>I909/H909-1</f>
        <v/>
      </c>
      <c r="K909" s="31" t="inlineStr">
        <is>
          <t>8</t>
        </is>
      </c>
      <c r="L909" s="31" t="inlineStr">
        <is>
          <t>8</t>
        </is>
      </c>
      <c r="M909" s="31" t="inlineStr">
        <is>
          <t>S1</t>
        </is>
      </c>
      <c r="N909" s="31" t="inlineStr">
        <is>
          <t>S2</t>
        </is>
      </c>
      <c r="O909" s="31" t="inlineStr">
        <is>
          <t>301-785-501-0</t>
        </is>
      </c>
      <c r="P909" s="31" t="inlineStr">
        <is>
          <t>SR Technics Switzerland</t>
        </is>
      </c>
    </row>
    <row r="910">
      <c r="B910" s="31" t="inlineStr">
        <is>
          <t>CFM56-5B</t>
        </is>
      </c>
      <c r="C910" s="31" t="inlineStr">
        <is>
          <t>2024-2025</t>
        </is>
      </c>
      <c r="D910" s="31" t="inlineStr">
        <is>
          <t>62366</t>
        </is>
      </c>
      <c r="E910" s="31" t="inlineStr">
        <is>
          <t>73-11-13</t>
        </is>
      </c>
      <c r="F910" s="31" t="inlineStr">
        <is>
          <t>SB01</t>
        </is>
      </c>
      <c r="G910" s="31" t="inlineStr">
        <is>
          <t>Fuel system</t>
        </is>
      </c>
      <c r="H910" s="27" t="n">
        <v>440</v>
      </c>
      <c r="I910" s="27" t="n">
        <v>470</v>
      </c>
      <c r="J910" s="154">
        <f>I910/H910-1</f>
        <v/>
      </c>
      <c r="K910" s="31" t="inlineStr">
        <is>
          <t>8</t>
        </is>
      </c>
      <c r="L910" s="31" t="inlineStr">
        <is>
          <t>8</t>
        </is>
      </c>
      <c r="M910" s="31" t="inlineStr">
        <is>
          <t>S1</t>
        </is>
      </c>
      <c r="N910" s="31" t="inlineStr">
        <is>
          <t>S2</t>
        </is>
      </c>
      <c r="O910" s="31" t="inlineStr">
        <is>
          <t>301-785-501-0</t>
        </is>
      </c>
      <c r="P910" s="31" t="inlineStr">
        <is>
          <t>SR Technics Switzerland</t>
        </is>
      </c>
    </row>
    <row r="911">
      <c r="B911" s="31" t="inlineStr">
        <is>
          <t>CFM56-5B</t>
        </is>
      </c>
      <c r="C911" s="31" t="inlineStr">
        <is>
          <t>2024-2025</t>
        </is>
      </c>
      <c r="D911" s="31" t="inlineStr">
        <is>
          <t>62366</t>
        </is>
      </c>
      <c r="E911" s="31" t="inlineStr">
        <is>
          <t>73-11-13</t>
        </is>
      </c>
      <c r="F911" s="31" t="inlineStr">
        <is>
          <t>SB02</t>
        </is>
      </c>
      <c r="G911" s="31" t="inlineStr">
        <is>
          <t>Fuel system</t>
        </is>
      </c>
      <c r="H911" s="27" t="n">
        <v>4400</v>
      </c>
      <c r="I911" s="27" t="n">
        <v>4665</v>
      </c>
      <c r="J911" s="154">
        <f>I911/H911-1</f>
        <v/>
      </c>
      <c r="K911" s="31" t="inlineStr">
        <is>
          <t>8</t>
        </is>
      </c>
      <c r="L911" s="31" t="inlineStr">
        <is>
          <t>8</t>
        </is>
      </c>
      <c r="M911" s="31" t="inlineStr">
        <is>
          <t>S1</t>
        </is>
      </c>
      <c r="N911" s="31" t="inlineStr">
        <is>
          <t>S2</t>
        </is>
      </c>
      <c r="O911" s="31" t="inlineStr">
        <is>
          <t>301-785-501-0</t>
        </is>
      </c>
      <c r="P911" s="31" t="inlineStr">
        <is>
          <t>SR Technics Switzerland</t>
        </is>
      </c>
    </row>
    <row r="912">
      <c r="B912" s="31" t="inlineStr">
        <is>
          <t>CFM56-5B</t>
        </is>
      </c>
      <c r="C912" s="31" t="inlineStr">
        <is>
          <t>2024-2025</t>
        </is>
      </c>
      <c r="D912" s="31" t="inlineStr">
        <is>
          <t>62366</t>
        </is>
      </c>
      <c r="E912" s="31" t="inlineStr">
        <is>
          <t>73-11-13</t>
        </is>
      </c>
      <c r="F912" s="31" t="inlineStr">
        <is>
          <t>SB04</t>
        </is>
      </c>
      <c r="G912" s="31" t="inlineStr">
        <is>
          <t>Fuel system</t>
        </is>
      </c>
      <c r="H912" s="27" t="n">
        <v>440</v>
      </c>
      <c r="I912" s="27" t="n">
        <v>470</v>
      </c>
      <c r="J912" s="154">
        <f>I912/H912-1</f>
        <v/>
      </c>
      <c r="K912" s="31" t="inlineStr">
        <is>
          <t>8</t>
        </is>
      </c>
      <c r="L912" s="31" t="inlineStr">
        <is>
          <t>8</t>
        </is>
      </c>
      <c r="M912" s="31" t="inlineStr">
        <is>
          <t>S1</t>
        </is>
      </c>
      <c r="N912" s="31" t="inlineStr">
        <is>
          <t>S2</t>
        </is>
      </c>
      <c r="O912" s="31" t="inlineStr">
        <is>
          <t>301-785-501-0</t>
        </is>
      </c>
      <c r="P912" s="31" t="inlineStr">
        <is>
          <t>SR Technics Switzerland</t>
        </is>
      </c>
    </row>
    <row r="913">
      <c r="B913" s="31" t="inlineStr">
        <is>
          <t>CFM56-5B</t>
        </is>
      </c>
      <c r="C913" s="31" t="inlineStr">
        <is>
          <t>2024-2025</t>
        </is>
      </c>
      <c r="D913" s="31" t="inlineStr">
        <is>
          <t>62366</t>
        </is>
      </c>
      <c r="E913" s="31" t="inlineStr">
        <is>
          <t>73-11-13</t>
        </is>
      </c>
      <c r="F913" s="31" t="inlineStr">
        <is>
          <t>SB06</t>
        </is>
      </c>
      <c r="G913" s="31" t="inlineStr">
        <is>
          <t>Fuel system</t>
        </is>
      </c>
      <c r="H913" s="27" t="n">
        <v>4400</v>
      </c>
      <c r="I913" s="27" t="n">
        <v>4665</v>
      </c>
      <c r="J913" s="154">
        <f>I913/H913-1</f>
        <v/>
      </c>
      <c r="K913" s="31" t="inlineStr">
        <is>
          <t>8</t>
        </is>
      </c>
      <c r="L913" s="31" t="inlineStr">
        <is>
          <t>8</t>
        </is>
      </c>
      <c r="M913" s="31" t="inlineStr">
        <is>
          <t>S1</t>
        </is>
      </c>
      <c r="N913" s="31" t="inlineStr">
        <is>
          <t>S2</t>
        </is>
      </c>
      <c r="O913" s="31" t="inlineStr">
        <is>
          <t>301-785-501-0</t>
        </is>
      </c>
      <c r="P913" s="31" t="inlineStr">
        <is>
          <t>SR Technics Switzerland</t>
        </is>
      </c>
    </row>
    <row r="914">
      <c r="B914" s="31" t="inlineStr">
        <is>
          <t>CFM56-5B</t>
        </is>
      </c>
      <c r="C914" s="31" t="inlineStr">
        <is>
          <t>2024-2025</t>
        </is>
      </c>
      <c r="D914" s="31" t="inlineStr">
        <is>
          <t>62366</t>
        </is>
      </c>
      <c r="E914" s="31" t="inlineStr">
        <is>
          <t>73-11-13</t>
        </is>
      </c>
      <c r="F914" s="31" t="inlineStr">
        <is>
          <t>SB07</t>
        </is>
      </c>
      <c r="G914" s="31" t="inlineStr">
        <is>
          <t>Fuel system</t>
        </is>
      </c>
      <c r="H914" s="27" t="n">
        <v>4400</v>
      </c>
      <c r="I914" s="27" t="n">
        <v>4665</v>
      </c>
      <c r="J914" s="154">
        <f>I914/H914-1</f>
        <v/>
      </c>
      <c r="K914" s="31" t="inlineStr">
        <is>
          <t>8</t>
        </is>
      </c>
      <c r="L914" s="31" t="inlineStr">
        <is>
          <t>8</t>
        </is>
      </c>
      <c r="M914" s="31" t="inlineStr">
        <is>
          <t>S1</t>
        </is>
      </c>
      <c r="N914" s="31" t="inlineStr">
        <is>
          <t>S2</t>
        </is>
      </c>
      <c r="O914" s="31" t="inlineStr">
        <is>
          <t>301-785-501-0</t>
        </is>
      </c>
      <c r="P914" s="31" t="inlineStr">
        <is>
          <t>SR Technics Switzerland</t>
        </is>
      </c>
    </row>
    <row r="915">
      <c r="B915" s="31" t="inlineStr">
        <is>
          <t>CFM56-5B</t>
        </is>
      </c>
      <c r="C915" s="31" t="inlineStr">
        <is>
          <t>2024-2025</t>
        </is>
      </c>
      <c r="D915" s="31" t="inlineStr">
        <is>
          <t>62366</t>
        </is>
      </c>
      <c r="E915" s="31" t="inlineStr">
        <is>
          <t>73-11-13</t>
        </is>
      </c>
      <c r="F915" s="31" t="inlineStr">
        <is>
          <t>SB09</t>
        </is>
      </c>
      <c r="G915" s="31" t="inlineStr">
        <is>
          <t>Fuel system</t>
        </is>
      </c>
      <c r="H915" s="27" t="n">
        <v>3915</v>
      </c>
      <c r="I915" s="27" t="n">
        <v>4150</v>
      </c>
      <c r="J915" s="154">
        <f>I915/H915-1</f>
        <v/>
      </c>
      <c r="K915" s="31" t="inlineStr">
        <is>
          <t>8</t>
        </is>
      </c>
      <c r="L915" s="31" t="inlineStr">
        <is>
          <t>8</t>
        </is>
      </c>
      <c r="M915" s="31" t="inlineStr">
        <is>
          <t>S1</t>
        </is>
      </c>
      <c r="N915" s="31" t="inlineStr">
        <is>
          <t>S2</t>
        </is>
      </c>
      <c r="O915" s="31" t="inlineStr">
        <is>
          <t>301-785-501-0</t>
        </is>
      </c>
      <c r="P915" s="31" t="inlineStr">
        <is>
          <t>SR Technics Switzerland</t>
        </is>
      </c>
    </row>
    <row r="916">
      <c r="B916" s="31" t="inlineStr">
        <is>
          <t>CFM56-5B</t>
        </is>
      </c>
      <c r="C916" s="31" t="inlineStr">
        <is>
          <t>2024-2025</t>
        </is>
      </c>
      <c r="D916" s="31" t="inlineStr">
        <is>
          <t>62366</t>
        </is>
      </c>
      <c r="E916" s="31" t="inlineStr">
        <is>
          <t>73-11-13</t>
        </is>
      </c>
      <c r="F916" s="31" t="inlineStr">
        <is>
          <t>SB10</t>
        </is>
      </c>
      <c r="G916" s="31" t="inlineStr">
        <is>
          <t>Fuel system</t>
        </is>
      </c>
      <c r="H916" s="27" t="n">
        <v>3915</v>
      </c>
      <c r="I916" s="27" t="n">
        <v>4150</v>
      </c>
      <c r="J916" s="154">
        <f>I916/H916-1</f>
        <v/>
      </c>
      <c r="K916" s="31" t="inlineStr">
        <is>
          <t>8</t>
        </is>
      </c>
      <c r="L916" s="31" t="inlineStr">
        <is>
          <t>8</t>
        </is>
      </c>
      <c r="M916" s="31" t="inlineStr">
        <is>
          <t>S1</t>
        </is>
      </c>
      <c r="N916" s="31" t="inlineStr">
        <is>
          <t>S2</t>
        </is>
      </c>
      <c r="O916" s="31" t="inlineStr">
        <is>
          <t>301-785-501-0</t>
        </is>
      </c>
      <c r="P916" s="31" t="inlineStr">
        <is>
          <t>SR Technics Switzerland</t>
        </is>
      </c>
    </row>
    <row r="917">
      <c r="B917" s="31" t="inlineStr">
        <is>
          <t>CFM56-5B</t>
        </is>
      </c>
      <c r="C917" s="31" t="inlineStr">
        <is>
          <t>2024-2025</t>
        </is>
      </c>
      <c r="D917" s="31" t="inlineStr">
        <is>
          <t>62366</t>
        </is>
      </c>
      <c r="E917" s="31" t="inlineStr">
        <is>
          <t>73-11-13</t>
        </is>
      </c>
      <c r="F917" s="31" t="inlineStr">
        <is>
          <t>SB11</t>
        </is>
      </c>
      <c r="G917" s="31" t="inlineStr">
        <is>
          <t>Fuel system</t>
        </is>
      </c>
      <c r="H917" s="27" t="n">
        <v>3915</v>
      </c>
      <c r="I917" s="27" t="n">
        <v>4150</v>
      </c>
      <c r="J917" s="154">
        <f>I917/H917-1</f>
        <v/>
      </c>
      <c r="K917" s="31" t="inlineStr">
        <is>
          <t>8</t>
        </is>
      </c>
      <c r="L917" s="31" t="inlineStr">
        <is>
          <t>8</t>
        </is>
      </c>
      <c r="M917" s="31" t="inlineStr">
        <is>
          <t>S1</t>
        </is>
      </c>
      <c r="N917" s="31" t="inlineStr">
        <is>
          <t>S2</t>
        </is>
      </c>
      <c r="O917" s="31" t="inlineStr">
        <is>
          <t>301-785-501-0</t>
        </is>
      </c>
      <c r="P917" s="31" t="inlineStr">
        <is>
          <t>SR Technics Switzerland</t>
        </is>
      </c>
    </row>
    <row r="918">
      <c r="B918" s="31" t="inlineStr">
        <is>
          <t>CFM56-5B</t>
        </is>
      </c>
      <c r="C918" s="31" t="inlineStr">
        <is>
          <t>2024-2025</t>
        </is>
      </c>
      <c r="D918" s="31" t="inlineStr">
        <is>
          <t>62366</t>
        </is>
      </c>
      <c r="E918" s="31" t="inlineStr">
        <is>
          <t>73-11-13</t>
        </is>
      </c>
      <c r="F918" s="31" t="inlineStr">
        <is>
          <t>SB12</t>
        </is>
      </c>
      <c r="G918" s="31" t="inlineStr">
        <is>
          <t>Fuel system</t>
        </is>
      </c>
      <c r="H918" s="27" t="n">
        <v>440</v>
      </c>
      <c r="I918" s="27" t="n">
        <v>470</v>
      </c>
      <c r="J918" s="154">
        <f>I918/H918-1</f>
        <v/>
      </c>
      <c r="K918" s="31" t="inlineStr">
        <is>
          <t>8</t>
        </is>
      </c>
      <c r="L918" s="31" t="inlineStr">
        <is>
          <t>8</t>
        </is>
      </c>
      <c r="M918" s="31" t="inlineStr">
        <is>
          <t>S1</t>
        </is>
      </c>
      <c r="N918" s="31" t="inlineStr">
        <is>
          <t>S2</t>
        </is>
      </c>
      <c r="O918" s="31" t="inlineStr">
        <is>
          <t>301-785-501-0</t>
        </is>
      </c>
      <c r="P918" s="31" t="inlineStr">
        <is>
          <t>SR Technics Switzerland</t>
        </is>
      </c>
    </row>
    <row r="919">
      <c r="B919" s="31" t="inlineStr">
        <is>
          <t>CFM56-5B</t>
        </is>
      </c>
      <c r="C919" s="31" t="inlineStr">
        <is>
          <t>2024-2025</t>
        </is>
      </c>
      <c r="D919" s="31" t="inlineStr">
        <is>
          <t>62366</t>
        </is>
      </c>
      <c r="E919" s="31" t="inlineStr">
        <is>
          <t>73-11-13</t>
        </is>
      </c>
      <c r="F919" s="31" t="inlineStr">
        <is>
          <t>SB13</t>
        </is>
      </c>
      <c r="G919" s="31" t="inlineStr">
        <is>
          <t>Fuel system</t>
        </is>
      </c>
      <c r="H919" s="27" t="n">
        <v>440</v>
      </c>
      <c r="I919" s="27" t="n">
        <v>470</v>
      </c>
      <c r="J919" s="154">
        <f>I919/H919-1</f>
        <v/>
      </c>
      <c r="K919" s="31" t="inlineStr">
        <is>
          <t>8</t>
        </is>
      </c>
      <c r="L919" s="31" t="inlineStr">
        <is>
          <t>8</t>
        </is>
      </c>
      <c r="M919" s="31" t="inlineStr">
        <is>
          <t>S1</t>
        </is>
      </c>
      <c r="N919" s="31" t="inlineStr">
        <is>
          <t>S2</t>
        </is>
      </c>
      <c r="O919" s="31" t="inlineStr">
        <is>
          <t>301-785-501-0</t>
        </is>
      </c>
      <c r="P919" s="31" t="inlineStr">
        <is>
          <t>SR Technics Switzerland</t>
        </is>
      </c>
    </row>
    <row r="920">
      <c r="B920" s="31" t="inlineStr">
        <is>
          <t>CFM56-5B</t>
        </is>
      </c>
      <c r="C920" s="31" t="inlineStr">
        <is>
          <t>2024-2025</t>
        </is>
      </c>
      <c r="D920" s="31" t="inlineStr">
        <is>
          <t>624055</t>
        </is>
      </c>
      <c r="E920" s="31" t="inlineStr">
        <is>
          <t>72-23-24</t>
        </is>
      </c>
      <c r="F920" s="31" t="inlineStr">
        <is>
          <t>A</t>
        </is>
      </c>
      <c r="G920" s="31" t="inlineStr">
        <is>
          <t>Fan / booster</t>
        </is>
      </c>
      <c r="H920" s="27" t="n">
        <v>340</v>
      </c>
      <c r="I920" s="27" t="n">
        <v>365</v>
      </c>
      <c r="J920" s="154">
        <f>I920/H920-1</f>
        <v/>
      </c>
      <c r="K920" s="31" t="inlineStr">
        <is>
          <t>56</t>
        </is>
      </c>
      <c r="L920" s="31" t="inlineStr">
        <is>
          <t>23</t>
        </is>
      </c>
      <c r="M920" s="31" t="inlineStr">
        <is>
          <t>S1</t>
        </is>
      </c>
      <c r="N920" s="31" t="inlineStr">
        <is>
          <t>S2</t>
        </is>
      </c>
      <c r="O920" s="31" t="inlineStr">
        <is>
          <t>305-037-204-0</t>
        </is>
      </c>
      <c r="P920" s="31" t="inlineStr">
        <is>
          <t>SR Technics Switzerland</t>
        </is>
      </c>
    </row>
    <row r="921">
      <c r="B921" s="31" t="inlineStr">
        <is>
          <t>CFM56-5B</t>
        </is>
      </c>
      <c r="C921" s="31" t="inlineStr">
        <is>
          <t>2024-2025</t>
        </is>
      </c>
      <c r="D921" s="31" t="inlineStr">
        <is>
          <t>624071</t>
        </is>
      </c>
      <c r="E921" s="31" t="inlineStr">
        <is>
          <t>72-23-14</t>
        </is>
      </c>
      <c r="F921" s="31" t="inlineStr">
        <is>
          <t>A</t>
        </is>
      </c>
      <c r="G921" s="31" t="inlineStr">
        <is>
          <t>Fan / booster</t>
        </is>
      </c>
      <c r="H921" s="27" t="n">
        <v>520</v>
      </c>
      <c r="I921" s="27" t="n">
        <v>555</v>
      </c>
      <c r="J921" s="154">
        <f>I921/H921-1</f>
        <v/>
      </c>
      <c r="K921" s="31" t="inlineStr">
        <is>
          <t>56</t>
        </is>
      </c>
      <c r="L921" s="31" t="inlineStr">
        <is>
          <t>56</t>
        </is>
      </c>
      <c r="M921" s="31" t="inlineStr">
        <is>
          <t>S1</t>
        </is>
      </c>
      <c r="N921" s="31" t="inlineStr">
        <is>
          <t>S2</t>
        </is>
      </c>
      <c r="O921" s="31" t="inlineStr">
        <is>
          <t>301-360-006-0</t>
        </is>
      </c>
      <c r="P921" s="31" t="inlineStr">
        <is>
          <t>SR Technics Switzerland</t>
        </is>
      </c>
    </row>
    <row r="922">
      <c r="B922" s="31" t="inlineStr">
        <is>
          <t>CFM56-5B</t>
        </is>
      </c>
      <c r="C922" s="31" t="inlineStr">
        <is>
          <t>2024-2025</t>
        </is>
      </c>
      <c r="D922" s="31" t="inlineStr">
        <is>
          <t>624071</t>
        </is>
      </c>
      <c r="E922" s="31" t="inlineStr">
        <is>
          <t>72-23-14</t>
        </is>
      </c>
      <c r="F922" s="31" t="inlineStr">
        <is>
          <t>K</t>
        </is>
      </c>
      <c r="G922" s="31" t="inlineStr">
        <is>
          <t>Fan / booster</t>
        </is>
      </c>
      <c r="H922" s="27" t="n">
        <v>905</v>
      </c>
      <c r="I922" s="27" t="n">
        <v>960</v>
      </c>
      <c r="J922" s="154">
        <f>I922/H922-1</f>
        <v/>
      </c>
      <c r="K922" s="31" t="inlineStr">
        <is>
          <t>56</t>
        </is>
      </c>
      <c r="L922" s="31" t="inlineStr">
        <is>
          <t>56</t>
        </is>
      </c>
      <c r="M922" s="31" t="inlineStr">
        <is>
          <t>S1</t>
        </is>
      </c>
      <c r="N922" s="31" t="inlineStr">
        <is>
          <t>S2</t>
        </is>
      </c>
      <c r="O922" s="31" t="inlineStr">
        <is>
          <t>301-360-006-0</t>
        </is>
      </c>
      <c r="P922" s="31" t="inlineStr">
        <is>
          <t>SR Technics Switzerland</t>
        </is>
      </c>
    </row>
    <row r="923">
      <c r="B923" s="31" t="inlineStr">
        <is>
          <t>CFM56-5B</t>
        </is>
      </c>
      <c r="C923" s="31" t="inlineStr">
        <is>
          <t>2024-2025</t>
        </is>
      </c>
      <c r="D923" s="31" t="inlineStr">
        <is>
          <t>62444</t>
        </is>
      </c>
      <c r="E923" s="31" t="inlineStr">
        <is>
          <t>72-22-15</t>
        </is>
      </c>
      <c r="F923" s="31" t="inlineStr">
        <is>
          <t>A</t>
        </is>
      </c>
      <c r="G923" s="31" t="inlineStr">
        <is>
          <t>Fan / booster</t>
        </is>
      </c>
      <c r="H923" s="27" t="n">
        <v>350</v>
      </c>
      <c r="I923" s="27" t="n">
        <v>375</v>
      </c>
      <c r="J923" s="154">
        <f>I923/H923-1</f>
        <v/>
      </c>
      <c r="K923" s="31" t="inlineStr">
        <is>
          <t>41</t>
        </is>
      </c>
      <c r="L923" s="31" t="inlineStr">
        <is>
          <t>41</t>
        </is>
      </c>
      <c r="M923" s="31" t="inlineStr">
        <is>
          <t>S1</t>
        </is>
      </c>
      <c r="N923" s="31" t="inlineStr">
        <is>
          <t>S2</t>
        </is>
      </c>
      <c r="O923" s="31" t="inlineStr">
        <is>
          <t>301-298-111-0</t>
        </is>
      </c>
      <c r="P923" s="31" t="inlineStr">
        <is>
          <t>SR Technics Switzerland</t>
        </is>
      </c>
    </row>
    <row r="924">
      <c r="B924" s="31" t="inlineStr">
        <is>
          <t>CFM56-5B</t>
        </is>
      </c>
      <c r="C924" s="31" t="inlineStr">
        <is>
          <t>2024-2025</t>
        </is>
      </c>
      <c r="D924" s="31" t="inlineStr">
        <is>
          <t>625809</t>
        </is>
      </c>
      <c r="E924" s="31" t="inlineStr">
        <is>
          <t>73-11-14</t>
        </is>
      </c>
      <c r="F924" s="31" t="inlineStr">
        <is>
          <t>A</t>
        </is>
      </c>
      <c r="G924" s="31" t="inlineStr">
        <is>
          <t>Fuel system</t>
        </is>
      </c>
      <c r="H924" s="27" t="n">
        <v>405</v>
      </c>
      <c r="I924" s="27" t="n">
        <v>430</v>
      </c>
      <c r="J924" s="154">
        <f>I924/H924-1</f>
        <v/>
      </c>
      <c r="K924" s="31" t="inlineStr">
        <is>
          <t>22</t>
        </is>
      </c>
      <c r="L924" s="31" t="inlineStr">
        <is>
          <t>23</t>
        </is>
      </c>
      <c r="M924" s="31" t="inlineStr">
        <is>
          <t>S1</t>
        </is>
      </c>
      <c r="N924" s="31" t="inlineStr">
        <is>
          <t>S2</t>
        </is>
      </c>
      <c r="O924" s="31" t="inlineStr">
        <is>
          <t>217621-1</t>
        </is>
      </c>
      <c r="P924" s="31" t="inlineStr">
        <is>
          <t>SR Technics Switzerland</t>
        </is>
      </c>
    </row>
    <row r="925">
      <c r="B925" s="31" t="inlineStr">
        <is>
          <t>CFM56-5B</t>
        </is>
      </c>
      <c r="C925" s="31" t="inlineStr">
        <is>
          <t>2024-2025</t>
        </is>
      </c>
      <c r="D925" s="31" t="inlineStr">
        <is>
          <t>625809</t>
        </is>
      </c>
      <c r="E925" s="31" t="inlineStr">
        <is>
          <t>73-11-14</t>
        </is>
      </c>
      <c r="F925" s="31" t="inlineStr">
        <is>
          <t>E</t>
        </is>
      </c>
      <c r="G925" s="31" t="inlineStr">
        <is>
          <t>Fuel system</t>
        </is>
      </c>
      <c r="H925" s="27" t="n">
        <v>360</v>
      </c>
      <c r="I925" s="27" t="n">
        <v>385</v>
      </c>
      <c r="J925" s="154">
        <f>I925/H925-1</f>
        <v/>
      </c>
      <c r="K925" s="31" t="inlineStr">
        <is>
          <t>22</t>
        </is>
      </c>
      <c r="L925" s="31" t="inlineStr">
        <is>
          <t>23</t>
        </is>
      </c>
      <c r="M925" s="31" t="inlineStr">
        <is>
          <t>S1</t>
        </is>
      </c>
      <c r="N925" s="31" t="inlineStr">
        <is>
          <t>S2</t>
        </is>
      </c>
      <c r="O925" s="31" t="inlineStr">
        <is>
          <t>217621-1</t>
        </is>
      </c>
      <c r="P925" s="31" t="inlineStr">
        <is>
          <t>SR Technics Switzerland</t>
        </is>
      </c>
    </row>
    <row r="926">
      <c r="B926" s="31" t="inlineStr">
        <is>
          <t>CFM56-5B</t>
        </is>
      </c>
      <c r="C926" s="31" t="inlineStr">
        <is>
          <t>2024-2025</t>
        </is>
      </c>
      <c r="D926" s="31" t="inlineStr">
        <is>
          <t>628689</t>
        </is>
      </c>
      <c r="E926" s="31" t="inlineStr">
        <is>
          <t>24-19-17</t>
        </is>
      </c>
      <c r="F926" s="31" t="inlineStr">
        <is>
          <t>A</t>
        </is>
      </c>
      <c r="G926" s="31" t="inlineStr">
        <is>
          <t>Other / assembly</t>
        </is>
      </c>
      <c r="H926" s="27" t="n">
        <v>680</v>
      </c>
      <c r="I926" s="27" t="n">
        <v>725</v>
      </c>
      <c r="J926" s="154">
        <f>I926/H926-1</f>
        <v/>
      </c>
      <c r="K926" s="31" t="inlineStr">
        <is>
          <t>22</t>
        </is>
      </c>
      <c r="L926" s="31" t="inlineStr">
        <is>
          <t>23</t>
        </is>
      </c>
      <c r="M926" s="31" t="inlineStr">
        <is>
          <t>S1</t>
        </is>
      </c>
      <c r="N926" s="31" t="inlineStr">
        <is>
          <t>S2</t>
        </is>
      </c>
      <c r="O926" s="31" t="inlineStr">
        <is>
          <t>772896</t>
        </is>
      </c>
      <c r="P926" s="31" t="inlineStr">
        <is>
          <t>SR Technics Switzerland</t>
        </is>
      </c>
    </row>
    <row r="927">
      <c r="B927" s="31" t="inlineStr">
        <is>
          <t>CFM56-5B</t>
        </is>
      </c>
      <c r="C927" s="31" t="inlineStr">
        <is>
          <t>2024-2025</t>
        </is>
      </c>
      <c r="D927" s="31" t="inlineStr">
        <is>
          <t>629621</t>
        </is>
      </c>
      <c r="E927" s="31" t="inlineStr">
        <is>
          <t>72-53-05</t>
        </is>
      </c>
      <c r="F927" s="31" t="inlineStr">
        <is>
          <t>A</t>
        </is>
      </c>
      <c r="G927" s="31" t="inlineStr">
        <is>
          <t>HPT / nozzle</t>
        </is>
      </c>
      <c r="H927" s="27" t="n">
        <v>125</v>
      </c>
      <c r="I927" s="27" t="n">
        <v>135</v>
      </c>
      <c r="J927" s="154">
        <f>I927/H927-1</f>
        <v/>
      </c>
      <c r="K927" s="31" t="inlineStr">
        <is>
          <t>57</t>
        </is>
      </c>
      <c r="L927" s="31" t="inlineStr">
        <is>
          <t>57</t>
        </is>
      </c>
      <c r="M927" s="31" t="inlineStr">
        <is>
          <t>S1</t>
        </is>
      </c>
      <c r="N927" s="31" t="inlineStr">
        <is>
          <t>S2</t>
        </is>
      </c>
      <c r="O927" s="31" t="inlineStr">
        <is>
          <t>1522M71P01</t>
        </is>
      </c>
      <c r="P927" s="31" t="inlineStr">
        <is>
          <t>SR Technics Switzerland</t>
        </is>
      </c>
    </row>
    <row r="928">
      <c r="B928" s="31" t="inlineStr">
        <is>
          <t>CFM56-5B</t>
        </is>
      </c>
      <c r="C928" s="31" t="inlineStr">
        <is>
          <t>2024-2025</t>
        </is>
      </c>
      <c r="D928" s="31" t="inlineStr">
        <is>
          <t>629938</t>
        </is>
      </c>
      <c r="E928" s="31" t="inlineStr">
        <is>
          <t>72-32-14</t>
        </is>
      </c>
      <c r="F928" s="31" t="inlineStr">
        <is>
          <t>A</t>
        </is>
      </c>
      <c r="G928" s="31" t="inlineStr">
        <is>
          <t>Compressor</t>
        </is>
      </c>
      <c r="H928" s="27" t="n">
        <v>155</v>
      </c>
      <c r="I928" s="27" t="n">
        <v>165</v>
      </c>
      <c r="J928" s="154">
        <f>I928/H928-1</f>
        <v/>
      </c>
      <c r="K928" s="31" t="inlineStr">
        <is>
          <t>57</t>
        </is>
      </c>
      <c r="L928" s="31" t="inlineStr">
        <is>
          <t>57</t>
        </is>
      </c>
      <c r="M928" s="31" t="inlineStr">
        <is>
          <t>S1</t>
        </is>
      </c>
      <c r="N928" s="31" t="inlineStr">
        <is>
          <t>S2</t>
        </is>
      </c>
      <c r="O928" s="31" t="inlineStr">
        <is>
          <t>1318M40G02</t>
        </is>
      </c>
      <c r="P928" s="31" t="inlineStr">
        <is>
          <t>SR Technics Switzerland</t>
        </is>
      </c>
    </row>
    <row r="929">
      <c r="B929" s="31" t="inlineStr">
        <is>
          <t>CFM56-5B</t>
        </is>
      </c>
      <c r="C929" s="31" t="inlineStr">
        <is>
          <t>2024-2025</t>
        </is>
      </c>
      <c r="D929" s="31" t="inlineStr">
        <is>
          <t>629938</t>
        </is>
      </c>
      <c r="E929" s="31" t="inlineStr">
        <is>
          <t>72-32-14</t>
        </is>
      </c>
      <c r="F929" s="31" t="inlineStr">
        <is>
          <t>B</t>
        </is>
      </c>
      <c r="G929" s="31" t="inlineStr">
        <is>
          <t>Compressor</t>
        </is>
      </c>
      <c r="H929" s="27" t="n">
        <v>315</v>
      </c>
      <c r="I929" s="27" t="n">
        <v>335</v>
      </c>
      <c r="J929" s="154">
        <f>I929/H929-1</f>
        <v/>
      </c>
      <c r="K929" s="31" t="inlineStr">
        <is>
          <t>57</t>
        </is>
      </c>
      <c r="L929" s="31" t="inlineStr">
        <is>
          <t>57</t>
        </is>
      </c>
      <c r="M929" s="31" t="inlineStr">
        <is>
          <t>S1</t>
        </is>
      </c>
      <c r="N929" s="31" t="inlineStr">
        <is>
          <t>S2</t>
        </is>
      </c>
      <c r="O929" s="31" t="inlineStr">
        <is>
          <t>1318M40G02</t>
        </is>
      </c>
      <c r="P929" s="31" t="inlineStr">
        <is>
          <t>SR Technics Switzerland</t>
        </is>
      </c>
    </row>
    <row r="930">
      <c r="B930" s="31" t="inlineStr">
        <is>
          <t>CFM56-5B</t>
        </is>
      </c>
      <c r="C930" s="31" t="inlineStr">
        <is>
          <t>2024-2025</t>
        </is>
      </c>
      <c r="D930" s="31" t="inlineStr">
        <is>
          <t>629938</t>
        </is>
      </c>
      <c r="E930" s="31" t="inlineStr">
        <is>
          <t>72-32-14</t>
        </is>
      </c>
      <c r="F930" s="31" t="inlineStr">
        <is>
          <t>C</t>
        </is>
      </c>
      <c r="G930" s="31" t="inlineStr">
        <is>
          <t>Compressor</t>
        </is>
      </c>
      <c r="H930" s="27" t="n">
        <v>525</v>
      </c>
      <c r="I930" s="27" t="n">
        <v>560</v>
      </c>
      <c r="J930" s="154">
        <f>I930/H930-1</f>
        <v/>
      </c>
      <c r="K930" s="31" t="inlineStr">
        <is>
          <t>57</t>
        </is>
      </c>
      <c r="L930" s="31" t="inlineStr">
        <is>
          <t>57</t>
        </is>
      </c>
      <c r="M930" s="31" t="inlineStr">
        <is>
          <t>S1</t>
        </is>
      </c>
      <c r="N930" s="31" t="inlineStr">
        <is>
          <t>S2</t>
        </is>
      </c>
      <c r="O930" s="31" t="inlineStr">
        <is>
          <t>1318M40G02</t>
        </is>
      </c>
      <c r="P930" s="31" t="inlineStr">
        <is>
          <t>SR Technics Switzerland</t>
        </is>
      </c>
    </row>
    <row r="931">
      <c r="B931" s="31" t="inlineStr">
        <is>
          <t>CFM56-5B</t>
        </is>
      </c>
      <c r="C931" s="31" t="inlineStr">
        <is>
          <t>2024-2025</t>
        </is>
      </c>
      <c r="D931" s="31" t="inlineStr">
        <is>
          <t>630864</t>
        </is>
      </c>
      <c r="E931" s="31" t="inlineStr">
        <is>
          <t>72-42-02</t>
        </is>
      </c>
      <c r="F931" s="31" t="inlineStr">
        <is>
          <t>A</t>
        </is>
      </c>
      <c r="G931" s="31" t="inlineStr">
        <is>
          <t>Combustor</t>
        </is>
      </c>
      <c r="H931" s="27" t="n">
        <v>875</v>
      </c>
      <c r="I931" s="27" t="n">
        <v>930</v>
      </c>
      <c r="J931" s="154">
        <f>I931/H931-1</f>
        <v/>
      </c>
      <c r="K931" s="31" t="inlineStr">
        <is>
          <t>22</t>
        </is>
      </c>
      <c r="L931" s="31" t="inlineStr">
        <is>
          <t>23</t>
        </is>
      </c>
      <c r="M931" s="31" t="inlineStr">
        <is>
          <t>S1</t>
        </is>
      </c>
      <c r="N931" s="31" t="inlineStr">
        <is>
          <t>S2</t>
        </is>
      </c>
      <c r="O931" s="31" t="inlineStr">
        <is>
          <t>1561M26G01</t>
        </is>
      </c>
      <c r="P931" s="31" t="inlineStr">
        <is>
          <t>SR Technics Switzerland</t>
        </is>
      </c>
    </row>
    <row r="932">
      <c r="B932" s="31" t="inlineStr">
        <is>
          <t>CFM56-5B</t>
        </is>
      </c>
      <c r="C932" s="31" t="inlineStr">
        <is>
          <t>2024-2025</t>
        </is>
      </c>
      <c r="D932" s="31" t="inlineStr">
        <is>
          <t>630864</t>
        </is>
      </c>
      <c r="E932" s="31" t="inlineStr">
        <is>
          <t>72-42-02</t>
        </is>
      </c>
      <c r="F932" s="31" t="inlineStr">
        <is>
          <t>B</t>
        </is>
      </c>
      <c r="G932" s="31" t="inlineStr">
        <is>
          <t>Combustor</t>
        </is>
      </c>
      <c r="H932" s="27" t="n">
        <v>2160</v>
      </c>
      <c r="I932" s="27" t="n">
        <v>2290</v>
      </c>
      <c r="J932" s="154">
        <f>I932/H932-1</f>
        <v/>
      </c>
      <c r="K932" s="31" t="inlineStr">
        <is>
          <t>22</t>
        </is>
      </c>
      <c r="L932" s="31" t="inlineStr">
        <is>
          <t>23</t>
        </is>
      </c>
      <c r="M932" s="31" t="inlineStr">
        <is>
          <t>S1</t>
        </is>
      </c>
      <c r="N932" s="31" t="inlineStr">
        <is>
          <t>S2</t>
        </is>
      </c>
      <c r="O932" s="31" t="inlineStr">
        <is>
          <t>1561M26G01</t>
        </is>
      </c>
      <c r="P932" s="31" t="inlineStr">
        <is>
          <t>SR Technics Switzerland</t>
        </is>
      </c>
    </row>
    <row r="933">
      <c r="B933" s="31" t="inlineStr">
        <is>
          <t>CFM56-5B</t>
        </is>
      </c>
      <c r="C933" s="31" t="inlineStr">
        <is>
          <t>2024-2025</t>
        </is>
      </c>
      <c r="D933" s="31" t="inlineStr">
        <is>
          <t>630864</t>
        </is>
      </c>
      <c r="E933" s="31" t="inlineStr">
        <is>
          <t>72-42-02</t>
        </is>
      </c>
      <c r="F933" s="31" t="inlineStr">
        <is>
          <t>F</t>
        </is>
      </c>
      <c r="G933" s="31" t="inlineStr">
        <is>
          <t>Combustor</t>
        </is>
      </c>
      <c r="H933" s="27" t="n">
        <v>10495</v>
      </c>
      <c r="I933" s="27" t="n">
        <v>11125</v>
      </c>
      <c r="J933" s="154">
        <f>I933/H933-1</f>
        <v/>
      </c>
      <c r="K933" s="31" t="inlineStr">
        <is>
          <t>22</t>
        </is>
      </c>
      <c r="L933" s="31" t="inlineStr">
        <is>
          <t>23</t>
        </is>
      </c>
      <c r="M933" s="31" t="inlineStr">
        <is>
          <t>S1</t>
        </is>
      </c>
      <c r="N933" s="31" t="inlineStr">
        <is>
          <t>S2</t>
        </is>
      </c>
      <c r="O933" s="31" t="inlineStr">
        <is>
          <t>1561M26G01</t>
        </is>
      </c>
      <c r="P933" s="31" t="inlineStr">
        <is>
          <t>SR Technics Switzerland</t>
        </is>
      </c>
    </row>
    <row r="934">
      <c r="B934" s="31" t="inlineStr">
        <is>
          <t>CFM56-5B</t>
        </is>
      </c>
      <c r="C934" s="31" t="inlineStr">
        <is>
          <t>2024-2025</t>
        </is>
      </c>
      <c r="D934" s="31" t="inlineStr">
        <is>
          <t>630864</t>
        </is>
      </c>
      <c r="E934" s="31" t="inlineStr">
        <is>
          <t>72-42-02</t>
        </is>
      </c>
      <c r="F934" s="31" t="inlineStr">
        <is>
          <t>G</t>
        </is>
      </c>
      <c r="G934" s="31" t="inlineStr">
        <is>
          <t>Combustor</t>
        </is>
      </c>
      <c r="H934" s="27" t="n">
        <v>5400</v>
      </c>
      <c r="I934" s="27" t="n">
        <v>5725</v>
      </c>
      <c r="J934" s="154">
        <f>I934/H934-1</f>
        <v/>
      </c>
      <c r="K934" s="31" t="inlineStr">
        <is>
          <t>22</t>
        </is>
      </c>
      <c r="L934" s="31" t="inlineStr">
        <is>
          <t>23</t>
        </is>
      </c>
      <c r="M934" s="31" t="inlineStr">
        <is>
          <t>S1</t>
        </is>
      </c>
      <c r="N934" s="31" t="inlineStr">
        <is>
          <t>S2</t>
        </is>
      </c>
      <c r="O934" s="31" t="inlineStr">
        <is>
          <t>1561M26G01</t>
        </is>
      </c>
      <c r="P934" s="31" t="inlineStr">
        <is>
          <t>SR Technics Switzerland</t>
        </is>
      </c>
    </row>
    <row r="935">
      <c r="B935" s="31" t="inlineStr">
        <is>
          <t>CFM56-5B</t>
        </is>
      </c>
      <c r="C935" s="31" t="inlineStr">
        <is>
          <t>2024-2025</t>
        </is>
      </c>
      <c r="D935" s="31" t="inlineStr">
        <is>
          <t>630864</t>
        </is>
      </c>
      <c r="E935" s="31" t="inlineStr">
        <is>
          <t>72-42-02</t>
        </is>
      </c>
      <c r="F935" s="31" t="inlineStr">
        <is>
          <t>K</t>
        </is>
      </c>
      <c r="G935" s="31" t="inlineStr">
        <is>
          <t>Combustor</t>
        </is>
      </c>
      <c r="H935" s="27" t="n">
        <v>5330</v>
      </c>
      <c r="I935" s="27" t="n">
        <v>5650</v>
      </c>
      <c r="J935" s="154">
        <f>I935/H935-1</f>
        <v/>
      </c>
      <c r="K935" s="31" t="inlineStr">
        <is>
          <t>22</t>
        </is>
      </c>
      <c r="L935" s="31" t="inlineStr">
        <is>
          <t>23</t>
        </is>
      </c>
      <c r="M935" s="31" t="inlineStr">
        <is>
          <t>S1</t>
        </is>
      </c>
      <c r="N935" s="31" t="inlineStr">
        <is>
          <t>S2</t>
        </is>
      </c>
      <c r="O935" s="31" t="inlineStr">
        <is>
          <t>1561M26G01</t>
        </is>
      </c>
      <c r="P935" s="31" t="inlineStr">
        <is>
          <t>SR Technics Switzerland</t>
        </is>
      </c>
    </row>
    <row r="936">
      <c r="B936" s="31" t="inlineStr">
        <is>
          <t>CFM56-5B</t>
        </is>
      </c>
      <c r="C936" s="31" t="inlineStr">
        <is>
          <t>2024-2025</t>
        </is>
      </c>
      <c r="D936" s="31" t="inlineStr">
        <is>
          <t>630864</t>
        </is>
      </c>
      <c r="E936" s="31" t="inlineStr">
        <is>
          <t>72-42-02</t>
        </is>
      </c>
      <c r="F936" s="31" t="inlineStr">
        <is>
          <t>M</t>
        </is>
      </c>
      <c r="G936" s="31" t="inlineStr">
        <is>
          <t>Combustor</t>
        </is>
      </c>
      <c r="H936" s="27" t="n">
        <v>5965</v>
      </c>
      <c r="I936" s="27" t="n">
        <v>6325</v>
      </c>
      <c r="J936" s="154">
        <f>I936/H936-1</f>
        <v/>
      </c>
      <c r="K936" s="31" t="inlineStr">
        <is>
          <t>22</t>
        </is>
      </c>
      <c r="L936" s="31" t="inlineStr">
        <is>
          <t>23</t>
        </is>
      </c>
      <c r="M936" s="31" t="inlineStr">
        <is>
          <t>S1</t>
        </is>
      </c>
      <c r="N936" s="31" t="inlineStr">
        <is>
          <t>S2</t>
        </is>
      </c>
      <c r="O936" s="31" t="inlineStr">
        <is>
          <t>1561M26G01</t>
        </is>
      </c>
      <c r="P936" s="31" t="inlineStr">
        <is>
          <t>SR Technics Switzerland</t>
        </is>
      </c>
    </row>
    <row r="937">
      <c r="B937" s="31" t="inlineStr">
        <is>
          <t>CFM56-5B</t>
        </is>
      </c>
      <c r="C937" s="31" t="inlineStr">
        <is>
          <t>2024-2025</t>
        </is>
      </c>
      <c r="D937" s="31" t="inlineStr">
        <is>
          <t>630864</t>
        </is>
      </c>
      <c r="E937" s="31" t="inlineStr">
        <is>
          <t>72-42-02</t>
        </is>
      </c>
      <c r="F937" s="31" t="inlineStr">
        <is>
          <t>O</t>
        </is>
      </c>
      <c r="G937" s="31" t="inlineStr">
        <is>
          <t>Combustor</t>
        </is>
      </c>
      <c r="H937" s="27" t="n">
        <v>7300</v>
      </c>
      <c r="I937" s="27" t="n">
        <v>7740</v>
      </c>
      <c r="J937" s="154">
        <f>I937/H937-1</f>
        <v/>
      </c>
      <c r="K937" s="31" t="inlineStr">
        <is>
          <t>22</t>
        </is>
      </c>
      <c r="L937" s="31" t="inlineStr">
        <is>
          <t>23</t>
        </is>
      </c>
      <c r="M937" s="31" t="inlineStr">
        <is>
          <t>S1</t>
        </is>
      </c>
      <c r="N937" s="31" t="inlineStr">
        <is>
          <t>S2</t>
        </is>
      </c>
      <c r="O937" s="31" t="inlineStr">
        <is>
          <t>1561M26G01</t>
        </is>
      </c>
      <c r="P937" s="31" t="inlineStr">
        <is>
          <t>SR Technics Switzerland</t>
        </is>
      </c>
    </row>
    <row r="938">
      <c r="B938" s="31" t="inlineStr">
        <is>
          <t>CFM56-5B</t>
        </is>
      </c>
      <c r="C938" s="31" t="inlineStr">
        <is>
          <t>2024-2025</t>
        </is>
      </c>
      <c r="D938" s="31" t="inlineStr">
        <is>
          <t>630864</t>
        </is>
      </c>
      <c r="E938" s="31" t="inlineStr">
        <is>
          <t>72-42-02</t>
        </is>
      </c>
      <c r="F938" s="31" t="inlineStr">
        <is>
          <t>Q</t>
        </is>
      </c>
      <c r="G938" s="31" t="inlineStr">
        <is>
          <t>Combustor</t>
        </is>
      </c>
      <c r="H938" s="27" t="n">
        <v>4140</v>
      </c>
      <c r="I938" s="27" t="n">
        <v>4390</v>
      </c>
      <c r="J938" s="154">
        <f>I938/H938-1</f>
        <v/>
      </c>
      <c r="K938" s="31" t="inlineStr">
        <is>
          <t>22</t>
        </is>
      </c>
      <c r="L938" s="31" t="inlineStr">
        <is>
          <t>23</t>
        </is>
      </c>
      <c r="M938" s="31" t="inlineStr">
        <is>
          <t>S1</t>
        </is>
      </c>
      <c r="N938" s="31" t="inlineStr">
        <is>
          <t>S2</t>
        </is>
      </c>
      <c r="O938" s="31" t="inlineStr">
        <is>
          <t>1561M26G01</t>
        </is>
      </c>
      <c r="P938" s="31" t="inlineStr">
        <is>
          <t>SR Technics Switzerland</t>
        </is>
      </c>
    </row>
    <row r="939">
      <c r="B939" s="31" t="inlineStr">
        <is>
          <t>CFM56-5B</t>
        </is>
      </c>
      <c r="C939" s="31" t="inlineStr">
        <is>
          <t>2024-2025</t>
        </is>
      </c>
      <c r="D939" s="31" t="inlineStr">
        <is>
          <t>630864</t>
        </is>
      </c>
      <c r="E939" s="31" t="inlineStr">
        <is>
          <t>72-42-02</t>
        </is>
      </c>
      <c r="F939" s="31" t="inlineStr">
        <is>
          <t>R</t>
        </is>
      </c>
      <c r="G939" s="31" t="inlineStr">
        <is>
          <t>Combustor</t>
        </is>
      </c>
      <c r="H939" s="27" t="n">
        <v>2285</v>
      </c>
      <c r="I939" s="27" t="n">
        <v>2425</v>
      </c>
      <c r="J939" s="154">
        <f>I939/H939-1</f>
        <v/>
      </c>
      <c r="K939" s="31" t="inlineStr">
        <is>
          <t>22</t>
        </is>
      </c>
      <c r="L939" s="31" t="inlineStr">
        <is>
          <t>23</t>
        </is>
      </c>
      <c r="M939" s="31" t="inlineStr">
        <is>
          <t>S1</t>
        </is>
      </c>
      <c r="N939" s="31" t="inlineStr">
        <is>
          <t>S2</t>
        </is>
      </c>
      <c r="O939" s="31" t="inlineStr">
        <is>
          <t>1561M26G01</t>
        </is>
      </c>
      <c r="P939" s="31" t="inlineStr">
        <is>
          <t>SR Technics Switzerland</t>
        </is>
      </c>
    </row>
    <row r="940">
      <c r="B940" s="31" t="inlineStr">
        <is>
          <t>CFM56-5B</t>
        </is>
      </c>
      <c r="C940" s="31" t="inlineStr">
        <is>
          <t>2024-2025</t>
        </is>
      </c>
      <c r="D940" s="31" t="inlineStr">
        <is>
          <t>630864</t>
        </is>
      </c>
      <c r="E940" s="31" t="inlineStr">
        <is>
          <t>72-42-02</t>
        </is>
      </c>
      <c r="F940" s="31" t="inlineStr">
        <is>
          <t>S</t>
        </is>
      </c>
      <c r="G940" s="31" t="inlineStr">
        <is>
          <t>Combustor</t>
        </is>
      </c>
      <c r="H940" s="27" t="n">
        <v>3180</v>
      </c>
      <c r="I940" s="27" t="n">
        <v>3375</v>
      </c>
      <c r="J940" s="154">
        <f>I940/H940-1</f>
        <v/>
      </c>
      <c r="K940" s="31" t="inlineStr">
        <is>
          <t>22</t>
        </is>
      </c>
      <c r="L940" s="31" t="inlineStr">
        <is>
          <t>23</t>
        </is>
      </c>
      <c r="M940" s="31" t="inlineStr">
        <is>
          <t>S1</t>
        </is>
      </c>
      <c r="N940" s="31" t="inlineStr">
        <is>
          <t>S2</t>
        </is>
      </c>
      <c r="O940" s="31" t="inlineStr">
        <is>
          <t>1561M26G01</t>
        </is>
      </c>
      <c r="P940" s="31" t="inlineStr">
        <is>
          <t>SR Technics Switzerland</t>
        </is>
      </c>
    </row>
    <row r="941">
      <c r="B941" s="31" t="inlineStr">
        <is>
          <t>CFM56-5B</t>
        </is>
      </c>
      <c r="C941" s="31" t="inlineStr">
        <is>
          <t>2024-2025</t>
        </is>
      </c>
      <c r="D941" s="31" t="inlineStr">
        <is>
          <t>630864</t>
        </is>
      </c>
      <c r="E941" s="31" t="inlineStr">
        <is>
          <t>72-42-02</t>
        </is>
      </c>
      <c r="F941" s="31" t="inlineStr">
        <is>
          <t>SB00</t>
        </is>
      </c>
      <c r="G941" s="31" t="inlineStr">
        <is>
          <t>Combustor</t>
        </is>
      </c>
      <c r="H941" s="27" t="n">
        <v>7300</v>
      </c>
      <c r="I941" s="27" t="n">
        <v>7740</v>
      </c>
      <c r="J941" s="154">
        <f>I941/H941-1</f>
        <v/>
      </c>
      <c r="K941" s="31" t="inlineStr">
        <is>
          <t>23</t>
        </is>
      </c>
      <c r="L941" s="31" t="inlineStr">
        <is>
          <t>23</t>
        </is>
      </c>
      <c r="M941" s="31" t="inlineStr">
        <is>
          <t>S1</t>
        </is>
      </c>
      <c r="N941" s="31" t="inlineStr">
        <is>
          <t>S2</t>
        </is>
      </c>
      <c r="O941" s="31" t="inlineStr">
        <is>
          <t>1561M26G01</t>
        </is>
      </c>
      <c r="P941" s="31" t="inlineStr">
        <is>
          <t>SR Technics Switzerland</t>
        </is>
      </c>
    </row>
    <row r="942">
      <c r="B942" s="31" t="inlineStr">
        <is>
          <t>CFM56-5B</t>
        </is>
      </c>
      <c r="C942" s="31" t="inlineStr">
        <is>
          <t>2024-2025</t>
        </is>
      </c>
      <c r="D942" s="31" t="inlineStr">
        <is>
          <t>631146</t>
        </is>
      </c>
      <c r="E942" s="31" t="inlineStr">
        <is>
          <t>72-42-03</t>
        </is>
      </c>
      <c r="F942" s="31" t="inlineStr">
        <is>
          <t>A</t>
        </is>
      </c>
      <c r="G942" s="31" t="inlineStr">
        <is>
          <t>Combustor</t>
        </is>
      </c>
      <c r="H942" s="27" t="n">
        <v>475</v>
      </c>
      <c r="I942" s="27" t="n">
        <v>505</v>
      </c>
      <c r="J942" s="154">
        <f>I942/H942-1</f>
        <v/>
      </c>
      <c r="K942" s="31" t="inlineStr">
        <is>
          <t>23</t>
        </is>
      </c>
      <c r="L942" s="31" t="inlineStr">
        <is>
          <t>23</t>
        </is>
      </c>
      <c r="M942" s="31" t="inlineStr">
        <is>
          <t>S1</t>
        </is>
      </c>
      <c r="N942" s="31" t="inlineStr">
        <is>
          <t>S2</t>
        </is>
      </c>
      <c r="O942" s="31" t="inlineStr">
        <is>
          <t>1317M57G02</t>
        </is>
      </c>
      <c r="P942" s="31" t="inlineStr">
        <is>
          <t>SR Technics Switzerland</t>
        </is>
      </c>
    </row>
    <row r="943">
      <c r="B943" s="31" t="inlineStr">
        <is>
          <t>CFM56-5B</t>
        </is>
      </c>
      <c r="C943" s="31" t="inlineStr">
        <is>
          <t>2024-2025</t>
        </is>
      </c>
      <c r="D943" s="31" t="inlineStr">
        <is>
          <t>631146</t>
        </is>
      </c>
      <c r="E943" s="31" t="inlineStr">
        <is>
          <t>72-42-03</t>
        </is>
      </c>
      <c r="F943" s="31" t="inlineStr">
        <is>
          <t>AN</t>
        </is>
      </c>
      <c r="G943" s="31" t="inlineStr">
        <is>
          <t>Combustor</t>
        </is>
      </c>
      <c r="H943" s="27" t="n">
        <v>3055</v>
      </c>
      <c r="I943" s="27" t="n">
        <v>3240</v>
      </c>
      <c r="J943" s="154">
        <f>I943/H943-1</f>
        <v/>
      </c>
      <c r="K943" s="31" t="inlineStr">
        <is>
          <t>23</t>
        </is>
      </c>
      <c r="L943" s="31" t="inlineStr">
        <is>
          <t>23</t>
        </is>
      </c>
      <c r="M943" s="31" t="inlineStr">
        <is>
          <t>S1</t>
        </is>
      </c>
      <c r="N943" s="31" t="inlineStr">
        <is>
          <t>S2</t>
        </is>
      </c>
      <c r="O943" s="31" t="inlineStr">
        <is>
          <t>1317M57G02</t>
        </is>
      </c>
      <c r="P943" s="31" t="inlineStr">
        <is>
          <t>SR Technics Switzerland</t>
        </is>
      </c>
    </row>
    <row r="944">
      <c r="B944" s="31" t="inlineStr">
        <is>
          <t>CFM56-5B</t>
        </is>
      </c>
      <c r="C944" s="31" t="inlineStr">
        <is>
          <t>2024-2025</t>
        </is>
      </c>
      <c r="D944" s="31" t="inlineStr">
        <is>
          <t>631146</t>
        </is>
      </c>
      <c r="E944" s="31" t="inlineStr">
        <is>
          <t>72-42-03</t>
        </is>
      </c>
      <c r="F944" s="31" t="inlineStr">
        <is>
          <t>C</t>
        </is>
      </c>
      <c r="G944" s="31" t="inlineStr">
        <is>
          <t>Combustor</t>
        </is>
      </c>
      <c r="H944" s="27" t="n">
        <v>3880</v>
      </c>
      <c r="I944" s="27" t="n">
        <v>4115</v>
      </c>
      <c r="J944" s="154">
        <f>I944/H944-1</f>
        <v/>
      </c>
      <c r="K944" s="31" t="inlineStr">
        <is>
          <t>23</t>
        </is>
      </c>
      <c r="L944" s="31" t="inlineStr">
        <is>
          <t>23</t>
        </is>
      </c>
      <c r="M944" s="31" t="inlineStr">
        <is>
          <t>S1</t>
        </is>
      </c>
      <c r="N944" s="31" t="inlineStr">
        <is>
          <t>S2</t>
        </is>
      </c>
      <c r="O944" s="31" t="inlineStr">
        <is>
          <t>1317M57G02</t>
        </is>
      </c>
      <c r="P944" s="31" t="inlineStr">
        <is>
          <t>SR Technics Switzerland</t>
        </is>
      </c>
    </row>
    <row r="945">
      <c r="B945" s="31" t="inlineStr">
        <is>
          <t>CFM56-5B</t>
        </is>
      </c>
      <c r="C945" s="31" t="inlineStr">
        <is>
          <t>2024-2025</t>
        </is>
      </c>
      <c r="D945" s="31" t="inlineStr">
        <is>
          <t>631146</t>
        </is>
      </c>
      <c r="E945" s="31" t="inlineStr">
        <is>
          <t>72-42-03</t>
        </is>
      </c>
      <c r="F945" s="31" t="inlineStr">
        <is>
          <t>I</t>
        </is>
      </c>
      <c r="G945" s="31" t="inlineStr">
        <is>
          <t>Combustor</t>
        </is>
      </c>
      <c r="H945" s="27" t="n">
        <v>3055</v>
      </c>
      <c r="I945" s="27" t="n">
        <v>3240</v>
      </c>
      <c r="J945" s="154">
        <f>I945/H945-1</f>
        <v/>
      </c>
      <c r="K945" s="31" t="inlineStr">
        <is>
          <t>23</t>
        </is>
      </c>
      <c r="L945" s="31" t="inlineStr">
        <is>
          <t>23</t>
        </is>
      </c>
      <c r="M945" s="31" t="inlineStr">
        <is>
          <t>S1</t>
        </is>
      </c>
      <c r="N945" s="31" t="inlineStr">
        <is>
          <t>S2</t>
        </is>
      </c>
      <c r="O945" s="31" t="inlineStr">
        <is>
          <t>1317M57G02</t>
        </is>
      </c>
      <c r="P945" s="31" t="inlineStr">
        <is>
          <t>SR Technics Switzerland</t>
        </is>
      </c>
    </row>
    <row r="946">
      <c r="B946" s="31" t="inlineStr">
        <is>
          <t>CFM56-5B</t>
        </is>
      </c>
      <c r="C946" s="31" t="inlineStr">
        <is>
          <t>2024-2025</t>
        </is>
      </c>
      <c r="D946" s="31" t="inlineStr">
        <is>
          <t>631146</t>
        </is>
      </c>
      <c r="E946" s="31" t="inlineStr">
        <is>
          <t>72-42-03</t>
        </is>
      </c>
      <c r="F946" s="31" t="inlineStr">
        <is>
          <t>K</t>
        </is>
      </c>
      <c r="G946" s="31" t="inlineStr">
        <is>
          <t>Combustor</t>
        </is>
      </c>
      <c r="H946" s="27" t="n">
        <v>13125</v>
      </c>
      <c r="I946" s="27" t="n">
        <v>13915</v>
      </c>
      <c r="J946" s="154">
        <f>I946/H946-1</f>
        <v/>
      </c>
      <c r="K946" s="31" t="inlineStr">
        <is>
          <t>23</t>
        </is>
      </c>
      <c r="L946" s="31" t="inlineStr">
        <is>
          <t>23</t>
        </is>
      </c>
      <c r="M946" s="31" t="inlineStr">
        <is>
          <t>S1</t>
        </is>
      </c>
      <c r="N946" s="31" t="inlineStr">
        <is>
          <t>S2</t>
        </is>
      </c>
      <c r="O946" s="31" t="inlineStr">
        <is>
          <t>1317M57G02</t>
        </is>
      </c>
      <c r="P946" s="31" t="inlineStr">
        <is>
          <t>SR Technics Switzerland</t>
        </is>
      </c>
    </row>
    <row r="947">
      <c r="B947" s="31" t="inlineStr">
        <is>
          <t>CFM56-5B</t>
        </is>
      </c>
      <c r="C947" s="31" t="inlineStr">
        <is>
          <t>2024-2025</t>
        </is>
      </c>
      <c r="D947" s="31" t="inlineStr">
        <is>
          <t>631146</t>
        </is>
      </c>
      <c r="E947" s="31" t="inlineStr">
        <is>
          <t>72-42-03</t>
        </is>
      </c>
      <c r="F947" s="31" t="inlineStr">
        <is>
          <t>M</t>
        </is>
      </c>
      <c r="G947" s="31" t="inlineStr">
        <is>
          <t>Combustor</t>
        </is>
      </c>
      <c r="H947" s="27" t="n">
        <v>1270</v>
      </c>
      <c r="I947" s="27" t="n">
        <v>1350</v>
      </c>
      <c r="J947" s="154">
        <f>I947/H947-1</f>
        <v/>
      </c>
      <c r="K947" s="31" t="inlineStr">
        <is>
          <t>23</t>
        </is>
      </c>
      <c r="L947" s="31" t="inlineStr">
        <is>
          <t>23</t>
        </is>
      </c>
      <c r="M947" s="31" t="inlineStr">
        <is>
          <t>S1</t>
        </is>
      </c>
      <c r="N947" s="31" t="inlineStr">
        <is>
          <t>S2</t>
        </is>
      </c>
      <c r="O947" s="31" t="inlineStr">
        <is>
          <t>1317M57G02</t>
        </is>
      </c>
      <c r="P947" s="31" t="inlineStr">
        <is>
          <t>SR Technics Switzerland</t>
        </is>
      </c>
    </row>
    <row r="948">
      <c r="B948" s="31" t="inlineStr">
        <is>
          <t>CFM56-5B</t>
        </is>
      </c>
      <c r="C948" s="31" t="inlineStr">
        <is>
          <t>2024-2025</t>
        </is>
      </c>
      <c r="D948" s="31" t="inlineStr">
        <is>
          <t>631146</t>
        </is>
      </c>
      <c r="E948" s="31" t="inlineStr">
        <is>
          <t>72-42-03</t>
        </is>
      </c>
      <c r="F948" s="31" t="inlineStr">
        <is>
          <t>N</t>
        </is>
      </c>
      <c r="G948" s="31" t="inlineStr">
        <is>
          <t>Combustor</t>
        </is>
      </c>
      <c r="H948" s="27" t="n">
        <v>8325</v>
      </c>
      <c r="I948" s="27" t="n">
        <v>8825</v>
      </c>
      <c r="J948" s="154">
        <f>I948/H948-1</f>
        <v/>
      </c>
      <c r="K948" s="31" t="inlineStr">
        <is>
          <t>23</t>
        </is>
      </c>
      <c r="L948" s="31" t="inlineStr">
        <is>
          <t>23</t>
        </is>
      </c>
      <c r="M948" s="31" t="inlineStr">
        <is>
          <t>S1</t>
        </is>
      </c>
      <c r="N948" s="31" t="inlineStr">
        <is>
          <t>S2</t>
        </is>
      </c>
      <c r="O948" s="31" t="inlineStr">
        <is>
          <t>1317M57G02</t>
        </is>
      </c>
      <c r="P948" s="31" t="inlineStr">
        <is>
          <t>SR Technics Switzerland</t>
        </is>
      </c>
    </row>
    <row r="949">
      <c r="B949" s="31" t="inlineStr">
        <is>
          <t>CFM56-5B</t>
        </is>
      </c>
      <c r="C949" s="31" t="inlineStr">
        <is>
          <t>2024-2025</t>
        </is>
      </c>
      <c r="D949" s="31" t="inlineStr">
        <is>
          <t>631146</t>
        </is>
      </c>
      <c r="E949" s="31" t="inlineStr">
        <is>
          <t>72-42-03</t>
        </is>
      </c>
      <c r="F949" s="31" t="inlineStr">
        <is>
          <t>P</t>
        </is>
      </c>
      <c r="G949" s="31" t="inlineStr">
        <is>
          <t>Combustor</t>
        </is>
      </c>
      <c r="H949" s="27" t="n">
        <v>4135</v>
      </c>
      <c r="I949" s="27" t="n">
        <v>4385</v>
      </c>
      <c r="J949" s="154">
        <f>I949/H949-1</f>
        <v/>
      </c>
      <c r="K949" s="31" t="inlineStr">
        <is>
          <t>23</t>
        </is>
      </c>
      <c r="L949" s="31" t="inlineStr">
        <is>
          <t>23</t>
        </is>
      </c>
      <c r="M949" s="31" t="inlineStr">
        <is>
          <t>S1</t>
        </is>
      </c>
      <c r="N949" s="31" t="inlineStr">
        <is>
          <t>S2</t>
        </is>
      </c>
      <c r="O949" s="31" t="inlineStr">
        <is>
          <t>1317M57G02</t>
        </is>
      </c>
      <c r="P949" s="31" t="inlineStr">
        <is>
          <t>SR Technics Switzerland</t>
        </is>
      </c>
    </row>
    <row r="950">
      <c r="B950" s="31" t="inlineStr">
        <is>
          <t>CFM56-5B</t>
        </is>
      </c>
      <c r="C950" s="31" t="inlineStr">
        <is>
          <t>2024-2025</t>
        </is>
      </c>
      <c r="D950" s="31" t="inlineStr">
        <is>
          <t>631146</t>
        </is>
      </c>
      <c r="E950" s="31" t="inlineStr">
        <is>
          <t>72-42-03</t>
        </is>
      </c>
      <c r="F950" s="31" t="inlineStr">
        <is>
          <t>SB00</t>
        </is>
      </c>
      <c r="G950" s="31" t="inlineStr">
        <is>
          <t>Combustor</t>
        </is>
      </c>
      <c r="H950" s="27" t="n">
        <v>2360</v>
      </c>
      <c r="I950" s="27" t="n">
        <v>2505</v>
      </c>
      <c r="J950" s="154">
        <f>I950/H950-1</f>
        <v/>
      </c>
      <c r="K950" s="31" t="inlineStr">
        <is>
          <t>23</t>
        </is>
      </c>
      <c r="L950" s="31" t="inlineStr">
        <is>
          <t>23</t>
        </is>
      </c>
      <c r="M950" s="31" t="inlineStr">
        <is>
          <t>S1</t>
        </is>
      </c>
      <c r="N950" s="31" t="inlineStr">
        <is>
          <t>S2</t>
        </is>
      </c>
      <c r="O950" s="31" t="inlineStr">
        <is>
          <t>1317M57G02</t>
        </is>
      </c>
      <c r="P950" s="31" t="inlineStr">
        <is>
          <t>SR Technics Switzerland</t>
        </is>
      </c>
    </row>
    <row r="951">
      <c r="B951" s="31" t="inlineStr">
        <is>
          <t>CFM56-5B</t>
        </is>
      </c>
      <c r="C951" s="31" t="inlineStr">
        <is>
          <t>2024-2025</t>
        </is>
      </c>
      <c r="D951" s="31" t="inlineStr">
        <is>
          <t>631146</t>
        </is>
      </c>
      <c r="E951" s="31" t="inlineStr">
        <is>
          <t>72-42-03</t>
        </is>
      </c>
      <c r="F951" s="31" t="inlineStr">
        <is>
          <t>SB03</t>
        </is>
      </c>
      <c r="G951" s="31" t="inlineStr">
        <is>
          <t>Combustor</t>
        </is>
      </c>
      <c r="H951" s="27" t="n">
        <v>510</v>
      </c>
      <c r="I951" s="27" t="n">
        <v>545</v>
      </c>
      <c r="J951" s="154">
        <f>I951/H951-1</f>
        <v/>
      </c>
      <c r="K951" s="31" t="inlineStr">
        <is>
          <t>23</t>
        </is>
      </c>
      <c r="L951" s="31" t="inlineStr">
        <is>
          <t>23</t>
        </is>
      </c>
      <c r="M951" s="31" t="inlineStr">
        <is>
          <t>S1</t>
        </is>
      </c>
      <c r="N951" s="31" t="inlineStr">
        <is>
          <t>S2</t>
        </is>
      </c>
      <c r="O951" s="31" t="inlineStr">
        <is>
          <t>1317M57G02</t>
        </is>
      </c>
      <c r="P951" s="31" t="inlineStr">
        <is>
          <t>SR Technics Switzerland</t>
        </is>
      </c>
    </row>
    <row r="952">
      <c r="B952" s="31" t="inlineStr">
        <is>
          <t>CFM56-5B</t>
        </is>
      </c>
      <c r="C952" s="31" t="inlineStr">
        <is>
          <t>2024-2025</t>
        </is>
      </c>
      <c r="D952" s="31" t="inlineStr">
        <is>
          <t>631146</t>
        </is>
      </c>
      <c r="E952" s="31" t="inlineStr">
        <is>
          <t>72-42-03</t>
        </is>
      </c>
      <c r="F952" s="31" t="inlineStr">
        <is>
          <t>SB05</t>
        </is>
      </c>
      <c r="G952" s="31" t="inlineStr">
        <is>
          <t>Combustor</t>
        </is>
      </c>
      <c r="H952" s="27" t="n">
        <v>9545</v>
      </c>
      <c r="I952" s="27" t="n">
        <v>10120</v>
      </c>
      <c r="J952" s="154">
        <f>I952/H952-1</f>
        <v/>
      </c>
      <c r="K952" s="31" t="inlineStr">
        <is>
          <t>23</t>
        </is>
      </c>
      <c r="L952" s="31" t="inlineStr">
        <is>
          <t>23</t>
        </is>
      </c>
      <c r="M952" s="31" t="inlineStr">
        <is>
          <t>S1</t>
        </is>
      </c>
      <c r="N952" s="31" t="inlineStr">
        <is>
          <t>S2</t>
        </is>
      </c>
      <c r="O952" s="31" t="inlineStr">
        <is>
          <t>1317M57G02</t>
        </is>
      </c>
      <c r="P952" s="31" t="inlineStr">
        <is>
          <t>SR Technics Switzerland</t>
        </is>
      </c>
    </row>
    <row r="953">
      <c r="B953" s="31" t="inlineStr">
        <is>
          <t>CFM56-5B</t>
        </is>
      </c>
      <c r="C953" s="31" t="inlineStr">
        <is>
          <t>2024-2025</t>
        </is>
      </c>
      <c r="D953" s="31" t="inlineStr">
        <is>
          <t>631146</t>
        </is>
      </c>
      <c r="E953" s="31" t="inlineStr">
        <is>
          <t>72-42-03</t>
        </is>
      </c>
      <c r="F953" s="31" t="inlineStr">
        <is>
          <t>SB06</t>
        </is>
      </c>
      <c r="G953" s="31" t="inlineStr">
        <is>
          <t>Combustor</t>
        </is>
      </c>
      <c r="H953" s="27" t="n">
        <v>1950</v>
      </c>
      <c r="I953" s="27" t="n">
        <v>2070</v>
      </c>
      <c r="J953" s="154">
        <f>I953/H953-1</f>
        <v/>
      </c>
      <c r="K953" s="31" t="inlineStr">
        <is>
          <t>23</t>
        </is>
      </c>
      <c r="L953" s="31" t="inlineStr">
        <is>
          <t>23</t>
        </is>
      </c>
      <c r="M953" s="31" t="inlineStr">
        <is>
          <t>S1</t>
        </is>
      </c>
      <c r="N953" s="31" t="inlineStr">
        <is>
          <t>S2</t>
        </is>
      </c>
      <c r="O953" s="31" t="inlineStr">
        <is>
          <t>1317M57G02</t>
        </is>
      </c>
      <c r="P953" s="31" t="inlineStr">
        <is>
          <t>SR Technics Switzerland</t>
        </is>
      </c>
    </row>
    <row r="954">
      <c r="B954" s="31" t="inlineStr">
        <is>
          <t>CFM56-5B</t>
        </is>
      </c>
      <c r="C954" s="31" t="inlineStr">
        <is>
          <t>2024-2025</t>
        </is>
      </c>
      <c r="D954" s="31" t="inlineStr">
        <is>
          <t>631146</t>
        </is>
      </c>
      <c r="E954" s="31" t="inlineStr">
        <is>
          <t>72-42-03</t>
        </is>
      </c>
      <c r="F954" s="31" t="inlineStr">
        <is>
          <t>SB07</t>
        </is>
      </c>
      <c r="G954" s="31" t="inlineStr">
        <is>
          <t>Combustor</t>
        </is>
      </c>
      <c r="H954" s="27" t="n">
        <v>4135</v>
      </c>
      <c r="I954" s="27" t="n">
        <v>4385</v>
      </c>
      <c r="J954" s="154">
        <f>I954/H954-1</f>
        <v/>
      </c>
      <c r="K954" s="31" t="inlineStr">
        <is>
          <t>23</t>
        </is>
      </c>
      <c r="L954" s="31" t="inlineStr">
        <is>
          <t>23</t>
        </is>
      </c>
      <c r="M954" s="31" t="inlineStr">
        <is>
          <t>S1</t>
        </is>
      </c>
      <c r="N954" s="31" t="inlineStr">
        <is>
          <t>S2</t>
        </is>
      </c>
      <c r="O954" s="31" t="inlineStr">
        <is>
          <t>1317M57G02</t>
        </is>
      </c>
      <c r="P954" s="31" t="inlineStr">
        <is>
          <t>SR Technics Switzerland</t>
        </is>
      </c>
    </row>
    <row r="955">
      <c r="B955" s="31" t="inlineStr">
        <is>
          <t>CFM56-5B</t>
        </is>
      </c>
      <c r="C955" s="31" t="inlineStr">
        <is>
          <t>2024-2025</t>
        </is>
      </c>
      <c r="D955" s="31" t="inlineStr">
        <is>
          <t>631146</t>
        </is>
      </c>
      <c r="E955" s="31" t="inlineStr">
        <is>
          <t>72-42-03</t>
        </is>
      </c>
      <c r="F955" s="31" t="inlineStr">
        <is>
          <t>T</t>
        </is>
      </c>
      <c r="G955" s="31" t="inlineStr">
        <is>
          <t>Combustor</t>
        </is>
      </c>
      <c r="H955" s="27" t="n">
        <v>1950</v>
      </c>
      <c r="I955" s="27" t="n">
        <v>2070</v>
      </c>
      <c r="J955" s="154">
        <f>I955/H955-1</f>
        <v/>
      </c>
      <c r="K955" s="31" t="inlineStr">
        <is>
          <t>23</t>
        </is>
      </c>
      <c r="L955" s="31" t="inlineStr">
        <is>
          <t>23</t>
        </is>
      </c>
      <c r="M955" s="31" t="inlineStr">
        <is>
          <t>S1</t>
        </is>
      </c>
      <c r="N955" s="31" t="inlineStr">
        <is>
          <t>S2</t>
        </is>
      </c>
      <c r="O955" s="31" t="inlineStr">
        <is>
          <t>1317M57G02</t>
        </is>
      </c>
      <c r="P955" s="31" t="inlineStr">
        <is>
          <t>SR Technics Switzerland</t>
        </is>
      </c>
    </row>
    <row r="956">
      <c r="B956" s="31" t="inlineStr">
        <is>
          <t>CFM56-5B</t>
        </is>
      </c>
      <c r="C956" s="31" t="inlineStr">
        <is>
          <t>2024-2025</t>
        </is>
      </c>
      <c r="D956" s="31" t="inlineStr">
        <is>
          <t>631146</t>
        </is>
      </c>
      <c r="E956" s="31" t="inlineStr">
        <is>
          <t>72-42-03</t>
        </is>
      </c>
      <c r="F956" s="31" t="inlineStr">
        <is>
          <t>U</t>
        </is>
      </c>
      <c r="G956" s="31" t="inlineStr">
        <is>
          <t>Combustor</t>
        </is>
      </c>
      <c r="H956" s="27" t="n">
        <v>7055</v>
      </c>
      <c r="I956" s="27" t="n">
        <v>7480</v>
      </c>
      <c r="J956" s="154">
        <f>I956/H956-1</f>
        <v/>
      </c>
      <c r="K956" s="31" t="inlineStr">
        <is>
          <t>23</t>
        </is>
      </c>
      <c r="L956" s="31" t="inlineStr">
        <is>
          <t>23</t>
        </is>
      </c>
      <c r="M956" s="31" t="inlineStr">
        <is>
          <t>S1</t>
        </is>
      </c>
      <c r="N956" s="31" t="inlineStr">
        <is>
          <t>S2</t>
        </is>
      </c>
      <c r="O956" s="31" t="inlineStr">
        <is>
          <t>1317M57G02</t>
        </is>
      </c>
      <c r="P956" s="31" t="inlineStr">
        <is>
          <t>SR Technics Switzerland</t>
        </is>
      </c>
    </row>
    <row r="957">
      <c r="B957" s="31" t="inlineStr">
        <is>
          <t>CFM56-5B</t>
        </is>
      </c>
      <c r="C957" s="31" t="inlineStr">
        <is>
          <t>2024-2025</t>
        </is>
      </c>
      <c r="D957" s="31" t="inlineStr">
        <is>
          <t>631146</t>
        </is>
      </c>
      <c r="E957" s="31" t="inlineStr">
        <is>
          <t>72-42-03</t>
        </is>
      </c>
      <c r="F957" s="31" t="inlineStr">
        <is>
          <t>V</t>
        </is>
      </c>
      <c r="G957" s="31" t="inlineStr">
        <is>
          <t>Combustor</t>
        </is>
      </c>
      <c r="H957" s="27" t="n">
        <v>4135</v>
      </c>
      <c r="I957" s="27" t="n">
        <v>4385</v>
      </c>
      <c r="J957" s="154">
        <f>I957/H957-1</f>
        <v/>
      </c>
      <c r="K957" s="31" t="inlineStr">
        <is>
          <t>23</t>
        </is>
      </c>
      <c r="L957" s="31" t="inlineStr">
        <is>
          <t>23</t>
        </is>
      </c>
      <c r="M957" s="31" t="inlineStr">
        <is>
          <t>S1</t>
        </is>
      </c>
      <c r="N957" s="31" t="inlineStr">
        <is>
          <t>S2</t>
        </is>
      </c>
      <c r="O957" s="31" t="inlineStr">
        <is>
          <t>1317M57G02</t>
        </is>
      </c>
      <c r="P957" s="31" t="inlineStr">
        <is>
          <t>SR Technics Switzerland</t>
        </is>
      </c>
    </row>
    <row r="958">
      <c r="B958" s="31" t="inlineStr">
        <is>
          <t>CFM56-5B</t>
        </is>
      </c>
      <c r="C958" s="31" t="inlineStr">
        <is>
          <t>2024-2025</t>
        </is>
      </c>
      <c r="D958" s="31" t="inlineStr">
        <is>
          <t>631146</t>
        </is>
      </c>
      <c r="E958" s="31" t="inlineStr">
        <is>
          <t>72-42-03</t>
        </is>
      </c>
      <c r="F958" s="31" t="inlineStr">
        <is>
          <t>W</t>
        </is>
      </c>
      <c r="G958" s="31" t="inlineStr">
        <is>
          <t>Combustor</t>
        </is>
      </c>
      <c r="H958" s="27" t="n">
        <v>8580</v>
      </c>
      <c r="I958" s="27" t="n">
        <v>9095</v>
      </c>
      <c r="J958" s="154">
        <f>I958/H958-1</f>
        <v/>
      </c>
      <c r="K958" s="31" t="inlineStr">
        <is>
          <t>23</t>
        </is>
      </c>
      <c r="L958" s="31" t="inlineStr">
        <is>
          <t>23</t>
        </is>
      </c>
      <c r="M958" s="31" t="inlineStr">
        <is>
          <t>S1</t>
        </is>
      </c>
      <c r="N958" s="31" t="inlineStr">
        <is>
          <t>S2</t>
        </is>
      </c>
      <c r="O958" s="31" t="inlineStr">
        <is>
          <t>1317M57G02</t>
        </is>
      </c>
      <c r="P958" s="31" t="inlineStr">
        <is>
          <t>SR Technics Switzerland</t>
        </is>
      </c>
    </row>
    <row r="959">
      <c r="B959" s="31" t="inlineStr">
        <is>
          <t>CFM56-5B</t>
        </is>
      </c>
      <c r="C959" s="31" t="inlineStr">
        <is>
          <t>2024-2025</t>
        </is>
      </c>
      <c r="D959" s="31" t="inlineStr">
        <is>
          <t>631393</t>
        </is>
      </c>
      <c r="E959" s="31" t="inlineStr">
        <is>
          <t>72-41-03</t>
        </is>
      </c>
      <c r="F959" s="31" t="inlineStr">
        <is>
          <t>A</t>
        </is>
      </c>
      <c r="G959" s="31" t="inlineStr">
        <is>
          <t>Combustor</t>
        </is>
      </c>
      <c r="H959" s="27" t="n">
        <v>55</v>
      </c>
      <c r="I959" s="27" t="n">
        <v>60</v>
      </c>
      <c r="J959" s="154">
        <f>I959/H959-1</f>
        <v/>
      </c>
      <c r="K959" s="31" t="inlineStr">
        <is>
          <t>23</t>
        </is>
      </c>
      <c r="L959" s="31" t="inlineStr">
        <is>
          <t>24</t>
        </is>
      </c>
      <c r="M959" s="31" t="inlineStr">
        <is>
          <t>S1</t>
        </is>
      </c>
      <c r="N959" s="31" t="inlineStr">
        <is>
          <t>S2</t>
        </is>
      </c>
      <c r="O959" s="31" t="inlineStr">
        <is>
          <t>1498M58P01</t>
        </is>
      </c>
      <c r="P959" s="31" t="inlineStr">
        <is>
          <t>SR Technics Switzerland</t>
        </is>
      </c>
    </row>
    <row r="960">
      <c r="B960" s="31" t="inlineStr">
        <is>
          <t>CFM56-5B</t>
        </is>
      </c>
      <c r="C960" s="31" t="inlineStr">
        <is>
          <t>2024-2025</t>
        </is>
      </c>
      <c r="D960" s="31" t="inlineStr">
        <is>
          <t>631393</t>
        </is>
      </c>
      <c r="E960" s="31" t="inlineStr">
        <is>
          <t>72-41-03</t>
        </is>
      </c>
      <c r="F960" s="31" t="inlineStr">
        <is>
          <t>C</t>
        </is>
      </c>
      <c r="G960" s="31" t="inlineStr">
        <is>
          <t>Combustor</t>
        </is>
      </c>
      <c r="H960" s="27" t="n">
        <v>120</v>
      </c>
      <c r="I960" s="27" t="n">
        <v>130</v>
      </c>
      <c r="J960" s="154">
        <f>I960/H960-1</f>
        <v/>
      </c>
      <c r="K960" s="31" t="inlineStr">
        <is>
          <t>23</t>
        </is>
      </c>
      <c r="L960" s="31" t="inlineStr">
        <is>
          <t>24</t>
        </is>
      </c>
      <c r="M960" s="31" t="inlineStr">
        <is>
          <t>S1</t>
        </is>
      </c>
      <c r="N960" s="31" t="inlineStr">
        <is>
          <t>S2</t>
        </is>
      </c>
      <c r="O960" s="31" t="inlineStr">
        <is>
          <t>1498M58P01</t>
        </is>
      </c>
      <c r="P960" s="31" t="inlineStr">
        <is>
          <t>SR Technics Switzerland</t>
        </is>
      </c>
    </row>
    <row r="961">
      <c r="B961" s="31" t="inlineStr">
        <is>
          <t>CFM56-5B</t>
        </is>
      </c>
      <c r="C961" s="31" t="inlineStr">
        <is>
          <t>2024-2025</t>
        </is>
      </c>
      <c r="D961" s="31" t="inlineStr">
        <is>
          <t>631917</t>
        </is>
      </c>
      <c r="E961" s="31" t="inlineStr">
        <is>
          <t>71-21-08</t>
        </is>
      </c>
      <c r="F961" s="31" t="inlineStr">
        <is>
          <t>A</t>
        </is>
      </c>
      <c r="G961" s="31" t="inlineStr">
        <is>
          <t>Other / assembly</t>
        </is>
      </c>
      <c r="H961" s="27" t="n">
        <v>340</v>
      </c>
      <c r="I961" s="27" t="n">
        <v>365</v>
      </c>
      <c r="J961" s="154">
        <f>I961/H961-1</f>
        <v/>
      </c>
      <c r="K961" s="31" t="inlineStr">
        <is>
          <t>57</t>
        </is>
      </c>
      <c r="L961" s="31" t="inlineStr">
        <is>
          <t>57</t>
        </is>
      </c>
      <c r="M961" s="31" t="inlineStr">
        <is>
          <t>S1</t>
        </is>
      </c>
      <c r="N961" s="31" t="inlineStr">
        <is>
          <t>S2</t>
        </is>
      </c>
      <c r="O961" s="31" t="inlineStr">
        <is>
          <t>642-2003-501</t>
        </is>
      </c>
      <c r="P961" s="31" t="inlineStr">
        <is>
          <t>SR Technics Switzerland</t>
        </is>
      </c>
    </row>
    <row r="962">
      <c r="B962" s="31" t="inlineStr">
        <is>
          <t>CFM56-5B</t>
        </is>
      </c>
      <c r="C962" s="31" t="inlineStr">
        <is>
          <t>2024-2025</t>
        </is>
      </c>
      <c r="D962" s="31" t="inlineStr">
        <is>
          <t>634072</t>
        </is>
      </c>
      <c r="E962" s="31" t="inlineStr">
        <is>
          <t>72-54-07</t>
        </is>
      </c>
      <c r="F962" s="31" t="inlineStr">
        <is>
          <t>A</t>
        </is>
      </c>
      <c r="G962" s="31" t="inlineStr">
        <is>
          <t>LPT</t>
        </is>
      </c>
      <c r="H962" s="27" t="n">
        <v>1585</v>
      </c>
      <c r="I962" s="27" t="n">
        <v>1685</v>
      </c>
      <c r="J962" s="154">
        <f>I962/H962-1</f>
        <v/>
      </c>
      <c r="K962" s="31" t="inlineStr">
        <is>
          <t>23</t>
        </is>
      </c>
      <c r="L962" s="31" t="inlineStr">
        <is>
          <t>24</t>
        </is>
      </c>
      <c r="M962" s="31" t="inlineStr">
        <is>
          <t>S1</t>
        </is>
      </c>
      <c r="N962" s="31" t="inlineStr">
        <is>
          <t>S2</t>
        </is>
      </c>
      <c r="O962" s="31" t="inlineStr">
        <is>
          <t>338-065-603-0</t>
        </is>
      </c>
      <c r="P962" s="31" t="inlineStr">
        <is>
          <t>SR Technics Switzerland</t>
        </is>
      </c>
    </row>
    <row r="963">
      <c r="B963" s="31" t="inlineStr">
        <is>
          <t>CFM56-5B</t>
        </is>
      </c>
      <c r="C963" s="31" t="inlineStr">
        <is>
          <t>2024-2025</t>
        </is>
      </c>
      <c r="D963" s="31" t="inlineStr">
        <is>
          <t>634072</t>
        </is>
      </c>
      <c r="E963" s="31" t="inlineStr">
        <is>
          <t>72-54-07</t>
        </is>
      </c>
      <c r="F963" s="31" t="inlineStr">
        <is>
          <t>B</t>
        </is>
      </c>
      <c r="G963" s="31" t="inlineStr">
        <is>
          <t>LPT</t>
        </is>
      </c>
      <c r="H963" s="27" t="n">
        <v>2090</v>
      </c>
      <c r="I963" s="27" t="n">
        <v>2220</v>
      </c>
      <c r="J963" s="154">
        <f>I963/H963-1</f>
        <v/>
      </c>
      <c r="K963" s="31" t="inlineStr">
        <is>
          <t>23</t>
        </is>
      </c>
      <c r="L963" s="31" t="inlineStr">
        <is>
          <t>24</t>
        </is>
      </c>
      <c r="M963" s="31" t="inlineStr">
        <is>
          <t>S1</t>
        </is>
      </c>
      <c r="N963" s="31" t="inlineStr">
        <is>
          <t>S2</t>
        </is>
      </c>
      <c r="O963" s="31" t="inlineStr">
        <is>
          <t>338-065-603-0</t>
        </is>
      </c>
      <c r="P963" s="31" t="inlineStr">
        <is>
          <t>SR Technics Switzerland</t>
        </is>
      </c>
    </row>
    <row r="964">
      <c r="B964" s="31" t="inlineStr">
        <is>
          <t>CFM56-5B</t>
        </is>
      </c>
      <c r="C964" s="31" t="inlineStr">
        <is>
          <t>2024-2025</t>
        </is>
      </c>
      <c r="D964" s="31" t="inlineStr">
        <is>
          <t>634072</t>
        </is>
      </c>
      <c r="E964" s="31" t="inlineStr">
        <is>
          <t>72-54-07</t>
        </is>
      </c>
      <c r="F964" s="31" t="inlineStr">
        <is>
          <t>C</t>
        </is>
      </c>
      <c r="G964" s="31" t="inlineStr">
        <is>
          <t>LPT</t>
        </is>
      </c>
      <c r="H964" s="27" t="n">
        <v>4270</v>
      </c>
      <c r="I964" s="27" t="n">
        <v>4530</v>
      </c>
      <c r="J964" s="154">
        <f>I964/H964-1</f>
        <v/>
      </c>
      <c r="K964" s="31" t="inlineStr">
        <is>
          <t>23</t>
        </is>
      </c>
      <c r="L964" s="31" t="inlineStr">
        <is>
          <t>24</t>
        </is>
      </c>
      <c r="M964" s="31" t="inlineStr">
        <is>
          <t>S1</t>
        </is>
      </c>
      <c r="N964" s="31" t="inlineStr">
        <is>
          <t>S2</t>
        </is>
      </c>
      <c r="O964" s="31" t="inlineStr">
        <is>
          <t>338-065-603-0</t>
        </is>
      </c>
      <c r="P964" s="31" t="inlineStr">
        <is>
          <t>SR Technics Switzerland</t>
        </is>
      </c>
    </row>
    <row r="965">
      <c r="B965" s="31" t="inlineStr">
        <is>
          <t>CFM56-5B</t>
        </is>
      </c>
      <c r="C965" s="31" t="inlineStr">
        <is>
          <t>2024-2025</t>
        </is>
      </c>
      <c r="D965" s="31" t="inlineStr">
        <is>
          <t>634072</t>
        </is>
      </c>
      <c r="E965" s="31" t="inlineStr">
        <is>
          <t>72-54-07</t>
        </is>
      </c>
      <c r="F965" s="31" t="inlineStr">
        <is>
          <t>D</t>
        </is>
      </c>
      <c r="G965" s="31" t="inlineStr">
        <is>
          <t>LPT</t>
        </is>
      </c>
      <c r="H965" s="27" t="n">
        <v>1565</v>
      </c>
      <c r="I965" s="27" t="n">
        <v>1660</v>
      </c>
      <c r="J965" s="154">
        <f>I965/H965-1</f>
        <v/>
      </c>
      <c r="K965" s="31" t="inlineStr">
        <is>
          <t>23</t>
        </is>
      </c>
      <c r="L965" s="31" t="inlineStr">
        <is>
          <t>24</t>
        </is>
      </c>
      <c r="M965" s="31" t="inlineStr">
        <is>
          <t>S1</t>
        </is>
      </c>
      <c r="N965" s="31" t="inlineStr">
        <is>
          <t>S2</t>
        </is>
      </c>
      <c r="O965" s="31" t="inlineStr">
        <is>
          <t>338-065-603-0</t>
        </is>
      </c>
      <c r="P965" s="31" t="inlineStr">
        <is>
          <t>SR Technics Switzerland</t>
        </is>
      </c>
    </row>
    <row r="966">
      <c r="B966" s="31" t="inlineStr">
        <is>
          <t>CFM56-5B</t>
        </is>
      </c>
      <c r="C966" s="31" t="inlineStr">
        <is>
          <t>2024-2025</t>
        </is>
      </c>
      <c r="D966" s="31" t="inlineStr">
        <is>
          <t>634072</t>
        </is>
      </c>
      <c r="E966" s="31" t="inlineStr">
        <is>
          <t>72-54-07</t>
        </is>
      </c>
      <c r="F966" s="31" t="inlineStr">
        <is>
          <t>H</t>
        </is>
      </c>
      <c r="G966" s="31" t="inlineStr">
        <is>
          <t>LPT</t>
        </is>
      </c>
      <c r="H966" s="27" t="n">
        <v>5815</v>
      </c>
      <c r="I966" s="27" t="n">
        <v>6165</v>
      </c>
      <c r="J966" s="154">
        <f>I966/H966-1</f>
        <v/>
      </c>
      <c r="K966" s="31" t="inlineStr">
        <is>
          <t>23</t>
        </is>
      </c>
      <c r="L966" s="31" t="inlineStr">
        <is>
          <t>24</t>
        </is>
      </c>
      <c r="M966" s="31" t="inlineStr">
        <is>
          <t>S1</t>
        </is>
      </c>
      <c r="N966" s="31" t="inlineStr">
        <is>
          <t>S2</t>
        </is>
      </c>
      <c r="O966" s="31" t="inlineStr">
        <is>
          <t>338-065-603-0</t>
        </is>
      </c>
      <c r="P966" s="31" t="inlineStr">
        <is>
          <t>SR Technics Switzerland</t>
        </is>
      </c>
    </row>
    <row r="967">
      <c r="B967" s="31" t="inlineStr">
        <is>
          <t>CFM56-5B</t>
        </is>
      </c>
      <c r="C967" s="31" t="inlineStr">
        <is>
          <t>2024-2025</t>
        </is>
      </c>
      <c r="D967" s="31" t="inlineStr">
        <is>
          <t>634072</t>
        </is>
      </c>
      <c r="E967" s="31" t="inlineStr">
        <is>
          <t>72-54-07</t>
        </is>
      </c>
      <c r="F967" s="31" t="inlineStr">
        <is>
          <t>J</t>
        </is>
      </c>
      <c r="G967" s="31" t="inlineStr">
        <is>
          <t>LPT</t>
        </is>
      </c>
      <c r="H967" s="27" t="n">
        <v>5815</v>
      </c>
      <c r="I967" s="27" t="n">
        <v>6165</v>
      </c>
      <c r="J967" s="154">
        <f>I967/H967-1</f>
        <v/>
      </c>
      <c r="K967" s="31" t="inlineStr">
        <is>
          <t>23</t>
        </is>
      </c>
      <c r="L967" s="31" t="inlineStr">
        <is>
          <t>24</t>
        </is>
      </c>
      <c r="M967" s="31" t="inlineStr">
        <is>
          <t>S1</t>
        </is>
      </c>
      <c r="N967" s="31" t="inlineStr">
        <is>
          <t>S2</t>
        </is>
      </c>
      <c r="O967" s="31" t="inlineStr">
        <is>
          <t>338-065-603-0</t>
        </is>
      </c>
      <c r="P967" s="31" t="inlineStr">
        <is>
          <t>SR Technics Switzerland</t>
        </is>
      </c>
    </row>
    <row r="968">
      <c r="B968" s="31" t="inlineStr">
        <is>
          <t>CFM56-5B</t>
        </is>
      </c>
      <c r="C968" s="31" t="inlineStr">
        <is>
          <t>2024-2025</t>
        </is>
      </c>
      <c r="D968" s="31" t="inlineStr">
        <is>
          <t>634072</t>
        </is>
      </c>
      <c r="E968" s="31" t="inlineStr">
        <is>
          <t>72-54-07</t>
        </is>
      </c>
      <c r="F968" s="31" t="inlineStr">
        <is>
          <t>O</t>
        </is>
      </c>
      <c r="G968" s="31" t="inlineStr">
        <is>
          <t>LPT</t>
        </is>
      </c>
      <c r="H968" s="27" t="n">
        <v>6230</v>
      </c>
      <c r="I968" s="27" t="n">
        <v>6605</v>
      </c>
      <c r="J968" s="154">
        <f>I968/H968-1</f>
        <v/>
      </c>
      <c r="K968" s="31" t="inlineStr">
        <is>
          <t>23</t>
        </is>
      </c>
      <c r="L968" s="31" t="inlineStr">
        <is>
          <t>24</t>
        </is>
      </c>
      <c r="M968" s="31" t="inlineStr">
        <is>
          <t>S1</t>
        </is>
      </c>
      <c r="N968" s="31" t="inlineStr">
        <is>
          <t>S2</t>
        </is>
      </c>
      <c r="O968" s="31" t="inlineStr">
        <is>
          <t>338-065-603-0</t>
        </is>
      </c>
      <c r="P968" s="31" t="inlineStr">
        <is>
          <t>SR Technics Switzerland</t>
        </is>
      </c>
    </row>
    <row r="969">
      <c r="B969" s="31" t="inlineStr">
        <is>
          <t>CFM56-5B</t>
        </is>
      </c>
      <c r="C969" s="31" t="inlineStr">
        <is>
          <t>2024-2025</t>
        </is>
      </c>
      <c r="D969" s="31" t="inlineStr">
        <is>
          <t>634072</t>
        </is>
      </c>
      <c r="E969" s="31" t="inlineStr">
        <is>
          <t>72-54-07</t>
        </is>
      </c>
      <c r="F969" s="31" t="inlineStr">
        <is>
          <t>P</t>
        </is>
      </c>
      <c r="G969" s="31" t="inlineStr">
        <is>
          <t>LPT</t>
        </is>
      </c>
      <c r="H969" s="27" t="n">
        <v>420</v>
      </c>
      <c r="I969" s="27" t="n">
        <v>450</v>
      </c>
      <c r="J969" s="154">
        <f>I969/H969-1</f>
        <v/>
      </c>
      <c r="K969" s="31" t="inlineStr">
        <is>
          <t>23</t>
        </is>
      </c>
      <c r="L969" s="31" t="inlineStr">
        <is>
          <t>24</t>
        </is>
      </c>
      <c r="M969" s="31" t="inlineStr">
        <is>
          <t>S1</t>
        </is>
      </c>
      <c r="N969" s="31" t="inlineStr">
        <is>
          <t>S2</t>
        </is>
      </c>
      <c r="O969" s="31" t="inlineStr">
        <is>
          <t>338-065-603-0</t>
        </is>
      </c>
      <c r="P969" s="31" t="inlineStr">
        <is>
          <t>SR Technics Switzerland</t>
        </is>
      </c>
    </row>
    <row r="970">
      <c r="B970" s="31" t="inlineStr">
        <is>
          <t>CFM56-5B</t>
        </is>
      </c>
      <c r="C970" s="31" t="inlineStr">
        <is>
          <t>2024-2025</t>
        </is>
      </c>
      <c r="D970" s="31" t="inlineStr">
        <is>
          <t>634072</t>
        </is>
      </c>
      <c r="E970" s="31" t="inlineStr">
        <is>
          <t>72-54-07</t>
        </is>
      </c>
      <c r="F970" s="31" t="inlineStr">
        <is>
          <t>Q</t>
        </is>
      </c>
      <c r="G970" s="31" t="inlineStr">
        <is>
          <t>LPT</t>
        </is>
      </c>
      <c r="H970" s="27" t="n">
        <v>15635</v>
      </c>
      <c r="I970" s="27" t="n">
        <v>16575</v>
      </c>
      <c r="J970" s="154">
        <f>I970/H970-1</f>
        <v/>
      </c>
      <c r="K970" s="31" t="inlineStr">
        <is>
          <t>23</t>
        </is>
      </c>
      <c r="L970" s="31" t="inlineStr">
        <is>
          <t>24</t>
        </is>
      </c>
      <c r="M970" s="31" t="inlineStr">
        <is>
          <t>S1</t>
        </is>
      </c>
      <c r="N970" s="31" t="inlineStr">
        <is>
          <t>S2</t>
        </is>
      </c>
      <c r="O970" s="31" t="inlineStr">
        <is>
          <t>338-065-603-0</t>
        </is>
      </c>
      <c r="P970" s="31" t="inlineStr">
        <is>
          <t>SR Technics Switzerland</t>
        </is>
      </c>
    </row>
    <row r="971">
      <c r="B971" s="31" t="inlineStr">
        <is>
          <t>CFM56-5B</t>
        </is>
      </c>
      <c r="C971" s="31" t="inlineStr">
        <is>
          <t>2024-2025</t>
        </is>
      </c>
      <c r="D971" s="31" t="inlineStr">
        <is>
          <t>634072</t>
        </is>
      </c>
      <c r="E971" s="31" t="inlineStr">
        <is>
          <t>72-54-07</t>
        </is>
      </c>
      <c r="F971" s="31" t="inlineStr">
        <is>
          <t>R</t>
        </is>
      </c>
      <c r="G971" s="31" t="inlineStr">
        <is>
          <t>LPT</t>
        </is>
      </c>
      <c r="H971" s="27" t="n">
        <v>1685</v>
      </c>
      <c r="I971" s="27" t="n">
        <v>1790</v>
      </c>
      <c r="J971" s="154">
        <f>I971/H971-1</f>
        <v/>
      </c>
      <c r="K971" s="31" t="inlineStr">
        <is>
          <t>23</t>
        </is>
      </c>
      <c r="L971" s="31" t="inlineStr">
        <is>
          <t>24</t>
        </is>
      </c>
      <c r="M971" s="31" t="inlineStr">
        <is>
          <t>S1</t>
        </is>
      </c>
      <c r="N971" s="31" t="inlineStr">
        <is>
          <t>S2</t>
        </is>
      </c>
      <c r="O971" s="31" t="inlineStr">
        <is>
          <t>338-065-603-0</t>
        </is>
      </c>
      <c r="P971" s="31" t="inlineStr">
        <is>
          <t>SR Technics Switzerland</t>
        </is>
      </c>
    </row>
    <row r="972">
      <c r="B972" s="31" t="inlineStr">
        <is>
          <t>CFM56-5B</t>
        </is>
      </c>
      <c r="C972" s="31" t="inlineStr">
        <is>
          <t>2024-2025</t>
        </is>
      </c>
      <c r="D972" s="31" t="inlineStr">
        <is>
          <t>634072</t>
        </is>
      </c>
      <c r="E972" s="31" t="inlineStr">
        <is>
          <t>72-54-07</t>
        </is>
      </c>
      <c r="F972" s="31" t="inlineStr">
        <is>
          <t>S</t>
        </is>
      </c>
      <c r="G972" s="31" t="inlineStr">
        <is>
          <t>LPT</t>
        </is>
      </c>
      <c r="H972" s="27" t="n">
        <v>20700</v>
      </c>
      <c r="I972" s="27" t="n">
        <v>21945</v>
      </c>
      <c r="J972" s="154">
        <f>I972/H972-1</f>
        <v/>
      </c>
      <c r="K972" s="31" t="inlineStr">
        <is>
          <t>23</t>
        </is>
      </c>
      <c r="L972" s="31" t="inlineStr">
        <is>
          <t>24</t>
        </is>
      </c>
      <c r="M972" s="31" t="inlineStr">
        <is>
          <t>S1</t>
        </is>
      </c>
      <c r="N972" s="31" t="inlineStr">
        <is>
          <t>S2</t>
        </is>
      </c>
      <c r="O972" s="31" t="inlineStr">
        <is>
          <t>338-065-603-0</t>
        </is>
      </c>
      <c r="P972" s="31" t="inlineStr">
        <is>
          <t>SR Technics Switzerland</t>
        </is>
      </c>
    </row>
    <row r="973">
      <c r="B973" s="31" t="inlineStr">
        <is>
          <t>CFM56-5B</t>
        </is>
      </c>
      <c r="C973" s="31" t="inlineStr">
        <is>
          <t>2024-2025</t>
        </is>
      </c>
      <c r="D973" s="31" t="inlineStr">
        <is>
          <t>634072</t>
        </is>
      </c>
      <c r="E973" s="31" t="inlineStr">
        <is>
          <t>72-54-07</t>
        </is>
      </c>
      <c r="F973" s="31" t="inlineStr">
        <is>
          <t>SB00</t>
        </is>
      </c>
      <c r="G973" s="31" t="inlineStr">
        <is>
          <t>LPT</t>
        </is>
      </c>
      <c r="H973" s="27" t="n">
        <v>230</v>
      </c>
      <c r="I973" s="27" t="n">
        <v>245</v>
      </c>
      <c r="J973" s="154">
        <f>I973/H973-1</f>
        <v/>
      </c>
      <c r="K973" s="31" t="inlineStr">
        <is>
          <t>23</t>
        </is>
      </c>
      <c r="L973" s="31" t="inlineStr">
        <is>
          <t>24</t>
        </is>
      </c>
      <c r="M973" s="31" t="inlineStr">
        <is>
          <t>S1</t>
        </is>
      </c>
      <c r="N973" s="31" t="inlineStr">
        <is>
          <t>S2</t>
        </is>
      </c>
      <c r="O973" s="31" t="inlineStr">
        <is>
          <t>338-065-603-0</t>
        </is>
      </c>
      <c r="P973" s="31" t="inlineStr">
        <is>
          <t>SR Technics Switzerland</t>
        </is>
      </c>
    </row>
    <row r="974">
      <c r="B974" s="31" t="inlineStr">
        <is>
          <t>CFM56-5B</t>
        </is>
      </c>
      <c r="C974" s="31" t="inlineStr">
        <is>
          <t>2024-2025</t>
        </is>
      </c>
      <c r="D974" s="31" t="inlineStr">
        <is>
          <t>634072</t>
        </is>
      </c>
      <c r="E974" s="31" t="inlineStr">
        <is>
          <t>72-54-07</t>
        </is>
      </c>
      <c r="F974" s="31" t="inlineStr">
        <is>
          <t>SB01</t>
        </is>
      </c>
      <c r="G974" s="31" t="inlineStr">
        <is>
          <t>LPT</t>
        </is>
      </c>
      <c r="H974" s="27" t="n">
        <v>5000</v>
      </c>
      <c r="I974" s="27" t="n">
        <v>5300</v>
      </c>
      <c r="J974" s="154">
        <f>I974/H974-1</f>
        <v/>
      </c>
      <c r="K974" s="31" t="inlineStr">
        <is>
          <t>23</t>
        </is>
      </c>
      <c r="L974" s="31" t="inlineStr">
        <is>
          <t>24</t>
        </is>
      </c>
      <c r="M974" s="31" t="inlineStr">
        <is>
          <t>S1</t>
        </is>
      </c>
      <c r="N974" s="31" t="inlineStr">
        <is>
          <t>S2</t>
        </is>
      </c>
      <c r="O974" s="31" t="inlineStr">
        <is>
          <t>338-065-603-0</t>
        </is>
      </c>
      <c r="P974" s="31" t="inlineStr">
        <is>
          <t>SR Technics Switzerland</t>
        </is>
      </c>
    </row>
    <row r="975">
      <c r="B975" s="31" t="inlineStr">
        <is>
          <t>CFM56-5B</t>
        </is>
      </c>
      <c r="C975" s="31" t="inlineStr">
        <is>
          <t>2024-2025</t>
        </is>
      </c>
      <c r="D975" s="31" t="inlineStr">
        <is>
          <t>634072</t>
        </is>
      </c>
      <c r="E975" s="31" t="inlineStr">
        <is>
          <t>72-54-07</t>
        </is>
      </c>
      <c r="F975" s="31" t="inlineStr">
        <is>
          <t>SB02</t>
        </is>
      </c>
      <c r="G975" s="31" t="inlineStr">
        <is>
          <t>LPT</t>
        </is>
      </c>
      <c r="H975" s="27" t="n">
        <v>465</v>
      </c>
      <c r="I975" s="27" t="n">
        <v>495</v>
      </c>
      <c r="J975" s="154">
        <f>I975/H975-1</f>
        <v/>
      </c>
      <c r="K975" s="31" t="inlineStr">
        <is>
          <t>24</t>
        </is>
      </c>
      <c r="L975" s="31" t="inlineStr">
        <is>
          <t>24</t>
        </is>
      </c>
      <c r="M975" s="31" t="inlineStr">
        <is>
          <t>S1</t>
        </is>
      </c>
      <c r="N975" s="31" t="inlineStr">
        <is>
          <t>S2</t>
        </is>
      </c>
      <c r="O975" s="31" t="inlineStr">
        <is>
          <t>338-065-603-0</t>
        </is>
      </c>
      <c r="P975" s="31" t="inlineStr">
        <is>
          <t>SR Technics Switzerland</t>
        </is>
      </c>
    </row>
    <row r="976">
      <c r="B976" s="31" t="inlineStr">
        <is>
          <t>CFM56-5B</t>
        </is>
      </c>
      <c r="C976" s="31" t="inlineStr">
        <is>
          <t>2024-2025</t>
        </is>
      </c>
      <c r="D976" s="31" t="inlineStr">
        <is>
          <t>634072</t>
        </is>
      </c>
      <c r="E976" s="31" t="inlineStr">
        <is>
          <t>72-54-07</t>
        </is>
      </c>
      <c r="F976" s="31" t="inlineStr">
        <is>
          <t>SB03</t>
        </is>
      </c>
      <c r="G976" s="31" t="inlineStr">
        <is>
          <t>LPT</t>
        </is>
      </c>
      <c r="H976" s="27" t="n">
        <v>465</v>
      </c>
      <c r="I976" s="27" t="n">
        <v>495</v>
      </c>
      <c r="J976" s="154">
        <f>I976/H976-1</f>
        <v/>
      </c>
      <c r="K976" s="31" t="inlineStr">
        <is>
          <t>24</t>
        </is>
      </c>
      <c r="L976" s="31" t="inlineStr">
        <is>
          <t>24</t>
        </is>
      </c>
      <c r="M976" s="31" t="inlineStr">
        <is>
          <t>S1</t>
        </is>
      </c>
      <c r="N976" s="31" t="inlineStr">
        <is>
          <t>S2</t>
        </is>
      </c>
      <c r="O976" s="31" t="inlineStr">
        <is>
          <t>338-065-603-0</t>
        </is>
      </c>
      <c r="P976" s="31" t="inlineStr">
        <is>
          <t>SR Technics Switzerland</t>
        </is>
      </c>
    </row>
    <row r="977">
      <c r="B977" s="31" t="inlineStr">
        <is>
          <t>CFM56-5B</t>
        </is>
      </c>
      <c r="C977" s="31" t="inlineStr">
        <is>
          <t>2024-2025</t>
        </is>
      </c>
      <c r="D977" s="31" t="inlineStr">
        <is>
          <t>634072</t>
        </is>
      </c>
      <c r="E977" s="31" t="inlineStr">
        <is>
          <t>72-54-07</t>
        </is>
      </c>
      <c r="F977" s="31" t="inlineStr">
        <is>
          <t>T</t>
        </is>
      </c>
      <c r="G977" s="31" t="inlineStr">
        <is>
          <t>LPT</t>
        </is>
      </c>
      <c r="H977" s="27" t="n">
        <v>13815</v>
      </c>
      <c r="I977" s="27" t="n">
        <v>14645</v>
      </c>
      <c r="J977" s="154">
        <f>I977/H977-1</f>
        <v/>
      </c>
      <c r="K977" s="31" t="inlineStr">
        <is>
          <t>24</t>
        </is>
      </c>
      <c r="L977" s="31" t="inlineStr">
        <is>
          <t>24</t>
        </is>
      </c>
      <c r="M977" s="31" t="inlineStr">
        <is>
          <t>S1</t>
        </is>
      </c>
      <c r="N977" s="31" t="inlineStr">
        <is>
          <t>S2</t>
        </is>
      </c>
      <c r="O977" s="31" t="inlineStr">
        <is>
          <t>338-065-603-0</t>
        </is>
      </c>
      <c r="P977" s="31" t="inlineStr">
        <is>
          <t>SR Technics Switzerland</t>
        </is>
      </c>
    </row>
    <row r="978">
      <c r="B978" s="31" t="inlineStr">
        <is>
          <t>CFM56-5B</t>
        </is>
      </c>
      <c r="C978" s="31" t="inlineStr">
        <is>
          <t>2024-2025</t>
        </is>
      </c>
      <c r="D978" s="31" t="inlineStr">
        <is>
          <t>634072</t>
        </is>
      </c>
      <c r="E978" s="31" t="inlineStr">
        <is>
          <t>72-54-07</t>
        </is>
      </c>
      <c r="F978" s="31" t="inlineStr">
        <is>
          <t>V</t>
        </is>
      </c>
      <c r="G978" s="31" t="inlineStr">
        <is>
          <t>LPT</t>
        </is>
      </c>
      <c r="H978" s="27" t="n">
        <v>6230</v>
      </c>
      <c r="I978" s="27" t="n">
        <v>6605</v>
      </c>
      <c r="J978" s="154">
        <f>I978/H978-1</f>
        <v/>
      </c>
      <c r="K978" s="31" t="inlineStr">
        <is>
          <t>24</t>
        </is>
      </c>
      <c r="L978" s="31" t="inlineStr">
        <is>
          <t>24</t>
        </is>
      </c>
      <c r="M978" s="31" t="inlineStr">
        <is>
          <t>S1</t>
        </is>
      </c>
      <c r="N978" s="31" t="inlineStr">
        <is>
          <t>S2</t>
        </is>
      </c>
      <c r="O978" s="31" t="inlineStr">
        <is>
          <t>338-065-603-0</t>
        </is>
      </c>
      <c r="P978" s="31" t="inlineStr">
        <is>
          <t>SR Technics Switzerland</t>
        </is>
      </c>
    </row>
    <row r="979">
      <c r="B979" s="31" t="inlineStr">
        <is>
          <t>CFM56-5B</t>
        </is>
      </c>
      <c r="C979" s="31" t="inlineStr">
        <is>
          <t>2024-2025</t>
        </is>
      </c>
      <c r="D979" s="31" t="inlineStr">
        <is>
          <t>634090</t>
        </is>
      </c>
      <c r="E979" s="31" t="inlineStr">
        <is>
          <t>72-42-04</t>
        </is>
      </c>
      <c r="F979" s="31" t="inlineStr">
        <is>
          <t>A</t>
        </is>
      </c>
      <c r="G979" s="31" t="inlineStr">
        <is>
          <t>Combustor</t>
        </is>
      </c>
      <c r="H979" s="27" t="n">
        <v>920</v>
      </c>
      <c r="I979" s="27" t="n">
        <v>980</v>
      </c>
      <c r="J979" s="154">
        <f>I979/H979-1</f>
        <v/>
      </c>
      <c r="K979" s="31" t="inlineStr">
        <is>
          <t>57</t>
        </is>
      </c>
      <c r="L979" s="31" t="inlineStr">
        <is>
          <t>57</t>
        </is>
      </c>
      <c r="M979" s="31" t="inlineStr">
        <is>
          <t>S1</t>
        </is>
      </c>
      <c r="N979" s="31" t="inlineStr">
        <is>
          <t>S2</t>
        </is>
      </c>
      <c r="O979" s="31" t="inlineStr">
        <is>
          <t>1317M56G06</t>
        </is>
      </c>
      <c r="P979" s="31" t="inlineStr">
        <is>
          <t>SR Technics Switzerland</t>
        </is>
      </c>
    </row>
    <row r="980">
      <c r="B980" s="31" t="inlineStr">
        <is>
          <t>CFM56-5B</t>
        </is>
      </c>
      <c r="C980" s="31" t="inlineStr">
        <is>
          <t>2024-2025</t>
        </is>
      </c>
      <c r="D980" s="31" t="inlineStr">
        <is>
          <t>634090</t>
        </is>
      </c>
      <c r="E980" s="31" t="inlineStr">
        <is>
          <t>72-42-04</t>
        </is>
      </c>
      <c r="F980" s="31" t="inlineStr">
        <is>
          <t>AA</t>
        </is>
      </c>
      <c r="G980" s="31" t="inlineStr">
        <is>
          <t>Combustor</t>
        </is>
      </c>
      <c r="H980" s="27" t="n">
        <v>3765</v>
      </c>
      <c r="I980" s="27" t="n">
        <v>3995</v>
      </c>
      <c r="J980" s="154">
        <f>I980/H980-1</f>
        <v/>
      </c>
      <c r="K980" s="31" t="inlineStr">
        <is>
          <t>57</t>
        </is>
      </c>
      <c r="L980" s="31" t="inlineStr">
        <is>
          <t>57</t>
        </is>
      </c>
      <c r="M980" s="31" t="inlineStr">
        <is>
          <t>S1</t>
        </is>
      </c>
      <c r="N980" s="31" t="inlineStr">
        <is>
          <t>S2</t>
        </is>
      </c>
      <c r="O980" s="31" t="inlineStr">
        <is>
          <t>1317M56G06</t>
        </is>
      </c>
      <c r="P980" s="31" t="inlineStr">
        <is>
          <t>SR Technics Switzerland</t>
        </is>
      </c>
    </row>
    <row r="981">
      <c r="B981" s="31" t="inlineStr">
        <is>
          <t>CFM56-5B</t>
        </is>
      </c>
      <c r="C981" s="31" t="inlineStr">
        <is>
          <t>2024-2025</t>
        </is>
      </c>
      <c r="D981" s="31" t="inlineStr">
        <is>
          <t>634090</t>
        </is>
      </c>
      <c r="E981" s="31" t="inlineStr">
        <is>
          <t>72-42-04</t>
        </is>
      </c>
      <c r="F981" s="31" t="inlineStr">
        <is>
          <t>AB</t>
        </is>
      </c>
      <c r="G981" s="31" t="inlineStr">
        <is>
          <t>Combustor</t>
        </is>
      </c>
      <c r="H981" s="27" t="n">
        <v>6455</v>
      </c>
      <c r="I981" s="27" t="n">
        <v>6845</v>
      </c>
      <c r="J981" s="154">
        <f>I981/H981-1</f>
        <v/>
      </c>
      <c r="K981" s="31" t="inlineStr">
        <is>
          <t>57</t>
        </is>
      </c>
      <c r="L981" s="31" t="inlineStr">
        <is>
          <t>57</t>
        </is>
      </c>
      <c r="M981" s="31" t="inlineStr">
        <is>
          <t>S1</t>
        </is>
      </c>
      <c r="N981" s="31" t="inlineStr">
        <is>
          <t>S2</t>
        </is>
      </c>
      <c r="O981" s="31" t="inlineStr">
        <is>
          <t>1317M56G06</t>
        </is>
      </c>
      <c r="P981" s="31" t="inlineStr">
        <is>
          <t>SR Technics Switzerland</t>
        </is>
      </c>
    </row>
    <row r="982">
      <c r="B982" s="31" t="inlineStr">
        <is>
          <t>CFM56-5B</t>
        </is>
      </c>
      <c r="C982" s="31" t="inlineStr">
        <is>
          <t>2024-2025</t>
        </is>
      </c>
      <c r="D982" s="31" t="inlineStr">
        <is>
          <t>634090</t>
        </is>
      </c>
      <c r="E982" s="31" t="inlineStr">
        <is>
          <t>72-42-04</t>
        </is>
      </c>
      <c r="F982" s="31" t="inlineStr">
        <is>
          <t>AE</t>
        </is>
      </c>
      <c r="G982" s="31" t="inlineStr">
        <is>
          <t>Combustor</t>
        </is>
      </c>
      <c r="H982" s="27" t="n">
        <v>2820</v>
      </c>
      <c r="I982" s="27" t="n">
        <v>2990</v>
      </c>
      <c r="J982" s="154">
        <f>I982/H982-1</f>
        <v/>
      </c>
      <c r="K982" s="31" t="inlineStr">
        <is>
          <t>57</t>
        </is>
      </c>
      <c r="L982" s="31" t="inlineStr">
        <is>
          <t>57</t>
        </is>
      </c>
      <c r="M982" s="31" t="inlineStr">
        <is>
          <t>S1</t>
        </is>
      </c>
      <c r="N982" s="31" t="inlineStr">
        <is>
          <t>S2</t>
        </is>
      </c>
      <c r="O982" s="31" t="inlineStr">
        <is>
          <t>1317M56G06</t>
        </is>
      </c>
      <c r="P982" s="31" t="inlineStr">
        <is>
          <t>SR Technics Switzerland</t>
        </is>
      </c>
    </row>
    <row r="983">
      <c r="B983" s="31" t="inlineStr">
        <is>
          <t>CFM56-5B</t>
        </is>
      </c>
      <c r="C983" s="31" t="inlineStr">
        <is>
          <t>2024-2025</t>
        </is>
      </c>
      <c r="D983" s="31" t="inlineStr">
        <is>
          <t>634090</t>
        </is>
      </c>
      <c r="E983" s="31" t="inlineStr">
        <is>
          <t>72-42-04</t>
        </is>
      </c>
      <c r="F983" s="31" t="inlineStr">
        <is>
          <t>C</t>
        </is>
      </c>
      <c r="G983" s="31" t="inlineStr">
        <is>
          <t>Combustor</t>
        </is>
      </c>
      <c r="H983" s="27" t="n">
        <v>12250</v>
      </c>
      <c r="I983" s="27" t="n">
        <v>12985</v>
      </c>
      <c r="J983" s="154">
        <f>I983/H983-1</f>
        <v/>
      </c>
      <c r="K983" s="31" t="inlineStr">
        <is>
          <t>57</t>
        </is>
      </c>
      <c r="L983" s="31" t="inlineStr">
        <is>
          <t>57</t>
        </is>
      </c>
      <c r="M983" s="31" t="inlineStr">
        <is>
          <t>S1</t>
        </is>
      </c>
      <c r="N983" s="31" t="inlineStr">
        <is>
          <t>S2</t>
        </is>
      </c>
      <c r="O983" s="31" t="inlineStr">
        <is>
          <t>1317M56G06</t>
        </is>
      </c>
      <c r="P983" s="31" t="inlineStr">
        <is>
          <t>SR Technics Switzerland</t>
        </is>
      </c>
    </row>
    <row r="984">
      <c r="B984" s="31" t="inlineStr">
        <is>
          <t>CFM56-5B</t>
        </is>
      </c>
      <c r="C984" s="31" t="inlineStr">
        <is>
          <t>2024-2025</t>
        </is>
      </c>
      <c r="D984" s="31" t="inlineStr">
        <is>
          <t>634090</t>
        </is>
      </c>
      <c r="E984" s="31" t="inlineStr">
        <is>
          <t>72-42-04</t>
        </is>
      </c>
      <c r="F984" s="31" t="inlineStr">
        <is>
          <t>F</t>
        </is>
      </c>
      <c r="G984" s="31" t="inlineStr">
        <is>
          <t>Combustor</t>
        </is>
      </c>
      <c r="H984" s="27" t="n">
        <v>2825</v>
      </c>
      <c r="I984" s="27" t="n">
        <v>2995</v>
      </c>
      <c r="J984" s="154">
        <f>I984/H984-1</f>
        <v/>
      </c>
      <c r="K984" s="31" t="inlineStr">
        <is>
          <t>57</t>
        </is>
      </c>
      <c r="L984" s="31" t="inlineStr">
        <is>
          <t>57</t>
        </is>
      </c>
      <c r="M984" s="31" t="inlineStr">
        <is>
          <t>S1</t>
        </is>
      </c>
      <c r="N984" s="31" t="inlineStr">
        <is>
          <t>S2</t>
        </is>
      </c>
      <c r="O984" s="31" t="inlineStr">
        <is>
          <t>1317M56G06</t>
        </is>
      </c>
      <c r="P984" s="31" t="inlineStr">
        <is>
          <t>SR Technics Switzerland</t>
        </is>
      </c>
    </row>
    <row r="985">
      <c r="B985" s="31" t="inlineStr">
        <is>
          <t>CFM56-5B</t>
        </is>
      </c>
      <c r="C985" s="31" t="inlineStr">
        <is>
          <t>2024-2025</t>
        </is>
      </c>
      <c r="D985" s="31" t="inlineStr">
        <is>
          <t>634090</t>
        </is>
      </c>
      <c r="E985" s="31" t="inlineStr">
        <is>
          <t>72-42-04</t>
        </is>
      </c>
      <c r="F985" s="31" t="inlineStr">
        <is>
          <t>G</t>
        </is>
      </c>
      <c r="G985" s="31" t="inlineStr">
        <is>
          <t>Combustor</t>
        </is>
      </c>
      <c r="H985" s="27" t="n">
        <v>2335</v>
      </c>
      <c r="I985" s="27" t="n">
        <v>2480</v>
      </c>
      <c r="J985" s="154">
        <f>I985/H985-1</f>
        <v/>
      </c>
      <c r="K985" s="31" t="inlineStr">
        <is>
          <t>57</t>
        </is>
      </c>
      <c r="L985" s="31" t="inlineStr">
        <is>
          <t>57</t>
        </is>
      </c>
      <c r="M985" s="31" t="inlineStr">
        <is>
          <t>S1</t>
        </is>
      </c>
      <c r="N985" s="31" t="inlineStr">
        <is>
          <t>S2</t>
        </is>
      </c>
      <c r="O985" s="31" t="inlineStr">
        <is>
          <t>1317M56G06</t>
        </is>
      </c>
      <c r="P985" s="31" t="inlineStr">
        <is>
          <t>SR Technics Switzerland</t>
        </is>
      </c>
    </row>
    <row r="986">
      <c r="B986" s="31" t="inlineStr">
        <is>
          <t>CFM56-5B</t>
        </is>
      </c>
      <c r="C986" s="31" t="inlineStr">
        <is>
          <t>2024-2025</t>
        </is>
      </c>
      <c r="D986" s="31" t="inlineStr">
        <is>
          <t>634090</t>
        </is>
      </c>
      <c r="E986" s="31" t="inlineStr">
        <is>
          <t>72-42-04</t>
        </is>
      </c>
      <c r="F986" s="31" t="inlineStr">
        <is>
          <t>I</t>
        </is>
      </c>
      <c r="G986" s="31" t="inlineStr">
        <is>
          <t>Combustor</t>
        </is>
      </c>
      <c r="H986" s="27" t="n">
        <v>4210</v>
      </c>
      <c r="I986" s="27" t="n">
        <v>4465</v>
      </c>
      <c r="J986" s="154">
        <f>I986/H986-1</f>
        <v/>
      </c>
      <c r="K986" s="31" t="inlineStr">
        <is>
          <t>57</t>
        </is>
      </c>
      <c r="L986" s="31" t="inlineStr">
        <is>
          <t>57</t>
        </is>
      </c>
      <c r="M986" s="31" t="inlineStr">
        <is>
          <t>S1</t>
        </is>
      </c>
      <c r="N986" s="31" t="inlineStr">
        <is>
          <t>S2</t>
        </is>
      </c>
      <c r="O986" s="31" t="inlineStr">
        <is>
          <t>1317M56G06</t>
        </is>
      </c>
      <c r="P986" s="31" t="inlineStr">
        <is>
          <t>SR Technics Switzerland</t>
        </is>
      </c>
    </row>
    <row r="987">
      <c r="B987" s="31" t="inlineStr">
        <is>
          <t>CFM56-5B</t>
        </is>
      </c>
      <c r="C987" s="31" t="inlineStr">
        <is>
          <t>2024-2025</t>
        </is>
      </c>
      <c r="D987" s="31" t="inlineStr">
        <is>
          <t>634090</t>
        </is>
      </c>
      <c r="E987" s="31" t="inlineStr">
        <is>
          <t>72-42-04</t>
        </is>
      </c>
      <c r="F987" s="31" t="inlineStr">
        <is>
          <t>S</t>
        </is>
      </c>
      <c r="G987" s="31" t="inlineStr">
        <is>
          <t>Combustor</t>
        </is>
      </c>
      <c r="H987" s="27" t="n">
        <v>4395</v>
      </c>
      <c r="I987" s="27" t="n">
        <v>4660</v>
      </c>
      <c r="J987" s="154">
        <f>I987/H987-1</f>
        <v/>
      </c>
      <c r="K987" s="31" t="inlineStr">
        <is>
          <t>57</t>
        </is>
      </c>
      <c r="L987" s="31" t="inlineStr">
        <is>
          <t>57</t>
        </is>
      </c>
      <c r="M987" s="31" t="inlineStr">
        <is>
          <t>S1</t>
        </is>
      </c>
      <c r="N987" s="31" t="inlineStr">
        <is>
          <t>S2</t>
        </is>
      </c>
      <c r="O987" s="31" t="inlineStr">
        <is>
          <t>1317M56G06</t>
        </is>
      </c>
      <c r="P987" s="31" t="inlineStr">
        <is>
          <t>SR Technics Switzerland</t>
        </is>
      </c>
    </row>
    <row r="988">
      <c r="B988" s="31" t="inlineStr">
        <is>
          <t>CFM56-5B</t>
        </is>
      </c>
      <c r="C988" s="31" t="inlineStr">
        <is>
          <t>2024-2025</t>
        </is>
      </c>
      <c r="D988" s="31" t="inlineStr">
        <is>
          <t>634090</t>
        </is>
      </c>
      <c r="E988" s="31" t="inlineStr">
        <is>
          <t>72-42-04</t>
        </is>
      </c>
      <c r="F988" s="31" t="inlineStr">
        <is>
          <t>SB00</t>
        </is>
      </c>
      <c r="G988" s="31" t="inlineStr">
        <is>
          <t>Combustor</t>
        </is>
      </c>
      <c r="H988" s="27" t="n">
        <v>360</v>
      </c>
      <c r="I988" s="27" t="n">
        <v>385</v>
      </c>
      <c r="J988" s="154">
        <f>I988/H988-1</f>
        <v/>
      </c>
      <c r="K988" s="31" t="inlineStr">
        <is>
          <t>57</t>
        </is>
      </c>
      <c r="L988" s="31" t="inlineStr">
        <is>
          <t>57</t>
        </is>
      </c>
      <c r="M988" s="31" t="inlineStr">
        <is>
          <t>S1</t>
        </is>
      </c>
      <c r="N988" s="31" t="inlineStr">
        <is>
          <t>S2</t>
        </is>
      </c>
      <c r="O988" s="31" t="inlineStr">
        <is>
          <t>1317M56G06</t>
        </is>
      </c>
      <c r="P988" s="31" t="inlineStr">
        <is>
          <t>SR Technics Switzerland</t>
        </is>
      </c>
    </row>
    <row r="989">
      <c r="B989" s="31" t="inlineStr">
        <is>
          <t>CFM56-5B</t>
        </is>
      </c>
      <c r="C989" s="31" t="inlineStr">
        <is>
          <t>2024-2025</t>
        </is>
      </c>
      <c r="D989" s="31" t="inlineStr">
        <is>
          <t>634090</t>
        </is>
      </c>
      <c r="E989" s="31" t="inlineStr">
        <is>
          <t>72-42-04</t>
        </is>
      </c>
      <c r="F989" s="31" t="inlineStr">
        <is>
          <t>SB01</t>
        </is>
      </c>
      <c r="G989" s="31" t="inlineStr">
        <is>
          <t>Combustor</t>
        </is>
      </c>
      <c r="H989" s="27" t="n">
        <v>5370</v>
      </c>
      <c r="I989" s="27" t="n">
        <v>5695</v>
      </c>
      <c r="J989" s="154">
        <f>I989/H989-1</f>
        <v/>
      </c>
      <c r="K989" s="31" t="inlineStr">
        <is>
          <t>57</t>
        </is>
      </c>
      <c r="L989" s="31" t="inlineStr">
        <is>
          <t>57</t>
        </is>
      </c>
      <c r="M989" s="31" t="inlineStr">
        <is>
          <t>S1</t>
        </is>
      </c>
      <c r="N989" s="31" t="inlineStr">
        <is>
          <t>S2</t>
        </is>
      </c>
      <c r="O989" s="31" t="inlineStr">
        <is>
          <t>1317M56G06</t>
        </is>
      </c>
      <c r="P989" s="31" t="inlineStr">
        <is>
          <t>SR Technics Switzerland</t>
        </is>
      </c>
    </row>
    <row r="990">
      <c r="B990" s="31" t="inlineStr">
        <is>
          <t>CFM56-5B</t>
        </is>
      </c>
      <c r="C990" s="31" t="inlineStr">
        <is>
          <t>2024-2025</t>
        </is>
      </c>
      <c r="D990" s="31" t="inlineStr">
        <is>
          <t>634090</t>
        </is>
      </c>
      <c r="E990" s="31" t="inlineStr">
        <is>
          <t>72-42-04</t>
        </is>
      </c>
      <c r="F990" s="31" t="inlineStr">
        <is>
          <t>SB02</t>
        </is>
      </c>
      <c r="G990" s="31" t="inlineStr">
        <is>
          <t>Combustor</t>
        </is>
      </c>
      <c r="H990" s="27" t="n">
        <v>1020</v>
      </c>
      <c r="I990" s="27" t="n">
        <v>1085</v>
      </c>
      <c r="J990" s="154">
        <f>I990/H990-1</f>
        <v/>
      </c>
      <c r="K990" s="31" t="inlineStr">
        <is>
          <t>57</t>
        </is>
      </c>
      <c r="L990" s="31" t="inlineStr">
        <is>
          <t>57</t>
        </is>
      </c>
      <c r="M990" s="31" t="inlineStr">
        <is>
          <t>S1</t>
        </is>
      </c>
      <c r="N990" s="31" t="inlineStr">
        <is>
          <t>S2</t>
        </is>
      </c>
      <c r="O990" s="31" t="inlineStr">
        <is>
          <t>1317M56G06</t>
        </is>
      </c>
      <c r="P990" s="31" t="inlineStr">
        <is>
          <t>SR Technics Switzerland</t>
        </is>
      </c>
    </row>
    <row r="991">
      <c r="B991" s="31" t="inlineStr">
        <is>
          <t>CFM56-5B</t>
        </is>
      </c>
      <c r="C991" s="31" t="inlineStr">
        <is>
          <t>2024-2025</t>
        </is>
      </c>
      <c r="D991" s="31" t="inlineStr">
        <is>
          <t>634090</t>
        </is>
      </c>
      <c r="E991" s="31" t="inlineStr">
        <is>
          <t>72-42-04</t>
        </is>
      </c>
      <c r="F991" s="31" t="inlineStr">
        <is>
          <t>SB04</t>
        </is>
      </c>
      <c r="G991" s="31" t="inlineStr">
        <is>
          <t>Combustor</t>
        </is>
      </c>
      <c r="H991" s="27" t="n">
        <v>2560</v>
      </c>
      <c r="I991" s="27" t="n">
        <v>2715</v>
      </c>
      <c r="J991" s="154">
        <f>I991/H991-1</f>
        <v/>
      </c>
      <c r="K991" s="31" t="inlineStr">
        <is>
          <t>57</t>
        </is>
      </c>
      <c r="L991" s="31" t="inlineStr">
        <is>
          <t>57</t>
        </is>
      </c>
      <c r="M991" s="31" t="inlineStr">
        <is>
          <t>S1</t>
        </is>
      </c>
      <c r="N991" s="31" t="inlineStr">
        <is>
          <t>S2</t>
        </is>
      </c>
      <c r="O991" s="31" t="inlineStr">
        <is>
          <t>1317M56G06</t>
        </is>
      </c>
      <c r="P991" s="31" t="inlineStr">
        <is>
          <t>SR Technics Switzerland</t>
        </is>
      </c>
    </row>
    <row r="992">
      <c r="B992" s="31" t="inlineStr">
        <is>
          <t>CFM56-5B</t>
        </is>
      </c>
      <c r="C992" s="31" t="inlineStr">
        <is>
          <t>2024-2025</t>
        </is>
      </c>
      <c r="D992" s="31" t="inlineStr">
        <is>
          <t>634090</t>
        </is>
      </c>
      <c r="E992" s="31" t="inlineStr">
        <is>
          <t>72-42-04</t>
        </is>
      </c>
      <c r="F992" s="31" t="inlineStr">
        <is>
          <t>SB05</t>
        </is>
      </c>
      <c r="G992" s="31" t="inlineStr">
        <is>
          <t>Combustor</t>
        </is>
      </c>
      <c r="H992" s="27" t="n">
        <v>9435</v>
      </c>
      <c r="I992" s="27" t="n">
        <v>10005</v>
      </c>
      <c r="J992" s="154">
        <f>I992/H992-1</f>
        <v/>
      </c>
      <c r="K992" s="31" t="inlineStr">
        <is>
          <t>57</t>
        </is>
      </c>
      <c r="L992" s="31" t="inlineStr">
        <is>
          <t>57</t>
        </is>
      </c>
      <c r="M992" s="31" t="inlineStr">
        <is>
          <t>S1</t>
        </is>
      </c>
      <c r="N992" s="31" t="inlineStr">
        <is>
          <t>S2</t>
        </is>
      </c>
      <c r="O992" s="31" t="inlineStr">
        <is>
          <t>1317M56G06</t>
        </is>
      </c>
      <c r="P992" s="31" t="inlineStr">
        <is>
          <t>SR Technics Switzerland</t>
        </is>
      </c>
    </row>
    <row r="993">
      <c r="B993" s="31" t="inlineStr">
        <is>
          <t>CFM56-5B</t>
        </is>
      </c>
      <c r="C993" s="31" t="inlineStr">
        <is>
          <t>2024-2025</t>
        </is>
      </c>
      <c r="D993" s="31" t="inlineStr">
        <is>
          <t>634090</t>
        </is>
      </c>
      <c r="E993" s="31" t="inlineStr">
        <is>
          <t>72-42-04</t>
        </is>
      </c>
      <c r="F993" s="31" t="inlineStr">
        <is>
          <t>SB06</t>
        </is>
      </c>
      <c r="G993" s="31" t="inlineStr">
        <is>
          <t>Combustor</t>
        </is>
      </c>
      <c r="H993" s="27" t="n">
        <v>3765</v>
      </c>
      <c r="I993" s="27" t="n">
        <v>3995</v>
      </c>
      <c r="J993" s="154">
        <f>I993/H993-1</f>
        <v/>
      </c>
      <c r="K993" s="31" t="inlineStr">
        <is>
          <t>57</t>
        </is>
      </c>
      <c r="L993" s="31" t="inlineStr">
        <is>
          <t>57</t>
        </is>
      </c>
      <c r="M993" s="31" t="inlineStr">
        <is>
          <t>S1</t>
        </is>
      </c>
      <c r="N993" s="31" t="inlineStr">
        <is>
          <t>S2</t>
        </is>
      </c>
      <c r="O993" s="31" t="inlineStr">
        <is>
          <t>1317M56G06</t>
        </is>
      </c>
      <c r="P993" s="31" t="inlineStr">
        <is>
          <t>SR Technics Switzerland</t>
        </is>
      </c>
    </row>
    <row r="994">
      <c r="B994" s="31" t="inlineStr">
        <is>
          <t>CFM56-5B</t>
        </is>
      </c>
      <c r="C994" s="31" t="inlineStr">
        <is>
          <t>2024-2025</t>
        </is>
      </c>
      <c r="D994" s="31" t="inlineStr">
        <is>
          <t>634090</t>
        </is>
      </c>
      <c r="E994" s="31" t="inlineStr">
        <is>
          <t>72-42-04</t>
        </is>
      </c>
      <c r="F994" s="31" t="inlineStr">
        <is>
          <t>SB08</t>
        </is>
      </c>
      <c r="G994" s="31" t="inlineStr">
        <is>
          <t>Combustor</t>
        </is>
      </c>
      <c r="H994" s="27" t="n">
        <v>9435</v>
      </c>
      <c r="I994" s="27" t="n">
        <v>10005</v>
      </c>
      <c r="J994" s="154">
        <f>I994/H994-1</f>
        <v/>
      </c>
      <c r="K994" s="31" t="inlineStr">
        <is>
          <t>57</t>
        </is>
      </c>
      <c r="L994" s="31" t="inlineStr">
        <is>
          <t>58</t>
        </is>
      </c>
      <c r="M994" s="31" t="inlineStr">
        <is>
          <t>S1</t>
        </is>
      </c>
      <c r="N994" s="31" t="inlineStr">
        <is>
          <t>S2</t>
        </is>
      </c>
      <c r="O994" s="31" t="inlineStr">
        <is>
          <t>1317M56G06</t>
        </is>
      </c>
      <c r="P994" s="31" t="inlineStr">
        <is>
          <t>SR Technics Switzerland</t>
        </is>
      </c>
    </row>
    <row r="995">
      <c r="B995" s="31" t="inlineStr">
        <is>
          <t>CFM56-5B</t>
        </is>
      </c>
      <c r="C995" s="31" t="inlineStr">
        <is>
          <t>2024-2025</t>
        </is>
      </c>
      <c r="D995" s="31" t="inlineStr">
        <is>
          <t>634090</t>
        </is>
      </c>
      <c r="E995" s="31" t="inlineStr">
        <is>
          <t>72-42-04</t>
        </is>
      </c>
      <c r="F995" s="31" t="inlineStr">
        <is>
          <t>SB09</t>
        </is>
      </c>
      <c r="G995" s="31" t="inlineStr">
        <is>
          <t>Combustor</t>
        </is>
      </c>
      <c r="H995" s="27" t="n">
        <v>465</v>
      </c>
      <c r="I995" s="27" t="n">
        <v>495</v>
      </c>
      <c r="J995" s="154">
        <f>I995/H995-1</f>
        <v/>
      </c>
      <c r="K995" s="31" t="inlineStr">
        <is>
          <t>57</t>
        </is>
      </c>
      <c r="L995" s="31" t="inlineStr">
        <is>
          <t>58</t>
        </is>
      </c>
      <c r="M995" s="31" t="inlineStr">
        <is>
          <t>S1</t>
        </is>
      </c>
      <c r="N995" s="31" t="inlineStr">
        <is>
          <t>S2</t>
        </is>
      </c>
      <c r="O995" s="31" t="inlineStr">
        <is>
          <t>1317M56G06</t>
        </is>
      </c>
      <c r="P995" s="31" t="inlineStr">
        <is>
          <t>SR Technics Switzerland</t>
        </is>
      </c>
    </row>
    <row r="996">
      <c r="B996" s="31" t="inlineStr">
        <is>
          <t>CFM56-5B</t>
        </is>
      </c>
      <c r="C996" s="31" t="inlineStr">
        <is>
          <t>2024-2025</t>
        </is>
      </c>
      <c r="D996" s="31" t="inlineStr">
        <is>
          <t>634090</t>
        </is>
      </c>
      <c r="E996" s="31" t="inlineStr">
        <is>
          <t>72-42-04</t>
        </is>
      </c>
      <c r="F996" s="31" t="inlineStr">
        <is>
          <t>SB11</t>
        </is>
      </c>
      <c r="G996" s="31" t="inlineStr">
        <is>
          <t>Combustor</t>
        </is>
      </c>
      <c r="H996" s="27" t="n">
        <v>1210</v>
      </c>
      <c r="I996" s="27" t="n">
        <v>1285</v>
      </c>
      <c r="J996" s="154">
        <f>I996/H996-1</f>
        <v/>
      </c>
      <c r="K996" s="31" t="inlineStr">
        <is>
          <t>57</t>
        </is>
      </c>
      <c r="L996" s="31" t="inlineStr">
        <is>
          <t>58</t>
        </is>
      </c>
      <c r="M996" s="31" t="inlineStr">
        <is>
          <t>S1</t>
        </is>
      </c>
      <c r="N996" s="31" t="inlineStr">
        <is>
          <t>S2</t>
        </is>
      </c>
      <c r="O996" s="31" t="inlineStr">
        <is>
          <t>1317M56G06</t>
        </is>
      </c>
      <c r="P996" s="31" t="inlineStr">
        <is>
          <t>SR Technics Switzerland</t>
        </is>
      </c>
    </row>
    <row r="997">
      <c r="B997" s="31" t="inlineStr">
        <is>
          <t>CFM56-5B</t>
        </is>
      </c>
      <c r="C997" s="31" t="inlineStr">
        <is>
          <t>2024-2025</t>
        </is>
      </c>
      <c r="D997" s="31" t="inlineStr">
        <is>
          <t>634090</t>
        </is>
      </c>
      <c r="E997" s="31" t="inlineStr">
        <is>
          <t>72-42-04</t>
        </is>
      </c>
      <c r="F997" s="31" t="inlineStr">
        <is>
          <t>V</t>
        </is>
      </c>
      <c r="G997" s="31" t="inlineStr">
        <is>
          <t>Combustor</t>
        </is>
      </c>
      <c r="H997" s="27" t="n">
        <v>4525</v>
      </c>
      <c r="I997" s="27" t="n">
        <v>4800</v>
      </c>
      <c r="J997" s="154">
        <f>I997/H997-1</f>
        <v/>
      </c>
      <c r="K997" s="31" t="inlineStr">
        <is>
          <t>57</t>
        </is>
      </c>
      <c r="L997" s="31" t="inlineStr">
        <is>
          <t>58</t>
        </is>
      </c>
      <c r="M997" s="31" t="inlineStr">
        <is>
          <t>S1</t>
        </is>
      </c>
      <c r="N997" s="31" t="inlineStr">
        <is>
          <t>S2</t>
        </is>
      </c>
      <c r="O997" s="31" t="inlineStr">
        <is>
          <t>1317M56G06</t>
        </is>
      </c>
      <c r="P997" s="31" t="inlineStr">
        <is>
          <t>SR Technics Switzerland</t>
        </is>
      </c>
    </row>
    <row r="998">
      <c r="B998" s="31" t="inlineStr">
        <is>
          <t>CFM56-5B</t>
        </is>
      </c>
      <c r="C998" s="31" t="inlineStr">
        <is>
          <t>2024-2025</t>
        </is>
      </c>
      <c r="D998" s="31" t="inlineStr">
        <is>
          <t>634090</t>
        </is>
      </c>
      <c r="E998" s="31" t="inlineStr">
        <is>
          <t>72-42-04</t>
        </is>
      </c>
      <c r="F998" s="31" t="inlineStr">
        <is>
          <t>X</t>
        </is>
      </c>
      <c r="G998" s="31" t="inlineStr">
        <is>
          <t>Combustor</t>
        </is>
      </c>
      <c r="H998" s="27" t="n">
        <v>8315</v>
      </c>
      <c r="I998" s="27" t="n">
        <v>8815</v>
      </c>
      <c r="J998" s="154">
        <f>I998/H998-1</f>
        <v/>
      </c>
      <c r="K998" s="31" t="inlineStr">
        <is>
          <t>57</t>
        </is>
      </c>
      <c r="L998" s="31" t="inlineStr">
        <is>
          <t>58</t>
        </is>
      </c>
      <c r="M998" s="31" t="inlineStr">
        <is>
          <t>S1</t>
        </is>
      </c>
      <c r="N998" s="31" t="inlineStr">
        <is>
          <t>S2</t>
        </is>
      </c>
      <c r="O998" s="31" t="inlineStr">
        <is>
          <t>1317M56G06</t>
        </is>
      </c>
      <c r="P998" s="31" t="inlineStr">
        <is>
          <t>SR Technics Switzerland</t>
        </is>
      </c>
    </row>
    <row r="999">
      <c r="B999" s="31" t="inlineStr">
        <is>
          <t>CFM56-5B</t>
        </is>
      </c>
      <c r="C999" s="31" t="inlineStr">
        <is>
          <t>2024-2025</t>
        </is>
      </c>
      <c r="D999" s="31" t="inlineStr">
        <is>
          <t>634090</t>
        </is>
      </c>
      <c r="E999" s="31" t="inlineStr">
        <is>
          <t>72-42-04</t>
        </is>
      </c>
      <c r="F999" s="31" t="inlineStr">
        <is>
          <t>Y</t>
        </is>
      </c>
      <c r="G999" s="31" t="inlineStr">
        <is>
          <t>Combustor</t>
        </is>
      </c>
      <c r="H999" s="27" t="n">
        <v>2955</v>
      </c>
      <c r="I999" s="27" t="n">
        <v>3135</v>
      </c>
      <c r="J999" s="154">
        <f>I999/H999-1</f>
        <v/>
      </c>
      <c r="K999" s="31" t="inlineStr">
        <is>
          <t>58</t>
        </is>
      </c>
      <c r="L999" s="31" t="inlineStr">
        <is>
          <t>58</t>
        </is>
      </c>
      <c r="M999" s="31" t="inlineStr">
        <is>
          <t>S1</t>
        </is>
      </c>
      <c r="N999" s="31" t="inlineStr">
        <is>
          <t>S2</t>
        </is>
      </c>
      <c r="O999" s="31" t="inlineStr">
        <is>
          <t>1317M56G06</t>
        </is>
      </c>
      <c r="P999" s="31" t="inlineStr">
        <is>
          <t>SR Technics Switzerland</t>
        </is>
      </c>
    </row>
    <row r="1000">
      <c r="B1000" s="31" t="inlineStr">
        <is>
          <t>CFM56-5B</t>
        </is>
      </c>
      <c r="C1000" s="31" t="inlineStr">
        <is>
          <t>2024-2025</t>
        </is>
      </c>
      <c r="D1000" s="31" t="inlineStr">
        <is>
          <t>634090</t>
        </is>
      </c>
      <c r="E1000" s="31" t="inlineStr">
        <is>
          <t>72-42-04</t>
        </is>
      </c>
      <c r="F1000" s="31" t="inlineStr">
        <is>
          <t>Z</t>
        </is>
      </c>
      <c r="G1000" s="31" t="inlineStr">
        <is>
          <t>Combustor</t>
        </is>
      </c>
      <c r="H1000" s="27" t="n">
        <v>3765</v>
      </c>
      <c r="I1000" s="27" t="n">
        <v>3995</v>
      </c>
      <c r="J1000" s="154">
        <f>I1000/H1000-1</f>
        <v/>
      </c>
      <c r="K1000" s="31" t="inlineStr">
        <is>
          <t>58</t>
        </is>
      </c>
      <c r="L1000" s="31" t="inlineStr">
        <is>
          <t>58</t>
        </is>
      </c>
      <c r="M1000" s="31" t="inlineStr">
        <is>
          <t>S1</t>
        </is>
      </c>
      <c r="N1000" s="31" t="inlineStr">
        <is>
          <t>S2</t>
        </is>
      </c>
      <c r="O1000" s="31" t="inlineStr">
        <is>
          <t>1317M56G06</t>
        </is>
      </c>
      <c r="P1000" s="31" t="inlineStr">
        <is>
          <t>SR Technics Switzerland</t>
        </is>
      </c>
    </row>
    <row r="1001">
      <c r="B1001" s="31" t="inlineStr">
        <is>
          <t>CFM56-5B</t>
        </is>
      </c>
      <c r="C1001" s="31" t="inlineStr">
        <is>
          <t>2024-2025</t>
        </is>
      </c>
      <c r="D1001" s="31" t="inlineStr">
        <is>
          <t>634151</t>
        </is>
      </c>
      <c r="E1001" s="31" t="inlineStr">
        <is>
          <t>72-53-02</t>
        </is>
      </c>
      <c r="F1001" s="31" t="inlineStr">
        <is>
          <t>A</t>
        </is>
      </c>
      <c r="G1001" s="31" t="inlineStr">
        <is>
          <t>HPT / nozzle</t>
        </is>
      </c>
      <c r="H1001" s="27" t="n">
        <v>1155</v>
      </c>
      <c r="I1001" s="27" t="n">
        <v>1225</v>
      </c>
      <c r="J1001" s="154">
        <f>I1001/H1001-1</f>
        <v/>
      </c>
      <c r="K1001" s="31" t="inlineStr">
        <is>
          <t>24</t>
        </is>
      </c>
      <c r="L1001" s="31" t="inlineStr">
        <is>
          <t>24</t>
        </is>
      </c>
      <c r="M1001" s="31" t="inlineStr">
        <is>
          <t>S1</t>
        </is>
      </c>
      <c r="N1001" s="31" t="inlineStr">
        <is>
          <t>S2</t>
        </is>
      </c>
      <c r="O1001" s="31" t="inlineStr">
        <is>
          <t>1523M29G04</t>
        </is>
      </c>
      <c r="P1001" s="31" t="inlineStr">
        <is>
          <t>SR Technics Switzerland</t>
        </is>
      </c>
    </row>
    <row r="1002">
      <c r="B1002" s="31" t="inlineStr">
        <is>
          <t>CFM56-5B</t>
        </is>
      </c>
      <c r="C1002" s="31" t="inlineStr">
        <is>
          <t>2024-2025</t>
        </is>
      </c>
      <c r="D1002" s="31" t="inlineStr">
        <is>
          <t>634151</t>
        </is>
      </c>
      <c r="E1002" s="31" t="inlineStr">
        <is>
          <t>72-53-02</t>
        </is>
      </c>
      <c r="F1002" s="31" t="inlineStr">
        <is>
          <t>AC</t>
        </is>
      </c>
      <c r="G1002" s="31" t="inlineStr">
        <is>
          <t>HPT / nozzle</t>
        </is>
      </c>
      <c r="H1002" s="27" t="n">
        <v>850</v>
      </c>
      <c r="I1002" s="27" t="n">
        <v>905</v>
      </c>
      <c r="J1002" s="154">
        <f>I1002/H1002-1</f>
        <v/>
      </c>
      <c r="K1002" s="31" t="inlineStr">
        <is>
          <t>24</t>
        </is>
      </c>
      <c r="L1002" s="31" t="inlineStr">
        <is>
          <t>24</t>
        </is>
      </c>
      <c r="M1002" s="31" t="inlineStr">
        <is>
          <t>S1</t>
        </is>
      </c>
      <c r="N1002" s="31" t="inlineStr">
        <is>
          <t>S2</t>
        </is>
      </c>
      <c r="O1002" s="31" t="inlineStr">
        <is>
          <t>1523M29G04</t>
        </is>
      </c>
      <c r="P1002" s="31" t="inlineStr">
        <is>
          <t>SR Technics Switzerland</t>
        </is>
      </c>
    </row>
    <row r="1003">
      <c r="B1003" s="31" t="inlineStr">
        <is>
          <t>CFM56-5B</t>
        </is>
      </c>
      <c r="C1003" s="31" t="inlineStr">
        <is>
          <t>2024-2025</t>
        </is>
      </c>
      <c r="D1003" s="31" t="inlineStr">
        <is>
          <t>634151</t>
        </is>
      </c>
      <c r="E1003" s="31" t="inlineStr">
        <is>
          <t>72-53-02</t>
        </is>
      </c>
      <c r="F1003" s="31" t="inlineStr">
        <is>
          <t>AM</t>
        </is>
      </c>
      <c r="G1003" s="31" t="inlineStr">
        <is>
          <t>HPT / nozzle</t>
        </is>
      </c>
      <c r="H1003" s="27" t="n">
        <v>570</v>
      </c>
      <c r="I1003" s="27" t="n">
        <v>605</v>
      </c>
      <c r="J1003" s="154">
        <f>I1003/H1003-1</f>
        <v/>
      </c>
      <c r="K1003" s="31" t="inlineStr">
        <is>
          <t>24</t>
        </is>
      </c>
      <c r="L1003" s="31" t="inlineStr">
        <is>
          <t>24</t>
        </is>
      </c>
      <c r="M1003" s="31" t="inlineStr">
        <is>
          <t>S1</t>
        </is>
      </c>
      <c r="N1003" s="31" t="inlineStr">
        <is>
          <t>S2</t>
        </is>
      </c>
      <c r="O1003" s="31" t="inlineStr">
        <is>
          <t>1523M29G04</t>
        </is>
      </c>
      <c r="P1003" s="31" t="inlineStr">
        <is>
          <t>SR Technics Switzerland</t>
        </is>
      </c>
    </row>
    <row r="1004">
      <c r="B1004" s="31" t="inlineStr">
        <is>
          <t>CFM56-5B</t>
        </is>
      </c>
      <c r="C1004" s="31" t="inlineStr">
        <is>
          <t>2024-2025</t>
        </is>
      </c>
      <c r="D1004" s="31" t="inlineStr">
        <is>
          <t>634151</t>
        </is>
      </c>
      <c r="E1004" s="31" t="inlineStr">
        <is>
          <t>72-53-02</t>
        </is>
      </c>
      <c r="F1004" s="31" t="inlineStr">
        <is>
          <t>AN</t>
        </is>
      </c>
      <c r="G1004" s="31" t="inlineStr">
        <is>
          <t>HPT / nozzle</t>
        </is>
      </c>
      <c r="H1004" s="27" t="n">
        <v>7620</v>
      </c>
      <c r="I1004" s="27" t="n">
        <v>8080</v>
      </c>
      <c r="J1004" s="154">
        <f>I1004/H1004-1</f>
        <v/>
      </c>
      <c r="K1004" s="31" t="inlineStr">
        <is>
          <t>24</t>
        </is>
      </c>
      <c r="L1004" s="31" t="inlineStr">
        <is>
          <t>24</t>
        </is>
      </c>
      <c r="M1004" s="31" t="inlineStr">
        <is>
          <t>S1</t>
        </is>
      </c>
      <c r="N1004" s="31" t="inlineStr">
        <is>
          <t>S2</t>
        </is>
      </c>
      <c r="O1004" s="31" t="inlineStr">
        <is>
          <t>1523M29G04</t>
        </is>
      </c>
      <c r="P1004" s="31" t="inlineStr">
        <is>
          <t>SR Technics Switzerland</t>
        </is>
      </c>
    </row>
    <row r="1005">
      <c r="B1005" s="31" t="inlineStr">
        <is>
          <t>CFM56-5B</t>
        </is>
      </c>
      <c r="C1005" s="31" t="inlineStr">
        <is>
          <t>2024-2025</t>
        </is>
      </c>
      <c r="D1005" s="31" t="inlineStr">
        <is>
          <t>634151</t>
        </is>
      </c>
      <c r="E1005" s="31" t="inlineStr">
        <is>
          <t>72-53-02</t>
        </is>
      </c>
      <c r="F1005" s="31" t="inlineStr">
        <is>
          <t>B</t>
        </is>
      </c>
      <c r="G1005" s="31" t="inlineStr">
        <is>
          <t>HPT / nozzle</t>
        </is>
      </c>
      <c r="H1005" s="27" t="n">
        <v>2015</v>
      </c>
      <c r="I1005" s="27" t="n">
        <v>2140</v>
      </c>
      <c r="J1005" s="154">
        <f>I1005/H1005-1</f>
        <v/>
      </c>
      <c r="K1005" s="31" t="inlineStr">
        <is>
          <t>24</t>
        </is>
      </c>
      <c r="L1005" s="31" t="inlineStr">
        <is>
          <t>24</t>
        </is>
      </c>
      <c r="M1005" s="31" t="inlineStr">
        <is>
          <t>S1</t>
        </is>
      </c>
      <c r="N1005" s="31" t="inlineStr">
        <is>
          <t>S2</t>
        </is>
      </c>
      <c r="O1005" s="31" t="inlineStr">
        <is>
          <t>1523M29G04</t>
        </is>
      </c>
      <c r="P1005" s="31" t="inlineStr">
        <is>
          <t>SR Technics Switzerland</t>
        </is>
      </c>
    </row>
    <row r="1006">
      <c r="B1006" s="31" t="inlineStr">
        <is>
          <t>CFM56-5B</t>
        </is>
      </c>
      <c r="C1006" s="31" t="inlineStr">
        <is>
          <t>2024-2025</t>
        </is>
      </c>
      <c r="D1006" s="31" t="inlineStr">
        <is>
          <t>634151</t>
        </is>
      </c>
      <c r="E1006" s="31" t="inlineStr">
        <is>
          <t>72-53-02</t>
        </is>
      </c>
      <c r="F1006" s="31" t="inlineStr">
        <is>
          <t>C</t>
        </is>
      </c>
      <c r="G1006" s="31" t="inlineStr">
        <is>
          <t>HPT / nozzle</t>
        </is>
      </c>
      <c r="H1006" s="27" t="n">
        <v>4270</v>
      </c>
      <c r="I1006" s="27" t="n">
        <v>4530</v>
      </c>
      <c r="J1006" s="154">
        <f>I1006/H1006-1</f>
        <v/>
      </c>
      <c r="K1006" s="31" t="inlineStr">
        <is>
          <t>24</t>
        </is>
      </c>
      <c r="L1006" s="31" t="inlineStr">
        <is>
          <t>24</t>
        </is>
      </c>
      <c r="M1006" s="31" t="inlineStr">
        <is>
          <t>S1</t>
        </is>
      </c>
      <c r="N1006" s="31" t="inlineStr">
        <is>
          <t>S2</t>
        </is>
      </c>
      <c r="O1006" s="31" t="inlineStr">
        <is>
          <t>1523M29G04</t>
        </is>
      </c>
      <c r="P1006" s="31" t="inlineStr">
        <is>
          <t>SR Technics Switzerland</t>
        </is>
      </c>
    </row>
    <row r="1007">
      <c r="B1007" s="31" t="inlineStr">
        <is>
          <t>CFM56-5B</t>
        </is>
      </c>
      <c r="C1007" s="31" t="inlineStr">
        <is>
          <t>2024-2025</t>
        </is>
      </c>
      <c r="D1007" s="31" t="inlineStr">
        <is>
          <t>634151</t>
        </is>
      </c>
      <c r="E1007" s="31" t="inlineStr">
        <is>
          <t>72-53-02</t>
        </is>
      </c>
      <c r="F1007" s="31" t="inlineStr">
        <is>
          <t>E</t>
        </is>
      </c>
      <c r="G1007" s="31" t="inlineStr">
        <is>
          <t>HPT / nozzle</t>
        </is>
      </c>
      <c r="H1007" s="27" t="n">
        <v>3215</v>
      </c>
      <c r="I1007" s="27" t="n">
        <v>3410</v>
      </c>
      <c r="J1007" s="154">
        <f>I1007/H1007-1</f>
        <v/>
      </c>
      <c r="K1007" s="31" t="inlineStr">
        <is>
          <t>24</t>
        </is>
      </c>
      <c r="L1007" s="31" t="inlineStr">
        <is>
          <t>24</t>
        </is>
      </c>
      <c r="M1007" s="31" t="inlineStr">
        <is>
          <t>S1</t>
        </is>
      </c>
      <c r="N1007" s="31" t="inlineStr">
        <is>
          <t>S2</t>
        </is>
      </c>
      <c r="O1007" s="31" t="inlineStr">
        <is>
          <t>1523M29G04</t>
        </is>
      </c>
      <c r="P1007" s="31" t="inlineStr">
        <is>
          <t>SR Technics Switzerland</t>
        </is>
      </c>
    </row>
    <row r="1008">
      <c r="B1008" s="31" t="inlineStr">
        <is>
          <t>CFM56-5B</t>
        </is>
      </c>
      <c r="C1008" s="31" t="inlineStr">
        <is>
          <t>2024-2025</t>
        </is>
      </c>
      <c r="D1008" s="31" t="inlineStr">
        <is>
          <t>634151</t>
        </is>
      </c>
      <c r="E1008" s="31" t="inlineStr">
        <is>
          <t>72-53-02</t>
        </is>
      </c>
      <c r="F1008" s="31" t="inlineStr">
        <is>
          <t>G</t>
        </is>
      </c>
      <c r="G1008" s="31" t="inlineStr">
        <is>
          <t>HPT / nozzle</t>
        </is>
      </c>
      <c r="H1008" s="27" t="n">
        <v>2645</v>
      </c>
      <c r="I1008" s="27" t="n">
        <v>2805</v>
      </c>
      <c r="J1008" s="154">
        <f>I1008/H1008-1</f>
        <v/>
      </c>
      <c r="K1008" s="31" t="inlineStr">
        <is>
          <t>24</t>
        </is>
      </c>
      <c r="L1008" s="31" t="inlineStr">
        <is>
          <t>24</t>
        </is>
      </c>
      <c r="M1008" s="31" t="inlineStr">
        <is>
          <t>S1</t>
        </is>
      </c>
      <c r="N1008" s="31" t="inlineStr">
        <is>
          <t>S2</t>
        </is>
      </c>
      <c r="O1008" s="31" t="inlineStr">
        <is>
          <t>1523M29G04</t>
        </is>
      </c>
      <c r="P1008" s="31" t="inlineStr">
        <is>
          <t>SR Technics Switzerland</t>
        </is>
      </c>
    </row>
    <row r="1009">
      <c r="B1009" s="31" t="inlineStr">
        <is>
          <t>CFM56-5B</t>
        </is>
      </c>
      <c r="C1009" s="31" t="inlineStr">
        <is>
          <t>2024-2025</t>
        </is>
      </c>
      <c r="D1009" s="31" t="inlineStr">
        <is>
          <t>634151</t>
        </is>
      </c>
      <c r="E1009" s="31" t="inlineStr">
        <is>
          <t>72-53-02</t>
        </is>
      </c>
      <c r="F1009" s="31" t="inlineStr">
        <is>
          <t>H</t>
        </is>
      </c>
      <c r="G1009" s="31" t="inlineStr">
        <is>
          <t>HPT / nozzle</t>
        </is>
      </c>
      <c r="H1009" s="27" t="n">
        <v>445</v>
      </c>
      <c r="I1009" s="27" t="n">
        <v>475</v>
      </c>
      <c r="J1009" s="154">
        <f>I1009/H1009-1</f>
        <v/>
      </c>
      <c r="K1009" s="31" t="inlineStr">
        <is>
          <t>24</t>
        </is>
      </c>
      <c r="L1009" s="31" t="inlineStr">
        <is>
          <t>24</t>
        </is>
      </c>
      <c r="M1009" s="31" t="inlineStr">
        <is>
          <t>S1</t>
        </is>
      </c>
      <c r="N1009" s="31" t="inlineStr">
        <is>
          <t>S2</t>
        </is>
      </c>
      <c r="O1009" s="31" t="inlineStr">
        <is>
          <t>1523M29G04</t>
        </is>
      </c>
      <c r="P1009" s="31" t="inlineStr">
        <is>
          <t>SR Technics Switzerland</t>
        </is>
      </c>
    </row>
    <row r="1010">
      <c r="B1010" s="31" t="inlineStr">
        <is>
          <t>CFM56-5B</t>
        </is>
      </c>
      <c r="C1010" s="31" t="inlineStr">
        <is>
          <t>2024-2025</t>
        </is>
      </c>
      <c r="D1010" s="31" t="inlineStr">
        <is>
          <t>634151</t>
        </is>
      </c>
      <c r="E1010" s="31" t="inlineStr">
        <is>
          <t>72-53-02</t>
        </is>
      </c>
      <c r="F1010" s="31" t="inlineStr">
        <is>
          <t>M</t>
        </is>
      </c>
      <c r="G1010" s="31" t="inlineStr">
        <is>
          <t>HPT / nozzle</t>
        </is>
      </c>
      <c r="H1010" s="27" t="n">
        <v>410</v>
      </c>
      <c r="I1010" s="27" t="n">
        <v>435</v>
      </c>
      <c r="J1010" s="154">
        <f>I1010/H1010-1</f>
        <v/>
      </c>
      <c r="K1010" s="31" t="inlineStr">
        <is>
          <t>24</t>
        </is>
      </c>
      <c r="L1010" s="31" t="inlineStr">
        <is>
          <t>24</t>
        </is>
      </c>
      <c r="M1010" s="31" t="inlineStr">
        <is>
          <t>S1</t>
        </is>
      </c>
      <c r="N1010" s="31" t="inlineStr">
        <is>
          <t>S2</t>
        </is>
      </c>
      <c r="O1010" s="31" t="inlineStr">
        <is>
          <t>1523M29G04</t>
        </is>
      </c>
      <c r="P1010" s="31" t="inlineStr">
        <is>
          <t>SR Technics Switzerland</t>
        </is>
      </c>
    </row>
    <row r="1011">
      <c r="B1011" s="31" t="inlineStr">
        <is>
          <t>CFM56-5B</t>
        </is>
      </c>
      <c r="C1011" s="31" t="inlineStr">
        <is>
          <t>2024-2025</t>
        </is>
      </c>
      <c r="D1011" s="31" t="inlineStr">
        <is>
          <t>634151</t>
        </is>
      </c>
      <c r="E1011" s="31" t="inlineStr">
        <is>
          <t>72-53-02</t>
        </is>
      </c>
      <c r="F1011" s="31" t="inlineStr">
        <is>
          <t>O</t>
        </is>
      </c>
      <c r="G1011" s="31" t="inlineStr">
        <is>
          <t>HPT / nozzle</t>
        </is>
      </c>
      <c r="H1011" s="27" t="n">
        <v>580</v>
      </c>
      <c r="I1011" s="27" t="n">
        <v>615</v>
      </c>
      <c r="J1011" s="154">
        <f>I1011/H1011-1</f>
        <v/>
      </c>
      <c r="K1011" s="31" t="inlineStr">
        <is>
          <t>24</t>
        </is>
      </c>
      <c r="L1011" s="31" t="inlineStr">
        <is>
          <t>24</t>
        </is>
      </c>
      <c r="M1011" s="31" t="inlineStr">
        <is>
          <t>S1</t>
        </is>
      </c>
      <c r="N1011" s="31" t="inlineStr">
        <is>
          <t>S2</t>
        </is>
      </c>
      <c r="O1011" s="31" t="inlineStr">
        <is>
          <t>1523M29G04</t>
        </is>
      </c>
      <c r="P1011" s="31" t="inlineStr">
        <is>
          <t>SR Technics Switzerland</t>
        </is>
      </c>
    </row>
    <row r="1012">
      <c r="B1012" s="31" t="inlineStr">
        <is>
          <t>CFM56-5B</t>
        </is>
      </c>
      <c r="C1012" s="31" t="inlineStr">
        <is>
          <t>2024-2025</t>
        </is>
      </c>
      <c r="D1012" s="31" t="inlineStr">
        <is>
          <t>634151</t>
        </is>
      </c>
      <c r="E1012" s="31" t="inlineStr">
        <is>
          <t>72-53-02</t>
        </is>
      </c>
      <c r="F1012" s="31" t="inlineStr">
        <is>
          <t>SB01</t>
        </is>
      </c>
      <c r="G1012" s="31" t="inlineStr">
        <is>
          <t>HPT / nozzle</t>
        </is>
      </c>
      <c r="H1012" s="27" t="n">
        <v>4425</v>
      </c>
      <c r="I1012" s="27" t="n">
        <v>4695</v>
      </c>
      <c r="J1012" s="154">
        <f>I1012/H1012-1</f>
        <v/>
      </c>
      <c r="K1012" s="31" t="inlineStr">
        <is>
          <t>24</t>
        </is>
      </c>
      <c r="L1012" s="31" t="inlineStr">
        <is>
          <t>24</t>
        </is>
      </c>
      <c r="M1012" s="31" t="inlineStr">
        <is>
          <t>S1</t>
        </is>
      </c>
      <c r="N1012" s="31" t="inlineStr">
        <is>
          <t>S2</t>
        </is>
      </c>
      <c r="O1012" s="31" t="inlineStr">
        <is>
          <t>1523M29G04</t>
        </is>
      </c>
      <c r="P1012" s="31" t="inlineStr">
        <is>
          <t>SR Technics Switzerland</t>
        </is>
      </c>
    </row>
    <row r="1013">
      <c r="B1013" s="31" t="inlineStr">
        <is>
          <t>CFM56-5B</t>
        </is>
      </c>
      <c r="C1013" s="31" t="inlineStr">
        <is>
          <t>2024-2025</t>
        </is>
      </c>
      <c r="D1013" s="31" t="inlineStr">
        <is>
          <t>634151</t>
        </is>
      </c>
      <c r="E1013" s="31" t="inlineStr">
        <is>
          <t>72-53-02</t>
        </is>
      </c>
      <c r="F1013" s="31" t="inlineStr">
        <is>
          <t>SB02</t>
        </is>
      </c>
      <c r="G1013" s="31" t="inlineStr">
        <is>
          <t>HPT / nozzle</t>
        </is>
      </c>
      <c r="H1013" s="27" t="n">
        <v>4425</v>
      </c>
      <c r="I1013" s="27" t="n">
        <v>4695</v>
      </c>
      <c r="J1013" s="154">
        <f>I1013/H1013-1</f>
        <v/>
      </c>
      <c r="K1013" s="31" t="inlineStr">
        <is>
          <t>24</t>
        </is>
      </c>
      <c r="L1013" s="31" t="inlineStr">
        <is>
          <t>24</t>
        </is>
      </c>
      <c r="M1013" s="31" t="inlineStr">
        <is>
          <t>S1</t>
        </is>
      </c>
      <c r="N1013" s="31" t="inlineStr">
        <is>
          <t>S2</t>
        </is>
      </c>
      <c r="O1013" s="31" t="inlineStr">
        <is>
          <t>1523M29G04</t>
        </is>
      </c>
      <c r="P1013" s="31" t="inlineStr">
        <is>
          <t>SR Technics Switzerland</t>
        </is>
      </c>
    </row>
    <row r="1014">
      <c r="B1014" s="31" t="inlineStr">
        <is>
          <t>CFM56-5B</t>
        </is>
      </c>
      <c r="C1014" s="31" t="inlineStr">
        <is>
          <t>2024-2025</t>
        </is>
      </c>
      <c r="D1014" s="31" t="inlineStr">
        <is>
          <t>634151</t>
        </is>
      </c>
      <c r="E1014" s="31" t="inlineStr">
        <is>
          <t>72-53-02</t>
        </is>
      </c>
      <c r="F1014" s="31" t="inlineStr">
        <is>
          <t>SB03</t>
        </is>
      </c>
      <c r="G1014" s="31" t="inlineStr">
        <is>
          <t>HPT / nozzle</t>
        </is>
      </c>
      <c r="H1014" s="27" t="n">
        <v>4425</v>
      </c>
      <c r="I1014" s="27" t="n">
        <v>4695</v>
      </c>
      <c r="J1014" s="154">
        <f>I1014/H1014-1</f>
        <v/>
      </c>
      <c r="K1014" s="31" t="inlineStr">
        <is>
          <t>24</t>
        </is>
      </c>
      <c r="L1014" s="31" t="inlineStr">
        <is>
          <t>24</t>
        </is>
      </c>
      <c r="M1014" s="31" t="inlineStr">
        <is>
          <t>S1</t>
        </is>
      </c>
      <c r="N1014" s="31" t="inlineStr">
        <is>
          <t>S2</t>
        </is>
      </c>
      <c r="O1014" s="31" t="inlineStr">
        <is>
          <t>1523M29G04</t>
        </is>
      </c>
      <c r="P1014" s="31" t="inlineStr">
        <is>
          <t>SR Technics Switzerland</t>
        </is>
      </c>
    </row>
    <row r="1015">
      <c r="B1015" s="31" t="inlineStr">
        <is>
          <t>CFM56-5B</t>
        </is>
      </c>
      <c r="C1015" s="31" t="inlineStr">
        <is>
          <t>2024-2025</t>
        </is>
      </c>
      <c r="D1015" s="31" t="inlineStr">
        <is>
          <t>634151</t>
        </is>
      </c>
      <c r="E1015" s="31" t="inlineStr">
        <is>
          <t>72-53-02</t>
        </is>
      </c>
      <c r="F1015" s="31" t="inlineStr">
        <is>
          <t>T</t>
        </is>
      </c>
      <c r="G1015" s="31" t="inlineStr">
        <is>
          <t>HPT / nozzle</t>
        </is>
      </c>
      <c r="H1015" s="27" t="n">
        <v>5900</v>
      </c>
      <c r="I1015" s="27" t="n">
        <v>6255</v>
      </c>
      <c r="J1015" s="154">
        <f>I1015/H1015-1</f>
        <v/>
      </c>
      <c r="K1015" s="31" t="inlineStr">
        <is>
          <t>24</t>
        </is>
      </c>
      <c r="L1015" s="31" t="inlineStr">
        <is>
          <t>24</t>
        </is>
      </c>
      <c r="M1015" s="31" t="inlineStr">
        <is>
          <t>S1</t>
        </is>
      </c>
      <c r="N1015" s="31" t="inlineStr">
        <is>
          <t>S2</t>
        </is>
      </c>
      <c r="O1015" s="31" t="inlineStr">
        <is>
          <t>1523M29G04</t>
        </is>
      </c>
      <c r="P1015" s="31" t="inlineStr">
        <is>
          <t>SR Technics Switzerland</t>
        </is>
      </c>
    </row>
    <row r="1016">
      <c r="B1016" s="31" t="inlineStr">
        <is>
          <t>CFM56-5B</t>
        </is>
      </c>
      <c r="C1016" s="31" t="inlineStr">
        <is>
          <t>2024-2025</t>
        </is>
      </c>
      <c r="D1016" s="31" t="inlineStr">
        <is>
          <t>634151</t>
        </is>
      </c>
      <c r="E1016" s="31" t="inlineStr">
        <is>
          <t>72-53-02</t>
        </is>
      </c>
      <c r="F1016" s="31" t="inlineStr">
        <is>
          <t>V</t>
        </is>
      </c>
      <c r="G1016" s="31" t="inlineStr">
        <is>
          <t>HPT / nozzle</t>
        </is>
      </c>
      <c r="H1016" s="27" t="n">
        <v>2485</v>
      </c>
      <c r="I1016" s="27" t="n">
        <v>2635</v>
      </c>
      <c r="J1016" s="154">
        <f>I1016/H1016-1</f>
        <v/>
      </c>
      <c r="K1016" s="31" t="inlineStr">
        <is>
          <t>24</t>
        </is>
      </c>
      <c r="L1016" s="31" t="inlineStr">
        <is>
          <t>24</t>
        </is>
      </c>
      <c r="M1016" s="31" t="inlineStr">
        <is>
          <t>S1</t>
        </is>
      </c>
      <c r="N1016" s="31" t="inlineStr">
        <is>
          <t>S2</t>
        </is>
      </c>
      <c r="O1016" s="31" t="inlineStr">
        <is>
          <t>1523M29G04</t>
        </is>
      </c>
      <c r="P1016" s="31" t="inlineStr">
        <is>
          <t>SR Technics Switzerland</t>
        </is>
      </c>
    </row>
    <row r="1017">
      <c r="B1017" s="31" t="inlineStr">
        <is>
          <t>CFM56-5B</t>
        </is>
      </c>
      <c r="C1017" s="31" t="inlineStr">
        <is>
          <t>2024-2025</t>
        </is>
      </c>
      <c r="D1017" s="31" t="inlineStr">
        <is>
          <t>634151</t>
        </is>
      </c>
      <c r="E1017" s="31" t="inlineStr">
        <is>
          <t>72-53-02</t>
        </is>
      </c>
      <c r="F1017" s="31" t="inlineStr">
        <is>
          <t>W</t>
        </is>
      </c>
      <c r="G1017" s="31" t="inlineStr">
        <is>
          <t>HPT / nozzle</t>
        </is>
      </c>
      <c r="H1017" s="27" t="n">
        <v>2485</v>
      </c>
      <c r="I1017" s="27" t="n">
        <v>2635</v>
      </c>
      <c r="J1017" s="154">
        <f>I1017/H1017-1</f>
        <v/>
      </c>
      <c r="K1017" s="31" t="inlineStr">
        <is>
          <t>24</t>
        </is>
      </c>
      <c r="L1017" s="31" t="inlineStr">
        <is>
          <t>24</t>
        </is>
      </c>
      <c r="M1017" s="31" t="inlineStr">
        <is>
          <t>S1</t>
        </is>
      </c>
      <c r="N1017" s="31" t="inlineStr">
        <is>
          <t>S2</t>
        </is>
      </c>
      <c r="O1017" s="31" t="inlineStr">
        <is>
          <t>1523M29G04</t>
        </is>
      </c>
      <c r="P1017" s="31" t="inlineStr">
        <is>
          <t>SR Technics Switzerland</t>
        </is>
      </c>
    </row>
    <row r="1018">
      <c r="B1018" s="31" t="inlineStr">
        <is>
          <t>CFM56-5B</t>
        </is>
      </c>
      <c r="C1018" s="31" t="inlineStr">
        <is>
          <t>2024-2025</t>
        </is>
      </c>
      <c r="D1018" s="31" t="inlineStr">
        <is>
          <t>634151</t>
        </is>
      </c>
      <c r="E1018" s="31" t="inlineStr">
        <is>
          <t>72-53-02</t>
        </is>
      </c>
      <c r="F1018" s="31" t="inlineStr">
        <is>
          <t>X</t>
        </is>
      </c>
      <c r="G1018" s="31" t="inlineStr">
        <is>
          <t>HPT / nozzle</t>
        </is>
      </c>
      <c r="H1018" s="27" t="n">
        <v>7580</v>
      </c>
      <c r="I1018" s="27" t="n">
        <v>8035</v>
      </c>
      <c r="J1018" s="154">
        <f>I1018/H1018-1</f>
        <v/>
      </c>
      <c r="K1018" s="31" t="inlineStr">
        <is>
          <t>24</t>
        </is>
      </c>
      <c r="L1018" s="31" t="inlineStr">
        <is>
          <t>24</t>
        </is>
      </c>
      <c r="M1018" s="31" t="inlineStr">
        <is>
          <t>S1</t>
        </is>
      </c>
      <c r="N1018" s="31" t="inlineStr">
        <is>
          <t>S2</t>
        </is>
      </c>
      <c r="O1018" s="31" t="inlineStr">
        <is>
          <t>1523M29G04</t>
        </is>
      </c>
      <c r="P1018" s="31" t="inlineStr">
        <is>
          <t>SR Technics Switzerland</t>
        </is>
      </c>
    </row>
    <row r="1019">
      <c r="B1019" s="31" t="inlineStr">
        <is>
          <t>CFM56-5B</t>
        </is>
      </c>
      <c r="C1019" s="31" t="inlineStr">
        <is>
          <t>2024-2025</t>
        </is>
      </c>
      <c r="D1019" s="31" t="inlineStr">
        <is>
          <t>635241</t>
        </is>
      </c>
      <c r="E1019" s="31" t="inlineStr">
        <is>
          <t>72-55-07</t>
        </is>
      </c>
      <c r="F1019" s="31" t="inlineStr">
        <is>
          <t>A</t>
        </is>
      </c>
      <c r="G1019" s="31" t="inlineStr">
        <is>
          <t>LPT</t>
        </is>
      </c>
      <c r="H1019" s="27" t="n">
        <v>365</v>
      </c>
      <c r="I1019" s="27" t="n">
        <v>390</v>
      </c>
      <c r="J1019" s="154">
        <f>I1019/H1019-1</f>
        <v/>
      </c>
      <c r="K1019" s="31" t="inlineStr">
        <is>
          <t>24</t>
        </is>
      </c>
      <c r="L1019" s="31" t="inlineStr">
        <is>
          <t>24</t>
        </is>
      </c>
      <c r="M1019" s="31" t="inlineStr">
        <is>
          <t>S1</t>
        </is>
      </c>
      <c r="N1019" s="31" t="inlineStr">
        <is>
          <t>S2</t>
        </is>
      </c>
      <c r="O1019" s="31" t="inlineStr">
        <is>
          <t>301-547-905-0</t>
        </is>
      </c>
      <c r="P1019" s="31" t="inlineStr">
        <is>
          <t>SR Technics Switzerland</t>
        </is>
      </c>
    </row>
    <row r="1020">
      <c r="B1020" s="31" t="inlineStr">
        <is>
          <t>CFM56-5B</t>
        </is>
      </c>
      <c r="C1020" s="31" t="inlineStr">
        <is>
          <t>2024-2025</t>
        </is>
      </c>
      <c r="D1020" s="31" t="inlineStr">
        <is>
          <t>635241</t>
        </is>
      </c>
      <c r="E1020" s="31" t="inlineStr">
        <is>
          <t>72-55-07</t>
        </is>
      </c>
      <c r="F1020" s="31" t="inlineStr">
        <is>
          <t>N</t>
        </is>
      </c>
      <c r="G1020" s="31" t="inlineStr">
        <is>
          <t>LPT</t>
        </is>
      </c>
      <c r="H1020" s="27" t="n">
        <v>505</v>
      </c>
      <c r="I1020" s="27" t="n">
        <v>540</v>
      </c>
      <c r="J1020" s="154">
        <f>I1020/H1020-1</f>
        <v/>
      </c>
      <c r="K1020" s="31" t="inlineStr">
        <is>
          <t>24</t>
        </is>
      </c>
      <c r="L1020" s="31" t="inlineStr">
        <is>
          <t>24</t>
        </is>
      </c>
      <c r="M1020" s="31" t="inlineStr">
        <is>
          <t>S1</t>
        </is>
      </c>
      <c r="N1020" s="31" t="inlineStr">
        <is>
          <t>S2</t>
        </is>
      </c>
      <c r="O1020" s="31" t="inlineStr">
        <is>
          <t>301-547-905-0</t>
        </is>
      </c>
      <c r="P1020" s="31" t="inlineStr">
        <is>
          <t>SR Technics Switzerland</t>
        </is>
      </c>
    </row>
    <row r="1021">
      <c r="B1021" s="31" t="inlineStr">
        <is>
          <t>CFM56-5B</t>
        </is>
      </c>
      <c r="C1021" s="31" t="inlineStr">
        <is>
          <t>2024-2025</t>
        </is>
      </c>
      <c r="D1021" s="31" t="inlineStr">
        <is>
          <t>635241</t>
        </is>
      </c>
      <c r="E1021" s="31" t="inlineStr">
        <is>
          <t>72-55-07</t>
        </is>
      </c>
      <c r="F1021" s="31" t="inlineStr">
        <is>
          <t>O</t>
        </is>
      </c>
      <c r="G1021" s="31" t="inlineStr">
        <is>
          <t>LPT</t>
        </is>
      </c>
      <c r="H1021" s="27" t="n">
        <v>505</v>
      </c>
      <c r="I1021" s="27" t="n">
        <v>540</v>
      </c>
      <c r="J1021" s="154">
        <f>I1021/H1021-1</f>
        <v/>
      </c>
      <c r="K1021" s="31" t="inlineStr">
        <is>
          <t>24</t>
        </is>
      </c>
      <c r="L1021" s="31" t="inlineStr">
        <is>
          <t>24</t>
        </is>
      </c>
      <c r="M1021" s="31" t="inlineStr">
        <is>
          <t>S1</t>
        </is>
      </c>
      <c r="N1021" s="31" t="inlineStr">
        <is>
          <t>S2</t>
        </is>
      </c>
      <c r="O1021" s="31" t="inlineStr">
        <is>
          <t>301-547-905-0</t>
        </is>
      </c>
      <c r="P1021" s="31" t="inlineStr">
        <is>
          <t>SR Technics Switzerland</t>
        </is>
      </c>
    </row>
    <row r="1022">
      <c r="B1022" s="31" t="inlineStr">
        <is>
          <t>CFM56-5B</t>
        </is>
      </c>
      <c r="C1022" s="31" t="inlineStr">
        <is>
          <t>2024-2025</t>
        </is>
      </c>
      <c r="D1022" s="31" t="inlineStr">
        <is>
          <t>635241</t>
        </is>
      </c>
      <c r="E1022" s="31" t="inlineStr">
        <is>
          <t>72-55-07</t>
        </is>
      </c>
      <c r="F1022" s="31" t="inlineStr">
        <is>
          <t>P</t>
        </is>
      </c>
      <c r="G1022" s="31" t="inlineStr">
        <is>
          <t>LPT</t>
        </is>
      </c>
      <c r="H1022" s="27" t="n">
        <v>505</v>
      </c>
      <c r="I1022" s="27" t="n">
        <v>540</v>
      </c>
      <c r="J1022" s="154">
        <f>I1022/H1022-1</f>
        <v/>
      </c>
      <c r="K1022" s="31" t="inlineStr">
        <is>
          <t>24</t>
        </is>
      </c>
      <c r="L1022" s="31" t="inlineStr">
        <is>
          <t>24</t>
        </is>
      </c>
      <c r="M1022" s="31" t="inlineStr">
        <is>
          <t>S1</t>
        </is>
      </c>
      <c r="N1022" s="31" t="inlineStr">
        <is>
          <t>S2</t>
        </is>
      </c>
      <c r="O1022" s="31" t="inlineStr">
        <is>
          <t>301-547-905-0</t>
        </is>
      </c>
      <c r="P1022" s="31" t="inlineStr">
        <is>
          <t>SR Technics Switzerland</t>
        </is>
      </c>
    </row>
    <row r="1023">
      <c r="B1023" s="31" t="inlineStr">
        <is>
          <t>CFM56-5B</t>
        </is>
      </c>
      <c r="C1023" s="31" t="inlineStr">
        <is>
          <t>2024-2025</t>
        </is>
      </c>
      <c r="D1023" s="31" t="inlineStr">
        <is>
          <t>635241</t>
        </is>
      </c>
      <c r="E1023" s="31" t="inlineStr">
        <is>
          <t>72-55-07</t>
        </is>
      </c>
      <c r="F1023" s="31" t="inlineStr">
        <is>
          <t>Q</t>
        </is>
      </c>
      <c r="G1023" s="31" t="inlineStr">
        <is>
          <t>LPT</t>
        </is>
      </c>
      <c r="H1023" s="27" t="n">
        <v>505</v>
      </c>
      <c r="I1023" s="27" t="n">
        <v>540</v>
      </c>
      <c r="J1023" s="154">
        <f>I1023/H1023-1</f>
        <v/>
      </c>
      <c r="K1023" s="31" t="inlineStr">
        <is>
          <t>24</t>
        </is>
      </c>
      <c r="L1023" s="31" t="inlineStr">
        <is>
          <t>24</t>
        </is>
      </c>
      <c r="M1023" s="31" t="inlineStr">
        <is>
          <t>S1</t>
        </is>
      </c>
      <c r="N1023" s="31" t="inlineStr">
        <is>
          <t>S2</t>
        </is>
      </c>
      <c r="O1023" s="31" t="inlineStr">
        <is>
          <t>301-547-905-0</t>
        </is>
      </c>
      <c r="P1023" s="31" t="inlineStr">
        <is>
          <t>SR Technics Switzerland</t>
        </is>
      </c>
    </row>
    <row r="1024">
      <c r="B1024" s="31" t="inlineStr">
        <is>
          <t>CFM56-5B</t>
        </is>
      </c>
      <c r="C1024" s="31" t="inlineStr">
        <is>
          <t>2024-2025</t>
        </is>
      </c>
      <c r="D1024" s="31" t="inlineStr">
        <is>
          <t>635241</t>
        </is>
      </c>
      <c r="E1024" s="31" t="inlineStr">
        <is>
          <t>72-55-07</t>
        </is>
      </c>
      <c r="F1024" s="31" t="inlineStr">
        <is>
          <t>U</t>
        </is>
      </c>
      <c r="G1024" s="31" t="inlineStr">
        <is>
          <t>LPT</t>
        </is>
      </c>
      <c r="H1024" s="27" t="n">
        <v>1350</v>
      </c>
      <c r="I1024" s="27" t="n">
        <v>1435</v>
      </c>
      <c r="J1024" s="154">
        <f>I1024/H1024-1</f>
        <v/>
      </c>
      <c r="K1024" s="31" t="inlineStr">
        <is>
          <t>24</t>
        </is>
      </c>
      <c r="L1024" s="31" t="inlineStr">
        <is>
          <t>25</t>
        </is>
      </c>
      <c r="M1024" s="31" t="inlineStr">
        <is>
          <t>S1</t>
        </is>
      </c>
      <c r="N1024" s="31" t="inlineStr">
        <is>
          <t>S2</t>
        </is>
      </c>
      <c r="O1024" s="31" t="inlineStr">
        <is>
          <t>301-547-905-0</t>
        </is>
      </c>
      <c r="P1024" s="31" t="inlineStr">
        <is>
          <t>SR Technics Switzerland</t>
        </is>
      </c>
    </row>
    <row r="1025">
      <c r="B1025" s="31" t="inlineStr">
        <is>
          <t>CFM56-5B</t>
        </is>
      </c>
      <c r="C1025" s="31" t="inlineStr">
        <is>
          <t>2024-2025</t>
        </is>
      </c>
      <c r="D1025" s="31" t="inlineStr">
        <is>
          <t>635241</t>
        </is>
      </c>
      <c r="E1025" s="31" t="inlineStr">
        <is>
          <t>72-55-07</t>
        </is>
      </c>
      <c r="F1025" s="31" t="inlineStr">
        <is>
          <t>X</t>
        </is>
      </c>
      <c r="G1025" s="31" t="inlineStr">
        <is>
          <t>LPT</t>
        </is>
      </c>
      <c r="H1025" s="27" t="n">
        <v>1350</v>
      </c>
      <c r="I1025" s="27" t="n">
        <v>1435</v>
      </c>
      <c r="J1025" s="154">
        <f>I1025/H1025-1</f>
        <v/>
      </c>
      <c r="K1025" s="31" t="inlineStr">
        <is>
          <t>24</t>
        </is>
      </c>
      <c r="L1025" s="31" t="inlineStr">
        <is>
          <t>25</t>
        </is>
      </c>
      <c r="M1025" s="31" t="inlineStr">
        <is>
          <t>S1</t>
        </is>
      </c>
      <c r="N1025" s="31" t="inlineStr">
        <is>
          <t>S2</t>
        </is>
      </c>
      <c r="O1025" s="31" t="inlineStr">
        <is>
          <t>301-547-905-0</t>
        </is>
      </c>
      <c r="P1025" s="31" t="inlineStr">
        <is>
          <t>SR Technics Switzerland</t>
        </is>
      </c>
    </row>
    <row r="1026">
      <c r="B1026" s="31" t="inlineStr">
        <is>
          <t>CFM56-5B</t>
        </is>
      </c>
      <c r="C1026" s="31" t="inlineStr">
        <is>
          <t>2024-2025</t>
        </is>
      </c>
      <c r="D1026" s="31" t="inlineStr">
        <is>
          <t>635513</t>
        </is>
      </c>
      <c r="E1026" s="31" t="inlineStr">
        <is>
          <t>72-00-56</t>
        </is>
      </c>
      <c r="F1026" s="31" t="inlineStr">
        <is>
          <t>A</t>
        </is>
      </c>
      <c r="G1026" s="31" t="inlineStr">
        <is>
          <t>Other / assembly</t>
        </is>
      </c>
      <c r="H1026" s="27" t="n">
        <v>240</v>
      </c>
      <c r="I1026" s="27" t="n">
        <v>255</v>
      </c>
      <c r="J1026" s="154">
        <f>I1026/H1026-1</f>
        <v/>
      </c>
      <c r="K1026" s="31" t="inlineStr">
        <is>
          <t>58</t>
        </is>
      </c>
      <c r="L1026" s="31" t="inlineStr">
        <is>
          <t>58</t>
        </is>
      </c>
      <c r="M1026" s="31" t="inlineStr">
        <is>
          <t>S1</t>
        </is>
      </c>
      <c r="N1026" s="31" t="inlineStr">
        <is>
          <t>S2</t>
        </is>
      </c>
      <c r="O1026" s="31" t="inlineStr">
        <is>
          <t>338-071-401-0</t>
        </is>
      </c>
      <c r="P1026" s="31" t="inlineStr">
        <is>
          <t>SR Technics Switzerland</t>
        </is>
      </c>
    </row>
    <row r="1027">
      <c r="B1027" s="31" t="inlineStr">
        <is>
          <t>CFM56-5B</t>
        </is>
      </c>
      <c r="C1027" s="31" t="inlineStr">
        <is>
          <t>2024-2025</t>
        </is>
      </c>
      <c r="D1027" s="31" t="inlineStr">
        <is>
          <t>635513</t>
        </is>
      </c>
      <c r="E1027" s="31" t="inlineStr">
        <is>
          <t>72-00-56</t>
        </is>
      </c>
      <c r="F1027" s="31" t="inlineStr">
        <is>
          <t>C</t>
        </is>
      </c>
      <c r="G1027" s="31" t="inlineStr">
        <is>
          <t>Other / assembly</t>
        </is>
      </c>
      <c r="H1027" s="27" t="n">
        <v>2035</v>
      </c>
      <c r="I1027" s="27" t="n">
        <v>2160</v>
      </c>
      <c r="J1027" s="154">
        <f>I1027/H1027-1</f>
        <v/>
      </c>
      <c r="K1027" s="31" t="inlineStr">
        <is>
          <t>58</t>
        </is>
      </c>
      <c r="L1027" s="31" t="inlineStr">
        <is>
          <t>58</t>
        </is>
      </c>
      <c r="M1027" s="31" t="inlineStr">
        <is>
          <t>S1</t>
        </is>
      </c>
      <c r="N1027" s="31" t="inlineStr">
        <is>
          <t>S2</t>
        </is>
      </c>
      <c r="O1027" s="31" t="inlineStr">
        <is>
          <t>338-071-401-0</t>
        </is>
      </c>
      <c r="P1027" s="31" t="inlineStr">
        <is>
          <t>SR Technics Switzerland</t>
        </is>
      </c>
    </row>
    <row r="1028">
      <c r="B1028" s="31" t="inlineStr">
        <is>
          <t>CFM56-5B</t>
        </is>
      </c>
      <c r="C1028" s="31" t="inlineStr">
        <is>
          <t>2024-2025</t>
        </is>
      </c>
      <c r="D1028" s="31" t="inlineStr">
        <is>
          <t>635513</t>
        </is>
      </c>
      <c r="E1028" s="31" t="inlineStr">
        <is>
          <t>72-00-56</t>
        </is>
      </c>
      <c r="F1028" s="31" t="inlineStr">
        <is>
          <t>SB00</t>
        </is>
      </c>
      <c r="G1028" s="31" t="inlineStr">
        <is>
          <t>Other / assembly</t>
        </is>
      </c>
      <c r="H1028" s="27" t="n">
        <v>820</v>
      </c>
      <c r="I1028" s="27" t="n">
        <v>870</v>
      </c>
      <c r="J1028" s="154">
        <f>I1028/H1028-1</f>
        <v/>
      </c>
      <c r="K1028" s="31" t="inlineStr">
        <is>
          <t>58</t>
        </is>
      </c>
      <c r="L1028" s="31" t="inlineStr">
        <is>
          <t>58</t>
        </is>
      </c>
      <c r="M1028" s="31" t="inlineStr">
        <is>
          <t>S1</t>
        </is>
      </c>
      <c r="N1028" s="31" t="inlineStr">
        <is>
          <t>S2</t>
        </is>
      </c>
      <c r="O1028" s="31" t="inlineStr">
        <is>
          <t>338-071-401-0</t>
        </is>
      </c>
      <c r="P1028" s="31" t="inlineStr">
        <is>
          <t>SR Technics Switzerland</t>
        </is>
      </c>
    </row>
    <row r="1029">
      <c r="B1029" s="31" t="inlineStr">
        <is>
          <t>CFM56-5B</t>
        </is>
      </c>
      <c r="C1029" s="31" t="inlineStr">
        <is>
          <t>2024-2025</t>
        </is>
      </c>
      <c r="D1029" s="31" t="inlineStr">
        <is>
          <t>635513</t>
        </is>
      </c>
      <c r="E1029" s="31" t="inlineStr">
        <is>
          <t>72-00-56</t>
        </is>
      </c>
      <c r="F1029" s="31" t="inlineStr">
        <is>
          <t>SB01</t>
        </is>
      </c>
      <c r="G1029" s="31" t="inlineStr">
        <is>
          <t>Other / assembly</t>
        </is>
      </c>
      <c r="H1029" s="27" t="n">
        <v>255</v>
      </c>
      <c r="I1029" s="27" t="n">
        <v>275</v>
      </c>
      <c r="J1029" s="154">
        <f>I1029/H1029-1</f>
        <v/>
      </c>
      <c r="K1029" s="31" t="inlineStr">
        <is>
          <t>58</t>
        </is>
      </c>
      <c r="L1029" s="31" t="inlineStr">
        <is>
          <t>58</t>
        </is>
      </c>
      <c r="M1029" s="31" t="inlineStr">
        <is>
          <t>S1</t>
        </is>
      </c>
      <c r="N1029" s="31" t="inlineStr">
        <is>
          <t>S2</t>
        </is>
      </c>
      <c r="O1029" s="31" t="inlineStr">
        <is>
          <t>338-071-401-0</t>
        </is>
      </c>
      <c r="P1029" s="31" t="inlineStr">
        <is>
          <t>SR Technics Switzerland</t>
        </is>
      </c>
    </row>
    <row r="1030">
      <c r="B1030" s="31" t="inlineStr">
        <is>
          <t>CFM56-5B</t>
        </is>
      </c>
      <c r="C1030" s="31" t="inlineStr">
        <is>
          <t>2024-2025</t>
        </is>
      </c>
      <c r="D1030" s="31" t="inlineStr">
        <is>
          <t>635520</t>
        </is>
      </c>
      <c r="E1030" s="31" t="inlineStr">
        <is>
          <t>72-00-32</t>
        </is>
      </c>
      <c r="F1030" s="31" t="inlineStr">
        <is>
          <t>A</t>
        </is>
      </c>
      <c r="G1030" s="31" t="inlineStr">
        <is>
          <t>Other / assembly</t>
        </is>
      </c>
      <c r="H1030" s="27" t="n">
        <v>455</v>
      </c>
      <c r="I1030" s="27" t="n">
        <v>485</v>
      </c>
      <c r="J1030" s="154">
        <f>I1030/H1030-1</f>
        <v/>
      </c>
      <c r="K1030" s="31" t="inlineStr">
        <is>
          <t>58</t>
        </is>
      </c>
      <c r="L1030" s="31" t="inlineStr">
        <is>
          <t>58</t>
        </is>
      </c>
      <c r="M1030" s="31" t="inlineStr">
        <is>
          <t>S1</t>
        </is>
      </c>
      <c r="N1030" s="31" t="inlineStr">
        <is>
          <t>S2</t>
        </is>
      </c>
      <c r="O1030" s="31" t="inlineStr">
        <is>
          <t>1887M16G01</t>
        </is>
      </c>
      <c r="P1030" s="31" t="inlineStr">
        <is>
          <t>SR Technics Switzerland</t>
        </is>
      </c>
    </row>
    <row r="1031">
      <c r="B1031" s="31" t="inlineStr">
        <is>
          <t>CFM56-5B</t>
        </is>
      </c>
      <c r="C1031" s="31" t="inlineStr">
        <is>
          <t>2024-2025</t>
        </is>
      </c>
      <c r="D1031" s="31" t="inlineStr">
        <is>
          <t>635520</t>
        </is>
      </c>
      <c r="E1031" s="31" t="inlineStr">
        <is>
          <t>72-00-32</t>
        </is>
      </c>
      <c r="F1031" s="31" t="inlineStr">
        <is>
          <t>B</t>
        </is>
      </c>
      <c r="G1031" s="31" t="inlineStr">
        <is>
          <t>Other / assembly</t>
        </is>
      </c>
      <c r="H1031" s="27" t="n">
        <v>815</v>
      </c>
      <c r="I1031" s="27" t="n">
        <v>865</v>
      </c>
      <c r="J1031" s="154">
        <f>I1031/H1031-1</f>
        <v/>
      </c>
      <c r="K1031" s="31" t="inlineStr">
        <is>
          <t>58</t>
        </is>
      </c>
      <c r="L1031" s="31" t="inlineStr">
        <is>
          <t>58</t>
        </is>
      </c>
      <c r="M1031" s="31" t="inlineStr">
        <is>
          <t>S1</t>
        </is>
      </c>
      <c r="N1031" s="31" t="inlineStr">
        <is>
          <t>S2</t>
        </is>
      </c>
      <c r="O1031" s="31" t="inlineStr">
        <is>
          <t>1887M16G01</t>
        </is>
      </c>
      <c r="P1031" s="31" t="inlineStr">
        <is>
          <t>SR Technics Switzerland</t>
        </is>
      </c>
    </row>
    <row r="1032">
      <c r="B1032" s="31" t="inlineStr">
        <is>
          <t>CFM56-5B</t>
        </is>
      </c>
      <c r="C1032" s="31" t="inlineStr">
        <is>
          <t>2024-2025</t>
        </is>
      </c>
      <c r="D1032" s="31" t="inlineStr">
        <is>
          <t>635520</t>
        </is>
      </c>
      <c r="E1032" s="31" t="inlineStr">
        <is>
          <t>72-00-32</t>
        </is>
      </c>
      <c r="F1032" s="31" t="inlineStr">
        <is>
          <t>M</t>
        </is>
      </c>
      <c r="G1032" s="31" t="inlineStr">
        <is>
          <t>Other / assembly</t>
        </is>
      </c>
      <c r="H1032" s="27" t="n">
        <v>4570</v>
      </c>
      <c r="I1032" s="27" t="n">
        <v>4845</v>
      </c>
      <c r="J1032" s="154">
        <f>I1032/H1032-1</f>
        <v/>
      </c>
      <c r="K1032" s="31" t="inlineStr">
        <is>
          <t>58</t>
        </is>
      </c>
      <c r="L1032" s="31" t="inlineStr">
        <is>
          <t>58</t>
        </is>
      </c>
      <c r="M1032" s="31" t="inlineStr">
        <is>
          <t>S1</t>
        </is>
      </c>
      <c r="N1032" s="31" t="inlineStr">
        <is>
          <t>S2</t>
        </is>
      </c>
      <c r="O1032" s="31" t="inlineStr">
        <is>
          <t>1887M16G01</t>
        </is>
      </c>
      <c r="P1032" s="31" t="inlineStr">
        <is>
          <t>SR Technics Switzerland</t>
        </is>
      </c>
    </row>
    <row r="1033">
      <c r="B1033" s="31" t="inlineStr">
        <is>
          <t>CFM56-5B</t>
        </is>
      </c>
      <c r="C1033" s="31" t="inlineStr">
        <is>
          <t>2024-2025</t>
        </is>
      </c>
      <c r="D1033" s="31" t="inlineStr">
        <is>
          <t>635521</t>
        </is>
      </c>
      <c r="E1033" s="31" t="inlineStr">
        <is>
          <t>72-00-53</t>
        </is>
      </c>
      <c r="F1033" s="31" t="inlineStr">
        <is>
          <t>A</t>
        </is>
      </c>
      <c r="G1033" s="31" t="inlineStr">
        <is>
          <t>Other / assembly</t>
        </is>
      </c>
      <c r="H1033" s="27" t="n">
        <v>455</v>
      </c>
      <c r="I1033" s="27" t="n">
        <v>485</v>
      </c>
      <c r="J1033" s="154">
        <f>I1033/H1033-1</f>
        <v/>
      </c>
      <c r="K1033" s="31" t="inlineStr">
        <is>
          <t>24</t>
        </is>
      </c>
      <c r="L1033" s="31" t="inlineStr">
        <is>
          <t>25</t>
        </is>
      </c>
      <c r="M1033" s="31" t="inlineStr">
        <is>
          <t>S1</t>
        </is>
      </c>
      <c r="N1033" s="31" t="inlineStr">
        <is>
          <t>S2</t>
        </is>
      </c>
      <c r="O1033" s="31" t="inlineStr">
        <is>
          <t>9324M22G01</t>
        </is>
      </c>
      <c r="P1033" s="31" t="inlineStr">
        <is>
          <t>SR Technics Switzerland</t>
        </is>
      </c>
    </row>
    <row r="1034">
      <c r="B1034" s="31" t="inlineStr">
        <is>
          <t>CFM56-5B</t>
        </is>
      </c>
      <c r="C1034" s="31" t="inlineStr">
        <is>
          <t>2024-2025</t>
        </is>
      </c>
      <c r="D1034" s="31" t="inlineStr">
        <is>
          <t>635521</t>
        </is>
      </c>
      <c r="E1034" s="31" t="inlineStr">
        <is>
          <t>72-00-53</t>
        </is>
      </c>
      <c r="F1034" s="31" t="inlineStr">
        <is>
          <t>B</t>
        </is>
      </c>
      <c r="G1034" s="31" t="inlineStr">
        <is>
          <t>Other / assembly</t>
        </is>
      </c>
      <c r="H1034" s="27" t="n">
        <v>815</v>
      </c>
      <c r="I1034" s="27" t="n">
        <v>865</v>
      </c>
      <c r="J1034" s="154">
        <f>I1034/H1034-1</f>
        <v/>
      </c>
      <c r="K1034" s="31" t="inlineStr">
        <is>
          <t>24</t>
        </is>
      </c>
      <c r="L1034" s="31" t="inlineStr">
        <is>
          <t>25</t>
        </is>
      </c>
      <c r="M1034" s="31" t="inlineStr">
        <is>
          <t>S1</t>
        </is>
      </c>
      <c r="N1034" s="31" t="inlineStr">
        <is>
          <t>S2</t>
        </is>
      </c>
      <c r="O1034" s="31" t="inlineStr">
        <is>
          <t>9324M22G01</t>
        </is>
      </c>
      <c r="P1034" s="31" t="inlineStr">
        <is>
          <t>SR Technics Switzerland</t>
        </is>
      </c>
    </row>
    <row r="1035">
      <c r="B1035" s="31" t="inlineStr">
        <is>
          <t>CFM56-5B</t>
        </is>
      </c>
      <c r="C1035" s="31" t="inlineStr">
        <is>
          <t>2024-2025</t>
        </is>
      </c>
      <c r="D1035" s="31" t="inlineStr">
        <is>
          <t>635864</t>
        </is>
      </c>
      <c r="E1035" s="31" t="inlineStr">
        <is>
          <t>72-00-61</t>
        </is>
      </c>
      <c r="F1035" s="31" t="inlineStr">
        <is>
          <t>SB00</t>
        </is>
      </c>
      <c r="G1035" s="31" t="inlineStr">
        <is>
          <t>Other / assembly</t>
        </is>
      </c>
      <c r="H1035" s="27" t="n">
        <v>150</v>
      </c>
      <c r="I1035" s="27" t="n">
        <v>160</v>
      </c>
      <c r="J1035" s="154">
        <f>I1035/H1035-1</f>
        <v/>
      </c>
      <c r="K1035" s="31" t="inlineStr">
        <is>
          <t>58</t>
        </is>
      </c>
      <c r="L1035" s="31" t="inlineStr">
        <is>
          <t>58</t>
        </is>
      </c>
      <c r="M1035" s="31" t="inlineStr">
        <is>
          <t>S1</t>
        </is>
      </c>
      <c r="N1035" s="31" t="inlineStr">
        <is>
          <t>S2</t>
        </is>
      </c>
      <c r="O1035" s="31" t="inlineStr">
        <is>
          <t>9324M54G04</t>
        </is>
      </c>
      <c r="P1035" s="31" t="inlineStr">
        <is>
          <t>SR Technics Switzerland</t>
        </is>
      </c>
    </row>
    <row r="1036">
      <c r="B1036" s="31" t="inlineStr">
        <is>
          <t>CFM56-5B</t>
        </is>
      </c>
      <c r="C1036" s="31" t="inlineStr">
        <is>
          <t>2024-2025</t>
        </is>
      </c>
      <c r="D1036" s="31" t="inlineStr">
        <is>
          <t>636431</t>
        </is>
      </c>
      <c r="E1036" s="31" t="inlineStr">
        <is>
          <t>72-00-54</t>
        </is>
      </c>
      <c r="F1036" s="31" t="inlineStr">
        <is>
          <t>A</t>
        </is>
      </c>
      <c r="G1036" s="31" t="inlineStr">
        <is>
          <t>Other / assembly</t>
        </is>
      </c>
      <c r="H1036" s="27" t="n">
        <v>455</v>
      </c>
      <c r="I1036" s="27" t="n">
        <v>485</v>
      </c>
      <c r="J1036" s="154">
        <f>I1036/H1036-1</f>
        <v/>
      </c>
      <c r="K1036" s="31" t="inlineStr">
        <is>
          <t>24</t>
        </is>
      </c>
      <c r="L1036" s="31" t="inlineStr">
        <is>
          <t>58</t>
        </is>
      </c>
      <c r="M1036" s="31" t="inlineStr">
        <is>
          <t>S1</t>
        </is>
      </c>
      <c r="N1036" s="31" t="inlineStr">
        <is>
          <t>S2</t>
        </is>
      </c>
      <c r="O1036" s="31" t="inlineStr">
        <is>
          <t>338-071-201-0</t>
        </is>
      </c>
      <c r="P1036" s="31" t="inlineStr">
        <is>
          <t>SR Technics Switzerland</t>
        </is>
      </c>
    </row>
    <row r="1037">
      <c r="B1037" s="31" t="inlineStr">
        <is>
          <t>CFM56-5B</t>
        </is>
      </c>
      <c r="C1037" s="31" t="inlineStr">
        <is>
          <t>2024-2025</t>
        </is>
      </c>
      <c r="D1037" s="31" t="inlineStr">
        <is>
          <t>636431</t>
        </is>
      </c>
      <c r="E1037" s="31" t="inlineStr">
        <is>
          <t>72-00-54</t>
        </is>
      </c>
      <c r="F1037" s="31" t="inlineStr">
        <is>
          <t>C</t>
        </is>
      </c>
      <c r="G1037" s="31" t="inlineStr">
        <is>
          <t>Other / assembly</t>
        </is>
      </c>
      <c r="H1037" s="27" t="n">
        <v>1230</v>
      </c>
      <c r="I1037" s="27" t="n">
        <v>1305</v>
      </c>
      <c r="J1037" s="154">
        <f>I1037/H1037-1</f>
        <v/>
      </c>
      <c r="K1037" s="31" t="inlineStr">
        <is>
          <t>24</t>
        </is>
      </c>
      <c r="L1037" s="31" t="inlineStr">
        <is>
          <t>58</t>
        </is>
      </c>
      <c r="M1037" s="31" t="inlineStr">
        <is>
          <t>S1</t>
        </is>
      </c>
      <c r="N1037" s="31" t="inlineStr">
        <is>
          <t>S2</t>
        </is>
      </c>
      <c r="O1037" s="31" t="inlineStr">
        <is>
          <t>338-071-201-0</t>
        </is>
      </c>
      <c r="P1037" s="31" t="inlineStr">
        <is>
          <t>SR Technics Switzerland</t>
        </is>
      </c>
    </row>
    <row r="1038">
      <c r="B1038" s="31" t="inlineStr">
        <is>
          <t>CFM56-5B</t>
        </is>
      </c>
      <c r="C1038" s="31" t="inlineStr">
        <is>
          <t>2024-2025</t>
        </is>
      </c>
      <c r="D1038" s="31" t="inlineStr">
        <is>
          <t>636432</t>
        </is>
      </c>
      <c r="E1038" s="31" t="inlineStr">
        <is>
          <t>72-00-55</t>
        </is>
      </c>
      <c r="F1038" s="31" t="inlineStr">
        <is>
          <t>A</t>
        </is>
      </c>
      <c r="G1038" s="31" t="inlineStr">
        <is>
          <t>Other / assembly</t>
        </is>
      </c>
      <c r="H1038" s="27" t="n">
        <v>385</v>
      </c>
      <c r="I1038" s="27" t="n">
        <v>410</v>
      </c>
      <c r="J1038" s="154">
        <f>I1038/H1038-1</f>
        <v/>
      </c>
      <c r="K1038" s="31" t="inlineStr">
        <is>
          <t>58</t>
        </is>
      </c>
      <c r="L1038" s="31" t="inlineStr">
        <is>
          <t>58</t>
        </is>
      </c>
      <c r="M1038" s="31" t="inlineStr">
        <is>
          <t>S1</t>
        </is>
      </c>
      <c r="N1038" s="31" t="inlineStr">
        <is>
          <t>S2</t>
        </is>
      </c>
      <c r="O1038" s="31" t="inlineStr">
        <is>
          <t>338-071-301-0</t>
        </is>
      </c>
      <c r="P1038" s="31" t="inlineStr">
        <is>
          <t>SR Technics Switzerland</t>
        </is>
      </c>
    </row>
    <row r="1039">
      <c r="B1039" s="31" t="inlineStr">
        <is>
          <t>CFM56-5B</t>
        </is>
      </c>
      <c r="C1039" s="31" t="inlineStr">
        <is>
          <t>2024-2025</t>
        </is>
      </c>
      <c r="D1039" s="31" t="inlineStr">
        <is>
          <t>636432</t>
        </is>
      </c>
      <c r="E1039" s="31" t="inlineStr">
        <is>
          <t>72-00-55</t>
        </is>
      </c>
      <c r="F1039" s="31" t="inlineStr">
        <is>
          <t>B</t>
        </is>
      </c>
      <c r="G1039" s="31" t="inlineStr">
        <is>
          <t>Other / assembly</t>
        </is>
      </c>
      <c r="H1039" s="27" t="n">
        <v>465</v>
      </c>
      <c r="I1039" s="27" t="n">
        <v>495</v>
      </c>
      <c r="J1039" s="154">
        <f>I1039/H1039-1</f>
        <v/>
      </c>
      <c r="K1039" s="31" t="inlineStr">
        <is>
          <t>58</t>
        </is>
      </c>
      <c r="L1039" s="31" t="inlineStr">
        <is>
          <t>58</t>
        </is>
      </c>
      <c r="M1039" s="31" t="inlineStr">
        <is>
          <t>S1</t>
        </is>
      </c>
      <c r="N1039" s="31" t="inlineStr">
        <is>
          <t>S2</t>
        </is>
      </c>
      <c r="O1039" s="31" t="inlineStr">
        <is>
          <t>338-071-301-0</t>
        </is>
      </c>
      <c r="P1039" s="31" t="inlineStr">
        <is>
          <t>SR Technics Switzerland</t>
        </is>
      </c>
    </row>
    <row r="1040">
      <c r="B1040" s="31" t="inlineStr">
        <is>
          <t>CFM56-5B</t>
        </is>
      </c>
      <c r="C1040" s="31" t="inlineStr">
        <is>
          <t>2024-2025</t>
        </is>
      </c>
      <c r="D1040" s="31" t="inlineStr">
        <is>
          <t>636432</t>
        </is>
      </c>
      <c r="E1040" s="31" t="inlineStr">
        <is>
          <t>72-00-55</t>
        </is>
      </c>
      <c r="F1040" s="31" t="inlineStr">
        <is>
          <t>K</t>
        </is>
      </c>
      <c r="G1040" s="31" t="inlineStr">
        <is>
          <t>Other / assembly</t>
        </is>
      </c>
      <c r="H1040" s="27" t="n">
        <v>305</v>
      </c>
      <c r="I1040" s="27" t="n">
        <v>325</v>
      </c>
      <c r="J1040" s="154">
        <f>I1040/H1040-1</f>
        <v/>
      </c>
      <c r="K1040" s="31" t="inlineStr">
        <is>
          <t>58</t>
        </is>
      </c>
      <c r="L1040" s="31" t="inlineStr">
        <is>
          <t>58</t>
        </is>
      </c>
      <c r="M1040" s="31" t="inlineStr">
        <is>
          <t>S1</t>
        </is>
      </c>
      <c r="N1040" s="31" t="inlineStr">
        <is>
          <t>S2</t>
        </is>
      </c>
      <c r="O1040" s="31" t="inlineStr">
        <is>
          <t>338-071-301-0</t>
        </is>
      </c>
      <c r="P1040" s="31" t="inlineStr">
        <is>
          <t>SR Technics Switzerland</t>
        </is>
      </c>
    </row>
    <row r="1041">
      <c r="B1041" s="31" t="inlineStr">
        <is>
          <t>CFM56-5B</t>
        </is>
      </c>
      <c r="C1041" s="31" t="inlineStr">
        <is>
          <t>2024-2025</t>
        </is>
      </c>
      <c r="D1041" s="31" t="inlineStr">
        <is>
          <t>636432</t>
        </is>
      </c>
      <c r="E1041" s="31" t="inlineStr">
        <is>
          <t>72-00-55</t>
        </is>
      </c>
      <c r="F1041" s="31" t="inlineStr">
        <is>
          <t>O</t>
        </is>
      </c>
      <c r="G1041" s="31" t="inlineStr">
        <is>
          <t>Other / assembly</t>
        </is>
      </c>
      <c r="H1041" s="27" t="n">
        <v>480</v>
      </c>
      <c r="I1041" s="27" t="n">
        <v>510</v>
      </c>
      <c r="J1041" s="154">
        <f>I1041/H1041-1</f>
        <v/>
      </c>
      <c r="K1041" s="31" t="inlineStr">
        <is>
          <t>58</t>
        </is>
      </c>
      <c r="L1041" s="31" t="inlineStr">
        <is>
          <t>58</t>
        </is>
      </c>
      <c r="M1041" s="31" t="inlineStr">
        <is>
          <t>S1</t>
        </is>
      </c>
      <c r="N1041" s="31" t="inlineStr">
        <is>
          <t>S2</t>
        </is>
      </c>
      <c r="O1041" s="31" t="inlineStr">
        <is>
          <t>338-071-301-0</t>
        </is>
      </c>
      <c r="P1041" s="31" t="inlineStr">
        <is>
          <t>SR Technics Switzerland</t>
        </is>
      </c>
    </row>
    <row r="1042">
      <c r="B1042" s="31" t="inlineStr">
        <is>
          <t>CFM56-5B</t>
        </is>
      </c>
      <c r="C1042" s="31" t="inlineStr">
        <is>
          <t>2024-2025</t>
        </is>
      </c>
      <c r="D1042" s="31" t="inlineStr">
        <is>
          <t>636616</t>
        </is>
      </c>
      <c r="E1042" s="31" t="inlineStr">
        <is>
          <t>72-54-07</t>
        </is>
      </c>
      <c r="F1042" s="31" t="inlineStr">
        <is>
          <t>A</t>
        </is>
      </c>
      <c r="G1042" s="31" t="inlineStr">
        <is>
          <t>LPT</t>
        </is>
      </c>
      <c r="H1042" s="27" t="n">
        <v>390</v>
      </c>
      <c r="I1042" s="27" t="n">
        <v>415</v>
      </c>
      <c r="J1042" s="154">
        <f>I1042/H1042-1</f>
        <v/>
      </c>
      <c r="K1042" s="31" t="inlineStr">
        <is>
          <t>58</t>
        </is>
      </c>
      <c r="L1042" s="31" t="inlineStr">
        <is>
          <t>58</t>
        </is>
      </c>
      <c r="M1042" s="31" t="inlineStr">
        <is>
          <t>S1</t>
        </is>
      </c>
      <c r="N1042" s="31" t="inlineStr">
        <is>
          <t>S2</t>
        </is>
      </c>
      <c r="O1042" s="31" t="inlineStr">
        <is>
          <t>338-118-004-0</t>
        </is>
      </c>
      <c r="P1042" s="31" t="inlineStr">
        <is>
          <t>SR Technics Switzerland</t>
        </is>
      </c>
    </row>
    <row r="1043">
      <c r="B1043" s="31" t="inlineStr">
        <is>
          <t>CFM56-5B</t>
        </is>
      </c>
      <c r="C1043" s="31" t="inlineStr">
        <is>
          <t>2024-2025</t>
        </is>
      </c>
      <c r="D1043" s="31" t="inlineStr">
        <is>
          <t>636616</t>
        </is>
      </c>
      <c r="E1043" s="31" t="inlineStr">
        <is>
          <t>72-54-07</t>
        </is>
      </c>
      <c r="F1043" s="31" t="inlineStr">
        <is>
          <t>B</t>
        </is>
      </c>
      <c r="G1043" s="31" t="inlineStr">
        <is>
          <t>LPT</t>
        </is>
      </c>
      <c r="H1043" s="27" t="n">
        <v>1015</v>
      </c>
      <c r="I1043" s="27" t="n">
        <v>1080</v>
      </c>
      <c r="J1043" s="154">
        <f>I1043/H1043-1</f>
        <v/>
      </c>
      <c r="K1043" s="31" t="inlineStr">
        <is>
          <t>58</t>
        </is>
      </c>
      <c r="L1043" s="31" t="inlineStr">
        <is>
          <t>58</t>
        </is>
      </c>
      <c r="M1043" s="31" t="inlineStr">
        <is>
          <t>S1</t>
        </is>
      </c>
      <c r="N1043" s="31" t="inlineStr">
        <is>
          <t>S2</t>
        </is>
      </c>
      <c r="O1043" s="31" t="inlineStr">
        <is>
          <t>338-118-004-0</t>
        </is>
      </c>
      <c r="P1043" s="31" t="inlineStr">
        <is>
          <t>SR Technics Switzerland</t>
        </is>
      </c>
    </row>
    <row r="1044">
      <c r="B1044" s="31" t="inlineStr">
        <is>
          <t>CFM56-5B</t>
        </is>
      </c>
      <c r="C1044" s="31" t="inlineStr">
        <is>
          <t>2024-2025</t>
        </is>
      </c>
      <c r="D1044" s="31" t="inlineStr">
        <is>
          <t>637097</t>
        </is>
      </c>
      <c r="E1044" s="31" t="inlineStr">
        <is>
          <t>72-00-31</t>
        </is>
      </c>
      <c r="F1044" s="31" t="inlineStr">
        <is>
          <t>A</t>
        </is>
      </c>
      <c r="G1044" s="31" t="inlineStr">
        <is>
          <t>Other / assembly</t>
        </is>
      </c>
      <c r="H1044" s="27" t="n">
        <v>3165</v>
      </c>
      <c r="I1044" s="27" t="n">
        <v>3355</v>
      </c>
      <c r="J1044" s="154">
        <f>I1044/H1044-1</f>
        <v/>
      </c>
      <c r="K1044" s="31" t="inlineStr">
        <is>
          <t>24</t>
        </is>
      </c>
      <c r="L1044" s="31" t="inlineStr">
        <is>
          <t>25</t>
        </is>
      </c>
      <c r="M1044" s="31" t="inlineStr">
        <is>
          <t>S1</t>
        </is>
      </c>
      <c r="N1044" s="31" t="inlineStr">
        <is>
          <t>S2</t>
        </is>
      </c>
      <c r="O1044" s="31" t="inlineStr">
        <is>
          <t>1887M18G01</t>
        </is>
      </c>
      <c r="P1044" s="31" t="inlineStr">
        <is>
          <t>SR Technics Switzerland</t>
        </is>
      </c>
    </row>
    <row r="1045">
      <c r="B1045" s="31" t="inlineStr">
        <is>
          <t>CFM56-5B</t>
        </is>
      </c>
      <c r="C1045" s="31" t="inlineStr">
        <is>
          <t>2024-2025</t>
        </is>
      </c>
      <c r="D1045" s="31" t="inlineStr">
        <is>
          <t>637097</t>
        </is>
      </c>
      <c r="E1045" s="31" t="inlineStr">
        <is>
          <t>72-00-31</t>
        </is>
      </c>
      <c r="F1045" s="31" t="inlineStr">
        <is>
          <t>B</t>
        </is>
      </c>
      <c r="G1045" s="31" t="inlineStr">
        <is>
          <t>Other / assembly</t>
        </is>
      </c>
      <c r="H1045" s="27" t="n">
        <v>820</v>
      </c>
      <c r="I1045" s="27" t="n">
        <v>870</v>
      </c>
      <c r="J1045" s="154">
        <f>I1045/H1045-1</f>
        <v/>
      </c>
      <c r="K1045" s="31" t="inlineStr">
        <is>
          <t>24</t>
        </is>
      </c>
      <c r="L1045" s="31" t="inlineStr">
        <is>
          <t>25</t>
        </is>
      </c>
      <c r="M1045" s="31" t="inlineStr">
        <is>
          <t>S1</t>
        </is>
      </c>
      <c r="N1045" s="31" t="inlineStr">
        <is>
          <t>S2</t>
        </is>
      </c>
      <c r="O1045" s="31" t="inlineStr">
        <is>
          <t>1887M18G01</t>
        </is>
      </c>
      <c r="P1045" s="31" t="inlineStr">
        <is>
          <t>SR Technics Switzerland</t>
        </is>
      </c>
    </row>
    <row r="1046">
      <c r="B1046" s="31" t="inlineStr">
        <is>
          <t>CFM56-5B</t>
        </is>
      </c>
      <c r="C1046" s="31" t="inlineStr">
        <is>
          <t>2024-2025</t>
        </is>
      </c>
      <c r="D1046" s="31" t="inlineStr">
        <is>
          <t>637097</t>
        </is>
      </c>
      <c r="E1046" s="31" t="inlineStr">
        <is>
          <t>72-00-31</t>
        </is>
      </c>
      <c r="F1046" s="31" t="inlineStr">
        <is>
          <t>C</t>
        </is>
      </c>
      <c r="G1046" s="31" t="inlineStr">
        <is>
          <t>Other / assembly</t>
        </is>
      </c>
      <c r="H1046" s="27" t="n">
        <v>820</v>
      </c>
      <c r="I1046" s="27" t="n">
        <v>870</v>
      </c>
      <c r="J1046" s="154">
        <f>I1046/H1046-1</f>
        <v/>
      </c>
      <c r="K1046" s="31" t="inlineStr">
        <is>
          <t>24</t>
        </is>
      </c>
      <c r="L1046" s="31" t="inlineStr">
        <is>
          <t>25</t>
        </is>
      </c>
      <c r="M1046" s="31" t="inlineStr">
        <is>
          <t>S1</t>
        </is>
      </c>
      <c r="N1046" s="31" t="inlineStr">
        <is>
          <t>S2</t>
        </is>
      </c>
      <c r="O1046" s="31" t="inlineStr">
        <is>
          <t>1887M18G01</t>
        </is>
      </c>
      <c r="P1046" s="31" t="inlineStr">
        <is>
          <t>SR Technics Switzerland</t>
        </is>
      </c>
    </row>
    <row r="1047">
      <c r="B1047" s="31" t="inlineStr">
        <is>
          <t>CFM56-5B</t>
        </is>
      </c>
      <c r="C1047" s="31" t="inlineStr">
        <is>
          <t>2024-2025</t>
        </is>
      </c>
      <c r="D1047" s="31" t="inlineStr">
        <is>
          <t>637097</t>
        </is>
      </c>
      <c r="E1047" s="31" t="inlineStr">
        <is>
          <t>72-00-31</t>
        </is>
      </c>
      <c r="F1047" s="31" t="inlineStr">
        <is>
          <t>D</t>
        </is>
      </c>
      <c r="G1047" s="31" t="inlineStr">
        <is>
          <t>Other / assembly</t>
        </is>
      </c>
      <c r="H1047" s="27" t="n">
        <v>820</v>
      </c>
      <c r="I1047" s="27" t="n">
        <v>870</v>
      </c>
      <c r="J1047" s="154">
        <f>I1047/H1047-1</f>
        <v/>
      </c>
      <c r="K1047" s="31" t="inlineStr">
        <is>
          <t>24</t>
        </is>
      </c>
      <c r="L1047" s="31" t="inlineStr">
        <is>
          <t>25</t>
        </is>
      </c>
      <c r="M1047" s="31" t="inlineStr">
        <is>
          <t>S1</t>
        </is>
      </c>
      <c r="N1047" s="31" t="inlineStr">
        <is>
          <t>S2</t>
        </is>
      </c>
      <c r="O1047" s="31" t="inlineStr">
        <is>
          <t>1887M18G01</t>
        </is>
      </c>
      <c r="P1047" s="31" t="inlineStr">
        <is>
          <t>SR Technics Switzerland</t>
        </is>
      </c>
    </row>
    <row r="1048">
      <c r="B1048" s="31" t="inlineStr">
        <is>
          <t>CFM56-5B</t>
        </is>
      </c>
      <c r="C1048" s="31" t="inlineStr">
        <is>
          <t>2024-2025</t>
        </is>
      </c>
      <c r="D1048" s="31" t="inlineStr">
        <is>
          <t>637097</t>
        </is>
      </c>
      <c r="E1048" s="31" t="inlineStr">
        <is>
          <t>72-00-31</t>
        </is>
      </c>
      <c r="F1048" s="31" t="inlineStr">
        <is>
          <t>G</t>
        </is>
      </c>
      <c r="G1048" s="31" t="inlineStr">
        <is>
          <t>Other / assembly</t>
        </is>
      </c>
      <c r="H1048" s="27" t="n">
        <v>820</v>
      </c>
      <c r="I1048" s="27" t="n">
        <v>870</v>
      </c>
      <c r="J1048" s="154">
        <f>I1048/H1048-1</f>
        <v/>
      </c>
      <c r="K1048" s="31" t="inlineStr">
        <is>
          <t>24</t>
        </is>
      </c>
      <c r="L1048" s="31" t="inlineStr">
        <is>
          <t>25</t>
        </is>
      </c>
      <c r="M1048" s="31" t="inlineStr">
        <is>
          <t>S1</t>
        </is>
      </c>
      <c r="N1048" s="31" t="inlineStr">
        <is>
          <t>S2</t>
        </is>
      </c>
      <c r="O1048" s="31" t="inlineStr">
        <is>
          <t>1887M18G01</t>
        </is>
      </c>
      <c r="P1048" s="31" t="inlineStr">
        <is>
          <t>SR Technics Switzerland</t>
        </is>
      </c>
    </row>
    <row r="1049">
      <c r="B1049" s="31" t="inlineStr">
        <is>
          <t>CFM56-5B</t>
        </is>
      </c>
      <c r="C1049" s="31" t="inlineStr">
        <is>
          <t>2024-2025</t>
        </is>
      </c>
      <c r="D1049" s="31" t="inlineStr">
        <is>
          <t>637097</t>
        </is>
      </c>
      <c r="E1049" s="31" t="inlineStr">
        <is>
          <t>72-00-31</t>
        </is>
      </c>
      <c r="F1049" s="31" t="inlineStr">
        <is>
          <t>N</t>
        </is>
      </c>
      <c r="G1049" s="31" t="inlineStr">
        <is>
          <t>Other / assembly</t>
        </is>
      </c>
      <c r="H1049" s="27" t="n">
        <v>500</v>
      </c>
      <c r="I1049" s="27" t="n">
        <v>530</v>
      </c>
      <c r="J1049" s="154">
        <f>I1049/H1049-1</f>
        <v/>
      </c>
      <c r="K1049" s="31" t="inlineStr">
        <is>
          <t>24</t>
        </is>
      </c>
      <c r="L1049" s="31" t="inlineStr">
        <is>
          <t>25</t>
        </is>
      </c>
      <c r="M1049" s="31" t="inlineStr">
        <is>
          <t>S1</t>
        </is>
      </c>
      <c r="N1049" s="31" t="inlineStr">
        <is>
          <t>S2</t>
        </is>
      </c>
      <c r="O1049" s="31" t="inlineStr">
        <is>
          <t>1887M18G01</t>
        </is>
      </c>
      <c r="P1049" s="31" t="inlineStr">
        <is>
          <t>SR Technics Switzerland</t>
        </is>
      </c>
    </row>
    <row r="1050">
      <c r="B1050" s="31" t="inlineStr">
        <is>
          <t>CFM56-5B</t>
        </is>
      </c>
      <c r="C1050" s="31" t="inlineStr">
        <is>
          <t>2024-2025</t>
        </is>
      </c>
      <c r="D1050" s="31" t="inlineStr">
        <is>
          <t>637097</t>
        </is>
      </c>
      <c r="E1050" s="31" t="inlineStr">
        <is>
          <t>72-00-31</t>
        </is>
      </c>
      <c r="F1050" s="31" t="inlineStr">
        <is>
          <t>O</t>
        </is>
      </c>
      <c r="G1050" s="31" t="inlineStr">
        <is>
          <t>Other / assembly</t>
        </is>
      </c>
      <c r="H1050" s="27" t="n">
        <v>500</v>
      </c>
      <c r="I1050" s="27" t="n">
        <v>530</v>
      </c>
      <c r="J1050" s="154">
        <f>I1050/H1050-1</f>
        <v/>
      </c>
      <c r="K1050" s="31" t="inlineStr">
        <is>
          <t>24</t>
        </is>
      </c>
      <c r="L1050" s="31" t="inlineStr">
        <is>
          <t>25</t>
        </is>
      </c>
      <c r="M1050" s="31" t="inlineStr">
        <is>
          <t>S1</t>
        </is>
      </c>
      <c r="N1050" s="31" t="inlineStr">
        <is>
          <t>S2</t>
        </is>
      </c>
      <c r="O1050" s="31" t="inlineStr">
        <is>
          <t>1887M18G01</t>
        </is>
      </c>
      <c r="P1050" s="31" t="inlineStr">
        <is>
          <t>SR Technics Switzerland</t>
        </is>
      </c>
    </row>
    <row r="1051">
      <c r="B1051" s="31" t="inlineStr">
        <is>
          <t>CFM56-5B</t>
        </is>
      </c>
      <c r="C1051" s="31" t="inlineStr">
        <is>
          <t>2024-2025</t>
        </is>
      </c>
      <c r="D1051" s="31" t="inlineStr">
        <is>
          <t>637097</t>
        </is>
      </c>
      <c r="E1051" s="31" t="inlineStr">
        <is>
          <t>72-00-31</t>
        </is>
      </c>
      <c r="F1051" s="31" t="inlineStr">
        <is>
          <t>P</t>
        </is>
      </c>
      <c r="G1051" s="31" t="inlineStr">
        <is>
          <t>Other / assembly</t>
        </is>
      </c>
      <c r="H1051" s="27" t="n">
        <v>500</v>
      </c>
      <c r="I1051" s="27" t="n">
        <v>530</v>
      </c>
      <c r="J1051" s="154">
        <f>I1051/H1051-1</f>
        <v/>
      </c>
      <c r="K1051" s="31" t="inlineStr">
        <is>
          <t>24</t>
        </is>
      </c>
      <c r="L1051" s="31" t="inlineStr">
        <is>
          <t>25</t>
        </is>
      </c>
      <c r="M1051" s="31" t="inlineStr">
        <is>
          <t>S1</t>
        </is>
      </c>
      <c r="N1051" s="31" t="inlineStr">
        <is>
          <t>S2</t>
        </is>
      </c>
      <c r="O1051" s="31" t="inlineStr">
        <is>
          <t>1887M18G01</t>
        </is>
      </c>
      <c r="P1051" s="31" t="inlineStr">
        <is>
          <t>SR Technics Switzerland</t>
        </is>
      </c>
    </row>
    <row r="1052">
      <c r="B1052" s="31" t="inlineStr">
        <is>
          <t>CFM56-5B</t>
        </is>
      </c>
      <c r="C1052" s="31" t="inlineStr">
        <is>
          <t>2024-2025</t>
        </is>
      </c>
      <c r="D1052" s="31" t="inlineStr">
        <is>
          <t>637097</t>
        </is>
      </c>
      <c r="E1052" s="31" t="inlineStr">
        <is>
          <t>72-00-31</t>
        </is>
      </c>
      <c r="F1052" s="31" t="inlineStr">
        <is>
          <t>Q</t>
        </is>
      </c>
      <c r="G1052" s="31" t="inlineStr">
        <is>
          <t>Other / assembly</t>
        </is>
      </c>
      <c r="H1052" s="27" t="n">
        <v>500</v>
      </c>
      <c r="I1052" s="27" t="n">
        <v>530</v>
      </c>
      <c r="J1052" s="154">
        <f>I1052/H1052-1</f>
        <v/>
      </c>
      <c r="K1052" s="31" t="inlineStr">
        <is>
          <t>25</t>
        </is>
      </c>
      <c r="L1052" s="31" t="inlineStr">
        <is>
          <t>25</t>
        </is>
      </c>
      <c r="M1052" s="31" t="inlineStr">
        <is>
          <t>S1</t>
        </is>
      </c>
      <c r="N1052" s="31" t="inlineStr">
        <is>
          <t>S2</t>
        </is>
      </c>
      <c r="O1052" s="31" t="inlineStr">
        <is>
          <t>1887M18G01</t>
        </is>
      </c>
      <c r="P1052" s="31" t="inlineStr">
        <is>
          <t>SR Technics Switzerland</t>
        </is>
      </c>
    </row>
    <row r="1053">
      <c r="B1053" s="31" t="inlineStr">
        <is>
          <t>CFM56-5B</t>
        </is>
      </c>
      <c r="C1053" s="31" t="inlineStr">
        <is>
          <t>2024-2025</t>
        </is>
      </c>
      <c r="D1053" s="31" t="inlineStr">
        <is>
          <t>637097</t>
        </is>
      </c>
      <c r="E1053" s="31" t="inlineStr">
        <is>
          <t>72-00-31</t>
        </is>
      </c>
      <c r="F1053" s="31" t="inlineStr">
        <is>
          <t>R</t>
        </is>
      </c>
      <c r="G1053" s="31" t="inlineStr">
        <is>
          <t>Other / assembly</t>
        </is>
      </c>
      <c r="H1053" s="27" t="n">
        <v>500</v>
      </c>
      <c r="I1053" s="27" t="n">
        <v>530</v>
      </c>
      <c r="J1053" s="154">
        <f>I1053/H1053-1</f>
        <v/>
      </c>
      <c r="K1053" s="31" t="inlineStr">
        <is>
          <t>25</t>
        </is>
      </c>
      <c r="L1053" s="31" t="inlineStr">
        <is>
          <t>25</t>
        </is>
      </c>
      <c r="M1053" s="31" t="inlineStr">
        <is>
          <t>S1</t>
        </is>
      </c>
      <c r="N1053" s="31" t="inlineStr">
        <is>
          <t>S2</t>
        </is>
      </c>
      <c r="O1053" s="31" t="inlineStr">
        <is>
          <t>1887M18G01</t>
        </is>
      </c>
      <c r="P1053" s="31" t="inlineStr">
        <is>
          <t>SR Technics Switzerland</t>
        </is>
      </c>
    </row>
    <row r="1054">
      <c r="B1054" s="31" t="inlineStr">
        <is>
          <t>CFM56-5B</t>
        </is>
      </c>
      <c r="C1054" s="31" t="inlineStr">
        <is>
          <t>2024-2025</t>
        </is>
      </c>
      <c r="D1054" s="31" t="inlineStr">
        <is>
          <t>637097</t>
        </is>
      </c>
      <c r="E1054" s="31" t="inlineStr">
        <is>
          <t>72-00-31</t>
        </is>
      </c>
      <c r="F1054" s="31" t="inlineStr">
        <is>
          <t>S</t>
        </is>
      </c>
      <c r="G1054" s="31" t="inlineStr">
        <is>
          <t>Other / assembly</t>
        </is>
      </c>
      <c r="H1054" s="27" t="n">
        <v>500</v>
      </c>
      <c r="I1054" s="27" t="n">
        <v>530</v>
      </c>
      <c r="J1054" s="154">
        <f>I1054/H1054-1</f>
        <v/>
      </c>
      <c r="K1054" s="31" t="inlineStr">
        <is>
          <t>25</t>
        </is>
      </c>
      <c r="L1054" s="31" t="inlineStr">
        <is>
          <t>25</t>
        </is>
      </c>
      <c r="M1054" s="31" t="inlineStr">
        <is>
          <t>S1</t>
        </is>
      </c>
      <c r="N1054" s="31" t="inlineStr">
        <is>
          <t>S2</t>
        </is>
      </c>
      <c r="O1054" s="31" t="inlineStr">
        <is>
          <t>1887M18G01</t>
        </is>
      </c>
      <c r="P1054" s="31" t="inlineStr">
        <is>
          <t>SR Technics Switzerland</t>
        </is>
      </c>
    </row>
    <row r="1055">
      <c r="B1055" s="31" t="inlineStr">
        <is>
          <t>CFM56-5B</t>
        </is>
      </c>
      <c r="C1055" s="31" t="inlineStr">
        <is>
          <t>2024-2025</t>
        </is>
      </c>
      <c r="D1055" s="31" t="inlineStr">
        <is>
          <t>640894</t>
        </is>
      </c>
      <c r="E1055" s="31" t="inlineStr">
        <is>
          <t>72-09-03</t>
        </is>
      </c>
      <c r="F1055" s="31" t="inlineStr">
        <is>
          <t>A</t>
        </is>
      </c>
      <c r="G1055" s="31" t="inlineStr">
        <is>
          <t>Other / assembly</t>
        </is>
      </c>
      <c r="H1055" s="27" t="n">
        <v>315</v>
      </c>
      <c r="I1055" s="27" t="n">
        <v>335</v>
      </c>
      <c r="J1055" s="154">
        <f>I1055/H1055-1</f>
        <v/>
      </c>
      <c r="K1055" s="31" t="inlineStr">
        <is>
          <t>58</t>
        </is>
      </c>
      <c r="L1055" s="31" t="inlineStr">
        <is>
          <t>59</t>
        </is>
      </c>
      <c r="M1055" s="31" t="inlineStr">
        <is>
          <t>S1</t>
        </is>
      </c>
      <c r="N1055" s="31" t="inlineStr">
        <is>
          <t>S2</t>
        </is>
      </c>
      <c r="O1055" s="31" t="inlineStr">
        <is>
          <t>1444M33G02</t>
        </is>
      </c>
      <c r="P1055" s="31" t="inlineStr">
        <is>
          <t>SR Technics Switzerland</t>
        </is>
      </c>
    </row>
    <row r="1056">
      <c r="B1056" s="31" t="inlineStr">
        <is>
          <t>CFM56-5B</t>
        </is>
      </c>
      <c r="C1056" s="31" t="inlineStr">
        <is>
          <t>2024-2025</t>
        </is>
      </c>
      <c r="D1056" s="31" t="inlineStr">
        <is>
          <t>640894</t>
        </is>
      </c>
      <c r="E1056" s="31" t="inlineStr">
        <is>
          <t>72-09-03</t>
        </is>
      </c>
      <c r="F1056" s="31" t="inlineStr">
        <is>
          <t>B</t>
        </is>
      </c>
      <c r="G1056" s="31" t="inlineStr">
        <is>
          <t>Other / assembly</t>
        </is>
      </c>
      <c r="H1056" s="27" t="n">
        <v>225</v>
      </c>
      <c r="I1056" s="27" t="n">
        <v>240</v>
      </c>
      <c r="J1056" s="154">
        <f>I1056/H1056-1</f>
        <v/>
      </c>
      <c r="K1056" s="31" t="inlineStr">
        <is>
          <t>58</t>
        </is>
      </c>
      <c r="L1056" s="31" t="inlineStr">
        <is>
          <t>59</t>
        </is>
      </c>
      <c r="M1056" s="31" t="inlineStr">
        <is>
          <t>S1</t>
        </is>
      </c>
      <c r="N1056" s="31" t="inlineStr">
        <is>
          <t>S2</t>
        </is>
      </c>
      <c r="O1056" s="31" t="inlineStr">
        <is>
          <t>1444M33G02</t>
        </is>
      </c>
      <c r="P1056" s="31" t="inlineStr">
        <is>
          <t>SR Technics Switzerland</t>
        </is>
      </c>
    </row>
    <row r="1057">
      <c r="B1057" s="31" t="inlineStr">
        <is>
          <t>CFM56-5B</t>
        </is>
      </c>
      <c r="C1057" s="31" t="inlineStr">
        <is>
          <t>2024-2025</t>
        </is>
      </c>
      <c r="D1057" s="31" t="inlineStr">
        <is>
          <t>640894</t>
        </is>
      </c>
      <c r="E1057" s="31" t="inlineStr">
        <is>
          <t>72-09-03</t>
        </is>
      </c>
      <c r="F1057" s="31" t="inlineStr">
        <is>
          <t>G</t>
        </is>
      </c>
      <c r="G1057" s="31" t="inlineStr">
        <is>
          <t>Other / assembly</t>
        </is>
      </c>
      <c r="H1057" s="27" t="n">
        <v>380</v>
      </c>
      <c r="I1057" s="27" t="n">
        <v>405</v>
      </c>
      <c r="J1057" s="154">
        <f>I1057/H1057-1</f>
        <v/>
      </c>
      <c r="K1057" s="31" t="inlineStr">
        <is>
          <t>58</t>
        </is>
      </c>
      <c r="L1057" s="31" t="inlineStr">
        <is>
          <t>59</t>
        </is>
      </c>
      <c r="M1057" s="31" t="inlineStr">
        <is>
          <t>S1</t>
        </is>
      </c>
      <c r="N1057" s="31" t="inlineStr">
        <is>
          <t>S2</t>
        </is>
      </c>
      <c r="O1057" s="31" t="inlineStr">
        <is>
          <t>1444M33G02</t>
        </is>
      </c>
      <c r="P1057" s="31" t="inlineStr">
        <is>
          <t>SR Technics Switzerland</t>
        </is>
      </c>
    </row>
    <row r="1058">
      <c r="B1058" s="31" t="inlineStr">
        <is>
          <t>CFM56-5B</t>
        </is>
      </c>
      <c r="C1058" s="31" t="inlineStr">
        <is>
          <t>2024-2025</t>
        </is>
      </c>
      <c r="D1058" s="31" t="inlineStr">
        <is>
          <t>640894</t>
        </is>
      </c>
      <c r="E1058" s="31" t="inlineStr">
        <is>
          <t>72-09-03</t>
        </is>
      </c>
      <c r="F1058" s="31" t="inlineStr">
        <is>
          <t>H</t>
        </is>
      </c>
      <c r="G1058" s="31" t="inlineStr">
        <is>
          <t>Other / assembly</t>
        </is>
      </c>
      <c r="H1058" s="27" t="n">
        <v>380</v>
      </c>
      <c r="I1058" s="27" t="n">
        <v>405</v>
      </c>
      <c r="J1058" s="154">
        <f>I1058/H1058-1</f>
        <v/>
      </c>
      <c r="K1058" s="31" t="inlineStr">
        <is>
          <t>58</t>
        </is>
      </c>
      <c r="L1058" s="31" t="inlineStr">
        <is>
          <t>59</t>
        </is>
      </c>
      <c r="M1058" s="31" t="inlineStr">
        <is>
          <t>S1</t>
        </is>
      </c>
      <c r="N1058" s="31" t="inlineStr">
        <is>
          <t>S2</t>
        </is>
      </c>
      <c r="O1058" s="31" t="inlineStr">
        <is>
          <t>1444M33G02</t>
        </is>
      </c>
      <c r="P1058" s="31" t="inlineStr">
        <is>
          <t>SR Technics Switzerland</t>
        </is>
      </c>
    </row>
    <row r="1059">
      <c r="B1059" s="31" t="inlineStr">
        <is>
          <t>CFM56-5B</t>
        </is>
      </c>
      <c r="C1059" s="31" t="inlineStr">
        <is>
          <t>2024-2025</t>
        </is>
      </c>
      <c r="D1059" s="31" t="inlineStr">
        <is>
          <t>640894</t>
        </is>
      </c>
      <c r="E1059" s="31" t="inlineStr">
        <is>
          <t>72-09-03</t>
        </is>
      </c>
      <c r="F1059" s="31" t="inlineStr">
        <is>
          <t>SB00</t>
        </is>
      </c>
      <c r="G1059" s="31" t="inlineStr">
        <is>
          <t>Other / assembly</t>
        </is>
      </c>
      <c r="H1059" s="27" t="n">
        <v>135</v>
      </c>
      <c r="I1059" s="27" t="n">
        <v>145</v>
      </c>
      <c r="J1059" s="154">
        <f>I1059/H1059-1</f>
        <v/>
      </c>
      <c r="K1059" s="31" t="inlineStr">
        <is>
          <t>58</t>
        </is>
      </c>
      <c r="L1059" s="31" t="inlineStr">
        <is>
          <t>59</t>
        </is>
      </c>
      <c r="M1059" s="31" t="inlineStr">
        <is>
          <t>S1</t>
        </is>
      </c>
      <c r="N1059" s="31" t="inlineStr">
        <is>
          <t>S2</t>
        </is>
      </c>
      <c r="O1059" s="31" t="inlineStr">
        <is>
          <t>1444M33G02</t>
        </is>
      </c>
      <c r="P1059" s="31" t="inlineStr">
        <is>
          <t>SR Technics Switzerland</t>
        </is>
      </c>
    </row>
    <row r="1060">
      <c r="B1060" s="31" t="inlineStr">
        <is>
          <t>CFM56-5B</t>
        </is>
      </c>
      <c r="C1060" s="31" t="inlineStr">
        <is>
          <t>2024-2025</t>
        </is>
      </c>
      <c r="D1060" s="31" t="inlineStr">
        <is>
          <t>640894</t>
        </is>
      </c>
      <c r="E1060" s="31" t="inlineStr">
        <is>
          <t>72-09-03</t>
        </is>
      </c>
      <c r="F1060" s="31" t="inlineStr">
        <is>
          <t>SB01</t>
        </is>
      </c>
      <c r="G1060" s="31" t="inlineStr">
        <is>
          <t>Other / assembly</t>
        </is>
      </c>
      <c r="H1060" s="27" t="n">
        <v>190</v>
      </c>
      <c r="I1060" s="27" t="n">
        <v>205</v>
      </c>
      <c r="J1060" s="154">
        <f>I1060/H1060-1</f>
        <v/>
      </c>
      <c r="K1060" s="31" t="inlineStr">
        <is>
          <t>58</t>
        </is>
      </c>
      <c r="L1060" s="31" t="inlineStr">
        <is>
          <t>59</t>
        </is>
      </c>
      <c r="M1060" s="31" t="inlineStr">
        <is>
          <t>S1</t>
        </is>
      </c>
      <c r="N1060" s="31" t="inlineStr">
        <is>
          <t>S2</t>
        </is>
      </c>
      <c r="O1060" s="31" t="inlineStr">
        <is>
          <t>1444M33G02</t>
        </is>
      </c>
      <c r="P1060" s="31" t="inlineStr">
        <is>
          <t>SR Technics Switzerland</t>
        </is>
      </c>
    </row>
    <row r="1061">
      <c r="B1061" s="31" t="inlineStr">
        <is>
          <t>CFM56-5B</t>
        </is>
      </c>
      <c r="C1061" s="31" t="inlineStr">
        <is>
          <t>2024-2025</t>
        </is>
      </c>
      <c r="D1061" s="31" t="inlineStr">
        <is>
          <t>640894</t>
        </is>
      </c>
      <c r="E1061" s="31" t="inlineStr">
        <is>
          <t>72-09-03</t>
        </is>
      </c>
      <c r="F1061" s="31" t="inlineStr">
        <is>
          <t>SB03</t>
        </is>
      </c>
      <c r="G1061" s="31" t="inlineStr">
        <is>
          <t>Other / assembly</t>
        </is>
      </c>
      <c r="H1061" s="27" t="n">
        <v>510</v>
      </c>
      <c r="I1061" s="27" t="n">
        <v>545</v>
      </c>
      <c r="J1061" s="154">
        <f>I1061/H1061-1</f>
        <v/>
      </c>
      <c r="K1061" s="31" t="inlineStr">
        <is>
          <t>58</t>
        </is>
      </c>
      <c r="L1061" s="31" t="inlineStr">
        <is>
          <t>59</t>
        </is>
      </c>
      <c r="M1061" s="31" t="inlineStr">
        <is>
          <t>S1</t>
        </is>
      </c>
      <c r="N1061" s="31" t="inlineStr">
        <is>
          <t>S2</t>
        </is>
      </c>
      <c r="O1061" s="31" t="inlineStr">
        <is>
          <t>1444M33G02</t>
        </is>
      </c>
      <c r="P1061" s="31" t="inlineStr">
        <is>
          <t>SR Technics Switzerland</t>
        </is>
      </c>
    </row>
    <row r="1062">
      <c r="B1062" s="31" t="inlineStr">
        <is>
          <t>CFM56-5B</t>
        </is>
      </c>
      <c r="C1062" s="31" t="inlineStr">
        <is>
          <t>2024-2025</t>
        </is>
      </c>
      <c r="D1062" s="31" t="inlineStr">
        <is>
          <t>640895</t>
        </is>
      </c>
      <c r="E1062" s="31" t="inlineStr">
        <is>
          <t>72-09-03</t>
        </is>
      </c>
      <c r="F1062" s="31" t="inlineStr">
        <is>
          <t>A</t>
        </is>
      </c>
      <c r="G1062" s="31" t="inlineStr">
        <is>
          <t>Other / assembly</t>
        </is>
      </c>
      <c r="H1062" s="27" t="n">
        <v>315</v>
      </c>
      <c r="I1062" s="27" t="n">
        <v>335</v>
      </c>
      <c r="J1062" s="154">
        <f>I1062/H1062-1</f>
        <v/>
      </c>
      <c r="K1062" s="31" t="inlineStr">
        <is>
          <t>60</t>
        </is>
      </c>
      <c r="L1062" s="31" t="inlineStr">
        <is>
          <t>60</t>
        </is>
      </c>
      <c r="M1062" s="31" t="inlineStr">
        <is>
          <t>S1</t>
        </is>
      </c>
      <c r="N1062" s="31" t="inlineStr">
        <is>
          <t>S2</t>
        </is>
      </c>
      <c r="O1062" s="31" t="inlineStr">
        <is>
          <t>1324M91G01</t>
        </is>
      </c>
      <c r="P1062" s="31" t="inlineStr">
        <is>
          <t>SR Technics Switzerland</t>
        </is>
      </c>
    </row>
    <row r="1063">
      <c r="B1063" s="31" t="inlineStr">
        <is>
          <t>CFM56-5B</t>
        </is>
      </c>
      <c r="C1063" s="31" t="inlineStr">
        <is>
          <t>2024-2025</t>
        </is>
      </c>
      <c r="D1063" s="31" t="inlineStr">
        <is>
          <t>640895</t>
        </is>
      </c>
      <c r="E1063" s="31" t="inlineStr">
        <is>
          <t>72-09-03</t>
        </is>
      </c>
      <c r="F1063" s="31" t="inlineStr">
        <is>
          <t>G</t>
        </is>
      </c>
      <c r="G1063" s="31" t="inlineStr">
        <is>
          <t>Other / assembly</t>
        </is>
      </c>
      <c r="H1063" s="27" t="n">
        <v>1135</v>
      </c>
      <c r="I1063" s="27" t="n">
        <v>1205</v>
      </c>
      <c r="J1063" s="154">
        <f>I1063/H1063-1</f>
        <v/>
      </c>
      <c r="K1063" s="31" t="inlineStr">
        <is>
          <t>60</t>
        </is>
      </c>
      <c r="L1063" s="31" t="inlineStr">
        <is>
          <t>60</t>
        </is>
      </c>
      <c r="M1063" s="31" t="inlineStr">
        <is>
          <t>S1</t>
        </is>
      </c>
      <c r="N1063" s="31" t="inlineStr">
        <is>
          <t>S2</t>
        </is>
      </c>
      <c r="O1063" s="31" t="inlineStr">
        <is>
          <t>1324M91G01</t>
        </is>
      </c>
      <c r="P1063" s="31" t="inlineStr">
        <is>
          <t>SR Technics Switzerland</t>
        </is>
      </c>
    </row>
    <row r="1064">
      <c r="B1064" s="31" t="inlineStr">
        <is>
          <t>CFM56-5B</t>
        </is>
      </c>
      <c r="C1064" s="31" t="inlineStr">
        <is>
          <t>2024-2025</t>
        </is>
      </c>
      <c r="D1064" s="31" t="inlineStr">
        <is>
          <t>640895</t>
        </is>
      </c>
      <c r="E1064" s="31" t="inlineStr">
        <is>
          <t>72-09-03</t>
        </is>
      </c>
      <c r="F1064" s="31" t="inlineStr">
        <is>
          <t>SB00</t>
        </is>
      </c>
      <c r="G1064" s="31" t="inlineStr">
        <is>
          <t>Other / assembly</t>
        </is>
      </c>
      <c r="H1064" s="27" t="n">
        <v>510</v>
      </c>
      <c r="I1064" s="27" t="n">
        <v>545</v>
      </c>
      <c r="J1064" s="154">
        <f>I1064/H1064-1</f>
        <v/>
      </c>
      <c r="K1064" s="31" t="inlineStr">
        <is>
          <t>60</t>
        </is>
      </c>
      <c r="L1064" s="31" t="inlineStr">
        <is>
          <t>60</t>
        </is>
      </c>
      <c r="M1064" s="31" t="inlineStr">
        <is>
          <t>S1</t>
        </is>
      </c>
      <c r="N1064" s="31" t="inlineStr">
        <is>
          <t>S2</t>
        </is>
      </c>
      <c r="O1064" s="31" t="inlineStr">
        <is>
          <t>1324M91G01</t>
        </is>
      </c>
      <c r="P1064" s="31" t="inlineStr">
        <is>
          <t>SR Technics Switzerland</t>
        </is>
      </c>
    </row>
    <row r="1065">
      <c r="B1065" s="31" t="inlineStr">
        <is>
          <t>CFM56-5B</t>
        </is>
      </c>
      <c r="C1065" s="31" t="inlineStr">
        <is>
          <t>2024-2025</t>
        </is>
      </c>
      <c r="D1065" s="31" t="inlineStr">
        <is>
          <t>640896</t>
        </is>
      </c>
      <c r="E1065" s="31" t="inlineStr">
        <is>
          <t>72-09-03</t>
        </is>
      </c>
      <c r="F1065" s="31" t="inlineStr">
        <is>
          <t>A</t>
        </is>
      </c>
      <c r="G1065" s="31" t="inlineStr">
        <is>
          <t>Other / assembly</t>
        </is>
      </c>
      <c r="H1065" s="27" t="n">
        <v>315</v>
      </c>
      <c r="I1065" s="27" t="n">
        <v>335</v>
      </c>
      <c r="J1065" s="154">
        <f>I1065/H1065-1</f>
        <v/>
      </c>
      <c r="K1065" s="31" t="inlineStr">
        <is>
          <t>64</t>
        </is>
      </c>
      <c r="L1065" s="31" t="inlineStr">
        <is>
          <t>64</t>
        </is>
      </c>
      <c r="M1065" s="31" t="inlineStr">
        <is>
          <t>S1</t>
        </is>
      </c>
      <c r="N1065" s="31" t="inlineStr">
        <is>
          <t>S2</t>
        </is>
      </c>
      <c r="O1065" s="31" t="inlineStr">
        <is>
          <t>1605M10G02</t>
        </is>
      </c>
      <c r="P1065" s="31" t="inlineStr">
        <is>
          <t>SR Technics Switzerland</t>
        </is>
      </c>
    </row>
    <row r="1066">
      <c r="B1066" s="31" t="inlineStr">
        <is>
          <t>CFM56-5B</t>
        </is>
      </c>
      <c r="C1066" s="31" t="inlineStr">
        <is>
          <t>2024-2025</t>
        </is>
      </c>
      <c r="D1066" s="31" t="inlineStr">
        <is>
          <t>640896</t>
        </is>
      </c>
      <c r="E1066" s="31" t="inlineStr">
        <is>
          <t>72-09-03</t>
        </is>
      </c>
      <c r="F1066" s="31" t="inlineStr">
        <is>
          <t>G</t>
        </is>
      </c>
      <c r="G1066" s="31" t="inlineStr">
        <is>
          <t>Other / assembly</t>
        </is>
      </c>
      <c r="H1066" s="27" t="n">
        <v>2095</v>
      </c>
      <c r="I1066" s="27" t="n">
        <v>2225</v>
      </c>
      <c r="J1066" s="154">
        <f>I1066/H1066-1</f>
        <v/>
      </c>
      <c r="K1066" s="31" t="inlineStr">
        <is>
          <t>64</t>
        </is>
      </c>
      <c r="L1066" s="31" t="inlineStr">
        <is>
          <t>64</t>
        </is>
      </c>
      <c r="M1066" s="31" t="inlineStr">
        <is>
          <t>S1</t>
        </is>
      </c>
      <c r="N1066" s="31" t="inlineStr">
        <is>
          <t>S2</t>
        </is>
      </c>
      <c r="O1066" s="31" t="inlineStr">
        <is>
          <t>1605M10G02</t>
        </is>
      </c>
      <c r="P1066" s="31" t="inlineStr">
        <is>
          <t>SR Technics Switzerland</t>
        </is>
      </c>
    </row>
    <row r="1067">
      <c r="B1067" s="31" t="inlineStr">
        <is>
          <t>CFM56-5B</t>
        </is>
      </c>
      <c r="C1067" s="31" t="inlineStr">
        <is>
          <t>2024-2025</t>
        </is>
      </c>
      <c r="D1067" s="31" t="inlineStr">
        <is>
          <t>640897</t>
        </is>
      </c>
      <c r="E1067" s="31" t="inlineStr">
        <is>
          <t>72-09-03</t>
        </is>
      </c>
      <c r="F1067" s="31" t="inlineStr">
        <is>
          <t>A</t>
        </is>
      </c>
      <c r="G1067" s="31" t="inlineStr">
        <is>
          <t>Other / assembly</t>
        </is>
      </c>
      <c r="H1067" s="27" t="n">
        <v>305</v>
      </c>
      <c r="I1067" s="27" t="n">
        <v>325</v>
      </c>
      <c r="J1067" s="154">
        <f>I1067/H1067-1</f>
        <v/>
      </c>
      <c r="K1067" s="31" t="inlineStr">
        <is>
          <t>65</t>
        </is>
      </c>
      <c r="L1067" s="31" t="inlineStr">
        <is>
          <t>66</t>
        </is>
      </c>
      <c r="M1067" s="31" t="inlineStr">
        <is>
          <t>S1</t>
        </is>
      </c>
      <c r="N1067" s="31" t="inlineStr">
        <is>
          <t>S2</t>
        </is>
      </c>
      <c r="O1067" s="31" t="inlineStr">
        <is>
          <t>1645M25G03</t>
        </is>
      </c>
      <c r="P1067" s="31" t="inlineStr">
        <is>
          <t>SR Technics Switzerland</t>
        </is>
      </c>
    </row>
    <row r="1068">
      <c r="B1068" s="31" t="inlineStr">
        <is>
          <t>CFM56-5B</t>
        </is>
      </c>
      <c r="C1068" s="31" t="inlineStr">
        <is>
          <t>2024-2025</t>
        </is>
      </c>
      <c r="D1068" s="31" t="inlineStr">
        <is>
          <t>640897</t>
        </is>
      </c>
      <c r="E1068" s="31" t="inlineStr">
        <is>
          <t>72-09-03</t>
        </is>
      </c>
      <c r="F1068" s="31" t="inlineStr">
        <is>
          <t>G</t>
        </is>
      </c>
      <c r="G1068" s="31" t="inlineStr">
        <is>
          <t>Other / assembly</t>
        </is>
      </c>
      <c r="H1068" s="27" t="n">
        <v>4760</v>
      </c>
      <c r="I1068" s="27" t="n">
        <v>5050</v>
      </c>
      <c r="J1068" s="154">
        <f>I1068/H1068-1</f>
        <v/>
      </c>
      <c r="K1068" s="31" t="inlineStr">
        <is>
          <t>65</t>
        </is>
      </c>
      <c r="L1068" s="31" t="inlineStr">
        <is>
          <t>66</t>
        </is>
      </c>
      <c r="M1068" s="31" t="inlineStr">
        <is>
          <t>S1</t>
        </is>
      </c>
      <c r="N1068" s="31" t="inlineStr">
        <is>
          <t>S2</t>
        </is>
      </c>
      <c r="O1068" s="31" t="inlineStr">
        <is>
          <t>1645M25G03</t>
        </is>
      </c>
      <c r="P1068" s="31" t="inlineStr">
        <is>
          <t>SR Technics Switzerland</t>
        </is>
      </c>
    </row>
    <row r="1069">
      <c r="B1069" s="31" t="inlineStr">
        <is>
          <t>CFM56-5B</t>
        </is>
      </c>
      <c r="C1069" s="31" t="inlineStr">
        <is>
          <t>2024-2025</t>
        </is>
      </c>
      <c r="D1069" s="31" t="inlineStr">
        <is>
          <t>640897</t>
        </is>
      </c>
      <c r="E1069" s="31" t="inlineStr">
        <is>
          <t>72-09-03</t>
        </is>
      </c>
      <c r="F1069" s="31" t="inlineStr">
        <is>
          <t>U</t>
        </is>
      </c>
      <c r="G1069" s="31" t="inlineStr">
        <is>
          <t>Other / assembly</t>
        </is>
      </c>
      <c r="H1069" s="27" t="n">
        <v>135</v>
      </c>
      <c r="I1069" s="27" t="n">
        <v>145</v>
      </c>
      <c r="J1069" s="154">
        <f>I1069/H1069-1</f>
        <v/>
      </c>
      <c r="K1069" s="31" t="inlineStr">
        <is>
          <t>65</t>
        </is>
      </c>
      <c r="L1069" s="31" t="inlineStr">
        <is>
          <t>66</t>
        </is>
      </c>
      <c r="M1069" s="31" t="inlineStr">
        <is>
          <t>S1</t>
        </is>
      </c>
      <c r="N1069" s="31" t="inlineStr">
        <is>
          <t>S2</t>
        </is>
      </c>
      <c r="O1069" s="31" t="inlineStr">
        <is>
          <t>1645M25G03</t>
        </is>
      </c>
      <c r="P1069" s="31" t="inlineStr">
        <is>
          <t>SR Technics Switzerland</t>
        </is>
      </c>
    </row>
    <row r="1070">
      <c r="B1070" s="31" t="inlineStr">
        <is>
          <t>CFM56-5B</t>
        </is>
      </c>
      <c r="C1070" s="31" t="inlineStr">
        <is>
          <t>2024-2025</t>
        </is>
      </c>
      <c r="D1070" s="31" t="inlineStr">
        <is>
          <t>640950</t>
        </is>
      </c>
      <c r="E1070" s="31" t="inlineStr">
        <is>
          <t>72-09-01</t>
        </is>
      </c>
      <c r="F1070" s="31" t="inlineStr">
        <is>
          <t>A</t>
        </is>
      </c>
      <c r="G1070" s="31" t="inlineStr">
        <is>
          <t>Other / assembly</t>
        </is>
      </c>
      <c r="H1070" s="27" t="n">
        <v>995</v>
      </c>
      <c r="I1070" s="27" t="n">
        <v>1055</v>
      </c>
      <c r="J1070" s="154">
        <f>I1070/H1070-1</f>
        <v/>
      </c>
      <c r="K1070" s="31" t="inlineStr">
        <is>
          <t>67</t>
        </is>
      </c>
      <c r="L1070" s="31" t="inlineStr">
        <is>
          <t>67</t>
        </is>
      </c>
      <c r="M1070" s="31" t="inlineStr">
        <is>
          <t>S1</t>
        </is>
      </c>
      <c r="N1070" s="31" t="inlineStr">
        <is>
          <t>S2</t>
        </is>
      </c>
      <c r="O1070" s="31" t="inlineStr">
        <is>
          <t>305-364-002-0</t>
        </is>
      </c>
      <c r="P1070" s="31" t="inlineStr">
        <is>
          <t>SR Technics Switzerland</t>
        </is>
      </c>
    </row>
    <row r="1071">
      <c r="B1071" s="31" t="inlineStr">
        <is>
          <t>CFM56-5B</t>
        </is>
      </c>
      <c r="C1071" s="31" t="inlineStr">
        <is>
          <t>2024-2025</t>
        </is>
      </c>
      <c r="D1071" s="31" t="inlineStr">
        <is>
          <t>640951</t>
        </is>
      </c>
      <c r="E1071" s="31" t="inlineStr">
        <is>
          <t>72-09-01</t>
        </is>
      </c>
      <c r="F1071" s="31" t="inlineStr">
        <is>
          <t>A</t>
        </is>
      </c>
      <c r="G1071" s="31" t="inlineStr">
        <is>
          <t>Other / assembly</t>
        </is>
      </c>
      <c r="H1071" s="27" t="n">
        <v>995</v>
      </c>
      <c r="I1071" s="27" t="n">
        <v>1055</v>
      </c>
      <c r="J1071" s="154">
        <f>I1071/H1071-1</f>
        <v/>
      </c>
      <c r="K1071" s="31" t="inlineStr">
        <is>
          <t>67</t>
        </is>
      </c>
      <c r="L1071" s="31" t="inlineStr">
        <is>
          <t>67</t>
        </is>
      </c>
      <c r="M1071" s="31" t="inlineStr">
        <is>
          <t>S1</t>
        </is>
      </c>
      <c r="N1071" s="31" t="inlineStr">
        <is>
          <t>S2</t>
        </is>
      </c>
      <c r="O1071" s="31" t="inlineStr">
        <is>
          <t>305-365-702-0</t>
        </is>
      </c>
      <c r="P1071" s="31" t="inlineStr">
        <is>
          <t>SR Technics Switzerland</t>
        </is>
      </c>
    </row>
    <row r="1072">
      <c r="B1072" s="31" t="inlineStr">
        <is>
          <t>CFM56-5B</t>
        </is>
      </c>
      <c r="C1072" s="31" t="inlineStr">
        <is>
          <t>2024-2025</t>
        </is>
      </c>
      <c r="D1072" s="31" t="inlineStr">
        <is>
          <t>640952</t>
        </is>
      </c>
      <c r="E1072" s="31" t="inlineStr">
        <is>
          <t>72-09-01</t>
        </is>
      </c>
      <c r="F1072" s="31" t="inlineStr">
        <is>
          <t>A</t>
        </is>
      </c>
      <c r="G1072" s="31" t="inlineStr">
        <is>
          <t>Other / assembly</t>
        </is>
      </c>
      <c r="H1072" s="27" t="n">
        <v>1000</v>
      </c>
      <c r="I1072" s="27" t="n">
        <v>1060</v>
      </c>
      <c r="J1072" s="154">
        <f>I1072/H1072-1</f>
        <v/>
      </c>
      <c r="K1072" s="31" t="inlineStr">
        <is>
          <t>67</t>
        </is>
      </c>
      <c r="L1072" s="31" t="inlineStr">
        <is>
          <t>68</t>
        </is>
      </c>
      <c r="M1072" s="31" t="inlineStr">
        <is>
          <t>S1</t>
        </is>
      </c>
      <c r="N1072" s="31" t="inlineStr">
        <is>
          <t>S2</t>
        </is>
      </c>
      <c r="O1072" s="31" t="inlineStr">
        <is>
          <t>1361M71P02</t>
        </is>
      </c>
      <c r="P1072" s="31" t="inlineStr">
        <is>
          <t>SR Technics Switzerland</t>
        </is>
      </c>
    </row>
    <row r="1073">
      <c r="B1073" s="31" t="inlineStr">
        <is>
          <t>CFM56-5B</t>
        </is>
      </c>
      <c r="C1073" s="31" t="inlineStr">
        <is>
          <t>2024-2025</t>
        </is>
      </c>
      <c r="D1073" s="31" t="inlineStr">
        <is>
          <t>640952</t>
        </is>
      </c>
      <c r="E1073" s="31" t="inlineStr">
        <is>
          <t>72-09-01</t>
        </is>
      </c>
      <c r="F1073" s="31" t="inlineStr">
        <is>
          <t>SB00</t>
        </is>
      </c>
      <c r="G1073" s="31" t="inlineStr">
        <is>
          <t>Other / assembly</t>
        </is>
      </c>
      <c r="H1073" s="27" t="n">
        <v>1380</v>
      </c>
      <c r="I1073" s="27" t="n">
        <v>1465</v>
      </c>
      <c r="J1073" s="154">
        <f>I1073/H1073-1</f>
        <v/>
      </c>
      <c r="K1073" s="31" t="inlineStr">
        <is>
          <t>67</t>
        </is>
      </c>
      <c r="L1073" s="31" t="inlineStr">
        <is>
          <t>68</t>
        </is>
      </c>
      <c r="M1073" s="31" t="inlineStr">
        <is>
          <t>S1</t>
        </is>
      </c>
      <c r="N1073" s="31" t="inlineStr">
        <is>
          <t>S2</t>
        </is>
      </c>
      <c r="O1073" s="31" t="inlineStr">
        <is>
          <t>1361M71P02</t>
        </is>
      </c>
      <c r="P1073" s="31" t="inlineStr">
        <is>
          <t>SR Technics Switzerland</t>
        </is>
      </c>
    </row>
    <row r="1074">
      <c r="B1074" s="31" t="inlineStr">
        <is>
          <t>CFM56-5B</t>
        </is>
      </c>
      <c r="C1074" s="31" t="inlineStr">
        <is>
          <t>2024-2025</t>
        </is>
      </c>
      <c r="D1074" s="31" t="inlineStr">
        <is>
          <t>640952</t>
        </is>
      </c>
      <c r="E1074" s="31" t="inlineStr">
        <is>
          <t>72-09-01</t>
        </is>
      </c>
      <c r="F1074" s="31" t="inlineStr">
        <is>
          <t>SB01</t>
        </is>
      </c>
      <c r="G1074" s="31" t="inlineStr">
        <is>
          <t>Other / assembly</t>
        </is>
      </c>
      <c r="H1074" s="27" t="n">
        <v>480</v>
      </c>
      <c r="I1074" s="27" t="n">
        <v>510</v>
      </c>
      <c r="J1074" s="154">
        <f>I1074/H1074-1</f>
        <v/>
      </c>
      <c r="K1074" s="31" t="inlineStr">
        <is>
          <t>67</t>
        </is>
      </c>
      <c r="L1074" s="31" t="inlineStr">
        <is>
          <t>68</t>
        </is>
      </c>
      <c r="M1074" s="31" t="inlineStr">
        <is>
          <t>S1</t>
        </is>
      </c>
      <c r="N1074" s="31" t="inlineStr">
        <is>
          <t>S2</t>
        </is>
      </c>
      <c r="O1074" s="31" t="inlineStr">
        <is>
          <t>1361M71P02</t>
        </is>
      </c>
      <c r="P1074" s="31" t="inlineStr">
        <is>
          <t>SR Technics Switzerland</t>
        </is>
      </c>
    </row>
    <row r="1075">
      <c r="B1075" s="31" t="inlineStr">
        <is>
          <t>CFM56-5B</t>
        </is>
      </c>
      <c r="C1075" s="31" t="inlineStr">
        <is>
          <t>2024-2025</t>
        </is>
      </c>
      <c r="D1075" s="31" t="inlineStr">
        <is>
          <t>640953</t>
        </is>
      </c>
      <c r="E1075" s="31" t="inlineStr">
        <is>
          <t>72-09-01</t>
        </is>
      </c>
      <c r="F1075" s="31" t="inlineStr">
        <is>
          <t>A</t>
        </is>
      </c>
      <c r="G1075" s="31" t="inlineStr">
        <is>
          <t>Other / assembly</t>
        </is>
      </c>
      <c r="H1075" s="27" t="n">
        <v>1220</v>
      </c>
      <c r="I1075" s="27" t="n">
        <v>1295</v>
      </c>
      <c r="J1075" s="154">
        <f>I1075/H1075-1</f>
        <v/>
      </c>
      <c r="K1075" s="31" t="inlineStr">
        <is>
          <t>67</t>
        </is>
      </c>
      <c r="L1075" s="31" t="inlineStr">
        <is>
          <t>68</t>
        </is>
      </c>
      <c r="M1075" s="31" t="inlineStr">
        <is>
          <t>S1</t>
        </is>
      </c>
      <c r="N1075" s="31" t="inlineStr">
        <is>
          <t>S2</t>
        </is>
      </c>
      <c r="O1075" s="31" t="inlineStr">
        <is>
          <t>305-351-905-0</t>
        </is>
      </c>
      <c r="P1075" s="31" t="inlineStr">
        <is>
          <t>SR Technics Switzerland</t>
        </is>
      </c>
    </row>
    <row r="1076">
      <c r="B1076" s="31" t="inlineStr">
        <is>
          <t>CFM56-5B</t>
        </is>
      </c>
      <c r="C1076" s="31" t="inlineStr">
        <is>
          <t>2024-2025</t>
        </is>
      </c>
      <c r="D1076" s="31" t="inlineStr">
        <is>
          <t>640953</t>
        </is>
      </c>
      <c r="E1076" s="31" t="inlineStr">
        <is>
          <t>72-09-01</t>
        </is>
      </c>
      <c r="F1076" s="31" t="inlineStr">
        <is>
          <t>SB01</t>
        </is>
      </c>
      <c r="G1076" s="31" t="inlineStr">
        <is>
          <t>Other / assembly</t>
        </is>
      </c>
      <c r="H1076" s="27" t="n">
        <v>145</v>
      </c>
      <c r="I1076" s="27" t="n">
        <v>155</v>
      </c>
      <c r="J1076" s="154">
        <f>I1076/H1076-1</f>
        <v/>
      </c>
      <c r="K1076" s="31" t="inlineStr">
        <is>
          <t>67</t>
        </is>
      </c>
      <c r="L1076" s="31" t="inlineStr">
        <is>
          <t>68</t>
        </is>
      </c>
      <c r="M1076" s="31" t="inlineStr">
        <is>
          <t>S1</t>
        </is>
      </c>
      <c r="N1076" s="31" t="inlineStr">
        <is>
          <t>S2</t>
        </is>
      </c>
      <c r="O1076" s="31" t="inlineStr">
        <is>
          <t>305-351-905-0</t>
        </is>
      </c>
      <c r="P1076" s="31" t="inlineStr">
        <is>
          <t>SR Technics Switzerland</t>
        </is>
      </c>
    </row>
    <row r="1077">
      <c r="B1077" s="31" t="inlineStr">
        <is>
          <t>CFM56-5B</t>
        </is>
      </c>
      <c r="C1077" s="31" t="inlineStr">
        <is>
          <t>2024-2025</t>
        </is>
      </c>
      <c r="D1077" s="31" t="inlineStr">
        <is>
          <t>640954</t>
        </is>
      </c>
      <c r="E1077" s="31" t="inlineStr">
        <is>
          <t>72-09-01</t>
        </is>
      </c>
      <c r="F1077" s="31" t="inlineStr">
        <is>
          <t>A</t>
        </is>
      </c>
      <c r="G1077" s="31" t="inlineStr">
        <is>
          <t>Other / assembly</t>
        </is>
      </c>
      <c r="H1077" s="27" t="n">
        <v>1125</v>
      </c>
      <c r="I1077" s="27" t="n">
        <v>1195</v>
      </c>
      <c r="J1077" s="154">
        <f>I1077/H1077-1</f>
        <v/>
      </c>
      <c r="K1077" s="31" t="inlineStr">
        <is>
          <t>68</t>
        </is>
      </c>
      <c r="L1077" s="31" t="inlineStr">
        <is>
          <t>68</t>
        </is>
      </c>
      <c r="M1077" s="31" t="inlineStr">
        <is>
          <t>S1</t>
        </is>
      </c>
      <c r="N1077" s="31" t="inlineStr">
        <is>
          <t>S2</t>
        </is>
      </c>
      <c r="O1077" s="31" t="inlineStr">
        <is>
          <t>305-355-717-0</t>
        </is>
      </c>
      <c r="P1077" s="31" t="inlineStr">
        <is>
          <t>SR Technics Switzerland</t>
        </is>
      </c>
    </row>
    <row r="1078">
      <c r="B1078" s="31" t="inlineStr">
        <is>
          <t>CFM56-5B</t>
        </is>
      </c>
      <c r="C1078" s="31" t="inlineStr">
        <is>
          <t>2024-2025</t>
        </is>
      </c>
      <c r="D1078" s="31" t="inlineStr">
        <is>
          <t>640954</t>
        </is>
      </c>
      <c r="E1078" s="31" t="inlineStr">
        <is>
          <t>72-09-01</t>
        </is>
      </c>
      <c r="F1078" s="31" t="inlineStr">
        <is>
          <t>SB03</t>
        </is>
      </c>
      <c r="G1078" s="31" t="inlineStr">
        <is>
          <t>Other / assembly</t>
        </is>
      </c>
      <c r="H1078" s="27" t="n">
        <v>255</v>
      </c>
      <c r="I1078" s="27" t="n">
        <v>275</v>
      </c>
      <c r="J1078" s="154">
        <f>I1078/H1078-1</f>
        <v/>
      </c>
      <c r="K1078" s="31" t="inlineStr">
        <is>
          <t>68</t>
        </is>
      </c>
      <c r="L1078" s="31" t="inlineStr">
        <is>
          <t>68</t>
        </is>
      </c>
      <c r="M1078" s="31" t="inlineStr">
        <is>
          <t>S1</t>
        </is>
      </c>
      <c r="N1078" s="31" t="inlineStr">
        <is>
          <t>S2</t>
        </is>
      </c>
      <c r="O1078" s="31" t="inlineStr">
        <is>
          <t>305-355-717-0</t>
        </is>
      </c>
      <c r="P1078" s="31" t="inlineStr">
        <is>
          <t>SR Technics Switzerland</t>
        </is>
      </c>
    </row>
    <row r="1079">
      <c r="B1079" s="31" t="inlineStr">
        <is>
          <t>CFM56-5B</t>
        </is>
      </c>
      <c r="C1079" s="31" t="inlineStr">
        <is>
          <t>2024-2025</t>
        </is>
      </c>
      <c r="D1079" s="31" t="inlineStr">
        <is>
          <t>640954</t>
        </is>
      </c>
      <c r="E1079" s="31" t="inlineStr">
        <is>
          <t>72-09-01</t>
        </is>
      </c>
      <c r="F1079" s="31" t="inlineStr">
        <is>
          <t>SB10</t>
        </is>
      </c>
      <c r="G1079" s="31" t="inlineStr">
        <is>
          <t>Other / assembly</t>
        </is>
      </c>
      <c r="H1079" s="27" t="n">
        <v>255</v>
      </c>
      <c r="I1079" s="27" t="n">
        <v>275</v>
      </c>
      <c r="J1079" s="154">
        <f>I1079/H1079-1</f>
        <v/>
      </c>
      <c r="K1079" s="31" t="inlineStr">
        <is>
          <t>68</t>
        </is>
      </c>
      <c r="L1079" s="31" t="inlineStr">
        <is>
          <t>68</t>
        </is>
      </c>
      <c r="M1079" s="31" t="inlineStr">
        <is>
          <t>S1</t>
        </is>
      </c>
      <c r="N1079" s="31" t="inlineStr">
        <is>
          <t>S2</t>
        </is>
      </c>
      <c r="O1079" s="31" t="inlineStr">
        <is>
          <t>305-355-717-0</t>
        </is>
      </c>
      <c r="P1079" s="31" t="inlineStr">
        <is>
          <t>SR Technics Switzerland</t>
        </is>
      </c>
    </row>
    <row r="1080">
      <c r="B1080" s="31" t="inlineStr">
        <is>
          <t>CFM56-5B</t>
        </is>
      </c>
      <c r="C1080" s="31" t="inlineStr">
        <is>
          <t>2024-2025</t>
        </is>
      </c>
      <c r="D1080" s="31" t="inlineStr">
        <is>
          <t>640954</t>
        </is>
      </c>
      <c r="E1080" s="31" t="inlineStr">
        <is>
          <t>72-09-01</t>
        </is>
      </c>
      <c r="F1080" s="31" t="inlineStr">
        <is>
          <t>SB12</t>
        </is>
      </c>
      <c r="G1080" s="31" t="inlineStr">
        <is>
          <t>Other / assembly</t>
        </is>
      </c>
      <c r="H1080" s="27" t="n">
        <v>255</v>
      </c>
      <c r="I1080" s="27" t="n">
        <v>275</v>
      </c>
      <c r="J1080" s="154">
        <f>I1080/H1080-1</f>
        <v/>
      </c>
      <c r="K1080" s="31" t="inlineStr">
        <is>
          <t>68</t>
        </is>
      </c>
      <c r="L1080" s="31" t="inlineStr">
        <is>
          <t>68</t>
        </is>
      </c>
      <c r="M1080" s="31" t="inlineStr">
        <is>
          <t>S1</t>
        </is>
      </c>
      <c r="N1080" s="31" t="inlineStr">
        <is>
          <t>S2</t>
        </is>
      </c>
      <c r="O1080" s="31" t="inlineStr">
        <is>
          <t>305-355-717-0</t>
        </is>
      </c>
      <c r="P1080" s="31" t="inlineStr">
        <is>
          <t>SR Technics Switzerland</t>
        </is>
      </c>
    </row>
    <row r="1081">
      <c r="B1081" s="31" t="inlineStr">
        <is>
          <t>CFM56-5B</t>
        </is>
      </c>
      <c r="C1081" s="31" t="inlineStr">
        <is>
          <t>2024-2025</t>
        </is>
      </c>
      <c r="D1081" s="31" t="inlineStr">
        <is>
          <t>641535</t>
        </is>
      </c>
      <c r="E1081" s="31" t="inlineStr">
        <is>
          <t>72-51-07</t>
        </is>
      </c>
      <c r="F1081" s="31" t="inlineStr">
        <is>
          <t>A</t>
        </is>
      </c>
      <c r="G1081" s="31" t="inlineStr">
        <is>
          <t>HPT / nozzle</t>
        </is>
      </c>
      <c r="H1081" s="27" t="n">
        <v>2375</v>
      </c>
      <c r="I1081" s="27" t="n">
        <v>2520</v>
      </c>
      <c r="J1081" s="154">
        <f>I1081/H1081-1</f>
        <v/>
      </c>
      <c r="K1081" s="31" t="inlineStr">
        <is>
          <t>68</t>
        </is>
      </c>
      <c r="L1081" s="31" t="inlineStr">
        <is>
          <t>68</t>
        </is>
      </c>
      <c r="M1081" s="31" t="inlineStr">
        <is>
          <t>S1</t>
        </is>
      </c>
      <c r="N1081" s="31" t="inlineStr">
        <is>
          <t>S2</t>
        </is>
      </c>
      <c r="O1081" s="31" t="inlineStr">
        <is>
          <t>1523M41G02</t>
        </is>
      </c>
      <c r="P1081" s="31" t="inlineStr">
        <is>
          <t>SR Technics Switzerland</t>
        </is>
      </c>
    </row>
    <row r="1082">
      <c r="B1082" s="31" t="inlineStr">
        <is>
          <t>CFM56-5B</t>
        </is>
      </c>
      <c r="C1082" s="31" t="inlineStr">
        <is>
          <t>2024-2025</t>
        </is>
      </c>
      <c r="D1082" s="31" t="inlineStr">
        <is>
          <t>641535</t>
        </is>
      </c>
      <c r="E1082" s="31" t="inlineStr">
        <is>
          <t>72-51-07</t>
        </is>
      </c>
      <c r="F1082" s="31" t="inlineStr">
        <is>
          <t>C</t>
        </is>
      </c>
      <c r="G1082" s="31" t="inlineStr">
        <is>
          <t>HPT / nozzle</t>
        </is>
      </c>
      <c r="H1082" s="27" t="n">
        <v>9405</v>
      </c>
      <c r="I1082" s="27" t="n">
        <v>9970</v>
      </c>
      <c r="J1082" s="154">
        <f>I1082/H1082-1</f>
        <v/>
      </c>
      <c r="K1082" s="31" t="inlineStr">
        <is>
          <t>68</t>
        </is>
      </c>
      <c r="L1082" s="31" t="inlineStr">
        <is>
          <t>68</t>
        </is>
      </c>
      <c r="M1082" s="31" t="inlineStr">
        <is>
          <t>S1</t>
        </is>
      </c>
      <c r="N1082" s="31" t="inlineStr">
        <is>
          <t>S2</t>
        </is>
      </c>
      <c r="O1082" s="31" t="inlineStr">
        <is>
          <t>1523M41G02</t>
        </is>
      </c>
      <c r="P1082" s="31" t="inlineStr">
        <is>
          <t>SR Technics Switzerland</t>
        </is>
      </c>
    </row>
    <row r="1083">
      <c r="B1083" s="31" t="inlineStr">
        <is>
          <t>CFM56-5B</t>
        </is>
      </c>
      <c r="C1083" s="31" t="inlineStr">
        <is>
          <t>2024-2025</t>
        </is>
      </c>
      <c r="D1083" s="31" t="inlineStr">
        <is>
          <t>641535</t>
        </is>
      </c>
      <c r="E1083" s="31" t="inlineStr">
        <is>
          <t>72-51-07</t>
        </is>
      </c>
      <c r="F1083" s="31" t="inlineStr">
        <is>
          <t>E</t>
        </is>
      </c>
      <c r="G1083" s="31" t="inlineStr">
        <is>
          <t>HPT / nozzle</t>
        </is>
      </c>
      <c r="H1083" s="27" t="n">
        <v>2865</v>
      </c>
      <c r="I1083" s="27" t="n">
        <v>3040</v>
      </c>
      <c r="J1083" s="154">
        <f>I1083/H1083-1</f>
        <v/>
      </c>
      <c r="K1083" s="31" t="inlineStr">
        <is>
          <t>68</t>
        </is>
      </c>
      <c r="L1083" s="31" t="inlineStr">
        <is>
          <t>68</t>
        </is>
      </c>
      <c r="M1083" s="31" t="inlineStr">
        <is>
          <t>S1</t>
        </is>
      </c>
      <c r="N1083" s="31" t="inlineStr">
        <is>
          <t>S2</t>
        </is>
      </c>
      <c r="O1083" s="31" t="inlineStr">
        <is>
          <t>1523M41G02</t>
        </is>
      </c>
      <c r="P1083" s="31" t="inlineStr">
        <is>
          <t>SR Technics Switzerland</t>
        </is>
      </c>
    </row>
    <row r="1084">
      <c r="B1084" s="31" t="inlineStr">
        <is>
          <t>CFM56-5B</t>
        </is>
      </c>
      <c r="C1084" s="31" t="inlineStr">
        <is>
          <t>2024-2025</t>
        </is>
      </c>
      <c r="D1084" s="31" t="inlineStr">
        <is>
          <t>641535</t>
        </is>
      </c>
      <c r="E1084" s="31" t="inlineStr">
        <is>
          <t>72-51-07</t>
        </is>
      </c>
      <c r="F1084" s="31" t="inlineStr">
        <is>
          <t>H</t>
        </is>
      </c>
      <c r="G1084" s="31" t="inlineStr">
        <is>
          <t>HPT / nozzle</t>
        </is>
      </c>
      <c r="H1084" s="27" t="n">
        <v>2405</v>
      </c>
      <c r="I1084" s="27" t="n">
        <v>2375</v>
      </c>
      <c r="J1084" s="154">
        <f>I1084/H1084-1</f>
        <v/>
      </c>
      <c r="K1084" s="31" t="inlineStr">
        <is>
          <t>68</t>
        </is>
      </c>
      <c r="L1084" s="31" t="inlineStr">
        <is>
          <t>68</t>
        </is>
      </c>
      <c r="M1084" s="31" t="inlineStr">
        <is>
          <t>S1</t>
        </is>
      </c>
      <c r="N1084" s="31" t="inlineStr">
        <is>
          <t>S2</t>
        </is>
      </c>
      <c r="O1084" s="31" t="inlineStr">
        <is>
          <t>1523M41G02</t>
        </is>
      </c>
      <c r="P1084" s="31" t="inlineStr">
        <is>
          <t>SR Technics Switzerland</t>
        </is>
      </c>
    </row>
    <row r="1085">
      <c r="B1085" s="31" t="inlineStr">
        <is>
          <t>CFM56-5B</t>
        </is>
      </c>
      <c r="C1085" s="31" t="inlineStr">
        <is>
          <t>2024-2025</t>
        </is>
      </c>
      <c r="D1085" s="31" t="inlineStr">
        <is>
          <t>641535</t>
        </is>
      </c>
      <c r="E1085" s="31" t="inlineStr">
        <is>
          <t>72-51-07</t>
        </is>
      </c>
      <c r="F1085" s="31" t="inlineStr">
        <is>
          <t>M</t>
        </is>
      </c>
      <c r="G1085" s="31" t="inlineStr">
        <is>
          <t>HPT / nozzle</t>
        </is>
      </c>
      <c r="H1085" s="27" t="n">
        <v>2505</v>
      </c>
      <c r="I1085" s="27" t="n">
        <v>2660</v>
      </c>
      <c r="J1085" s="154">
        <f>I1085/H1085-1</f>
        <v/>
      </c>
      <c r="K1085" s="31" t="inlineStr">
        <is>
          <t>68</t>
        </is>
      </c>
      <c r="L1085" s="31" t="inlineStr">
        <is>
          <t>68</t>
        </is>
      </c>
      <c r="M1085" s="31" t="inlineStr">
        <is>
          <t>S1</t>
        </is>
      </c>
      <c r="N1085" s="31" t="inlineStr">
        <is>
          <t>S2</t>
        </is>
      </c>
      <c r="O1085" s="31" t="inlineStr">
        <is>
          <t>1523M41G02</t>
        </is>
      </c>
      <c r="P1085" s="31" t="inlineStr">
        <is>
          <t>SR Technics Switzerland</t>
        </is>
      </c>
    </row>
    <row r="1086">
      <c r="B1086" s="31" t="inlineStr">
        <is>
          <t>CFM56-5B</t>
        </is>
      </c>
      <c r="C1086" s="31" t="inlineStr">
        <is>
          <t>2024-2025</t>
        </is>
      </c>
      <c r="D1086" s="31" t="inlineStr">
        <is>
          <t>641535</t>
        </is>
      </c>
      <c r="E1086" s="31" t="inlineStr">
        <is>
          <t>72-51-07</t>
        </is>
      </c>
      <c r="F1086" s="31" t="inlineStr">
        <is>
          <t>R</t>
        </is>
      </c>
      <c r="G1086" s="31" t="inlineStr">
        <is>
          <t>HPT / nozzle</t>
        </is>
      </c>
      <c r="H1086" s="27" t="n">
        <v>2865</v>
      </c>
      <c r="I1086" s="27" t="n">
        <v>3040</v>
      </c>
      <c r="J1086" s="154">
        <f>I1086/H1086-1</f>
        <v/>
      </c>
      <c r="K1086" s="31" t="inlineStr">
        <is>
          <t>68</t>
        </is>
      </c>
      <c r="L1086" s="31" t="inlineStr">
        <is>
          <t>69</t>
        </is>
      </c>
      <c r="M1086" s="31" t="inlineStr">
        <is>
          <t>S1</t>
        </is>
      </c>
      <c r="N1086" s="31" t="inlineStr">
        <is>
          <t>S2</t>
        </is>
      </c>
      <c r="O1086" s="31" t="inlineStr">
        <is>
          <t>1523M41G02</t>
        </is>
      </c>
      <c r="P1086" s="31" t="inlineStr">
        <is>
          <t>SR Technics Switzerland</t>
        </is>
      </c>
    </row>
    <row r="1087">
      <c r="B1087" s="31" t="inlineStr">
        <is>
          <t>CFM56-5B</t>
        </is>
      </c>
      <c r="C1087" s="31" t="inlineStr">
        <is>
          <t>2024-2025</t>
        </is>
      </c>
      <c r="D1087" s="31" t="inlineStr">
        <is>
          <t>641535</t>
        </is>
      </c>
      <c r="E1087" s="31" t="inlineStr">
        <is>
          <t>72-51-07</t>
        </is>
      </c>
      <c r="F1087" s="31" t="inlineStr">
        <is>
          <t>SB01</t>
        </is>
      </c>
      <c r="G1087" s="31" t="inlineStr">
        <is>
          <t>HPT / nozzle</t>
        </is>
      </c>
      <c r="H1087" s="27" t="n">
        <v>2405</v>
      </c>
      <c r="I1087" s="27" t="n">
        <v>2550</v>
      </c>
      <c r="J1087" s="154">
        <f>I1087/H1087-1</f>
        <v/>
      </c>
      <c r="K1087" s="31" t="inlineStr">
        <is>
          <t>68</t>
        </is>
      </c>
      <c r="L1087" s="31" t="inlineStr">
        <is>
          <t>69</t>
        </is>
      </c>
      <c r="M1087" s="31" t="inlineStr">
        <is>
          <t>S1</t>
        </is>
      </c>
      <c r="N1087" s="31" t="inlineStr">
        <is>
          <t>S2</t>
        </is>
      </c>
      <c r="O1087" s="31" t="inlineStr">
        <is>
          <t>1523M41G02</t>
        </is>
      </c>
      <c r="P1087" s="31" t="inlineStr">
        <is>
          <t>SR Technics Switzerland</t>
        </is>
      </c>
    </row>
    <row r="1088">
      <c r="B1088" s="31" t="inlineStr">
        <is>
          <t>CFM56-5B</t>
        </is>
      </c>
      <c r="C1088" s="31" t="inlineStr">
        <is>
          <t>2024-2025</t>
        </is>
      </c>
      <c r="D1088" s="31" t="inlineStr">
        <is>
          <t>641535</t>
        </is>
      </c>
      <c r="E1088" s="31" t="inlineStr">
        <is>
          <t>72-51-07</t>
        </is>
      </c>
      <c r="F1088" s="31" t="inlineStr">
        <is>
          <t>SB03</t>
        </is>
      </c>
      <c r="G1088" s="31" t="inlineStr">
        <is>
          <t>HPT / nozzle</t>
        </is>
      </c>
      <c r="H1088" s="27" t="n">
        <v>9470</v>
      </c>
      <c r="I1088" s="27" t="n">
        <v>10040</v>
      </c>
      <c r="J1088" s="154">
        <f>I1088/H1088-1</f>
        <v/>
      </c>
      <c r="K1088" s="31" t="inlineStr">
        <is>
          <t>68</t>
        </is>
      </c>
      <c r="L1088" s="31" t="inlineStr">
        <is>
          <t>69</t>
        </is>
      </c>
      <c r="M1088" s="31" t="inlineStr">
        <is>
          <t>S1</t>
        </is>
      </c>
      <c r="N1088" s="31" t="inlineStr">
        <is>
          <t>S2</t>
        </is>
      </c>
      <c r="O1088" s="31" t="inlineStr">
        <is>
          <t>1523M41G02</t>
        </is>
      </c>
      <c r="P1088" s="31" t="inlineStr">
        <is>
          <t>SR Technics Switzerland</t>
        </is>
      </c>
    </row>
    <row r="1089">
      <c r="B1089" s="31" t="inlineStr">
        <is>
          <t>CFM56-5B</t>
        </is>
      </c>
      <c r="C1089" s="31" t="inlineStr">
        <is>
          <t>2024-2025</t>
        </is>
      </c>
      <c r="D1089" s="31" t="inlineStr">
        <is>
          <t>642808</t>
        </is>
      </c>
      <c r="E1089" s="31" t="inlineStr">
        <is>
          <t>72-42-04</t>
        </is>
      </c>
      <c r="F1089" s="31" t="inlineStr">
        <is>
          <t>A</t>
        </is>
      </c>
      <c r="G1089" s="31" t="inlineStr">
        <is>
          <t>Combustor</t>
        </is>
      </c>
      <c r="H1089" s="27" t="n">
        <v>95</v>
      </c>
      <c r="I1089" s="27" t="n">
        <v>105</v>
      </c>
      <c r="J1089" s="154">
        <f>I1089/H1089-1</f>
        <v/>
      </c>
      <c r="K1089" s="31" t="inlineStr">
        <is>
          <t>25</t>
        </is>
      </c>
      <c r="L1089" s="31" t="inlineStr">
        <is>
          <t>25</t>
        </is>
      </c>
      <c r="M1089" s="31" t="inlineStr">
        <is>
          <t>S1</t>
        </is>
      </c>
      <c r="N1089" s="31" t="inlineStr">
        <is>
          <t>S2</t>
        </is>
      </c>
      <c r="O1089" s="31" t="inlineStr">
        <is>
          <t>9968M26P02</t>
        </is>
      </c>
      <c r="P1089" s="31" t="inlineStr">
        <is>
          <t>SR Technics Switzerland</t>
        </is>
      </c>
    </row>
    <row r="1090">
      <c r="B1090" s="31" t="inlineStr">
        <is>
          <t>CFM56-5B</t>
        </is>
      </c>
      <c r="C1090" s="31" t="inlineStr">
        <is>
          <t>2024-2025</t>
        </is>
      </c>
      <c r="D1090" s="31" t="inlineStr">
        <is>
          <t>642808</t>
        </is>
      </c>
      <c r="E1090" s="31" t="inlineStr">
        <is>
          <t>72-42-04</t>
        </is>
      </c>
      <c r="F1090" s="31" t="inlineStr">
        <is>
          <t>W</t>
        </is>
      </c>
      <c r="G1090" s="31" t="inlineStr">
        <is>
          <t>Combustor</t>
        </is>
      </c>
      <c r="H1090" s="27" t="n">
        <v>395</v>
      </c>
      <c r="I1090" s="27" t="n">
        <v>420</v>
      </c>
      <c r="J1090" s="154">
        <f>I1090/H1090-1</f>
        <v/>
      </c>
      <c r="K1090" s="31" t="inlineStr">
        <is>
          <t>25</t>
        </is>
      </c>
      <c r="L1090" s="31" t="inlineStr">
        <is>
          <t>25</t>
        </is>
      </c>
      <c r="M1090" s="31" t="inlineStr">
        <is>
          <t>S1</t>
        </is>
      </c>
      <c r="N1090" s="31" t="inlineStr">
        <is>
          <t>S2</t>
        </is>
      </c>
      <c r="O1090" s="31" t="inlineStr">
        <is>
          <t>9968M26P02</t>
        </is>
      </c>
      <c r="P1090" s="31" t="inlineStr">
        <is>
          <t>SR Technics Switzerland</t>
        </is>
      </c>
    </row>
    <row r="1091">
      <c r="B1091" s="31" t="inlineStr">
        <is>
          <t>CFM56-5B</t>
        </is>
      </c>
      <c r="C1091" s="31" t="inlineStr">
        <is>
          <t>2024-2025</t>
        </is>
      </c>
      <c r="D1091" s="31" t="inlineStr">
        <is>
          <t>642820</t>
        </is>
      </c>
      <c r="E1091" s="31" t="inlineStr">
        <is>
          <t>72-41-01</t>
        </is>
      </c>
      <c r="F1091" s="31" t="inlineStr">
        <is>
          <t>A</t>
        </is>
      </c>
      <c r="G1091" s="31" t="inlineStr">
        <is>
          <t>Combustor</t>
        </is>
      </c>
      <c r="H1091" s="27" t="n">
        <v>4395</v>
      </c>
      <c r="I1091" s="27" t="n">
        <v>4660</v>
      </c>
      <c r="J1091" s="154">
        <f>I1091/H1091-1</f>
        <v/>
      </c>
      <c r="K1091" s="31" t="inlineStr">
        <is>
          <t>68</t>
        </is>
      </c>
      <c r="L1091" s="31" t="inlineStr">
        <is>
          <t>69</t>
        </is>
      </c>
      <c r="M1091" s="31" t="inlineStr">
        <is>
          <t>S1</t>
        </is>
      </c>
      <c r="N1091" s="31" t="inlineStr">
        <is>
          <t>S2</t>
        </is>
      </c>
      <c r="O1091" s="31" t="inlineStr">
        <is>
          <t>1498M52G03</t>
        </is>
      </c>
      <c r="P1091" s="31" t="inlineStr">
        <is>
          <t>SR Technics Switzerland</t>
        </is>
      </c>
    </row>
    <row r="1092">
      <c r="B1092" s="31" t="inlineStr">
        <is>
          <t>CFM56-5B</t>
        </is>
      </c>
      <c r="C1092" s="31" t="inlineStr">
        <is>
          <t>2024-2025</t>
        </is>
      </c>
      <c r="D1092" s="31" t="inlineStr">
        <is>
          <t>642820</t>
        </is>
      </c>
      <c r="E1092" s="31" t="inlineStr">
        <is>
          <t>72-41-01</t>
        </is>
      </c>
      <c r="F1092" s="31" t="inlineStr">
        <is>
          <t>AA</t>
        </is>
      </c>
      <c r="G1092" s="31" t="inlineStr">
        <is>
          <t>Combustor</t>
        </is>
      </c>
      <c r="H1092" s="27" t="n">
        <v>3915</v>
      </c>
      <c r="I1092" s="27" t="n">
        <v>4150</v>
      </c>
      <c r="J1092" s="154">
        <f>I1092/H1092-1</f>
        <v/>
      </c>
      <c r="K1092" s="31" t="inlineStr">
        <is>
          <t>68</t>
        </is>
      </c>
      <c r="L1092" s="31" t="inlineStr">
        <is>
          <t>69</t>
        </is>
      </c>
      <c r="M1092" s="31" t="inlineStr">
        <is>
          <t>S1</t>
        </is>
      </c>
      <c r="N1092" s="31" t="inlineStr">
        <is>
          <t>S2</t>
        </is>
      </c>
      <c r="O1092" s="31" t="inlineStr">
        <is>
          <t>1498M52G03</t>
        </is>
      </c>
      <c r="P1092" s="31" t="inlineStr">
        <is>
          <t>SR Technics Switzerland</t>
        </is>
      </c>
    </row>
    <row r="1093">
      <c r="B1093" s="31" t="inlineStr">
        <is>
          <t>CFM56-5B</t>
        </is>
      </c>
      <c r="C1093" s="31" t="inlineStr">
        <is>
          <t>2024-2025</t>
        </is>
      </c>
      <c r="D1093" s="31" t="inlineStr">
        <is>
          <t>642820</t>
        </is>
      </c>
      <c r="E1093" s="31" t="inlineStr">
        <is>
          <t>72-41-01</t>
        </is>
      </c>
      <c r="F1093" s="31" t="inlineStr">
        <is>
          <t>B</t>
        </is>
      </c>
      <c r="G1093" s="31" t="inlineStr">
        <is>
          <t>Combustor</t>
        </is>
      </c>
      <c r="H1093" s="27" t="n">
        <v>2610</v>
      </c>
      <c r="I1093" s="27" t="n">
        <v>2770</v>
      </c>
      <c r="J1093" s="154">
        <f>I1093/H1093-1</f>
        <v/>
      </c>
      <c r="K1093" s="31" t="inlineStr">
        <is>
          <t>68</t>
        </is>
      </c>
      <c r="L1093" s="31" t="inlineStr">
        <is>
          <t>69</t>
        </is>
      </c>
      <c r="M1093" s="31" t="inlineStr">
        <is>
          <t>S1</t>
        </is>
      </c>
      <c r="N1093" s="31" t="inlineStr">
        <is>
          <t>S2</t>
        </is>
      </c>
      <c r="O1093" s="31" t="inlineStr">
        <is>
          <t>1498M52G03</t>
        </is>
      </c>
      <c r="P1093" s="31" t="inlineStr">
        <is>
          <t>SR Technics Switzerland</t>
        </is>
      </c>
    </row>
    <row r="1094">
      <c r="B1094" s="31" t="inlineStr">
        <is>
          <t>CFM56-5B</t>
        </is>
      </c>
      <c r="C1094" s="31" t="inlineStr">
        <is>
          <t>2024-2025</t>
        </is>
      </c>
      <c r="D1094" s="31" t="inlineStr">
        <is>
          <t>642820</t>
        </is>
      </c>
      <c r="E1094" s="31" t="inlineStr">
        <is>
          <t>72-41-01</t>
        </is>
      </c>
      <c r="F1094" s="31" t="inlineStr">
        <is>
          <t>C</t>
        </is>
      </c>
      <c r="G1094" s="31" t="inlineStr">
        <is>
          <t>Combustor</t>
        </is>
      </c>
      <c r="H1094" s="27" t="n">
        <v>4220</v>
      </c>
      <c r="I1094" s="27" t="n">
        <v>4475</v>
      </c>
      <c r="J1094" s="154">
        <f>I1094/H1094-1</f>
        <v/>
      </c>
      <c r="K1094" s="31" t="inlineStr">
        <is>
          <t>68</t>
        </is>
      </c>
      <c r="L1094" s="31" t="inlineStr">
        <is>
          <t>69</t>
        </is>
      </c>
      <c r="M1094" s="31" t="inlineStr">
        <is>
          <t>S1</t>
        </is>
      </c>
      <c r="N1094" s="31" t="inlineStr">
        <is>
          <t>S2</t>
        </is>
      </c>
      <c r="O1094" s="31" t="inlineStr">
        <is>
          <t>1498M52G03</t>
        </is>
      </c>
      <c r="P1094" s="31" t="inlineStr">
        <is>
          <t>SR Technics Switzerland</t>
        </is>
      </c>
    </row>
    <row r="1095">
      <c r="B1095" s="31" t="inlineStr">
        <is>
          <t>CFM56-5B</t>
        </is>
      </c>
      <c r="C1095" s="31" t="inlineStr">
        <is>
          <t>2024-2025</t>
        </is>
      </c>
      <c r="D1095" s="31" t="inlineStr">
        <is>
          <t>642820</t>
        </is>
      </c>
      <c r="E1095" s="31" t="inlineStr">
        <is>
          <t>72-41-01</t>
        </is>
      </c>
      <c r="F1095" s="31" t="inlineStr">
        <is>
          <t>D</t>
        </is>
      </c>
      <c r="G1095" s="31" t="inlineStr">
        <is>
          <t>Combustor</t>
        </is>
      </c>
      <c r="H1095" s="27" t="n">
        <v>1630</v>
      </c>
      <c r="I1095" s="27" t="n">
        <v>1730</v>
      </c>
      <c r="J1095" s="154">
        <f>I1095/H1095-1</f>
        <v/>
      </c>
      <c r="K1095" s="31" t="inlineStr">
        <is>
          <t>68</t>
        </is>
      </c>
      <c r="L1095" s="31" t="inlineStr">
        <is>
          <t>69</t>
        </is>
      </c>
      <c r="M1095" s="31" t="inlineStr">
        <is>
          <t>S1</t>
        </is>
      </c>
      <c r="N1095" s="31" t="inlineStr">
        <is>
          <t>S2</t>
        </is>
      </c>
      <c r="O1095" s="31" t="inlineStr">
        <is>
          <t>1498M52G03</t>
        </is>
      </c>
      <c r="P1095" s="31" t="inlineStr">
        <is>
          <t>SR Technics Switzerland</t>
        </is>
      </c>
    </row>
    <row r="1096">
      <c r="B1096" s="31" t="inlineStr">
        <is>
          <t>CFM56-5B</t>
        </is>
      </c>
      <c r="C1096" s="31" t="inlineStr">
        <is>
          <t>2024-2025</t>
        </is>
      </c>
      <c r="D1096" s="31" t="inlineStr">
        <is>
          <t>642820</t>
        </is>
      </c>
      <c r="E1096" s="31" t="inlineStr">
        <is>
          <t>72-41-01</t>
        </is>
      </c>
      <c r="F1096" s="31" t="inlineStr">
        <is>
          <t>E</t>
        </is>
      </c>
      <c r="G1096" s="31" t="inlineStr">
        <is>
          <t>Combustor</t>
        </is>
      </c>
      <c r="H1096" s="27" t="n">
        <v>5610</v>
      </c>
      <c r="I1096" s="27" t="n">
        <v>5950</v>
      </c>
      <c r="J1096" s="154">
        <f>I1096/H1096-1</f>
        <v/>
      </c>
      <c r="K1096" s="31" t="inlineStr">
        <is>
          <t>68</t>
        </is>
      </c>
      <c r="L1096" s="31" t="inlineStr">
        <is>
          <t>69</t>
        </is>
      </c>
      <c r="M1096" s="31" t="inlineStr">
        <is>
          <t>S1</t>
        </is>
      </c>
      <c r="N1096" s="31" t="inlineStr">
        <is>
          <t>S2</t>
        </is>
      </c>
      <c r="O1096" s="31" t="inlineStr">
        <is>
          <t>1498M52G03</t>
        </is>
      </c>
      <c r="P1096" s="31" t="inlineStr">
        <is>
          <t>SR Technics Switzerland</t>
        </is>
      </c>
    </row>
    <row r="1097">
      <c r="B1097" s="31" t="inlineStr">
        <is>
          <t>CFM56-5B</t>
        </is>
      </c>
      <c r="C1097" s="31" t="inlineStr">
        <is>
          <t>2024-2025</t>
        </is>
      </c>
      <c r="D1097" s="31" t="inlineStr">
        <is>
          <t>642820</t>
        </is>
      </c>
      <c r="E1097" s="31" t="inlineStr">
        <is>
          <t>72-41-01</t>
        </is>
      </c>
      <c r="F1097" s="31" t="inlineStr">
        <is>
          <t>F</t>
        </is>
      </c>
      <c r="G1097" s="31" t="inlineStr">
        <is>
          <t>Combustor</t>
        </is>
      </c>
      <c r="H1097" s="27" t="n">
        <v>3005</v>
      </c>
      <c r="I1097" s="27" t="n">
        <v>3190</v>
      </c>
      <c r="J1097" s="154">
        <f>I1097/H1097-1</f>
        <v/>
      </c>
      <c r="K1097" s="31" t="inlineStr">
        <is>
          <t>69</t>
        </is>
      </c>
      <c r="L1097" s="31" t="inlineStr">
        <is>
          <t>69</t>
        </is>
      </c>
      <c r="M1097" s="31" t="inlineStr">
        <is>
          <t>S1</t>
        </is>
      </c>
      <c r="N1097" s="31" t="inlineStr">
        <is>
          <t>S2</t>
        </is>
      </c>
      <c r="O1097" s="31" t="inlineStr">
        <is>
          <t>1498M52G03</t>
        </is>
      </c>
      <c r="P1097" s="31" t="inlineStr">
        <is>
          <t>SR Technics Switzerland</t>
        </is>
      </c>
    </row>
    <row r="1098">
      <c r="B1098" s="31" t="inlineStr">
        <is>
          <t>CFM56-5B</t>
        </is>
      </c>
      <c r="C1098" s="31" t="inlineStr">
        <is>
          <t>2024-2025</t>
        </is>
      </c>
      <c r="D1098" s="31" t="inlineStr">
        <is>
          <t>642820</t>
        </is>
      </c>
      <c r="E1098" s="31" t="inlineStr">
        <is>
          <t>72-41-01</t>
        </is>
      </c>
      <c r="F1098" s="31" t="inlineStr">
        <is>
          <t>I</t>
        </is>
      </c>
      <c r="G1098" s="31" t="inlineStr">
        <is>
          <t>Combustor</t>
        </is>
      </c>
      <c r="H1098" s="27" t="n">
        <v>8720</v>
      </c>
      <c r="I1098" s="27" t="n">
        <v>9245</v>
      </c>
      <c r="J1098" s="154">
        <f>I1098/H1098-1</f>
        <v/>
      </c>
      <c r="K1098" s="31" t="inlineStr">
        <is>
          <t>69</t>
        </is>
      </c>
      <c r="L1098" s="31" t="inlineStr">
        <is>
          <t>69</t>
        </is>
      </c>
      <c r="M1098" s="31" t="inlineStr">
        <is>
          <t>S1</t>
        </is>
      </c>
      <c r="N1098" s="31" t="inlineStr">
        <is>
          <t>S2</t>
        </is>
      </c>
      <c r="O1098" s="31" t="inlineStr">
        <is>
          <t>1498M52G03</t>
        </is>
      </c>
      <c r="P1098" s="31" t="inlineStr">
        <is>
          <t>SR Technics Switzerland</t>
        </is>
      </c>
    </row>
    <row r="1099">
      <c r="B1099" s="31" t="inlineStr">
        <is>
          <t>CFM56-5B</t>
        </is>
      </c>
      <c r="C1099" s="31" t="inlineStr">
        <is>
          <t>2024-2025</t>
        </is>
      </c>
      <c r="D1099" s="31" t="inlineStr">
        <is>
          <t>642820</t>
        </is>
      </c>
      <c r="E1099" s="31" t="inlineStr">
        <is>
          <t>72-41-01</t>
        </is>
      </c>
      <c r="F1099" s="31" t="inlineStr">
        <is>
          <t>P</t>
        </is>
      </c>
      <c r="G1099" s="31" t="inlineStr">
        <is>
          <t>Combustor</t>
        </is>
      </c>
      <c r="H1099" s="27" t="n">
        <v>7475</v>
      </c>
      <c r="I1099" s="27" t="n">
        <v>7925</v>
      </c>
      <c r="J1099" s="154">
        <f>I1099/H1099-1</f>
        <v/>
      </c>
      <c r="K1099" s="31" t="inlineStr">
        <is>
          <t>69</t>
        </is>
      </c>
      <c r="L1099" s="31" t="inlineStr">
        <is>
          <t>69</t>
        </is>
      </c>
      <c r="M1099" s="31" t="inlineStr">
        <is>
          <t>S1</t>
        </is>
      </c>
      <c r="N1099" s="31" t="inlineStr">
        <is>
          <t>S2</t>
        </is>
      </c>
      <c r="O1099" s="31" t="inlineStr">
        <is>
          <t>1498M52G03</t>
        </is>
      </c>
      <c r="P1099" s="31" t="inlineStr">
        <is>
          <t>SR Technics Switzerland</t>
        </is>
      </c>
    </row>
    <row r="1100">
      <c r="B1100" s="31" t="inlineStr">
        <is>
          <t>CFM56-5B</t>
        </is>
      </c>
      <c r="C1100" s="31" t="inlineStr">
        <is>
          <t>2024-2025</t>
        </is>
      </c>
      <c r="D1100" s="31" t="inlineStr">
        <is>
          <t>642820</t>
        </is>
      </c>
      <c r="E1100" s="31" t="inlineStr">
        <is>
          <t>72-41-01</t>
        </is>
      </c>
      <c r="F1100" s="31" t="inlineStr">
        <is>
          <t>Q</t>
        </is>
      </c>
      <c r="G1100" s="31" t="inlineStr">
        <is>
          <t>Combustor</t>
        </is>
      </c>
      <c r="H1100" s="27" t="n">
        <v>7475</v>
      </c>
      <c r="I1100" s="27" t="n">
        <v>7925</v>
      </c>
      <c r="J1100" s="154">
        <f>I1100/H1100-1</f>
        <v/>
      </c>
      <c r="K1100" s="31" t="inlineStr">
        <is>
          <t>69</t>
        </is>
      </c>
      <c r="L1100" s="31" t="inlineStr">
        <is>
          <t>69</t>
        </is>
      </c>
      <c r="M1100" s="31" t="inlineStr">
        <is>
          <t>S1</t>
        </is>
      </c>
      <c r="N1100" s="31" t="inlineStr">
        <is>
          <t>S2</t>
        </is>
      </c>
      <c r="O1100" s="31" t="inlineStr">
        <is>
          <t>1498M52G03</t>
        </is>
      </c>
      <c r="P1100" s="31" t="inlineStr">
        <is>
          <t>SR Technics Switzerland</t>
        </is>
      </c>
    </row>
    <row r="1101">
      <c r="B1101" s="31" t="inlineStr">
        <is>
          <t>CFM56-5B</t>
        </is>
      </c>
      <c r="C1101" s="31" t="inlineStr">
        <is>
          <t>2024-2025</t>
        </is>
      </c>
      <c r="D1101" s="31" t="inlineStr">
        <is>
          <t>642820</t>
        </is>
      </c>
      <c r="E1101" s="31" t="inlineStr">
        <is>
          <t>72-41-01</t>
        </is>
      </c>
      <c r="F1101" s="31" t="inlineStr">
        <is>
          <t>SB00</t>
        </is>
      </c>
      <c r="G1101" s="31" t="inlineStr">
        <is>
          <t>Combustor</t>
        </is>
      </c>
      <c r="H1101" s="27" t="n">
        <v>580</v>
      </c>
      <c r="I1101" s="27" t="n">
        <v>615</v>
      </c>
      <c r="J1101" s="154">
        <f>I1101/H1101-1</f>
        <v/>
      </c>
      <c r="K1101" s="31" t="inlineStr">
        <is>
          <t>69</t>
        </is>
      </c>
      <c r="L1101" s="31" t="inlineStr">
        <is>
          <t>69</t>
        </is>
      </c>
      <c r="M1101" s="31" t="inlineStr">
        <is>
          <t>S1</t>
        </is>
      </c>
      <c r="N1101" s="31" t="inlineStr">
        <is>
          <t>S2</t>
        </is>
      </c>
      <c r="O1101" s="31" t="inlineStr">
        <is>
          <t>1498M52G03</t>
        </is>
      </c>
      <c r="P1101" s="31" t="inlineStr">
        <is>
          <t>SR Technics Switzerland</t>
        </is>
      </c>
    </row>
    <row r="1102">
      <c r="B1102" s="31" t="inlineStr">
        <is>
          <t>CFM56-5B</t>
        </is>
      </c>
      <c r="C1102" s="31" t="inlineStr">
        <is>
          <t>2024-2025</t>
        </is>
      </c>
      <c r="D1102" s="31" t="inlineStr">
        <is>
          <t>642820</t>
        </is>
      </c>
      <c r="E1102" s="31" t="inlineStr">
        <is>
          <t>72-41-01</t>
        </is>
      </c>
      <c r="F1102" s="31" t="inlineStr">
        <is>
          <t>SB02</t>
        </is>
      </c>
      <c r="G1102" s="31" t="inlineStr">
        <is>
          <t>Combustor</t>
        </is>
      </c>
      <c r="H1102" s="27" t="n">
        <v>1655</v>
      </c>
      <c r="I1102" s="27" t="n">
        <v>1755</v>
      </c>
      <c r="J1102" s="154">
        <f>I1102/H1102-1</f>
        <v/>
      </c>
      <c r="K1102" s="31" t="inlineStr">
        <is>
          <t>69</t>
        </is>
      </c>
      <c r="L1102" s="31" t="inlineStr">
        <is>
          <t>69</t>
        </is>
      </c>
      <c r="M1102" s="31" t="inlineStr">
        <is>
          <t>S1</t>
        </is>
      </c>
      <c r="N1102" s="31" t="inlineStr">
        <is>
          <t>S2</t>
        </is>
      </c>
      <c r="O1102" s="31" t="inlineStr">
        <is>
          <t>1498M52G03</t>
        </is>
      </c>
      <c r="P1102" s="31" t="inlineStr">
        <is>
          <t>SR Technics Switzerland</t>
        </is>
      </c>
    </row>
    <row r="1103">
      <c r="B1103" s="31" t="inlineStr">
        <is>
          <t>CFM56-5B</t>
        </is>
      </c>
      <c r="C1103" s="31" t="inlineStr">
        <is>
          <t>2024-2025</t>
        </is>
      </c>
      <c r="D1103" s="31" t="inlineStr">
        <is>
          <t>642820</t>
        </is>
      </c>
      <c r="E1103" s="31" t="inlineStr">
        <is>
          <t>72-41-01</t>
        </is>
      </c>
      <c r="F1103" s="31" t="inlineStr">
        <is>
          <t>SB04</t>
        </is>
      </c>
      <c r="G1103" s="31" t="inlineStr">
        <is>
          <t>Combustor</t>
        </is>
      </c>
      <c r="H1103" s="27" t="n">
        <v>300</v>
      </c>
      <c r="I1103" s="27" t="n">
        <v>320</v>
      </c>
      <c r="J1103" s="154">
        <f>I1103/H1103-1</f>
        <v/>
      </c>
      <c r="K1103" s="31" t="inlineStr">
        <is>
          <t>69</t>
        </is>
      </c>
      <c r="L1103" s="31" t="inlineStr">
        <is>
          <t>69</t>
        </is>
      </c>
      <c r="M1103" s="31" t="inlineStr">
        <is>
          <t>S1</t>
        </is>
      </c>
      <c r="N1103" s="31" t="inlineStr">
        <is>
          <t>S2</t>
        </is>
      </c>
      <c r="O1103" s="31" t="inlineStr">
        <is>
          <t>1498M52G03</t>
        </is>
      </c>
      <c r="P1103" s="31" t="inlineStr">
        <is>
          <t>SR Technics Switzerland</t>
        </is>
      </c>
    </row>
    <row r="1104">
      <c r="B1104" s="31" t="inlineStr">
        <is>
          <t>CFM56-5B</t>
        </is>
      </c>
      <c r="C1104" s="31" t="inlineStr">
        <is>
          <t>2024-2025</t>
        </is>
      </c>
      <c r="D1104" s="31" t="inlineStr">
        <is>
          <t>642820</t>
        </is>
      </c>
      <c r="E1104" s="31" t="inlineStr">
        <is>
          <t>72-41-01</t>
        </is>
      </c>
      <c r="F1104" s="31" t="inlineStr">
        <is>
          <t>X</t>
        </is>
      </c>
      <c r="G1104" s="31" t="inlineStr">
        <is>
          <t>Combustor</t>
        </is>
      </c>
      <c r="H1104" s="27" t="n">
        <v>6745</v>
      </c>
      <c r="I1104" s="27" t="n">
        <v>7150</v>
      </c>
      <c r="J1104" s="154">
        <f>I1104/H1104-1</f>
        <v/>
      </c>
      <c r="K1104" s="31" t="inlineStr">
        <is>
          <t>69</t>
        </is>
      </c>
      <c r="L1104" s="31" t="inlineStr">
        <is>
          <t>69</t>
        </is>
      </c>
      <c r="M1104" s="31" t="inlineStr">
        <is>
          <t>S1</t>
        </is>
      </c>
      <c r="N1104" s="31" t="inlineStr">
        <is>
          <t>S2</t>
        </is>
      </c>
      <c r="O1104" s="31" t="inlineStr">
        <is>
          <t>1498M52G03</t>
        </is>
      </c>
      <c r="P1104" s="31" t="inlineStr">
        <is>
          <t>SR Technics Switzerland</t>
        </is>
      </c>
    </row>
    <row r="1105">
      <c r="B1105" s="31" t="inlineStr">
        <is>
          <t>CFM56-5B</t>
        </is>
      </c>
      <c r="C1105" s="31" t="inlineStr">
        <is>
          <t>2024-2025</t>
        </is>
      </c>
      <c r="D1105" s="31" t="inlineStr">
        <is>
          <t>647987</t>
        </is>
      </c>
      <c r="E1105" s="31" t="inlineStr">
        <is>
          <t>72-53-05</t>
        </is>
      </c>
      <c r="F1105" s="31" t="inlineStr">
        <is>
          <t>A</t>
        </is>
      </c>
      <c r="G1105" s="31" t="inlineStr">
        <is>
          <t>HPT / nozzle</t>
        </is>
      </c>
      <c r="H1105" s="27" t="n">
        <v>875</v>
      </c>
      <c r="I1105" s="27" t="n">
        <v>930</v>
      </c>
      <c r="J1105" s="154">
        <f>I1105/H1105-1</f>
        <v/>
      </c>
      <c r="K1105" s="31" t="inlineStr">
        <is>
          <t>25</t>
        </is>
      </c>
      <c r="L1105" s="31" t="inlineStr">
        <is>
          <t>25</t>
        </is>
      </c>
      <c r="M1105" s="31" t="inlineStr">
        <is>
          <t>S1</t>
        </is>
      </c>
      <c r="N1105" s="31" t="inlineStr">
        <is>
          <t>S2</t>
        </is>
      </c>
      <c r="O1105" s="31" t="inlineStr">
        <is>
          <t>1522M10G01</t>
        </is>
      </c>
      <c r="P1105" s="31" t="inlineStr">
        <is>
          <t>SR Technics Switzerland</t>
        </is>
      </c>
    </row>
    <row r="1106">
      <c r="B1106" s="31" t="inlineStr">
        <is>
          <t>CFM56-5B</t>
        </is>
      </c>
      <c r="C1106" s="31" t="inlineStr">
        <is>
          <t>2024-2025</t>
        </is>
      </c>
      <c r="D1106" s="31" t="inlineStr">
        <is>
          <t>647987</t>
        </is>
      </c>
      <c r="E1106" s="31" t="inlineStr">
        <is>
          <t>72-53-05</t>
        </is>
      </c>
      <c r="F1106" s="31" t="inlineStr">
        <is>
          <t>B</t>
        </is>
      </c>
      <c r="G1106" s="31" t="inlineStr">
        <is>
          <t>HPT / nozzle</t>
        </is>
      </c>
      <c r="H1106" s="27" t="n">
        <v>715</v>
      </c>
      <c r="I1106" s="27" t="n">
        <v>760</v>
      </c>
      <c r="J1106" s="154">
        <f>I1106/H1106-1</f>
        <v/>
      </c>
      <c r="K1106" s="31" t="inlineStr">
        <is>
          <t>25</t>
        </is>
      </c>
      <c r="L1106" s="31" t="inlineStr">
        <is>
          <t>25</t>
        </is>
      </c>
      <c r="M1106" s="31" t="inlineStr">
        <is>
          <t>S1</t>
        </is>
      </c>
      <c r="N1106" s="31" t="inlineStr">
        <is>
          <t>S2</t>
        </is>
      </c>
      <c r="O1106" s="31" t="inlineStr">
        <is>
          <t>1522M10G01</t>
        </is>
      </c>
      <c r="P1106" s="31" t="inlineStr">
        <is>
          <t>SR Technics Switzerland</t>
        </is>
      </c>
    </row>
    <row r="1107">
      <c r="B1107" s="31" t="inlineStr">
        <is>
          <t>CFM56-5B</t>
        </is>
      </c>
      <c r="C1107" s="31" t="inlineStr">
        <is>
          <t>2024-2025</t>
        </is>
      </c>
      <c r="D1107" s="31" t="inlineStr">
        <is>
          <t>647987</t>
        </is>
      </c>
      <c r="E1107" s="31" t="inlineStr">
        <is>
          <t>72-53-05</t>
        </is>
      </c>
      <c r="F1107" s="31" t="inlineStr">
        <is>
          <t>C</t>
        </is>
      </c>
      <c r="G1107" s="31" t="inlineStr">
        <is>
          <t>HPT / nozzle</t>
        </is>
      </c>
      <c r="H1107" s="27" t="n">
        <v>2725</v>
      </c>
      <c r="I1107" s="27" t="n">
        <v>2890</v>
      </c>
      <c r="J1107" s="154">
        <f>I1107/H1107-1</f>
        <v/>
      </c>
      <c r="K1107" s="31" t="inlineStr">
        <is>
          <t>25</t>
        </is>
      </c>
      <c r="L1107" s="31" t="inlineStr">
        <is>
          <t>25</t>
        </is>
      </c>
      <c r="M1107" s="31" t="inlineStr">
        <is>
          <t>S1</t>
        </is>
      </c>
      <c r="N1107" s="31" t="inlineStr">
        <is>
          <t>S2</t>
        </is>
      </c>
      <c r="O1107" s="31" t="inlineStr">
        <is>
          <t>1522M10G01</t>
        </is>
      </c>
      <c r="P1107" s="31" t="inlineStr">
        <is>
          <t>SR Technics Switzerland</t>
        </is>
      </c>
    </row>
    <row r="1108">
      <c r="B1108" s="31" t="inlineStr">
        <is>
          <t>CFM56-5B</t>
        </is>
      </c>
      <c r="C1108" s="31" t="inlineStr">
        <is>
          <t>2024-2025</t>
        </is>
      </c>
      <c r="D1108" s="31" t="inlineStr">
        <is>
          <t>647987</t>
        </is>
      </c>
      <c r="E1108" s="31" t="inlineStr">
        <is>
          <t>72-53-05</t>
        </is>
      </c>
      <c r="F1108" s="31" t="inlineStr">
        <is>
          <t>F</t>
        </is>
      </c>
      <c r="G1108" s="31" t="inlineStr">
        <is>
          <t>HPT / nozzle</t>
        </is>
      </c>
      <c r="H1108" s="27" t="n">
        <v>715</v>
      </c>
      <c r="I1108" s="27" t="n">
        <v>760</v>
      </c>
      <c r="J1108" s="154">
        <f>I1108/H1108-1</f>
        <v/>
      </c>
      <c r="K1108" s="31" t="inlineStr">
        <is>
          <t>25</t>
        </is>
      </c>
      <c r="L1108" s="31" t="inlineStr">
        <is>
          <t>25</t>
        </is>
      </c>
      <c r="M1108" s="31" t="inlineStr">
        <is>
          <t>S1</t>
        </is>
      </c>
      <c r="N1108" s="31" t="inlineStr">
        <is>
          <t>S2</t>
        </is>
      </c>
      <c r="O1108" s="31" t="inlineStr">
        <is>
          <t>1522M10G01</t>
        </is>
      </c>
      <c r="P1108" s="31" t="inlineStr">
        <is>
          <t>SR Technics Switzerland</t>
        </is>
      </c>
    </row>
    <row r="1109">
      <c r="B1109" s="31" t="inlineStr">
        <is>
          <t>CFM56-5B</t>
        </is>
      </c>
      <c r="C1109" s="31" t="inlineStr">
        <is>
          <t>2024-2025</t>
        </is>
      </c>
      <c r="D1109" s="31" t="inlineStr">
        <is>
          <t>647987</t>
        </is>
      </c>
      <c r="E1109" s="31" t="inlineStr">
        <is>
          <t>72-53-05</t>
        </is>
      </c>
      <c r="F1109" s="31" t="inlineStr">
        <is>
          <t>G</t>
        </is>
      </c>
      <c r="G1109" s="31" t="inlineStr">
        <is>
          <t>HPT / nozzle</t>
        </is>
      </c>
      <c r="H1109" s="27" t="n">
        <v>715</v>
      </c>
      <c r="I1109" s="27" t="n">
        <v>760</v>
      </c>
      <c r="J1109" s="154">
        <f>I1109/H1109-1</f>
        <v/>
      </c>
      <c r="K1109" s="31" t="inlineStr">
        <is>
          <t>25</t>
        </is>
      </c>
      <c r="L1109" s="31" t="inlineStr">
        <is>
          <t>25</t>
        </is>
      </c>
      <c r="M1109" s="31" t="inlineStr">
        <is>
          <t>S1</t>
        </is>
      </c>
      <c r="N1109" s="31" t="inlineStr">
        <is>
          <t>S2</t>
        </is>
      </c>
      <c r="O1109" s="31" t="inlineStr">
        <is>
          <t>1522M10G01</t>
        </is>
      </c>
      <c r="P1109" s="31" t="inlineStr">
        <is>
          <t>SR Technics Switzerland</t>
        </is>
      </c>
    </row>
    <row r="1110">
      <c r="B1110" s="31" t="inlineStr">
        <is>
          <t>CFM56-5B</t>
        </is>
      </c>
      <c r="C1110" s="31" t="inlineStr">
        <is>
          <t>2024-2025</t>
        </is>
      </c>
      <c r="D1110" s="31" t="inlineStr">
        <is>
          <t>647987</t>
        </is>
      </c>
      <c r="E1110" s="31" t="inlineStr">
        <is>
          <t>72-53-05</t>
        </is>
      </c>
      <c r="F1110" s="31" t="inlineStr">
        <is>
          <t>I</t>
        </is>
      </c>
      <c r="G1110" s="31" t="inlineStr">
        <is>
          <t>HPT / nozzle</t>
        </is>
      </c>
      <c r="H1110" s="27" t="n">
        <v>2750</v>
      </c>
      <c r="I1110" s="27" t="n">
        <v>2915</v>
      </c>
      <c r="J1110" s="154">
        <f>I1110/H1110-1</f>
        <v/>
      </c>
      <c r="K1110" s="31" t="inlineStr">
        <is>
          <t>25</t>
        </is>
      </c>
      <c r="L1110" s="31" t="inlineStr">
        <is>
          <t>25</t>
        </is>
      </c>
      <c r="M1110" s="31" t="inlineStr">
        <is>
          <t>S1</t>
        </is>
      </c>
      <c r="N1110" s="31" t="inlineStr">
        <is>
          <t>S2</t>
        </is>
      </c>
      <c r="O1110" s="31" t="inlineStr">
        <is>
          <t>1522M10G01</t>
        </is>
      </c>
      <c r="P1110" s="31" t="inlineStr">
        <is>
          <t>SR Technics Switzerland</t>
        </is>
      </c>
    </row>
    <row r="1111">
      <c r="B1111" s="31" t="inlineStr">
        <is>
          <t>CFM56-5B</t>
        </is>
      </c>
      <c r="C1111" s="31" t="inlineStr">
        <is>
          <t>2024-2025</t>
        </is>
      </c>
      <c r="D1111" s="31" t="inlineStr">
        <is>
          <t>647987</t>
        </is>
      </c>
      <c r="E1111" s="31" t="inlineStr">
        <is>
          <t>72-53-05</t>
        </is>
      </c>
      <c r="F1111" s="31" t="inlineStr">
        <is>
          <t>J</t>
        </is>
      </c>
      <c r="G1111" s="31" t="inlineStr">
        <is>
          <t>HPT / nozzle</t>
        </is>
      </c>
      <c r="H1111" s="27" t="n">
        <v>815</v>
      </c>
      <c r="I1111" s="27" t="n">
        <v>865</v>
      </c>
      <c r="J1111" s="154">
        <f>I1111/H1111-1</f>
        <v/>
      </c>
      <c r="K1111" s="31" t="inlineStr">
        <is>
          <t>25</t>
        </is>
      </c>
      <c r="L1111" s="31" t="inlineStr">
        <is>
          <t>25</t>
        </is>
      </c>
      <c r="M1111" s="31" t="inlineStr">
        <is>
          <t>S1</t>
        </is>
      </c>
      <c r="N1111" s="31" t="inlineStr">
        <is>
          <t>S2</t>
        </is>
      </c>
      <c r="O1111" s="31" t="inlineStr">
        <is>
          <t>1522M10G01</t>
        </is>
      </c>
      <c r="P1111" s="31" t="inlineStr">
        <is>
          <t>SR Technics Switzerland</t>
        </is>
      </c>
    </row>
    <row r="1112">
      <c r="B1112" s="31" t="inlineStr">
        <is>
          <t>CFM56-5B</t>
        </is>
      </c>
      <c r="C1112" s="31" t="inlineStr">
        <is>
          <t>2024-2025</t>
        </is>
      </c>
      <c r="D1112" s="31" t="inlineStr">
        <is>
          <t>647987</t>
        </is>
      </c>
      <c r="E1112" s="31" t="inlineStr">
        <is>
          <t>72-53-05</t>
        </is>
      </c>
      <c r="F1112" s="31" t="inlineStr">
        <is>
          <t>M</t>
        </is>
      </c>
      <c r="G1112" s="31" t="inlineStr">
        <is>
          <t>HPT / nozzle</t>
        </is>
      </c>
      <c r="H1112" s="27" t="n">
        <v>1440</v>
      </c>
      <c r="I1112" s="27" t="n">
        <v>1530</v>
      </c>
      <c r="J1112" s="154">
        <f>I1112/H1112-1</f>
        <v/>
      </c>
      <c r="K1112" s="31" t="inlineStr">
        <is>
          <t>25</t>
        </is>
      </c>
      <c r="L1112" s="31" t="inlineStr">
        <is>
          <t>25</t>
        </is>
      </c>
      <c r="M1112" s="31" t="inlineStr">
        <is>
          <t>S1</t>
        </is>
      </c>
      <c r="N1112" s="31" t="inlineStr">
        <is>
          <t>S2</t>
        </is>
      </c>
      <c r="O1112" s="31" t="inlineStr">
        <is>
          <t>1522M10G01</t>
        </is>
      </c>
      <c r="P1112" s="31" t="inlineStr">
        <is>
          <t>SR Technics Switzerland</t>
        </is>
      </c>
    </row>
    <row r="1113">
      <c r="B1113" s="31" t="inlineStr">
        <is>
          <t>CFM56-5B</t>
        </is>
      </c>
      <c r="C1113" s="31" t="inlineStr">
        <is>
          <t>2024-2025</t>
        </is>
      </c>
      <c r="D1113" s="31" t="inlineStr">
        <is>
          <t>647987</t>
        </is>
      </c>
      <c r="E1113" s="31" t="inlineStr">
        <is>
          <t>72-53-05</t>
        </is>
      </c>
      <c r="F1113" s="31" t="inlineStr">
        <is>
          <t>N</t>
        </is>
      </c>
      <c r="G1113" s="31" t="inlineStr">
        <is>
          <t>HPT / nozzle</t>
        </is>
      </c>
      <c r="H1113" s="27" t="n">
        <v>1935</v>
      </c>
      <c r="I1113" s="27" t="n">
        <v>2055</v>
      </c>
      <c r="J1113" s="154">
        <f>I1113/H1113-1</f>
        <v/>
      </c>
      <c r="K1113" s="31" t="inlineStr">
        <is>
          <t>25</t>
        </is>
      </c>
      <c r="L1113" s="31" t="inlineStr">
        <is>
          <t>25</t>
        </is>
      </c>
      <c r="M1113" s="31" t="inlineStr">
        <is>
          <t>S1</t>
        </is>
      </c>
      <c r="N1113" s="31" t="inlineStr">
        <is>
          <t>S2</t>
        </is>
      </c>
      <c r="O1113" s="31" t="inlineStr">
        <is>
          <t>1522M10G01</t>
        </is>
      </c>
      <c r="P1113" s="31" t="inlineStr">
        <is>
          <t>SR Technics Switzerland</t>
        </is>
      </c>
    </row>
    <row r="1114">
      <c r="B1114" s="31" t="inlineStr">
        <is>
          <t>CFM56-5B</t>
        </is>
      </c>
      <c r="C1114" s="31" t="inlineStr">
        <is>
          <t>2024-2025</t>
        </is>
      </c>
      <c r="D1114" s="31" t="inlineStr">
        <is>
          <t>647987</t>
        </is>
      </c>
      <c r="E1114" s="31" t="inlineStr">
        <is>
          <t>72-53-05</t>
        </is>
      </c>
      <c r="F1114" s="31" t="inlineStr">
        <is>
          <t>P</t>
        </is>
      </c>
      <c r="G1114" s="31" t="inlineStr">
        <is>
          <t>HPT / nozzle</t>
        </is>
      </c>
      <c r="H1114" s="27" t="n">
        <v>1200</v>
      </c>
      <c r="I1114" s="27" t="n">
        <v>1275</v>
      </c>
      <c r="J1114" s="154">
        <f>I1114/H1114-1</f>
        <v/>
      </c>
      <c r="K1114" s="31" t="inlineStr">
        <is>
          <t>25</t>
        </is>
      </c>
      <c r="L1114" s="31" t="inlineStr">
        <is>
          <t>25</t>
        </is>
      </c>
      <c r="M1114" s="31" t="inlineStr">
        <is>
          <t>S1</t>
        </is>
      </c>
      <c r="N1114" s="31" t="inlineStr">
        <is>
          <t>S2</t>
        </is>
      </c>
      <c r="O1114" s="31" t="inlineStr">
        <is>
          <t>1522M10G01</t>
        </is>
      </c>
      <c r="P1114" s="31" t="inlineStr">
        <is>
          <t>SR Technics Switzerland</t>
        </is>
      </c>
    </row>
    <row r="1115">
      <c r="B1115" s="31" t="inlineStr">
        <is>
          <t>CFM56-5B</t>
        </is>
      </c>
      <c r="C1115" s="31" t="inlineStr">
        <is>
          <t>2024-2025</t>
        </is>
      </c>
      <c r="D1115" s="31" t="inlineStr">
        <is>
          <t>647987</t>
        </is>
      </c>
      <c r="E1115" s="31" t="inlineStr">
        <is>
          <t>72-53-05</t>
        </is>
      </c>
      <c r="F1115" s="31" t="inlineStr">
        <is>
          <t>Q</t>
        </is>
      </c>
      <c r="G1115" s="31" t="inlineStr">
        <is>
          <t>HPT / nozzle</t>
        </is>
      </c>
      <c r="H1115" s="27" t="n">
        <v>1960</v>
      </c>
      <c r="I1115" s="27" t="n">
        <v>2080</v>
      </c>
      <c r="J1115" s="154">
        <f>I1115/H1115-1</f>
        <v/>
      </c>
      <c r="K1115" s="31" t="inlineStr">
        <is>
          <t>25</t>
        </is>
      </c>
      <c r="L1115" s="31" t="inlineStr">
        <is>
          <t>25</t>
        </is>
      </c>
      <c r="M1115" s="31" t="inlineStr">
        <is>
          <t>S1</t>
        </is>
      </c>
      <c r="N1115" s="31" t="inlineStr">
        <is>
          <t>S2</t>
        </is>
      </c>
      <c r="O1115" s="31" t="inlineStr">
        <is>
          <t>1522M10G01</t>
        </is>
      </c>
      <c r="P1115" s="31" t="inlineStr">
        <is>
          <t>SR Technics Switzerland</t>
        </is>
      </c>
    </row>
    <row r="1116">
      <c r="B1116" s="31" t="inlineStr">
        <is>
          <t>CFM56-5B</t>
        </is>
      </c>
      <c r="C1116" s="31" t="inlineStr">
        <is>
          <t>2024-2025</t>
        </is>
      </c>
      <c r="D1116" s="31" t="inlineStr">
        <is>
          <t>647987</t>
        </is>
      </c>
      <c r="E1116" s="31" t="inlineStr">
        <is>
          <t>72-53-05</t>
        </is>
      </c>
      <c r="F1116" s="31" t="inlineStr">
        <is>
          <t>SB01</t>
        </is>
      </c>
      <c r="G1116" s="31" t="inlineStr">
        <is>
          <t>HPT / nozzle</t>
        </is>
      </c>
      <c r="H1116" s="27" t="n">
        <v>3500</v>
      </c>
      <c r="I1116" s="27" t="n">
        <v>3710</v>
      </c>
      <c r="J1116" s="154">
        <f>I1116/H1116-1</f>
        <v/>
      </c>
      <c r="K1116" s="31" t="inlineStr">
        <is>
          <t>25</t>
        </is>
      </c>
      <c r="L1116" s="31" t="inlineStr">
        <is>
          <t>25</t>
        </is>
      </c>
      <c r="M1116" s="31" t="inlineStr">
        <is>
          <t>S1</t>
        </is>
      </c>
      <c r="N1116" s="31" t="inlineStr">
        <is>
          <t>S2</t>
        </is>
      </c>
      <c r="O1116" s="31" t="inlineStr">
        <is>
          <t>1522M10G01</t>
        </is>
      </c>
      <c r="P1116" s="31" t="inlineStr">
        <is>
          <t>SR Technics Switzerland</t>
        </is>
      </c>
    </row>
    <row r="1117">
      <c r="B1117" s="31" t="inlineStr">
        <is>
          <t>CFM56-5B</t>
        </is>
      </c>
      <c r="C1117" s="31" t="inlineStr">
        <is>
          <t>2024-2025</t>
        </is>
      </c>
      <c r="D1117" s="31" t="inlineStr">
        <is>
          <t>648440</t>
        </is>
      </c>
      <c r="E1117" s="31" t="inlineStr">
        <is>
          <t>72-22-07</t>
        </is>
      </c>
      <c r="F1117" s="31" t="inlineStr">
        <is>
          <t>B</t>
        </is>
      </c>
      <c r="G1117" s="31" t="inlineStr">
        <is>
          <t>Fan / booster</t>
        </is>
      </c>
      <c r="H1117" s="27" t="n">
        <v>290</v>
      </c>
      <c r="I1117" s="27" t="n">
        <v>310</v>
      </c>
      <c r="J1117" s="154">
        <f>I1117/H1117-1</f>
        <v/>
      </c>
      <c r="K1117" s="31" t="inlineStr">
        <is>
          <t>69</t>
        </is>
      </c>
      <c r="L1117" s="31" t="inlineStr">
        <is>
          <t>70</t>
        </is>
      </c>
      <c r="M1117" s="31" t="inlineStr">
        <is>
          <t>S1</t>
        </is>
      </c>
      <c r="N1117" s="31" t="inlineStr">
        <is>
          <t>S2</t>
        </is>
      </c>
      <c r="O1117" s="31" t="inlineStr">
        <is>
          <t>301-544-407-0</t>
        </is>
      </c>
      <c r="P1117" s="31" t="inlineStr">
        <is>
          <t>SR Technics Switzerland</t>
        </is>
      </c>
    </row>
    <row r="1118">
      <c r="B1118" s="31" t="inlineStr">
        <is>
          <t>CFM56-5B</t>
        </is>
      </c>
      <c r="C1118" s="31" t="inlineStr">
        <is>
          <t>2024-2025</t>
        </is>
      </c>
      <c r="D1118" s="31" t="inlineStr">
        <is>
          <t>648442</t>
        </is>
      </c>
      <c r="E1118" s="31" t="inlineStr">
        <is>
          <t>72-22-08</t>
        </is>
      </c>
      <c r="F1118" s="31" t="inlineStr">
        <is>
          <t>A</t>
        </is>
      </c>
      <c r="G1118" s="31" t="inlineStr">
        <is>
          <t>Fan / booster</t>
        </is>
      </c>
      <c r="H1118" s="27" t="n">
        <v>285</v>
      </c>
      <c r="I1118" s="27" t="n">
        <v>305</v>
      </c>
      <c r="J1118" s="154">
        <f>I1118/H1118-1</f>
        <v/>
      </c>
      <c r="K1118" s="31" t="inlineStr">
        <is>
          <t>25</t>
        </is>
      </c>
      <c r="L1118" s="31" t="inlineStr">
        <is>
          <t>25</t>
        </is>
      </c>
      <c r="M1118" s="31" t="inlineStr">
        <is>
          <t>S1</t>
        </is>
      </c>
      <c r="N1118" s="31" t="inlineStr">
        <is>
          <t>S2</t>
        </is>
      </c>
      <c r="O1118" s="31" t="inlineStr">
        <is>
          <t>338-062-201-0</t>
        </is>
      </c>
      <c r="P1118" s="31" t="inlineStr">
        <is>
          <t>SR Technics Switzerland</t>
        </is>
      </c>
    </row>
    <row r="1119">
      <c r="B1119" s="31" t="inlineStr">
        <is>
          <t>CFM56-5B</t>
        </is>
      </c>
      <c r="C1119" s="31" t="inlineStr">
        <is>
          <t>2024-2025</t>
        </is>
      </c>
      <c r="D1119" s="31" t="inlineStr">
        <is>
          <t>648442</t>
        </is>
      </c>
      <c r="E1119" s="31" t="inlineStr">
        <is>
          <t>72-22-08</t>
        </is>
      </c>
      <c r="F1119" s="31" t="inlineStr">
        <is>
          <t>B</t>
        </is>
      </c>
      <c r="G1119" s="31" t="inlineStr">
        <is>
          <t>Fan / booster</t>
        </is>
      </c>
      <c r="H1119" s="27" t="n">
        <v>235</v>
      </c>
      <c r="I1119" s="27" t="n">
        <v>250</v>
      </c>
      <c r="J1119" s="154">
        <f>I1119/H1119-1</f>
        <v/>
      </c>
      <c r="K1119" s="31" t="inlineStr">
        <is>
          <t>25</t>
        </is>
      </c>
      <c r="L1119" s="31" t="inlineStr">
        <is>
          <t>26</t>
        </is>
      </c>
      <c r="M1119" s="31" t="inlineStr">
        <is>
          <t>S1</t>
        </is>
      </c>
      <c r="N1119" s="31" t="inlineStr">
        <is>
          <t>S2</t>
        </is>
      </c>
      <c r="O1119" s="31" t="inlineStr">
        <is>
          <t>338-062-201-0</t>
        </is>
      </c>
      <c r="P1119" s="31" t="inlineStr">
        <is>
          <t>SR Technics Switzerland</t>
        </is>
      </c>
    </row>
    <row r="1120">
      <c r="B1120" s="31" t="inlineStr">
        <is>
          <t>CFM56-5B</t>
        </is>
      </c>
      <c r="C1120" s="31" t="inlineStr">
        <is>
          <t>2024-2025</t>
        </is>
      </c>
      <c r="D1120" s="31" t="inlineStr">
        <is>
          <t>648443</t>
        </is>
      </c>
      <c r="E1120" s="31" t="inlineStr">
        <is>
          <t>72-22-08</t>
        </is>
      </c>
      <c r="F1120" s="31" t="inlineStr">
        <is>
          <t>A</t>
        </is>
      </c>
      <c r="G1120" s="31" t="inlineStr">
        <is>
          <t>Fan / booster</t>
        </is>
      </c>
      <c r="H1120" s="27" t="n">
        <v>285</v>
      </c>
      <c r="I1120" s="27" t="n">
        <v>305</v>
      </c>
      <c r="J1120" s="154">
        <f>I1120/H1120-1</f>
        <v/>
      </c>
      <c r="K1120" s="31" t="inlineStr">
        <is>
          <t>25</t>
        </is>
      </c>
      <c r="L1120" s="31" t="inlineStr">
        <is>
          <t>26</t>
        </is>
      </c>
      <c r="M1120" s="31" t="inlineStr">
        <is>
          <t>S1</t>
        </is>
      </c>
      <c r="N1120" s="31" t="inlineStr">
        <is>
          <t>S2</t>
        </is>
      </c>
      <c r="O1120" s="31" t="inlineStr">
        <is>
          <t>338-062-001-0</t>
        </is>
      </c>
      <c r="P1120" s="31" t="inlineStr">
        <is>
          <t>SR Technics Switzerland</t>
        </is>
      </c>
    </row>
    <row r="1121">
      <c r="B1121" s="31" t="inlineStr">
        <is>
          <t>CFM56-5B</t>
        </is>
      </c>
      <c r="C1121" s="31" t="inlineStr">
        <is>
          <t>2024-2025</t>
        </is>
      </c>
      <c r="D1121" s="31" t="inlineStr">
        <is>
          <t>648443</t>
        </is>
      </c>
      <c r="E1121" s="31" t="inlineStr">
        <is>
          <t>72-22-08</t>
        </is>
      </c>
      <c r="F1121" s="31" t="inlineStr">
        <is>
          <t>B</t>
        </is>
      </c>
      <c r="G1121" s="31" t="inlineStr">
        <is>
          <t>Fan / booster</t>
        </is>
      </c>
      <c r="H1121" s="27" t="n">
        <v>290</v>
      </c>
      <c r="I1121" s="27" t="n">
        <v>310</v>
      </c>
      <c r="J1121" s="154">
        <f>I1121/H1121-1</f>
        <v/>
      </c>
      <c r="K1121" s="31" t="inlineStr">
        <is>
          <t>25</t>
        </is>
      </c>
      <c r="L1121" s="31" t="inlineStr">
        <is>
          <t>26</t>
        </is>
      </c>
      <c r="M1121" s="31" t="inlineStr">
        <is>
          <t>S1</t>
        </is>
      </c>
      <c r="N1121" s="31" t="inlineStr">
        <is>
          <t>S2</t>
        </is>
      </c>
      <c r="O1121" s="31" t="inlineStr">
        <is>
          <t>338-062-001-0</t>
        </is>
      </c>
      <c r="P1121" s="31" t="inlineStr">
        <is>
          <t>SR Technics Switzerland</t>
        </is>
      </c>
    </row>
    <row r="1122">
      <c r="B1122" s="31" t="inlineStr">
        <is>
          <t>CFM56-5B</t>
        </is>
      </c>
      <c r="C1122" s="31" t="inlineStr">
        <is>
          <t>2024-2025</t>
        </is>
      </c>
      <c r="D1122" s="31" t="inlineStr">
        <is>
          <t>648459</t>
        </is>
      </c>
      <c r="E1122" s="31" t="inlineStr">
        <is>
          <t>72-22-17</t>
        </is>
      </c>
      <c r="F1122" s="31" t="inlineStr">
        <is>
          <t>A</t>
        </is>
      </c>
      <c r="G1122" s="31" t="inlineStr">
        <is>
          <t>Fan / booster</t>
        </is>
      </c>
      <c r="H1122" s="27" t="n">
        <v>230</v>
      </c>
      <c r="I1122" s="27" t="n">
        <v>245</v>
      </c>
      <c r="J1122" s="154">
        <f>I1122/H1122-1</f>
        <v/>
      </c>
      <c r="K1122" s="31" t="inlineStr">
        <is>
          <t>69</t>
        </is>
      </c>
      <c r="L1122" s="31" t="inlineStr">
        <is>
          <t>70</t>
        </is>
      </c>
      <c r="M1122" s="31" t="inlineStr">
        <is>
          <t>S1</t>
        </is>
      </c>
      <c r="N1122" s="31" t="inlineStr">
        <is>
          <t>S2</t>
        </is>
      </c>
      <c r="O1122" s="31" t="inlineStr">
        <is>
          <t>301-348-412-0</t>
        </is>
      </c>
      <c r="P1122" s="31" t="inlineStr">
        <is>
          <t>SR Technics Switzerland</t>
        </is>
      </c>
    </row>
    <row r="1123">
      <c r="B1123" s="31" t="inlineStr">
        <is>
          <t>CFM56-5B</t>
        </is>
      </c>
      <c r="C1123" s="31" t="inlineStr">
        <is>
          <t>2024-2025</t>
        </is>
      </c>
      <c r="D1123" s="31" t="inlineStr">
        <is>
          <t>648461</t>
        </is>
      </c>
      <c r="E1123" s="31" t="inlineStr">
        <is>
          <t>72-22-20</t>
        </is>
      </c>
      <c r="F1123" s="31" t="inlineStr">
        <is>
          <t>A</t>
        </is>
      </c>
      <c r="G1123" s="31" t="inlineStr">
        <is>
          <t>Fan / booster</t>
        </is>
      </c>
      <c r="H1123" s="27" t="n">
        <v>135</v>
      </c>
      <c r="I1123" s="27" t="n">
        <v>145</v>
      </c>
      <c r="J1123" s="154">
        <f>I1123/H1123-1</f>
        <v/>
      </c>
      <c r="K1123" s="31" t="inlineStr">
        <is>
          <t>70</t>
        </is>
      </c>
      <c r="L1123" s="31" t="inlineStr">
        <is>
          <t>70</t>
        </is>
      </c>
      <c r="M1123" s="31" t="inlineStr">
        <is>
          <t>S1</t>
        </is>
      </c>
      <c r="N1123" s="31" t="inlineStr">
        <is>
          <t>S2</t>
        </is>
      </c>
      <c r="O1123" s="31" t="inlineStr">
        <is>
          <t>305-047-401-0</t>
        </is>
      </c>
      <c r="P1123" s="31" t="inlineStr">
        <is>
          <t>SR Technics Switzerland</t>
        </is>
      </c>
    </row>
    <row r="1124">
      <c r="B1124" s="31" t="inlineStr">
        <is>
          <t>CFM56-5B</t>
        </is>
      </c>
      <c r="C1124" s="31" t="inlineStr">
        <is>
          <t>2024-2025</t>
        </is>
      </c>
      <c r="D1124" s="31" t="inlineStr">
        <is>
          <t>648494</t>
        </is>
      </c>
      <c r="E1124" s="31" t="inlineStr">
        <is>
          <t>72-22-10</t>
        </is>
      </c>
      <c r="F1124" s="31" t="inlineStr">
        <is>
          <t>A</t>
        </is>
      </c>
      <c r="G1124" s="31" t="inlineStr">
        <is>
          <t>Fan / booster</t>
        </is>
      </c>
      <c r="H1124" s="27" t="n">
        <v>90</v>
      </c>
      <c r="I1124" s="27" t="n">
        <v>100</v>
      </c>
      <c r="J1124" s="154">
        <f>I1124/H1124-1</f>
        <v/>
      </c>
      <c r="K1124" s="31" t="inlineStr">
        <is>
          <t>70</t>
        </is>
      </c>
      <c r="L1124" s="31" t="inlineStr">
        <is>
          <t>70</t>
        </is>
      </c>
      <c r="M1124" s="31" t="inlineStr">
        <is>
          <t>S1</t>
        </is>
      </c>
      <c r="N1124" s="31" t="inlineStr">
        <is>
          <t>S2</t>
        </is>
      </c>
      <c r="O1124" s="31" t="inlineStr">
        <is>
          <t>305-367-103-0</t>
        </is>
      </c>
      <c r="P1124" s="31" t="inlineStr">
        <is>
          <t>SR Technics Switzerland</t>
        </is>
      </c>
    </row>
    <row r="1125">
      <c r="B1125" s="31" t="inlineStr">
        <is>
          <t>CFM56-5B</t>
        </is>
      </c>
      <c r="C1125" s="31" t="inlineStr">
        <is>
          <t>2024-2025</t>
        </is>
      </c>
      <c r="D1125" s="31" t="inlineStr">
        <is>
          <t>648501</t>
        </is>
      </c>
      <c r="E1125" s="31" t="inlineStr">
        <is>
          <t>72-56-12</t>
        </is>
      </c>
      <c r="F1125" s="31" t="inlineStr">
        <is>
          <t>A</t>
        </is>
      </c>
      <c r="G1125" s="31" t="inlineStr">
        <is>
          <t>LPT</t>
        </is>
      </c>
      <c r="H1125" s="27" t="n">
        <v>230</v>
      </c>
      <c r="I1125" s="27" t="n">
        <v>245</v>
      </c>
      <c r="J1125" s="154">
        <f>I1125/H1125-1</f>
        <v/>
      </c>
      <c r="K1125" s="31" t="inlineStr">
        <is>
          <t>25</t>
        </is>
      </c>
      <c r="L1125" s="31" t="inlineStr">
        <is>
          <t>26</t>
        </is>
      </c>
      <c r="M1125" s="31" t="inlineStr">
        <is>
          <t>S1</t>
        </is>
      </c>
      <c r="N1125" s="31" t="inlineStr">
        <is>
          <t>S2</t>
        </is>
      </c>
      <c r="O1125" s="31" t="inlineStr">
        <is>
          <t>335-070-401-0</t>
        </is>
      </c>
      <c r="P1125" s="31" t="inlineStr">
        <is>
          <t>SR Technics Switzerland</t>
        </is>
      </c>
    </row>
    <row r="1126">
      <c r="B1126" s="31" t="inlineStr">
        <is>
          <t>CFM56-5B</t>
        </is>
      </c>
      <c r="C1126" s="31" t="inlineStr">
        <is>
          <t>2024-2025</t>
        </is>
      </c>
      <c r="D1126" s="31" t="inlineStr">
        <is>
          <t>648693</t>
        </is>
      </c>
      <c r="E1126" s="31" t="inlineStr">
        <is>
          <t>72-56-09</t>
        </is>
      </c>
      <c r="F1126" s="31" t="inlineStr">
        <is>
          <t>A</t>
        </is>
      </c>
      <c r="G1126" s="31" t="inlineStr">
        <is>
          <t>LPT</t>
        </is>
      </c>
      <c r="H1126" s="27" t="n">
        <v>295</v>
      </c>
      <c r="I1126" s="27" t="n">
        <v>315</v>
      </c>
      <c r="J1126" s="154">
        <f>I1126/H1126-1</f>
        <v/>
      </c>
      <c r="K1126" s="31" t="inlineStr">
        <is>
          <t>25</t>
        </is>
      </c>
      <c r="L1126" s="31" t="inlineStr">
        <is>
          <t>26</t>
        </is>
      </c>
      <c r="M1126" s="31" t="inlineStr">
        <is>
          <t>S1</t>
        </is>
      </c>
      <c r="N1126" s="31" t="inlineStr">
        <is>
          <t>S2</t>
        </is>
      </c>
      <c r="O1126" s="31" t="inlineStr">
        <is>
          <t>336-031-802-0</t>
        </is>
      </c>
      <c r="P1126" s="31" t="inlineStr">
        <is>
          <t>SR Technics Switzerland</t>
        </is>
      </c>
    </row>
    <row r="1127">
      <c r="B1127" s="31" t="inlineStr">
        <is>
          <t>CFM56-5B</t>
        </is>
      </c>
      <c r="C1127" s="31" t="inlineStr">
        <is>
          <t>2024-2025</t>
        </is>
      </c>
      <c r="D1127" s="31" t="inlineStr">
        <is>
          <t>648697</t>
        </is>
      </c>
      <c r="E1127" s="31" t="inlineStr">
        <is>
          <t>72-56-08</t>
        </is>
      </c>
      <c r="F1127" s="31" t="inlineStr">
        <is>
          <t>A</t>
        </is>
      </c>
      <c r="G1127" s="31" t="inlineStr">
        <is>
          <t>LPT</t>
        </is>
      </c>
      <c r="H1127" s="27" t="n">
        <v>370</v>
      </c>
      <c r="I1127" s="27" t="n">
        <v>395</v>
      </c>
      <c r="J1127" s="154">
        <f>I1127/H1127-1</f>
        <v/>
      </c>
      <c r="K1127" s="31" t="inlineStr">
        <is>
          <t>70</t>
        </is>
      </c>
      <c r="L1127" s="31" t="inlineStr">
        <is>
          <t>70</t>
        </is>
      </c>
      <c r="M1127" s="31" t="inlineStr">
        <is>
          <t>S1</t>
        </is>
      </c>
      <c r="N1127" s="31" t="inlineStr">
        <is>
          <t>S2</t>
        </is>
      </c>
      <c r="O1127" s="31" t="inlineStr">
        <is>
          <t>305-371-802-0</t>
        </is>
      </c>
      <c r="P1127" s="31" t="inlineStr">
        <is>
          <t>SR Technics Switzerland</t>
        </is>
      </c>
    </row>
    <row r="1128">
      <c r="B1128" s="31" t="inlineStr">
        <is>
          <t>CFM56-5B</t>
        </is>
      </c>
      <c r="C1128" s="31" t="inlineStr">
        <is>
          <t>2024-2025</t>
        </is>
      </c>
      <c r="D1128" s="31" t="inlineStr">
        <is>
          <t>648698</t>
        </is>
      </c>
      <c r="E1128" s="31" t="inlineStr">
        <is>
          <t>72-56-05</t>
        </is>
      </c>
      <c r="F1128" s="31" t="inlineStr">
        <is>
          <t>A</t>
        </is>
      </c>
      <c r="G1128" s="31" t="inlineStr">
        <is>
          <t>LPT</t>
        </is>
      </c>
      <c r="H1128" s="27" t="n">
        <v>80</v>
      </c>
      <c r="I1128" s="27" t="n">
        <v>200</v>
      </c>
      <c r="J1128" s="154">
        <f>I1128/H1128-1</f>
        <v/>
      </c>
      <c r="K1128" s="31" t="inlineStr">
        <is>
          <t>70</t>
        </is>
      </c>
      <c r="L1128" s="31" t="inlineStr">
        <is>
          <t>70</t>
        </is>
      </c>
      <c r="M1128" s="31" t="inlineStr">
        <is>
          <t>S1</t>
        </is>
      </c>
      <c r="N1128" s="31" t="inlineStr">
        <is>
          <t>S2</t>
        </is>
      </c>
      <c r="O1128" s="31" t="inlineStr">
        <is>
          <t>336-049-702-0</t>
        </is>
      </c>
      <c r="P1128" s="31" t="inlineStr">
        <is>
          <t>SR Technics Switzerland</t>
        </is>
      </c>
    </row>
    <row r="1129">
      <c r="B1129" s="31" t="inlineStr">
        <is>
          <t>CFM56-5B</t>
        </is>
      </c>
      <c r="C1129" s="31" t="inlineStr">
        <is>
          <t>2024-2025</t>
        </is>
      </c>
      <c r="D1129" s="31" t="inlineStr">
        <is>
          <t>648704</t>
        </is>
      </c>
      <c r="E1129" s="31" t="inlineStr">
        <is>
          <t>72-55-20</t>
        </is>
      </c>
      <c r="F1129" s="31" t="inlineStr">
        <is>
          <t>A</t>
        </is>
      </c>
      <c r="G1129" s="31" t="inlineStr">
        <is>
          <t>LPT</t>
        </is>
      </c>
      <c r="H1129" s="27" t="n">
        <v>105</v>
      </c>
      <c r="I1129" s="27" t="n">
        <v>115</v>
      </c>
      <c r="J1129" s="154">
        <f>I1129/H1129-1</f>
        <v/>
      </c>
      <c r="K1129" s="31" t="inlineStr">
        <is>
          <t>25</t>
        </is>
      </c>
      <c r="L1129" s="31" t="inlineStr">
        <is>
          <t>26</t>
        </is>
      </c>
      <c r="M1129" s="31" t="inlineStr">
        <is>
          <t>S1</t>
        </is>
      </c>
      <c r="N1129" s="31" t="inlineStr">
        <is>
          <t>S2</t>
        </is>
      </c>
      <c r="O1129" s="31" t="inlineStr">
        <is>
          <t>338-072-151-0</t>
        </is>
      </c>
      <c r="P1129" s="31" t="inlineStr">
        <is>
          <t>SR Technics Switzerland</t>
        </is>
      </c>
    </row>
    <row r="1130">
      <c r="B1130" s="31" t="inlineStr">
        <is>
          <t>CFM56-5B</t>
        </is>
      </c>
      <c r="C1130" s="31" t="inlineStr">
        <is>
          <t>2024-2025</t>
        </is>
      </c>
      <c r="D1130" s="31" t="inlineStr">
        <is>
          <t>648714</t>
        </is>
      </c>
      <c r="E1130" s="31" t="inlineStr">
        <is>
          <t>72-51-10</t>
        </is>
      </c>
      <c r="F1130" s="31" t="inlineStr">
        <is>
          <t>A</t>
        </is>
      </c>
      <c r="G1130" s="31" t="inlineStr">
        <is>
          <t>HPT / nozzle</t>
        </is>
      </c>
      <c r="H1130" s="27" t="n">
        <v>500</v>
      </c>
      <c r="I1130" s="27" t="n">
        <v>530</v>
      </c>
      <c r="J1130" s="154">
        <f>I1130/H1130-1</f>
        <v/>
      </c>
      <c r="K1130" s="31" t="inlineStr">
        <is>
          <t>70</t>
        </is>
      </c>
      <c r="L1130" s="31" t="inlineStr">
        <is>
          <t>70</t>
        </is>
      </c>
      <c r="M1130" s="31" t="inlineStr">
        <is>
          <t>S1</t>
        </is>
      </c>
      <c r="N1130" s="31" t="inlineStr">
        <is>
          <t>S2</t>
        </is>
      </c>
      <c r="O1130" s="31" t="inlineStr">
        <is>
          <t>1359M84P06</t>
        </is>
      </c>
      <c r="P1130" s="31" t="inlineStr">
        <is>
          <t>SR Technics Switzerland</t>
        </is>
      </c>
    </row>
    <row r="1131">
      <c r="B1131" s="31" t="inlineStr">
        <is>
          <t>CFM56-5B</t>
        </is>
      </c>
      <c r="C1131" s="31" t="inlineStr">
        <is>
          <t>2024-2025</t>
        </is>
      </c>
      <c r="D1131" s="31" t="inlineStr">
        <is>
          <t>648717</t>
        </is>
      </c>
      <c r="E1131" s="31" t="inlineStr">
        <is>
          <t>72-52-11</t>
        </is>
      </c>
      <c r="F1131" s="31" t="inlineStr">
        <is>
          <t>A</t>
        </is>
      </c>
      <c r="G1131" s="31" t="inlineStr">
        <is>
          <t>HPT / nozzle</t>
        </is>
      </c>
      <c r="H1131" s="27" t="n">
        <v>205</v>
      </c>
      <c r="I1131" s="27" t="n">
        <v>220</v>
      </c>
      <c r="J1131" s="154">
        <f>I1131/H1131-1</f>
        <v/>
      </c>
      <c r="K1131" s="31" t="inlineStr">
        <is>
          <t>25</t>
        </is>
      </c>
      <c r="L1131" s="31" t="inlineStr">
        <is>
          <t>26</t>
        </is>
      </c>
      <c r="M1131" s="31" t="inlineStr">
        <is>
          <t>S1</t>
        </is>
      </c>
      <c r="N1131" s="31" t="inlineStr">
        <is>
          <t>S2</t>
        </is>
      </c>
      <c r="O1131" s="31" t="inlineStr">
        <is>
          <t>1864M97P01</t>
        </is>
      </c>
      <c r="P1131" s="31" t="inlineStr">
        <is>
          <t>SR Technics Switzerland</t>
        </is>
      </c>
    </row>
    <row r="1132">
      <c r="B1132" s="31" t="inlineStr">
        <is>
          <t>CFM56-5B</t>
        </is>
      </c>
      <c r="C1132" s="31" t="inlineStr">
        <is>
          <t>2024-2025</t>
        </is>
      </c>
      <c r="D1132" s="31" t="inlineStr">
        <is>
          <t>648726</t>
        </is>
      </c>
      <c r="E1132" s="31" t="inlineStr">
        <is>
          <t>72-31-14</t>
        </is>
      </c>
      <c r="F1132" s="31" t="inlineStr">
        <is>
          <t>A</t>
        </is>
      </c>
      <c r="G1132" s="31" t="inlineStr">
        <is>
          <t>Compressor</t>
        </is>
      </c>
      <c r="H1132" s="27" t="n">
        <v>190</v>
      </c>
      <c r="I1132" s="27" t="n">
        <v>205</v>
      </c>
      <c r="J1132" s="154">
        <f>I1132/H1132-1</f>
        <v/>
      </c>
      <c r="K1132" s="31" t="inlineStr">
        <is>
          <t>25</t>
        </is>
      </c>
      <c r="L1132" s="31" t="inlineStr">
        <is>
          <t>26</t>
        </is>
      </c>
      <c r="M1132" s="31" t="inlineStr">
        <is>
          <t>S1</t>
        </is>
      </c>
      <c r="N1132" s="31" t="inlineStr">
        <is>
          <t>S2</t>
        </is>
      </c>
      <c r="O1132" s="31" t="inlineStr">
        <is>
          <t>1663M70P02</t>
        </is>
      </c>
      <c r="P1132" s="31" t="inlineStr">
        <is>
          <t>SR Technics Switzerland</t>
        </is>
      </c>
    </row>
    <row r="1133">
      <c r="B1133" s="31" t="inlineStr">
        <is>
          <t>CFM56-5B</t>
        </is>
      </c>
      <c r="C1133" s="31" t="inlineStr">
        <is>
          <t>2024-2025</t>
        </is>
      </c>
      <c r="D1133" s="31" t="inlineStr">
        <is>
          <t>648728</t>
        </is>
      </c>
      <c r="E1133" s="31" t="inlineStr">
        <is>
          <t>72-31-15</t>
        </is>
      </c>
      <c r="F1133" s="31" t="inlineStr">
        <is>
          <t>A</t>
        </is>
      </c>
      <c r="G1133" s="31" t="inlineStr">
        <is>
          <t>Compressor</t>
        </is>
      </c>
      <c r="H1133" s="27" t="n">
        <v>100</v>
      </c>
      <c r="I1133" s="27" t="n">
        <v>110</v>
      </c>
      <c r="J1133" s="154">
        <f>I1133/H1133-1</f>
        <v/>
      </c>
      <c r="K1133" s="31" t="inlineStr">
        <is>
          <t>25</t>
        </is>
      </c>
      <c r="L1133" s="31" t="inlineStr">
        <is>
          <t>26</t>
        </is>
      </c>
      <c r="M1133" s="31" t="inlineStr">
        <is>
          <t>S1</t>
        </is>
      </c>
      <c r="N1133" s="31" t="inlineStr">
        <is>
          <t>S2</t>
        </is>
      </c>
      <c r="O1133" s="31" t="inlineStr">
        <is>
          <t>1499M47P02</t>
        </is>
      </c>
      <c r="P1133" s="31" t="inlineStr">
        <is>
          <t>SR Technics Switzerland</t>
        </is>
      </c>
    </row>
    <row r="1134">
      <c r="B1134" s="31" t="inlineStr">
        <is>
          <t>CFM56-5B</t>
        </is>
      </c>
      <c r="C1134" s="31" t="inlineStr">
        <is>
          <t>2024-2025</t>
        </is>
      </c>
      <c r="D1134" s="31" t="inlineStr">
        <is>
          <t>648731</t>
        </is>
      </c>
      <c r="E1134" s="31" t="inlineStr">
        <is>
          <t>72-32-13</t>
        </is>
      </c>
      <c r="F1134" s="31" t="inlineStr">
        <is>
          <t>A</t>
        </is>
      </c>
      <c r="G1134" s="31" t="inlineStr">
        <is>
          <t>Compressor</t>
        </is>
      </c>
      <c r="H1134" s="27" t="n">
        <v>55</v>
      </c>
      <c r="I1134" s="27" t="n">
        <v>60</v>
      </c>
      <c r="J1134" s="154">
        <f>I1134/H1134-1</f>
        <v/>
      </c>
      <c r="K1134" s="31" t="inlineStr">
        <is>
          <t>70</t>
        </is>
      </c>
      <c r="L1134" s="31" t="inlineStr">
        <is>
          <t>71</t>
        </is>
      </c>
      <c r="M1134" s="31" t="inlineStr">
        <is>
          <t>S1</t>
        </is>
      </c>
      <c r="N1134" s="31" t="inlineStr">
        <is>
          <t>S2</t>
        </is>
      </c>
      <c r="O1134" s="31" t="inlineStr">
        <is>
          <t>1476M52P01</t>
        </is>
      </c>
      <c r="P1134" s="31" t="inlineStr">
        <is>
          <t>SR Technics Switzerland</t>
        </is>
      </c>
    </row>
    <row r="1135">
      <c r="B1135" s="31" t="inlineStr">
        <is>
          <t>CFM56-5B</t>
        </is>
      </c>
      <c r="C1135" s="31" t="inlineStr">
        <is>
          <t>2024-2025</t>
        </is>
      </c>
      <c r="D1135" s="31" t="inlineStr">
        <is>
          <t>650669</t>
        </is>
      </c>
      <c r="E1135" s="31" t="inlineStr">
        <is>
          <t>72-23-37</t>
        </is>
      </c>
      <c r="F1135" s="31" t="inlineStr">
        <is>
          <t>A</t>
        </is>
      </c>
      <c r="G1135" s="31" t="inlineStr">
        <is>
          <t>Fan / booster</t>
        </is>
      </c>
      <c r="H1135" s="27" t="n">
        <v>285</v>
      </c>
      <c r="I1135" s="27" t="n">
        <v>305</v>
      </c>
      <c r="J1135" s="154">
        <f>I1135/H1135-1</f>
        <v/>
      </c>
      <c r="K1135" s="31" t="inlineStr">
        <is>
          <t>70</t>
        </is>
      </c>
      <c r="L1135" s="31" t="inlineStr">
        <is>
          <t>71</t>
        </is>
      </c>
      <c r="M1135" s="31" t="inlineStr">
        <is>
          <t>S1</t>
        </is>
      </c>
      <c r="N1135" s="31" t="inlineStr">
        <is>
          <t>S2</t>
        </is>
      </c>
      <c r="O1135" s="31" t="inlineStr">
        <is>
          <t>335-108-701-0</t>
        </is>
      </c>
      <c r="P1135" s="31" t="inlineStr">
        <is>
          <t>SR Technics Switzerland</t>
        </is>
      </c>
    </row>
    <row r="1136">
      <c r="B1136" s="31" t="inlineStr">
        <is>
          <t>CFM56-5B</t>
        </is>
      </c>
      <c r="C1136" s="31" t="inlineStr">
        <is>
          <t>2024-2025</t>
        </is>
      </c>
      <c r="D1136" s="31" t="inlineStr">
        <is>
          <t>652060</t>
        </is>
      </c>
      <c r="E1136" s="31" t="inlineStr">
        <is>
          <t>72-32-09</t>
        </is>
      </c>
      <c r="F1136" s="31" t="inlineStr">
        <is>
          <t>A</t>
        </is>
      </c>
      <c r="G1136" s="31" t="inlineStr">
        <is>
          <t>Compressor</t>
        </is>
      </c>
      <c r="H1136" s="27" t="n">
        <v>30</v>
      </c>
      <c r="I1136" s="27" t="n">
        <v>35</v>
      </c>
      <c r="J1136" s="154">
        <f>I1136/H1136-1</f>
        <v/>
      </c>
      <c r="K1136" s="31" t="inlineStr">
        <is>
          <t>70</t>
        </is>
      </c>
      <c r="L1136" s="31" t="inlineStr">
        <is>
          <t>71</t>
        </is>
      </c>
      <c r="M1136" s="31" t="inlineStr">
        <is>
          <t>S1</t>
        </is>
      </c>
      <c r="N1136" s="31" t="inlineStr">
        <is>
          <t>S2</t>
        </is>
      </c>
      <c r="O1136" s="31" t="inlineStr">
        <is>
          <t>2050M55P01</t>
        </is>
      </c>
      <c r="P1136" s="31" t="inlineStr">
        <is>
          <t>SR Technics Switzerland</t>
        </is>
      </c>
    </row>
    <row r="1137">
      <c r="B1137" s="31" t="inlineStr">
        <is>
          <t>CFM56-5B</t>
        </is>
      </c>
      <c r="C1137" s="31" t="inlineStr">
        <is>
          <t>2024-2025</t>
        </is>
      </c>
      <c r="D1137" s="31" t="inlineStr">
        <is>
          <t>652453</t>
        </is>
      </c>
      <c r="E1137" s="31" t="inlineStr">
        <is>
          <t>72-23-36</t>
        </is>
      </c>
      <c r="F1137" s="31" t="inlineStr">
        <is>
          <t>A</t>
        </is>
      </c>
      <c r="G1137" s="31" t="inlineStr">
        <is>
          <t>Fan / booster</t>
        </is>
      </c>
      <c r="H1137" s="27" t="n">
        <v>275</v>
      </c>
      <c r="I1137" s="27" t="n">
        <v>295</v>
      </c>
      <c r="J1137" s="154">
        <f>I1137/H1137-1</f>
        <v/>
      </c>
      <c r="K1137" s="31" t="inlineStr">
        <is>
          <t>70</t>
        </is>
      </c>
      <c r="L1137" s="31" t="inlineStr">
        <is>
          <t>71</t>
        </is>
      </c>
      <c r="M1137" s="31" t="inlineStr">
        <is>
          <t>S1</t>
        </is>
      </c>
      <c r="N1137" s="31" t="inlineStr">
        <is>
          <t>S2</t>
        </is>
      </c>
      <c r="O1137" s="31" t="inlineStr">
        <is>
          <t>335-107-102-0</t>
        </is>
      </c>
      <c r="P1137" s="31" t="inlineStr">
        <is>
          <t>SR Technics Switzerland</t>
        </is>
      </c>
    </row>
    <row r="1138">
      <c r="B1138" s="31" t="inlineStr">
        <is>
          <t>CFM56-5B</t>
        </is>
      </c>
      <c r="C1138" s="31" t="inlineStr">
        <is>
          <t>2024-2025</t>
        </is>
      </c>
      <c r="D1138" s="31" t="inlineStr">
        <is>
          <t>653347</t>
        </is>
      </c>
      <c r="E1138" s="31" t="inlineStr">
        <is>
          <t>72-23-17</t>
        </is>
      </c>
      <c r="F1138" s="31" t="inlineStr">
        <is>
          <t>A</t>
        </is>
      </c>
      <c r="G1138" s="31" t="inlineStr">
        <is>
          <t>Fan / booster</t>
        </is>
      </c>
      <c r="H1138" s="27" t="n">
        <v>105</v>
      </c>
      <c r="I1138" s="27" t="n">
        <v>115</v>
      </c>
      <c r="J1138" s="154">
        <f>I1138/H1138-1</f>
        <v/>
      </c>
      <c r="K1138" s="31" t="inlineStr">
        <is>
          <t>70</t>
        </is>
      </c>
      <c r="L1138" s="31" t="inlineStr">
        <is>
          <t>71</t>
        </is>
      </c>
      <c r="M1138" s="31" t="inlineStr">
        <is>
          <t>S1</t>
        </is>
      </c>
      <c r="N1138" s="31" t="inlineStr">
        <is>
          <t>S2</t>
        </is>
      </c>
      <c r="O1138" s="31" t="inlineStr">
        <is>
          <t>336-472-901-0</t>
        </is>
      </c>
      <c r="P1138" s="31" t="inlineStr">
        <is>
          <t>SR Technics Switzerland</t>
        </is>
      </c>
    </row>
    <row r="1139">
      <c r="B1139" s="31" t="inlineStr">
        <is>
          <t>CFM56-5B</t>
        </is>
      </c>
      <c r="C1139" s="31" t="inlineStr">
        <is>
          <t>2024-2025</t>
        </is>
      </c>
      <c r="D1139" s="31" t="inlineStr">
        <is>
          <t>654796</t>
        </is>
      </c>
      <c r="E1139" s="31" t="inlineStr">
        <is>
          <t>72-33-20</t>
        </is>
      </c>
      <c r="F1139" s="31" t="inlineStr">
        <is>
          <t>A</t>
        </is>
      </c>
      <c r="G1139" s="31" t="inlineStr">
        <is>
          <t>Compressor</t>
        </is>
      </c>
      <c r="H1139" s="27" t="n">
        <v>90</v>
      </c>
      <c r="I1139" s="27" t="n">
        <v>100</v>
      </c>
      <c r="J1139" s="154">
        <f>I1139/H1139-1</f>
        <v/>
      </c>
      <c r="K1139" s="31" t="inlineStr">
        <is>
          <t>25</t>
        </is>
      </c>
      <c r="L1139" s="31" t="inlineStr">
        <is>
          <t>26</t>
        </is>
      </c>
      <c r="M1139" s="31" t="inlineStr">
        <is>
          <t>S1</t>
        </is>
      </c>
      <c r="N1139" s="31" t="inlineStr">
        <is>
          <t>S2</t>
        </is>
      </c>
      <c r="O1139" s="31" t="inlineStr">
        <is>
          <t>9321M97P02</t>
        </is>
      </c>
      <c r="P1139" s="31" t="inlineStr">
        <is>
          <t>SR Technics Switzerland</t>
        </is>
      </c>
    </row>
    <row r="1140">
      <c r="B1140" s="31" t="inlineStr">
        <is>
          <t>CFM56-5B</t>
        </is>
      </c>
      <c r="C1140" s="31" t="inlineStr">
        <is>
          <t>2024-2025</t>
        </is>
      </c>
      <c r="D1140" s="31" t="inlineStr">
        <is>
          <t>654828</t>
        </is>
      </c>
      <c r="E1140" s="31" t="inlineStr">
        <is>
          <t>72-52-09</t>
        </is>
      </c>
      <c r="F1140" s="31" t="inlineStr">
        <is>
          <t>A</t>
        </is>
      </c>
      <c r="G1140" s="31" t="inlineStr">
        <is>
          <t>HPT / nozzle</t>
        </is>
      </c>
      <c r="H1140" s="27" t="n">
        <v>360</v>
      </c>
      <c r="I1140" s="27" t="n">
        <v>385</v>
      </c>
      <c r="J1140" s="154">
        <f>I1140/H1140-1</f>
        <v/>
      </c>
      <c r="K1140" s="31" t="inlineStr">
        <is>
          <t>26</t>
        </is>
      </c>
      <c r="L1140" s="31" t="inlineStr">
        <is>
          <t>26</t>
        </is>
      </c>
      <c r="M1140" s="31" t="inlineStr">
        <is>
          <t>S1</t>
        </is>
      </c>
      <c r="N1140" s="31" t="inlineStr">
        <is>
          <t>S2</t>
        </is>
      </c>
      <c r="O1140" s="31" t="inlineStr">
        <is>
          <t>9971M82P02</t>
        </is>
      </c>
      <c r="P1140" s="31" t="inlineStr">
        <is>
          <t>SR Technics Switzerland</t>
        </is>
      </c>
    </row>
    <row r="1141">
      <c r="B1141" s="31" t="inlineStr">
        <is>
          <t>CFM56-5B</t>
        </is>
      </c>
      <c r="C1141" s="31" t="inlineStr">
        <is>
          <t>2024-2025</t>
        </is>
      </c>
      <c r="D1141" s="31" t="inlineStr">
        <is>
          <t>654909</t>
        </is>
      </c>
      <c r="E1141" s="31" t="inlineStr">
        <is>
          <t>72-54-14</t>
        </is>
      </c>
      <c r="F1141" s="31" t="inlineStr">
        <is>
          <t>A</t>
        </is>
      </c>
      <c r="G1141" s="31" t="inlineStr">
        <is>
          <t>LPT</t>
        </is>
      </c>
      <c r="H1141" s="27" t="n">
        <v>295</v>
      </c>
      <c r="I1141" s="27" t="n">
        <v>315</v>
      </c>
      <c r="J1141" s="154">
        <f>I1141/H1141-1</f>
        <v/>
      </c>
      <c r="K1141" s="31" t="inlineStr">
        <is>
          <t>26</t>
        </is>
      </c>
      <c r="L1141" s="31" t="inlineStr">
        <is>
          <t>26</t>
        </is>
      </c>
      <c r="M1141" s="31" t="inlineStr">
        <is>
          <t>S1</t>
        </is>
      </c>
      <c r="N1141" s="31" t="inlineStr">
        <is>
          <t>S2</t>
        </is>
      </c>
      <c r="O1141" s="31" t="inlineStr">
        <is>
          <t>337-112-801-0</t>
        </is>
      </c>
      <c r="P1141" s="31" t="inlineStr">
        <is>
          <t>SR Technics Switzerland</t>
        </is>
      </c>
    </row>
    <row r="1142">
      <c r="B1142" s="31" t="inlineStr">
        <is>
          <t>CFM56-5B</t>
        </is>
      </c>
      <c r="C1142" s="31" t="inlineStr">
        <is>
          <t>2024-2025</t>
        </is>
      </c>
      <c r="D1142" s="31" t="inlineStr">
        <is>
          <t>654909</t>
        </is>
      </c>
      <c r="E1142" s="31" t="inlineStr">
        <is>
          <t>72-54-14</t>
        </is>
      </c>
      <c r="F1142" s="31" t="inlineStr">
        <is>
          <t>AE</t>
        </is>
      </c>
      <c r="G1142" s="31" t="inlineStr">
        <is>
          <t>LPT</t>
        </is>
      </c>
      <c r="H1142" s="27" t="n">
        <v>835</v>
      </c>
      <c r="I1142" s="27" t="n">
        <v>890</v>
      </c>
      <c r="J1142" s="154">
        <f>I1142/H1142-1</f>
        <v/>
      </c>
      <c r="K1142" s="31" t="inlineStr">
        <is>
          <t>26</t>
        </is>
      </c>
      <c r="L1142" s="31" t="inlineStr">
        <is>
          <t>26</t>
        </is>
      </c>
      <c r="M1142" s="31" t="inlineStr">
        <is>
          <t>S1</t>
        </is>
      </c>
      <c r="N1142" s="31" t="inlineStr">
        <is>
          <t>S2</t>
        </is>
      </c>
      <c r="O1142" s="31" t="inlineStr">
        <is>
          <t>337-112-801-0</t>
        </is>
      </c>
      <c r="P1142" s="31" t="inlineStr">
        <is>
          <t>SR Technics Switzerland</t>
        </is>
      </c>
    </row>
    <row r="1143">
      <c r="B1143" s="31" t="inlineStr">
        <is>
          <t>CFM56-5B</t>
        </is>
      </c>
      <c r="C1143" s="31" t="inlineStr">
        <is>
          <t>2024-2025</t>
        </is>
      </c>
      <c r="D1143" s="31" t="inlineStr">
        <is>
          <t>654954</t>
        </is>
      </c>
      <c r="E1143" s="31" t="inlineStr">
        <is>
          <t>72-63-20</t>
        </is>
      </c>
      <c r="F1143" s="31" t="inlineStr">
        <is>
          <t>A</t>
        </is>
      </c>
      <c r="G1143" s="31" t="inlineStr">
        <is>
          <t>Gearbox</t>
        </is>
      </c>
      <c r="H1143" s="27" t="n">
        <v>430</v>
      </c>
      <c r="I1143" s="27" t="n">
        <v>460</v>
      </c>
      <c r="J1143" s="154">
        <f>I1143/H1143-1</f>
        <v/>
      </c>
      <c r="K1143" s="31" t="inlineStr">
        <is>
          <t>26</t>
        </is>
      </c>
      <c r="L1143" s="31" t="inlineStr">
        <is>
          <t>26</t>
        </is>
      </c>
      <c r="M1143" s="31" t="inlineStr">
        <is>
          <t>S1</t>
        </is>
      </c>
      <c r="N1143" s="31" t="inlineStr">
        <is>
          <t>S2</t>
        </is>
      </c>
      <c r="O1143" s="31" t="inlineStr">
        <is>
          <t>305-140-104-0</t>
        </is>
      </c>
      <c r="P1143" s="31" t="inlineStr">
        <is>
          <t>SR Technics Switzerland</t>
        </is>
      </c>
    </row>
    <row r="1144">
      <c r="B1144" s="31" t="inlineStr">
        <is>
          <t>CFM56-5B</t>
        </is>
      </c>
      <c r="C1144" s="31" t="inlineStr">
        <is>
          <t>2024-2025</t>
        </is>
      </c>
      <c r="D1144" s="31" t="inlineStr">
        <is>
          <t>654965</t>
        </is>
      </c>
      <c r="E1144" s="31" t="inlineStr">
        <is>
          <t>72-62-12</t>
        </is>
      </c>
      <c r="F1144" s="31" t="inlineStr">
        <is>
          <t>A</t>
        </is>
      </c>
      <c r="G1144" s="31" t="inlineStr">
        <is>
          <t>Gearbox</t>
        </is>
      </c>
      <c r="H1144" s="27" t="n">
        <v>60</v>
      </c>
      <c r="I1144" s="27" t="n">
        <v>65</v>
      </c>
      <c r="J1144" s="154">
        <f>I1144/H1144-1</f>
        <v/>
      </c>
      <c r="K1144" s="31" t="inlineStr">
        <is>
          <t>70</t>
        </is>
      </c>
      <c r="L1144" s="31" t="inlineStr">
        <is>
          <t>71</t>
        </is>
      </c>
      <c r="M1144" s="31" t="inlineStr">
        <is>
          <t>S1</t>
        </is>
      </c>
      <c r="N1144" s="31" t="inlineStr">
        <is>
          <t>S2</t>
        </is>
      </c>
      <c r="O1144" s="31" t="inlineStr">
        <is>
          <t>305-156-502-0</t>
        </is>
      </c>
      <c r="P1144" s="31" t="inlineStr">
        <is>
          <t>SR Technics Switzerland</t>
        </is>
      </c>
    </row>
    <row r="1145">
      <c r="B1145" s="31" t="inlineStr">
        <is>
          <t>CFM56-5B</t>
        </is>
      </c>
      <c r="C1145" s="31" t="inlineStr">
        <is>
          <t>2024-2025</t>
        </is>
      </c>
      <c r="D1145" s="31" t="inlineStr">
        <is>
          <t>655153</t>
        </is>
      </c>
      <c r="E1145" s="31" t="inlineStr">
        <is>
          <t>72-52-09</t>
        </is>
      </c>
      <c r="F1145" s="31" t="inlineStr">
        <is>
          <t>A</t>
        </is>
      </c>
      <c r="G1145" s="31" t="inlineStr">
        <is>
          <t>HPT / nozzle</t>
        </is>
      </c>
      <c r="H1145" s="27" t="n">
        <v>35</v>
      </c>
      <c r="I1145" s="27" t="n">
        <v>40</v>
      </c>
      <c r="J1145" s="154">
        <f>I1145/H1145-1</f>
        <v/>
      </c>
      <c r="K1145" s="31" t="inlineStr">
        <is>
          <t>26</t>
        </is>
      </c>
      <c r="L1145" s="31" t="inlineStr">
        <is>
          <t>26</t>
        </is>
      </c>
      <c r="M1145" s="31" t="inlineStr">
        <is>
          <t>S1</t>
        </is>
      </c>
      <c r="N1145" s="31" t="inlineStr">
        <is>
          <t>S2</t>
        </is>
      </c>
      <c r="O1145" s="31" t="inlineStr">
        <is>
          <t>1358M93P01</t>
        </is>
      </c>
      <c r="P1145" s="31" t="inlineStr">
        <is>
          <t>SR Technics Switzerland</t>
        </is>
      </c>
    </row>
    <row r="1146">
      <c r="B1146" s="31" t="inlineStr">
        <is>
          <t>CFM56-5B</t>
        </is>
      </c>
      <c r="C1146" s="31" t="inlineStr">
        <is>
          <t>2024-2025</t>
        </is>
      </c>
      <c r="D1146" s="31" t="inlineStr">
        <is>
          <t>655179</t>
        </is>
      </c>
      <c r="E1146" s="31" t="inlineStr">
        <is>
          <t>72-22-13</t>
        </is>
      </c>
      <c r="F1146" s="31" t="inlineStr">
        <is>
          <t>A</t>
        </is>
      </c>
      <c r="G1146" s="31" t="inlineStr">
        <is>
          <t>Fan / booster</t>
        </is>
      </c>
      <c r="H1146" s="27" t="n">
        <v>705</v>
      </c>
      <c r="I1146" s="27" t="n">
        <v>750</v>
      </c>
      <c r="J1146" s="154">
        <f>I1146/H1146-1</f>
        <v/>
      </c>
      <c r="K1146" s="31" t="inlineStr">
        <is>
          <t>26</t>
        </is>
      </c>
      <c r="L1146" s="31" t="inlineStr">
        <is>
          <t>26</t>
        </is>
      </c>
      <c r="M1146" s="31" t="inlineStr">
        <is>
          <t>S1</t>
        </is>
      </c>
      <c r="N1146" s="31" t="inlineStr">
        <is>
          <t>S2</t>
        </is>
      </c>
      <c r="O1146" s="31" t="inlineStr">
        <is>
          <t>301-298-006-0</t>
        </is>
      </c>
      <c r="P1146" s="31" t="inlineStr">
        <is>
          <t>SR Technics Switzerland</t>
        </is>
      </c>
    </row>
    <row r="1147">
      <c r="B1147" s="31" t="inlineStr">
        <is>
          <t>CFM56-5B</t>
        </is>
      </c>
      <c r="C1147" s="31" t="inlineStr">
        <is>
          <t>2024-2025</t>
        </is>
      </c>
      <c r="D1147" s="31" t="inlineStr">
        <is>
          <t>655179</t>
        </is>
      </c>
      <c r="E1147" s="31" t="inlineStr">
        <is>
          <t>72-22-13</t>
        </is>
      </c>
      <c r="F1147" s="31" t="inlineStr">
        <is>
          <t>B</t>
        </is>
      </c>
      <c r="G1147" s="31" t="inlineStr">
        <is>
          <t>Fan / booster</t>
        </is>
      </c>
      <c r="H1147" s="27" t="n">
        <v>1135</v>
      </c>
      <c r="I1147" s="27" t="n">
        <v>1205</v>
      </c>
      <c r="J1147" s="154">
        <f>I1147/H1147-1</f>
        <v/>
      </c>
      <c r="K1147" s="31" t="inlineStr">
        <is>
          <t>26</t>
        </is>
      </c>
      <c r="L1147" s="31" t="inlineStr">
        <is>
          <t>26</t>
        </is>
      </c>
      <c r="M1147" s="31" t="inlineStr">
        <is>
          <t>S1</t>
        </is>
      </c>
      <c r="N1147" s="31" t="inlineStr">
        <is>
          <t>S2</t>
        </is>
      </c>
      <c r="O1147" s="31" t="inlineStr">
        <is>
          <t>301-298-006-0</t>
        </is>
      </c>
      <c r="P1147" s="31" t="inlineStr">
        <is>
          <t>SR Technics Switzerland</t>
        </is>
      </c>
    </row>
    <row r="1148">
      <c r="B1148" s="31" t="inlineStr">
        <is>
          <t>CFM56-5B</t>
        </is>
      </c>
      <c r="C1148" s="31" t="inlineStr">
        <is>
          <t>2024-2025</t>
        </is>
      </c>
      <c r="D1148" s="31" t="inlineStr">
        <is>
          <t>655179</t>
        </is>
      </c>
      <c r="E1148" s="31" t="inlineStr">
        <is>
          <t>72-22-13</t>
        </is>
      </c>
      <c r="F1148" s="31" t="inlineStr">
        <is>
          <t>C</t>
        </is>
      </c>
      <c r="G1148" s="31" t="inlineStr">
        <is>
          <t>Fan / booster</t>
        </is>
      </c>
      <c r="H1148" s="27" t="n">
        <v>715</v>
      </c>
      <c r="I1148" s="27" t="n">
        <v>760</v>
      </c>
      <c r="J1148" s="154">
        <f>I1148/H1148-1</f>
        <v/>
      </c>
      <c r="K1148" s="31" t="inlineStr">
        <is>
          <t>26</t>
        </is>
      </c>
      <c r="L1148" s="31" t="inlineStr">
        <is>
          <t>26</t>
        </is>
      </c>
      <c r="M1148" s="31" t="inlineStr">
        <is>
          <t>S1</t>
        </is>
      </c>
      <c r="N1148" s="31" t="inlineStr">
        <is>
          <t>S2</t>
        </is>
      </c>
      <c r="O1148" s="31" t="inlineStr">
        <is>
          <t>301-298-006-0</t>
        </is>
      </c>
      <c r="P1148" s="31" t="inlineStr">
        <is>
          <t>SR Technics Switzerland</t>
        </is>
      </c>
    </row>
    <row r="1149">
      <c r="B1149" s="31" t="inlineStr">
        <is>
          <t>CFM56-5B</t>
        </is>
      </c>
      <c r="C1149" s="31" t="inlineStr">
        <is>
          <t>2024-2025</t>
        </is>
      </c>
      <c r="D1149" s="31" t="inlineStr">
        <is>
          <t>655267</t>
        </is>
      </c>
      <c r="E1149" s="31" t="inlineStr">
        <is>
          <t>72-63-16</t>
        </is>
      </c>
      <c r="F1149" s="31" t="inlineStr">
        <is>
          <t>A</t>
        </is>
      </c>
      <c r="G1149" s="31" t="inlineStr">
        <is>
          <t>Gearbox</t>
        </is>
      </c>
      <c r="H1149" s="27" t="n">
        <v>75</v>
      </c>
      <c r="I1149" s="27" t="n">
        <v>80</v>
      </c>
      <c r="J1149" s="154">
        <f>I1149/H1149-1</f>
        <v/>
      </c>
      <c r="K1149" s="31" t="inlineStr">
        <is>
          <t>70</t>
        </is>
      </c>
      <c r="L1149" s="31" t="inlineStr">
        <is>
          <t>72</t>
        </is>
      </c>
      <c r="M1149" s="31" t="inlineStr">
        <is>
          <t>S1</t>
        </is>
      </c>
      <c r="N1149" s="31" t="inlineStr">
        <is>
          <t>S2</t>
        </is>
      </c>
      <c r="O1149" s="31" t="inlineStr">
        <is>
          <t>305-156-301-0</t>
        </is>
      </c>
      <c r="P1149" s="31" t="inlineStr">
        <is>
          <t>SR Technics Switzerland</t>
        </is>
      </c>
    </row>
    <row r="1150">
      <c r="B1150" s="31" t="inlineStr">
        <is>
          <t>CFM56-5B</t>
        </is>
      </c>
      <c r="C1150" s="31" t="inlineStr">
        <is>
          <t>2024-2025</t>
        </is>
      </c>
      <c r="D1150" s="31" t="inlineStr">
        <is>
          <t>655267</t>
        </is>
      </c>
      <c r="E1150" s="31" t="inlineStr">
        <is>
          <t>72-63-16</t>
        </is>
      </c>
      <c r="F1150" s="31" t="inlineStr">
        <is>
          <t>B</t>
        </is>
      </c>
      <c r="G1150" s="31" t="inlineStr">
        <is>
          <t>Gearbox</t>
        </is>
      </c>
      <c r="H1150" s="27" t="n">
        <v>50</v>
      </c>
      <c r="I1150" s="27" t="n">
        <v>55</v>
      </c>
      <c r="J1150" s="154">
        <f>I1150/H1150-1</f>
        <v/>
      </c>
      <c r="K1150" s="31" t="inlineStr">
        <is>
          <t>71</t>
        </is>
      </c>
      <c r="L1150" s="31" t="inlineStr">
        <is>
          <t>72</t>
        </is>
      </c>
      <c r="M1150" s="31" t="inlineStr">
        <is>
          <t>S1</t>
        </is>
      </c>
      <c r="N1150" s="31" t="inlineStr">
        <is>
          <t>S2</t>
        </is>
      </c>
      <c r="O1150" s="31" t="inlineStr">
        <is>
          <t>305-156-301-0</t>
        </is>
      </c>
      <c r="P1150" s="31" t="inlineStr">
        <is>
          <t>SR Technics Switzerland</t>
        </is>
      </c>
    </row>
    <row r="1151">
      <c r="B1151" s="31" t="inlineStr">
        <is>
          <t>CFM56-5B</t>
        </is>
      </c>
      <c r="C1151" s="31" t="inlineStr">
        <is>
          <t>2024-2025</t>
        </is>
      </c>
      <c r="D1151" s="31" t="inlineStr">
        <is>
          <t>656214</t>
        </is>
      </c>
      <c r="E1151" s="31" t="inlineStr">
        <is>
          <t>72-22-13</t>
        </is>
      </c>
      <c r="F1151" s="31" t="inlineStr">
        <is>
          <t>A</t>
        </is>
      </c>
      <c r="G1151" s="31" t="inlineStr">
        <is>
          <t>Fan / booster</t>
        </is>
      </c>
      <c r="H1151" s="27" t="n">
        <v>725</v>
      </c>
      <c r="I1151" s="27" t="n">
        <v>770</v>
      </c>
      <c r="J1151" s="154">
        <f>I1151/H1151-1</f>
        <v/>
      </c>
      <c r="K1151" s="31" t="inlineStr">
        <is>
          <t>26</t>
        </is>
      </c>
      <c r="L1151" s="31" t="inlineStr">
        <is>
          <t>26</t>
        </is>
      </c>
      <c r="M1151" s="31" t="inlineStr">
        <is>
          <t>S1</t>
        </is>
      </c>
      <c r="N1151" s="31" t="inlineStr">
        <is>
          <t>S2</t>
        </is>
      </c>
      <c r="O1151" s="31" t="inlineStr">
        <is>
          <t>301-436-804-0</t>
        </is>
      </c>
      <c r="P1151" s="31" t="inlineStr">
        <is>
          <t>SR Technics Switzerland</t>
        </is>
      </c>
    </row>
    <row r="1152">
      <c r="B1152" s="31" t="inlineStr">
        <is>
          <t>CFM56-5B</t>
        </is>
      </c>
      <c r="C1152" s="31" t="inlineStr">
        <is>
          <t>2024-2025</t>
        </is>
      </c>
      <c r="D1152" s="31" t="inlineStr">
        <is>
          <t>656317</t>
        </is>
      </c>
      <c r="E1152" s="31" t="inlineStr">
        <is>
          <t>72-52-09</t>
        </is>
      </c>
      <c r="F1152" s="31" t="inlineStr">
        <is>
          <t>A</t>
        </is>
      </c>
      <c r="G1152" s="31" t="inlineStr">
        <is>
          <t>HPT / nozzle</t>
        </is>
      </c>
      <c r="H1152" s="27" t="n">
        <v>155</v>
      </c>
      <c r="I1152" s="27" t="n">
        <v>165</v>
      </c>
      <c r="J1152" s="154">
        <f>I1152/H1152-1</f>
        <v/>
      </c>
      <c r="K1152" s="31" t="inlineStr">
        <is>
          <t>71</t>
        </is>
      </c>
      <c r="L1152" s="31" t="inlineStr">
        <is>
          <t>72</t>
        </is>
      </c>
      <c r="M1152" s="31" t="inlineStr">
        <is>
          <t>S1</t>
        </is>
      </c>
      <c r="N1152" s="31" t="inlineStr">
        <is>
          <t>S2</t>
        </is>
      </c>
      <c r="O1152" s="31" t="inlineStr">
        <is>
          <t>9513M60P02</t>
        </is>
      </c>
      <c r="P1152" s="31" t="inlineStr">
        <is>
          <t>SR Technics Switzerland</t>
        </is>
      </c>
    </row>
    <row r="1153">
      <c r="B1153" s="31" t="inlineStr">
        <is>
          <t>CFM56-5B</t>
        </is>
      </c>
      <c r="C1153" s="31" t="inlineStr">
        <is>
          <t>2024-2025</t>
        </is>
      </c>
      <c r="D1153" s="31" t="inlineStr">
        <is>
          <t>656381</t>
        </is>
      </c>
      <c r="E1153" s="31" t="inlineStr">
        <is>
          <t>72-63-12</t>
        </is>
      </c>
      <c r="F1153" s="31" t="inlineStr">
        <is>
          <t>A</t>
        </is>
      </c>
      <c r="G1153" s="31" t="inlineStr">
        <is>
          <t>Gearbox</t>
        </is>
      </c>
      <c r="H1153" s="27" t="n">
        <v>55</v>
      </c>
      <c r="I1153" s="27" t="n">
        <v>60</v>
      </c>
      <c r="J1153" s="154">
        <f>I1153/H1153-1</f>
        <v/>
      </c>
      <c r="K1153" s="31" t="inlineStr">
        <is>
          <t>26</t>
        </is>
      </c>
      <c r="L1153" s="31" t="inlineStr">
        <is>
          <t>26</t>
        </is>
      </c>
      <c r="M1153" s="31" t="inlineStr">
        <is>
          <t>S1</t>
        </is>
      </c>
      <c r="N1153" s="31" t="inlineStr">
        <is>
          <t>S2</t>
        </is>
      </c>
      <c r="O1153" s="31" t="inlineStr">
        <is>
          <t>305-145-502-0</t>
        </is>
      </c>
      <c r="P1153" s="31" t="inlineStr">
        <is>
          <t>SR Technics Switzerland</t>
        </is>
      </c>
    </row>
    <row r="1154">
      <c r="B1154" s="31" t="inlineStr">
        <is>
          <t>CFM56-5B</t>
        </is>
      </c>
      <c r="C1154" s="31" t="inlineStr">
        <is>
          <t>2024-2025</t>
        </is>
      </c>
      <c r="D1154" s="31" t="inlineStr">
        <is>
          <t>656382</t>
        </is>
      </c>
      <c r="E1154" s="31" t="inlineStr">
        <is>
          <t>72-63-13</t>
        </is>
      </c>
      <c r="F1154" s="31" t="inlineStr">
        <is>
          <t>A</t>
        </is>
      </c>
      <c r="G1154" s="31" t="inlineStr">
        <is>
          <t>Gearbox</t>
        </is>
      </c>
      <c r="H1154" s="27" t="n">
        <v>115</v>
      </c>
      <c r="I1154" s="27" t="n">
        <v>125</v>
      </c>
      <c r="J1154" s="154">
        <f>I1154/H1154-1</f>
        <v/>
      </c>
      <c r="K1154" s="31" t="inlineStr">
        <is>
          <t>26</t>
        </is>
      </c>
      <c r="L1154" s="31" t="inlineStr">
        <is>
          <t>26</t>
        </is>
      </c>
      <c r="M1154" s="31" t="inlineStr">
        <is>
          <t>S1</t>
        </is>
      </c>
      <c r="N1154" s="31" t="inlineStr">
        <is>
          <t>S2</t>
        </is>
      </c>
      <c r="O1154" s="31" t="inlineStr">
        <is>
          <t>305-151-403-0</t>
        </is>
      </c>
      <c r="P1154" s="31" t="inlineStr">
        <is>
          <t>SR Technics Switzerland</t>
        </is>
      </c>
    </row>
    <row r="1155">
      <c r="B1155" s="31" t="inlineStr">
        <is>
          <t>CFM56-5B</t>
        </is>
      </c>
      <c r="C1155" s="31" t="inlineStr">
        <is>
          <t>2024-2025</t>
        </is>
      </c>
      <c r="D1155" s="31" t="inlineStr">
        <is>
          <t>656384</t>
        </is>
      </c>
      <c r="E1155" s="31" t="inlineStr">
        <is>
          <t>72-62-20</t>
        </is>
      </c>
      <c r="F1155" s="31" t="inlineStr">
        <is>
          <t>A</t>
        </is>
      </c>
      <c r="G1155" s="31" t="inlineStr">
        <is>
          <t>Gearbox</t>
        </is>
      </c>
      <c r="H1155" s="27" t="n">
        <v>360</v>
      </c>
      <c r="I1155" s="27" t="n">
        <v>385</v>
      </c>
      <c r="J1155" s="154">
        <f>I1155/H1155-1</f>
        <v/>
      </c>
      <c r="K1155" s="31" t="inlineStr">
        <is>
          <t>71</t>
        </is>
      </c>
      <c r="L1155" s="31" t="inlineStr">
        <is>
          <t>72</t>
        </is>
      </c>
      <c r="M1155" s="31" t="inlineStr">
        <is>
          <t>S1</t>
        </is>
      </c>
      <c r="N1155" s="31" t="inlineStr">
        <is>
          <t>S2</t>
        </is>
      </c>
      <c r="O1155" s="31" t="inlineStr">
        <is>
          <t>301-301-600-0</t>
        </is>
      </c>
      <c r="P1155" s="31" t="inlineStr">
        <is>
          <t>SR Technics Switzerland</t>
        </is>
      </c>
    </row>
    <row r="1156">
      <c r="B1156" s="31" t="inlineStr">
        <is>
          <t>CFM56-5B</t>
        </is>
      </c>
      <c r="C1156" s="31" t="inlineStr">
        <is>
          <t>2024-2025</t>
        </is>
      </c>
      <c r="D1156" s="31" t="inlineStr">
        <is>
          <t>657873</t>
        </is>
      </c>
      <c r="E1156" s="31" t="inlineStr">
        <is>
          <t>72-09-04</t>
        </is>
      </c>
      <c r="F1156" s="31" t="inlineStr">
        <is>
          <t>A</t>
        </is>
      </c>
      <c r="G1156" s="31" t="inlineStr">
        <is>
          <t>Other / assembly</t>
        </is>
      </c>
      <c r="H1156" s="27" t="n">
        <v>55</v>
      </c>
      <c r="I1156" s="27" t="n">
        <v>60</v>
      </c>
      <c r="J1156" s="154">
        <f>I1156/H1156-1</f>
        <v/>
      </c>
      <c r="K1156" s="31" t="inlineStr">
        <is>
          <t>71</t>
        </is>
      </c>
      <c r="L1156" s="31" t="inlineStr">
        <is>
          <t>72</t>
        </is>
      </c>
      <c r="M1156" s="31" t="inlineStr">
        <is>
          <t>S1</t>
        </is>
      </c>
      <c r="N1156" s="31" t="inlineStr">
        <is>
          <t>S2</t>
        </is>
      </c>
      <c r="O1156" s="31" t="inlineStr">
        <is>
          <t>1605M68P001A</t>
        </is>
      </c>
      <c r="P1156" s="31" t="inlineStr">
        <is>
          <t>SR Technics Switzerland</t>
        </is>
      </c>
    </row>
    <row r="1157">
      <c r="B1157" s="31" t="inlineStr">
        <is>
          <t>CFM56-5B</t>
        </is>
      </c>
      <c r="C1157" s="31" t="inlineStr">
        <is>
          <t>2024-2025</t>
        </is>
      </c>
      <c r="D1157" s="31" t="inlineStr">
        <is>
          <t>657874</t>
        </is>
      </c>
      <c r="E1157" s="31" t="inlineStr">
        <is>
          <t>72-09-04</t>
        </is>
      </c>
      <c r="F1157" s="31" t="inlineStr">
        <is>
          <t>A</t>
        </is>
      </c>
      <c r="G1157" s="31" t="inlineStr">
        <is>
          <t>Other / assembly</t>
        </is>
      </c>
      <c r="H1157" s="27" t="n">
        <v>80</v>
      </c>
      <c r="I1157" s="27" t="n">
        <v>85</v>
      </c>
      <c r="J1157" s="154">
        <f>I1157/H1157-1</f>
        <v/>
      </c>
      <c r="K1157" s="31" t="inlineStr">
        <is>
          <t>72</t>
        </is>
      </c>
      <c r="L1157" s="31" t="inlineStr">
        <is>
          <t>73</t>
        </is>
      </c>
      <c r="M1157" s="31" t="inlineStr">
        <is>
          <t>S1</t>
        </is>
      </c>
      <c r="N1157" s="31" t="inlineStr">
        <is>
          <t>S2</t>
        </is>
      </c>
      <c r="O1157" s="31" t="inlineStr">
        <is>
          <t>1621M35G01</t>
        </is>
      </c>
      <c r="P1157" s="31" t="inlineStr">
        <is>
          <t>SR Technics Switzerland</t>
        </is>
      </c>
    </row>
    <row r="1158">
      <c r="B1158" s="31" t="inlineStr">
        <is>
          <t>CFM56-5B</t>
        </is>
      </c>
      <c r="C1158" s="31" t="inlineStr">
        <is>
          <t>2024-2025</t>
        </is>
      </c>
      <c r="D1158" s="31" t="inlineStr">
        <is>
          <t>657874</t>
        </is>
      </c>
      <c r="E1158" s="31" t="inlineStr">
        <is>
          <t>72-09-04</t>
        </is>
      </c>
      <c r="F1158" s="31" t="inlineStr">
        <is>
          <t>B</t>
        </is>
      </c>
      <c r="G1158" s="31" t="inlineStr">
        <is>
          <t>Other / assembly</t>
        </is>
      </c>
      <c r="H1158" s="27" t="n">
        <v>110</v>
      </c>
      <c r="I1158" s="27" t="n">
        <v>120</v>
      </c>
      <c r="J1158" s="154">
        <f>I1158/H1158-1</f>
        <v/>
      </c>
      <c r="K1158" s="31" t="inlineStr">
        <is>
          <t>72</t>
        </is>
      </c>
      <c r="L1158" s="31" t="inlineStr">
        <is>
          <t>73</t>
        </is>
      </c>
      <c r="M1158" s="31" t="inlineStr">
        <is>
          <t>S1</t>
        </is>
      </c>
      <c r="N1158" s="31" t="inlineStr">
        <is>
          <t>S2</t>
        </is>
      </c>
      <c r="O1158" s="31" t="inlineStr">
        <is>
          <t>1621M35G01</t>
        </is>
      </c>
      <c r="P1158" s="31" t="inlineStr">
        <is>
          <t>SR Technics Switzerland</t>
        </is>
      </c>
    </row>
    <row r="1159">
      <c r="B1159" s="31" t="inlineStr">
        <is>
          <t>CFM56-5B</t>
        </is>
      </c>
      <c r="C1159" s="31" t="inlineStr">
        <is>
          <t>2024-2025</t>
        </is>
      </c>
      <c r="D1159" s="31" t="inlineStr">
        <is>
          <t>657874</t>
        </is>
      </c>
      <c r="E1159" s="31" t="inlineStr">
        <is>
          <t>72-09-04</t>
        </is>
      </c>
      <c r="F1159" s="31" t="inlineStr">
        <is>
          <t>V</t>
        </is>
      </c>
      <c r="G1159" s="31" t="inlineStr">
        <is>
          <t>Other / assembly</t>
        </is>
      </c>
      <c r="H1159" s="27" t="n">
        <v>375</v>
      </c>
      <c r="I1159" s="27" t="n">
        <v>400</v>
      </c>
      <c r="J1159" s="154">
        <f>I1159/H1159-1</f>
        <v/>
      </c>
      <c r="K1159" s="31" t="inlineStr">
        <is>
          <t>72</t>
        </is>
      </c>
      <c r="L1159" s="31" t="inlineStr">
        <is>
          <t>73</t>
        </is>
      </c>
      <c r="M1159" s="31" t="inlineStr">
        <is>
          <t>S1</t>
        </is>
      </c>
      <c r="N1159" s="31" t="inlineStr">
        <is>
          <t>S2</t>
        </is>
      </c>
      <c r="O1159" s="31" t="inlineStr">
        <is>
          <t>1621M35G01</t>
        </is>
      </c>
      <c r="P1159" s="31" t="inlineStr">
        <is>
          <t>SR Technics Switzerland</t>
        </is>
      </c>
    </row>
    <row r="1160">
      <c r="B1160" s="31" t="inlineStr">
        <is>
          <t>CFM56-5B</t>
        </is>
      </c>
      <c r="C1160" s="31" t="inlineStr">
        <is>
          <t>2024-2025</t>
        </is>
      </c>
      <c r="D1160" s="31" t="inlineStr">
        <is>
          <t>657875</t>
        </is>
      </c>
      <c r="E1160" s="31" t="inlineStr">
        <is>
          <t>72-09-04</t>
        </is>
      </c>
      <c r="F1160" s="31" t="inlineStr">
        <is>
          <t>A</t>
        </is>
      </c>
      <c r="G1160" s="31" t="inlineStr">
        <is>
          <t>Other / assembly</t>
        </is>
      </c>
      <c r="H1160" s="27" t="n">
        <v>75</v>
      </c>
      <c r="I1160" s="27" t="n">
        <v>80</v>
      </c>
      <c r="J1160" s="154">
        <f>I1160/H1160-1</f>
        <v/>
      </c>
      <c r="K1160" s="31" t="inlineStr">
        <is>
          <t>73</t>
        </is>
      </c>
      <c r="L1160" s="31" t="inlineStr">
        <is>
          <t>75</t>
        </is>
      </c>
      <c r="M1160" s="31" t="inlineStr">
        <is>
          <t>S1</t>
        </is>
      </c>
      <c r="N1160" s="31" t="inlineStr">
        <is>
          <t>S2</t>
        </is>
      </c>
      <c r="O1160" s="31" t="inlineStr">
        <is>
          <t>1444M20G03</t>
        </is>
      </c>
      <c r="P1160" s="31" t="inlineStr">
        <is>
          <t>SR Technics Switzerland</t>
        </is>
      </c>
    </row>
    <row r="1161">
      <c r="B1161" s="31" t="inlineStr">
        <is>
          <t>CFM56-5B</t>
        </is>
      </c>
      <c r="C1161" s="31" t="inlineStr">
        <is>
          <t>2024-2025</t>
        </is>
      </c>
      <c r="D1161" s="31" t="inlineStr">
        <is>
          <t>657875</t>
        </is>
      </c>
      <c r="E1161" s="31" t="inlineStr">
        <is>
          <t>72-09-04</t>
        </is>
      </c>
      <c r="F1161" s="31" t="inlineStr">
        <is>
          <t>B</t>
        </is>
      </c>
      <c r="G1161" s="31" t="inlineStr">
        <is>
          <t>Other / assembly</t>
        </is>
      </c>
      <c r="H1161" s="27" t="n">
        <v>145</v>
      </c>
      <c r="I1161" s="27" t="n">
        <v>155</v>
      </c>
      <c r="J1161" s="154">
        <f>I1161/H1161-1</f>
        <v/>
      </c>
      <c r="K1161" s="31" t="inlineStr">
        <is>
          <t>74</t>
        </is>
      </c>
      <c r="L1161" s="31" t="inlineStr">
        <is>
          <t>75</t>
        </is>
      </c>
      <c r="M1161" s="31" t="inlineStr">
        <is>
          <t>S1</t>
        </is>
      </c>
      <c r="N1161" s="31" t="inlineStr">
        <is>
          <t>S2</t>
        </is>
      </c>
      <c r="O1161" s="31" t="inlineStr">
        <is>
          <t>1444M20G03</t>
        </is>
      </c>
      <c r="P1161" s="31" t="inlineStr">
        <is>
          <t>SR Technics Switzerland</t>
        </is>
      </c>
    </row>
    <row r="1162">
      <c r="B1162" s="31" t="inlineStr">
        <is>
          <t>CFM56-5B</t>
        </is>
      </c>
      <c r="C1162" s="31" t="inlineStr">
        <is>
          <t>2024-2025</t>
        </is>
      </c>
      <c r="D1162" s="31" t="inlineStr">
        <is>
          <t>657875</t>
        </is>
      </c>
      <c r="E1162" s="31" t="inlineStr">
        <is>
          <t>72-09-04</t>
        </is>
      </c>
      <c r="F1162" s="31" t="inlineStr">
        <is>
          <t>C</t>
        </is>
      </c>
      <c r="G1162" s="31" t="inlineStr">
        <is>
          <t>Other / assembly</t>
        </is>
      </c>
      <c r="H1162" s="27" t="n">
        <v>50</v>
      </c>
      <c r="I1162" s="27" t="n">
        <v>55</v>
      </c>
      <c r="J1162" s="154">
        <f>I1162/H1162-1</f>
        <v/>
      </c>
      <c r="K1162" s="31" t="inlineStr">
        <is>
          <t>74</t>
        </is>
      </c>
      <c r="L1162" s="31" t="inlineStr">
        <is>
          <t>75</t>
        </is>
      </c>
      <c r="M1162" s="31" t="inlineStr">
        <is>
          <t>S1</t>
        </is>
      </c>
      <c r="N1162" s="31" t="inlineStr">
        <is>
          <t>S2</t>
        </is>
      </c>
      <c r="O1162" s="31" t="inlineStr">
        <is>
          <t>1444M20G03</t>
        </is>
      </c>
      <c r="P1162" s="31" t="inlineStr">
        <is>
          <t>SR Technics Switzerland</t>
        </is>
      </c>
    </row>
    <row r="1163">
      <c r="B1163" s="31" t="inlineStr">
        <is>
          <t>CFM56-5B</t>
        </is>
      </c>
      <c r="C1163" s="31" t="inlineStr">
        <is>
          <t>2024-2025</t>
        </is>
      </c>
      <c r="D1163" s="31" t="inlineStr">
        <is>
          <t>657875</t>
        </is>
      </c>
      <c r="E1163" s="31" t="inlineStr">
        <is>
          <t>72-09-04</t>
        </is>
      </c>
      <c r="F1163" s="31" t="inlineStr">
        <is>
          <t>SB03</t>
        </is>
      </c>
      <c r="G1163" s="31" t="inlineStr">
        <is>
          <t>Other / assembly</t>
        </is>
      </c>
      <c r="H1163" s="27" t="n">
        <v>280</v>
      </c>
      <c r="I1163" s="27" t="n">
        <v>300</v>
      </c>
      <c r="J1163" s="154">
        <f>I1163/H1163-1</f>
        <v/>
      </c>
      <c r="K1163" s="31" t="inlineStr">
        <is>
          <t>74</t>
        </is>
      </c>
      <c r="L1163" s="31" t="inlineStr">
        <is>
          <t>75</t>
        </is>
      </c>
      <c r="M1163" s="31" t="inlineStr">
        <is>
          <t>S1</t>
        </is>
      </c>
      <c r="N1163" s="31" t="inlineStr">
        <is>
          <t>S2</t>
        </is>
      </c>
      <c r="O1163" s="31" t="inlineStr">
        <is>
          <t>1444M20G03</t>
        </is>
      </c>
      <c r="P1163" s="31" t="inlineStr">
        <is>
          <t>SR Technics Switzerland</t>
        </is>
      </c>
    </row>
    <row r="1164">
      <c r="B1164" s="31" t="inlineStr">
        <is>
          <t>CFM56-5B</t>
        </is>
      </c>
      <c r="C1164" s="31" t="inlineStr">
        <is>
          <t>2024-2025</t>
        </is>
      </c>
      <c r="D1164" s="31" t="inlineStr">
        <is>
          <t>657875</t>
        </is>
      </c>
      <c r="E1164" s="31" t="inlineStr">
        <is>
          <t>72-09-04</t>
        </is>
      </c>
      <c r="F1164" s="31" t="inlineStr">
        <is>
          <t>V</t>
        </is>
      </c>
      <c r="G1164" s="31" t="inlineStr">
        <is>
          <t>Other / assembly</t>
        </is>
      </c>
      <c r="H1164" s="27" t="n">
        <v>85</v>
      </c>
      <c r="I1164" s="27" t="n">
        <v>95</v>
      </c>
      <c r="J1164" s="154">
        <f>I1164/H1164-1</f>
        <v/>
      </c>
      <c r="K1164" s="31" t="inlineStr">
        <is>
          <t>74</t>
        </is>
      </c>
      <c r="L1164" s="31" t="inlineStr">
        <is>
          <t>75</t>
        </is>
      </c>
      <c r="M1164" s="31" t="inlineStr">
        <is>
          <t>S1</t>
        </is>
      </c>
      <c r="N1164" s="31" t="inlineStr">
        <is>
          <t>S2</t>
        </is>
      </c>
      <c r="O1164" s="31" t="inlineStr">
        <is>
          <t>1444M20G03</t>
        </is>
      </c>
      <c r="P1164" s="31" t="inlineStr">
        <is>
          <t>SR Technics Switzerland</t>
        </is>
      </c>
    </row>
    <row r="1165">
      <c r="B1165" s="31" t="inlineStr">
        <is>
          <t>CFM56-5B</t>
        </is>
      </c>
      <c r="C1165" s="31" t="inlineStr">
        <is>
          <t>2024-2025</t>
        </is>
      </c>
      <c r="D1165" s="31" t="inlineStr">
        <is>
          <t>657876</t>
        </is>
      </c>
      <c r="E1165" s="31" t="inlineStr">
        <is>
          <t>72-09-04</t>
        </is>
      </c>
      <c r="F1165" s="31" t="inlineStr">
        <is>
          <t>A</t>
        </is>
      </c>
      <c r="G1165" s="31" t="inlineStr">
        <is>
          <t>Other / assembly</t>
        </is>
      </c>
      <c r="H1165" s="27" t="n">
        <v>250</v>
      </c>
      <c r="I1165" s="27" t="n">
        <v>265</v>
      </c>
      <c r="J1165" s="154">
        <f>I1165/H1165-1</f>
        <v/>
      </c>
      <c r="K1165" s="31" t="inlineStr">
        <is>
          <t>78</t>
        </is>
      </c>
      <c r="L1165" s="31" t="inlineStr">
        <is>
          <t>79</t>
        </is>
      </c>
      <c r="M1165" s="31" t="inlineStr">
        <is>
          <t>S1</t>
        </is>
      </c>
      <c r="N1165" s="31" t="inlineStr">
        <is>
          <t>S2</t>
        </is>
      </c>
      <c r="O1165" s="31" t="inlineStr">
        <is>
          <t>1677M58G01</t>
        </is>
      </c>
      <c r="P1165" s="31" t="inlineStr">
        <is>
          <t>SR Technics Switzerland</t>
        </is>
      </c>
    </row>
    <row r="1166">
      <c r="B1166" s="31" t="inlineStr">
        <is>
          <t>CFM56-5B</t>
        </is>
      </c>
      <c r="C1166" s="31" t="inlineStr">
        <is>
          <t>2024-2025</t>
        </is>
      </c>
      <c r="D1166" s="31" t="inlineStr">
        <is>
          <t>657876</t>
        </is>
      </c>
      <c r="E1166" s="31" t="inlineStr">
        <is>
          <t>72-09-04</t>
        </is>
      </c>
      <c r="F1166" s="31" t="inlineStr">
        <is>
          <t>B</t>
        </is>
      </c>
      <c r="G1166" s="31" t="inlineStr">
        <is>
          <t>Other / assembly</t>
        </is>
      </c>
      <c r="H1166" s="27" t="n">
        <v>400</v>
      </c>
      <c r="I1166" s="27" t="n">
        <v>425</v>
      </c>
      <c r="J1166" s="154">
        <f>I1166/H1166-1</f>
        <v/>
      </c>
      <c r="K1166" s="31" t="inlineStr">
        <is>
          <t>78</t>
        </is>
      </c>
      <c r="L1166" s="31" t="inlineStr">
        <is>
          <t>79</t>
        </is>
      </c>
      <c r="M1166" s="31" t="inlineStr">
        <is>
          <t>S1</t>
        </is>
      </c>
      <c r="N1166" s="31" t="inlineStr">
        <is>
          <t>S2</t>
        </is>
      </c>
      <c r="O1166" s="31" t="inlineStr">
        <is>
          <t>1677M58G01</t>
        </is>
      </c>
      <c r="P1166" s="31" t="inlineStr">
        <is>
          <t>SR Technics Switzerland</t>
        </is>
      </c>
    </row>
    <row r="1167">
      <c r="B1167" s="31" t="inlineStr">
        <is>
          <t>CFM56-5B</t>
        </is>
      </c>
      <c r="C1167" s="31" t="inlineStr">
        <is>
          <t>2024-2025</t>
        </is>
      </c>
      <c r="D1167" s="31" t="inlineStr">
        <is>
          <t>657876</t>
        </is>
      </c>
      <c r="E1167" s="31" t="inlineStr">
        <is>
          <t>72-09-04</t>
        </is>
      </c>
      <c r="F1167" s="31" t="inlineStr">
        <is>
          <t>C</t>
        </is>
      </c>
      <c r="G1167" s="31" t="inlineStr">
        <is>
          <t>Other / assembly</t>
        </is>
      </c>
      <c r="H1167" s="27" t="n">
        <v>155</v>
      </c>
      <c r="I1167" s="27" t="n">
        <v>165</v>
      </c>
      <c r="J1167" s="154">
        <f>I1167/H1167-1</f>
        <v/>
      </c>
      <c r="K1167" s="31" t="inlineStr">
        <is>
          <t>78</t>
        </is>
      </c>
      <c r="L1167" s="31" t="inlineStr">
        <is>
          <t>79</t>
        </is>
      </c>
      <c r="M1167" s="31" t="inlineStr">
        <is>
          <t>S1</t>
        </is>
      </c>
      <c r="N1167" s="31" t="inlineStr">
        <is>
          <t>S2</t>
        </is>
      </c>
      <c r="O1167" s="31" t="inlineStr">
        <is>
          <t>1677M58G01</t>
        </is>
      </c>
      <c r="P1167" s="31" t="inlineStr">
        <is>
          <t>SR Technics Switzerland</t>
        </is>
      </c>
    </row>
    <row r="1168">
      <c r="B1168" s="31" t="inlineStr">
        <is>
          <t>CFM56-5B</t>
        </is>
      </c>
      <c r="C1168" s="31" t="inlineStr">
        <is>
          <t>2024-2025</t>
        </is>
      </c>
      <c r="D1168" s="31" t="inlineStr">
        <is>
          <t>657876</t>
        </is>
      </c>
      <c r="E1168" s="31" t="inlineStr">
        <is>
          <t>72-09-04</t>
        </is>
      </c>
      <c r="F1168" s="31" t="inlineStr">
        <is>
          <t>SB00</t>
        </is>
      </c>
      <c r="G1168" s="31" t="inlineStr">
        <is>
          <t>Other / assembly</t>
        </is>
      </c>
      <c r="H1168" s="27" t="n">
        <v>255</v>
      </c>
      <c r="I1168" s="27" t="n">
        <v>275</v>
      </c>
      <c r="J1168" s="154">
        <f>I1168/H1168-1</f>
        <v/>
      </c>
      <c r="K1168" s="31" t="inlineStr">
        <is>
          <t>78</t>
        </is>
      </c>
      <c r="L1168" s="31" t="inlineStr">
        <is>
          <t>79</t>
        </is>
      </c>
      <c r="M1168" s="31" t="inlineStr">
        <is>
          <t>S1</t>
        </is>
      </c>
      <c r="N1168" s="31" t="inlineStr">
        <is>
          <t>S2</t>
        </is>
      </c>
      <c r="O1168" s="31" t="inlineStr">
        <is>
          <t>1677M58G01</t>
        </is>
      </c>
      <c r="P1168" s="31" t="inlineStr">
        <is>
          <t>SR Technics Switzerland</t>
        </is>
      </c>
    </row>
    <row r="1169">
      <c r="B1169" s="31" t="inlineStr">
        <is>
          <t>CFM56-5B</t>
        </is>
      </c>
      <c r="C1169" s="31" t="inlineStr">
        <is>
          <t>2024-2025</t>
        </is>
      </c>
      <c r="D1169" s="31" t="inlineStr">
        <is>
          <t>657876</t>
        </is>
      </c>
      <c r="E1169" s="31" t="inlineStr">
        <is>
          <t>72-09-04</t>
        </is>
      </c>
      <c r="F1169" s="31" t="inlineStr">
        <is>
          <t>SB02</t>
        </is>
      </c>
      <c r="G1169" s="31" t="inlineStr">
        <is>
          <t>Other / assembly</t>
        </is>
      </c>
      <c r="H1169" s="27" t="n">
        <v>255</v>
      </c>
      <c r="I1169" s="27" t="n">
        <v>275</v>
      </c>
      <c r="J1169" s="154">
        <f>I1169/H1169-1</f>
        <v/>
      </c>
      <c r="K1169" s="31" t="inlineStr">
        <is>
          <t>78</t>
        </is>
      </c>
      <c r="L1169" s="31" t="inlineStr">
        <is>
          <t>79</t>
        </is>
      </c>
      <c r="M1169" s="31" t="inlineStr">
        <is>
          <t>S1</t>
        </is>
      </c>
      <c r="N1169" s="31" t="inlineStr">
        <is>
          <t>S2</t>
        </is>
      </c>
      <c r="O1169" s="31" t="inlineStr">
        <is>
          <t>1677M58G01</t>
        </is>
      </c>
      <c r="P1169" s="31" t="inlineStr">
        <is>
          <t>SR Technics Switzerland</t>
        </is>
      </c>
    </row>
    <row r="1170">
      <c r="B1170" s="31" t="inlineStr">
        <is>
          <t>CFM56-5B</t>
        </is>
      </c>
      <c r="C1170" s="31" t="inlineStr">
        <is>
          <t>2024-2025</t>
        </is>
      </c>
      <c r="D1170" s="31" t="inlineStr">
        <is>
          <t>657876</t>
        </is>
      </c>
      <c r="E1170" s="31" t="inlineStr">
        <is>
          <t>72-09-04</t>
        </is>
      </c>
      <c r="F1170" s="31" t="inlineStr">
        <is>
          <t>SB04</t>
        </is>
      </c>
      <c r="G1170" s="31" t="inlineStr">
        <is>
          <t>Other / assembly</t>
        </is>
      </c>
      <c r="H1170" s="27" t="n">
        <v>255</v>
      </c>
      <c r="I1170" s="27" t="n">
        <v>275</v>
      </c>
      <c r="J1170" s="154">
        <f>I1170/H1170-1</f>
        <v/>
      </c>
      <c r="K1170" s="31" t="inlineStr">
        <is>
          <t>78</t>
        </is>
      </c>
      <c r="L1170" s="31" t="inlineStr">
        <is>
          <t>79</t>
        </is>
      </c>
      <c r="M1170" s="31" t="inlineStr">
        <is>
          <t>S1</t>
        </is>
      </c>
      <c r="N1170" s="31" t="inlineStr">
        <is>
          <t>S2</t>
        </is>
      </c>
      <c r="O1170" s="31" t="inlineStr">
        <is>
          <t>1677M58G01</t>
        </is>
      </c>
      <c r="P1170" s="31" t="inlineStr">
        <is>
          <t>SR Technics Switzerland</t>
        </is>
      </c>
    </row>
    <row r="1171">
      <c r="B1171" s="31" t="inlineStr">
        <is>
          <t>CFM56-5B</t>
        </is>
      </c>
      <c r="C1171" s="31" t="inlineStr">
        <is>
          <t>2024-2025</t>
        </is>
      </c>
      <c r="D1171" s="31" t="inlineStr">
        <is>
          <t>657876</t>
        </is>
      </c>
      <c r="E1171" s="31" t="inlineStr">
        <is>
          <t>72-09-04</t>
        </is>
      </c>
      <c r="F1171" s="31" t="inlineStr">
        <is>
          <t>SB05</t>
        </is>
      </c>
      <c r="G1171" s="31" t="inlineStr">
        <is>
          <t>Other / assembly</t>
        </is>
      </c>
      <c r="H1171" s="27" t="n">
        <v>255</v>
      </c>
      <c r="I1171" s="27" t="n">
        <v>275</v>
      </c>
      <c r="J1171" s="154">
        <f>I1171/H1171-1</f>
        <v/>
      </c>
      <c r="K1171" s="31" t="inlineStr">
        <is>
          <t>78</t>
        </is>
      </c>
      <c r="L1171" s="31" t="inlineStr">
        <is>
          <t>79</t>
        </is>
      </c>
      <c r="M1171" s="31" t="inlineStr">
        <is>
          <t>S1</t>
        </is>
      </c>
      <c r="N1171" s="31" t="inlineStr">
        <is>
          <t>S2</t>
        </is>
      </c>
      <c r="O1171" s="31" t="inlineStr">
        <is>
          <t>1677M58G01</t>
        </is>
      </c>
      <c r="P1171" s="31" t="inlineStr">
        <is>
          <t>SR Technics Switzerland</t>
        </is>
      </c>
    </row>
    <row r="1172">
      <c r="B1172" s="31" t="inlineStr">
        <is>
          <t>CFM56-5B</t>
        </is>
      </c>
      <c r="C1172" s="31" t="inlineStr">
        <is>
          <t>2024-2025</t>
        </is>
      </c>
      <c r="D1172" s="31" t="inlineStr">
        <is>
          <t>657876</t>
        </is>
      </c>
      <c r="E1172" s="31" t="inlineStr">
        <is>
          <t>72-09-04</t>
        </is>
      </c>
      <c r="F1172" s="31" t="inlineStr">
        <is>
          <t>SB06</t>
        </is>
      </c>
      <c r="G1172" s="31" t="inlineStr">
        <is>
          <t>Other / assembly</t>
        </is>
      </c>
      <c r="H1172" s="27" t="n">
        <v>255</v>
      </c>
      <c r="I1172" s="27" t="n">
        <v>275</v>
      </c>
      <c r="J1172" s="154">
        <f>I1172/H1172-1</f>
        <v/>
      </c>
      <c r="K1172" s="31" t="inlineStr">
        <is>
          <t>78</t>
        </is>
      </c>
      <c r="L1172" s="31" t="inlineStr">
        <is>
          <t>79</t>
        </is>
      </c>
      <c r="M1172" s="31" t="inlineStr">
        <is>
          <t>S1</t>
        </is>
      </c>
      <c r="N1172" s="31" t="inlineStr">
        <is>
          <t>S2</t>
        </is>
      </c>
      <c r="O1172" s="31" t="inlineStr">
        <is>
          <t>1677M58G01</t>
        </is>
      </c>
      <c r="P1172" s="31" t="inlineStr">
        <is>
          <t>SR Technics Switzerland</t>
        </is>
      </c>
    </row>
    <row r="1173">
      <c r="B1173" s="31" t="inlineStr">
        <is>
          <t>CFM56-5B</t>
        </is>
      </c>
      <c r="C1173" s="31" t="inlineStr">
        <is>
          <t>2024-2025</t>
        </is>
      </c>
      <c r="D1173" s="31" t="inlineStr">
        <is>
          <t>657876</t>
        </is>
      </c>
      <c r="E1173" s="31" t="inlineStr">
        <is>
          <t>72-09-04</t>
        </is>
      </c>
      <c r="F1173" s="31" t="inlineStr">
        <is>
          <t>SB07</t>
        </is>
      </c>
      <c r="G1173" s="31" t="inlineStr">
        <is>
          <t>Other / assembly</t>
        </is>
      </c>
      <c r="H1173" s="27" t="n">
        <v>255</v>
      </c>
      <c r="I1173" s="27" t="n">
        <v>275</v>
      </c>
      <c r="J1173" s="154">
        <f>I1173/H1173-1</f>
        <v/>
      </c>
      <c r="K1173" s="31" t="inlineStr">
        <is>
          <t>78</t>
        </is>
      </c>
      <c r="L1173" s="31" t="inlineStr">
        <is>
          <t>79</t>
        </is>
      </c>
      <c r="M1173" s="31" t="inlineStr">
        <is>
          <t>S1</t>
        </is>
      </c>
      <c r="N1173" s="31" t="inlineStr">
        <is>
          <t>S2</t>
        </is>
      </c>
      <c r="O1173" s="31" t="inlineStr">
        <is>
          <t>1677M58G01</t>
        </is>
      </c>
      <c r="P1173" s="31" t="inlineStr">
        <is>
          <t>SR Technics Switzerland</t>
        </is>
      </c>
    </row>
    <row r="1174">
      <c r="B1174" s="31" t="inlineStr">
        <is>
          <t>CFM56-5B</t>
        </is>
      </c>
      <c r="C1174" s="31" t="inlineStr">
        <is>
          <t>2024-2025</t>
        </is>
      </c>
      <c r="D1174" s="31" t="inlineStr">
        <is>
          <t>657876</t>
        </is>
      </c>
      <c r="E1174" s="31" t="inlineStr">
        <is>
          <t>72-09-04</t>
        </is>
      </c>
      <c r="F1174" s="31" t="inlineStr">
        <is>
          <t>V</t>
        </is>
      </c>
      <c r="G1174" s="31" t="inlineStr">
        <is>
          <t>Other / assembly</t>
        </is>
      </c>
      <c r="H1174" s="27" t="n">
        <v>120</v>
      </c>
      <c r="I1174" s="27" t="n">
        <v>130</v>
      </c>
      <c r="J1174" s="154">
        <f>I1174/H1174-1</f>
        <v/>
      </c>
      <c r="K1174" s="31" t="inlineStr">
        <is>
          <t>78</t>
        </is>
      </c>
      <c r="L1174" s="31" t="inlineStr">
        <is>
          <t>79</t>
        </is>
      </c>
      <c r="M1174" s="31" t="inlineStr">
        <is>
          <t>S1</t>
        </is>
      </c>
      <c r="N1174" s="31" t="inlineStr">
        <is>
          <t>S2</t>
        </is>
      </c>
      <c r="O1174" s="31" t="inlineStr">
        <is>
          <t>1677M58G01</t>
        </is>
      </c>
      <c r="P1174" s="31" t="inlineStr">
        <is>
          <t>SR Technics Switzerland</t>
        </is>
      </c>
    </row>
    <row r="1175">
      <c r="B1175" s="31" t="inlineStr">
        <is>
          <t>CFM56-5B</t>
        </is>
      </c>
      <c r="C1175" s="31" t="inlineStr">
        <is>
          <t>2024-2025</t>
        </is>
      </c>
      <c r="D1175" s="31" t="inlineStr">
        <is>
          <t>65986</t>
        </is>
      </c>
      <c r="E1175" s="31" t="inlineStr">
        <is>
          <t>72-32-11</t>
        </is>
      </c>
      <c r="F1175" s="31" t="inlineStr">
        <is>
          <t>A</t>
        </is>
      </c>
      <c r="G1175" s="31" t="inlineStr">
        <is>
          <t>Compressor</t>
        </is>
      </c>
      <c r="H1175" s="27" t="n">
        <v>470</v>
      </c>
      <c r="I1175" s="27" t="n">
        <v>500</v>
      </c>
      <c r="J1175" s="154">
        <f>I1175/H1175-1</f>
        <v/>
      </c>
      <c r="K1175" s="31" t="inlineStr">
        <is>
          <t>41</t>
        </is>
      </c>
      <c r="L1175" s="31" t="inlineStr">
        <is>
          <t>41</t>
        </is>
      </c>
      <c r="M1175" s="31" t="inlineStr">
        <is>
          <t>S1</t>
        </is>
      </c>
      <c r="N1175" s="31" t="inlineStr">
        <is>
          <t>S2</t>
        </is>
      </c>
      <c r="O1175" s="31" t="inlineStr">
        <is>
          <t>1318M20G03</t>
        </is>
      </c>
      <c r="P1175" s="31" t="inlineStr">
        <is>
          <t>SR Technics Switzerland</t>
        </is>
      </c>
    </row>
    <row r="1176">
      <c r="B1176" s="31" t="inlineStr">
        <is>
          <t>CFM56-5B</t>
        </is>
      </c>
      <c r="C1176" s="31" t="inlineStr">
        <is>
          <t>2024-2025</t>
        </is>
      </c>
      <c r="D1176" s="31" t="inlineStr">
        <is>
          <t>663314</t>
        </is>
      </c>
      <c r="E1176" s="31" t="inlineStr">
        <is>
          <t>71-21-08</t>
        </is>
      </c>
      <c r="F1176" s="31" t="inlineStr">
        <is>
          <t>A</t>
        </is>
      </c>
      <c r="G1176" s="31" t="inlineStr">
        <is>
          <t>Other / assembly</t>
        </is>
      </c>
      <c r="H1176" s="27" t="n">
        <v>340</v>
      </c>
      <c r="I1176" s="27" t="n">
        <v>365</v>
      </c>
      <c r="J1176" s="154">
        <f>I1176/H1176-1</f>
        <v/>
      </c>
      <c r="K1176" s="31" t="inlineStr">
        <is>
          <t>26</t>
        </is>
      </c>
      <c r="L1176" s="31" t="inlineStr">
        <is>
          <t>26</t>
        </is>
      </c>
      <c r="M1176" s="31" t="inlineStr">
        <is>
          <t>S1</t>
        </is>
      </c>
      <c r="N1176" s="31" t="inlineStr">
        <is>
          <t>S2</t>
        </is>
      </c>
      <c r="O1176" s="31" t="inlineStr">
        <is>
          <t>PBF1340-3-3</t>
        </is>
      </c>
      <c r="P1176" s="31" t="inlineStr">
        <is>
          <t>SR Technics Switzerland</t>
        </is>
      </c>
    </row>
    <row r="1177">
      <c r="B1177" s="31" t="inlineStr">
        <is>
          <t>CFM56-5B</t>
        </is>
      </c>
      <c r="C1177" s="31" t="inlineStr">
        <is>
          <t>2024-2025</t>
        </is>
      </c>
      <c r="D1177" s="31" t="inlineStr">
        <is>
          <t>663441</t>
        </is>
      </c>
      <c r="E1177" s="31" t="inlineStr">
        <is>
          <t>72-00-00</t>
        </is>
      </c>
      <c r="F1177" s="31" t="inlineStr">
        <is>
          <t>A</t>
        </is>
      </c>
      <c r="G1177" s="31" t="inlineStr">
        <is>
          <t>Other / assembly</t>
        </is>
      </c>
      <c r="H1177" s="27" t="n">
        <v>205</v>
      </c>
      <c r="I1177" s="27" t="n">
        <v>220</v>
      </c>
      <c r="J1177" s="154">
        <f>I1177/H1177-1</f>
        <v/>
      </c>
      <c r="K1177" s="31" t="inlineStr">
        <is>
          <t>80</t>
        </is>
      </c>
      <c r="L1177" s="31" t="inlineStr">
        <is>
          <t>82</t>
        </is>
      </c>
      <c r="M1177" s="31" t="inlineStr">
        <is>
          <t>S1</t>
        </is>
      </c>
      <c r="N1177" s="31" t="inlineStr">
        <is>
          <t>S2</t>
        </is>
      </c>
      <c r="O1177" s="31" t="inlineStr">
        <is>
          <t>30377-300</t>
        </is>
      </c>
      <c r="P1177" s="31" t="inlineStr">
        <is>
          <t>SR Technics Switzerland</t>
        </is>
      </c>
    </row>
    <row r="1178">
      <c r="B1178" s="31" t="inlineStr">
        <is>
          <t>CFM56-5B</t>
        </is>
      </c>
      <c r="C1178" s="31" t="inlineStr">
        <is>
          <t>2024-2025</t>
        </is>
      </c>
      <c r="D1178" s="31" t="inlineStr">
        <is>
          <t>663891</t>
        </is>
      </c>
      <c r="E1178" s="31" t="inlineStr">
        <is>
          <t>72-09-04</t>
        </is>
      </c>
      <c r="F1178" s="31" t="inlineStr">
        <is>
          <t>A</t>
        </is>
      </c>
      <c r="G1178" s="31" t="inlineStr">
        <is>
          <t>Other / assembly</t>
        </is>
      </c>
      <c r="H1178" s="27" t="n">
        <v>130</v>
      </c>
      <c r="I1178" s="27" t="n">
        <v>140</v>
      </c>
      <c r="J1178" s="154">
        <f>I1178/H1178-1</f>
        <v/>
      </c>
      <c r="K1178" s="31" t="inlineStr">
        <is>
          <t>81</t>
        </is>
      </c>
      <c r="L1178" s="31" t="inlineStr">
        <is>
          <t>82</t>
        </is>
      </c>
      <c r="M1178" s="31" t="inlineStr">
        <is>
          <t>S1</t>
        </is>
      </c>
      <c r="N1178" s="31" t="inlineStr">
        <is>
          <t>S2</t>
        </is>
      </c>
      <c r="O1178" s="31" t="inlineStr">
        <is>
          <t>J905P08A</t>
        </is>
      </c>
      <c r="P1178" s="31" t="inlineStr">
        <is>
          <t>SR Technics Switzerland</t>
        </is>
      </c>
    </row>
    <row r="1179">
      <c r="B1179" s="31" t="inlineStr">
        <is>
          <t>CFM56-5B</t>
        </is>
      </c>
      <c r="C1179" s="31" t="inlineStr">
        <is>
          <t>2024-2025</t>
        </is>
      </c>
      <c r="D1179" s="31" t="inlineStr">
        <is>
          <t>664390</t>
        </is>
      </c>
      <c r="E1179" s="31" t="inlineStr">
        <is>
          <t>72-21-09</t>
        </is>
      </c>
      <c r="F1179" s="31" t="inlineStr">
        <is>
          <t>A</t>
        </is>
      </c>
      <c r="G1179" s="31" t="inlineStr">
        <is>
          <t>Fan / booster</t>
        </is>
      </c>
      <c r="H1179" s="27" t="n">
        <v>745</v>
      </c>
      <c r="I1179" s="27" t="n">
        <v>790</v>
      </c>
      <c r="J1179" s="154">
        <f>I1179/H1179-1</f>
        <v/>
      </c>
      <c r="K1179" s="31" t="inlineStr">
        <is>
          <t>26</t>
        </is>
      </c>
      <c r="L1179" s="31" t="inlineStr">
        <is>
          <t>26</t>
        </is>
      </c>
      <c r="M1179" s="31" t="inlineStr">
        <is>
          <t>S1</t>
        </is>
      </c>
      <c r="N1179" s="31" t="inlineStr">
        <is>
          <t>S2</t>
        </is>
      </c>
      <c r="O1179" s="31" t="inlineStr">
        <is>
          <t>338-003-504-0</t>
        </is>
      </c>
      <c r="P1179" s="31" t="inlineStr">
        <is>
          <t>SR Technics Switzerland</t>
        </is>
      </c>
    </row>
    <row r="1180">
      <c r="B1180" s="31" t="inlineStr">
        <is>
          <t>CFM56-5B</t>
        </is>
      </c>
      <c r="C1180" s="31" t="inlineStr">
        <is>
          <t>2024-2025</t>
        </is>
      </c>
      <c r="D1180" s="31" t="inlineStr">
        <is>
          <t>664390</t>
        </is>
      </c>
      <c r="E1180" s="31" t="inlineStr">
        <is>
          <t>72-21-09</t>
        </is>
      </c>
      <c r="F1180" s="31" t="inlineStr">
        <is>
          <t>B</t>
        </is>
      </c>
      <c r="G1180" s="31" t="inlineStr">
        <is>
          <t>Fan / booster</t>
        </is>
      </c>
      <c r="H1180" s="27" t="n">
        <v>520</v>
      </c>
      <c r="I1180" s="27" t="n">
        <v>555</v>
      </c>
      <c r="J1180" s="154">
        <f>I1180/H1180-1</f>
        <v/>
      </c>
      <c r="K1180" s="31" t="inlineStr">
        <is>
          <t>26</t>
        </is>
      </c>
      <c r="L1180" s="31" t="inlineStr">
        <is>
          <t>26</t>
        </is>
      </c>
      <c r="M1180" s="31" t="inlineStr">
        <is>
          <t>S1</t>
        </is>
      </c>
      <c r="N1180" s="31" t="inlineStr">
        <is>
          <t>S2</t>
        </is>
      </c>
      <c r="O1180" s="31" t="inlineStr">
        <is>
          <t>338-003-504-0</t>
        </is>
      </c>
      <c r="P1180" s="31" t="inlineStr">
        <is>
          <t>SR Technics Switzerland</t>
        </is>
      </c>
    </row>
    <row r="1181">
      <c r="B1181" s="31" t="inlineStr">
        <is>
          <t>CFM56-5B</t>
        </is>
      </c>
      <c r="C1181" s="31" t="inlineStr">
        <is>
          <t>2024-2025</t>
        </is>
      </c>
      <c r="D1181" s="31" t="inlineStr">
        <is>
          <t>664390</t>
        </is>
      </c>
      <c r="E1181" s="31" t="inlineStr">
        <is>
          <t>72-21-09</t>
        </is>
      </c>
      <c r="F1181" s="31" t="inlineStr">
        <is>
          <t>C</t>
        </is>
      </c>
      <c r="G1181" s="31" t="inlineStr">
        <is>
          <t>Fan / booster</t>
        </is>
      </c>
      <c r="H1181" s="27" t="n">
        <v>3275</v>
      </c>
      <c r="I1181" s="27" t="n">
        <v>3475</v>
      </c>
      <c r="J1181" s="154">
        <f>I1181/H1181-1</f>
        <v/>
      </c>
      <c r="K1181" s="31" t="inlineStr">
        <is>
          <t>26</t>
        </is>
      </c>
      <c r="L1181" s="31" t="inlineStr">
        <is>
          <t>26</t>
        </is>
      </c>
      <c r="M1181" s="31" t="inlineStr">
        <is>
          <t>S1</t>
        </is>
      </c>
      <c r="N1181" s="31" t="inlineStr">
        <is>
          <t>S2</t>
        </is>
      </c>
      <c r="O1181" s="31" t="inlineStr">
        <is>
          <t>338-003-504-0</t>
        </is>
      </c>
      <c r="P1181" s="31" t="inlineStr">
        <is>
          <t>SR Technics Switzerland</t>
        </is>
      </c>
    </row>
    <row r="1182">
      <c r="B1182" s="31" t="inlineStr">
        <is>
          <t>CFM56-5B</t>
        </is>
      </c>
      <c r="C1182" s="31" t="inlineStr">
        <is>
          <t>2024-2025</t>
        </is>
      </c>
      <c r="D1182" s="31" t="inlineStr">
        <is>
          <t>664390</t>
        </is>
      </c>
      <c r="E1182" s="31" t="inlineStr">
        <is>
          <t>72-21-09</t>
        </is>
      </c>
      <c r="F1182" s="31" t="inlineStr">
        <is>
          <t>D</t>
        </is>
      </c>
      <c r="G1182" s="31" t="inlineStr">
        <is>
          <t>Fan / booster</t>
        </is>
      </c>
      <c r="H1182" s="27" t="n">
        <v>4775</v>
      </c>
      <c r="I1182" s="27" t="n">
        <v>5065</v>
      </c>
      <c r="J1182" s="154">
        <f>I1182/H1182-1</f>
        <v/>
      </c>
      <c r="K1182" s="31" t="inlineStr">
        <is>
          <t>26</t>
        </is>
      </c>
      <c r="L1182" s="31" t="inlineStr">
        <is>
          <t>26</t>
        </is>
      </c>
      <c r="M1182" s="31" t="inlineStr">
        <is>
          <t>S1</t>
        </is>
      </c>
      <c r="N1182" s="31" t="inlineStr">
        <is>
          <t>S2</t>
        </is>
      </c>
      <c r="O1182" s="31" t="inlineStr">
        <is>
          <t>338-003-504-0</t>
        </is>
      </c>
      <c r="P1182" s="31" t="inlineStr">
        <is>
          <t>SR Technics Switzerland</t>
        </is>
      </c>
    </row>
    <row r="1183">
      <c r="B1183" s="31" t="inlineStr">
        <is>
          <t>CFM56-5B</t>
        </is>
      </c>
      <c r="C1183" s="31" t="inlineStr">
        <is>
          <t>2024-2025</t>
        </is>
      </c>
      <c r="D1183" s="31" t="inlineStr">
        <is>
          <t>664390</t>
        </is>
      </c>
      <c r="E1183" s="31" t="inlineStr">
        <is>
          <t>72-21-09</t>
        </is>
      </c>
      <c r="F1183" s="31" t="inlineStr">
        <is>
          <t>E</t>
        </is>
      </c>
      <c r="G1183" s="31" t="inlineStr">
        <is>
          <t>Fan / booster</t>
        </is>
      </c>
      <c r="H1183" s="27" t="n">
        <v>840</v>
      </c>
      <c r="I1183" s="27" t="n">
        <v>895</v>
      </c>
      <c r="J1183" s="154">
        <f>I1183/H1183-1</f>
        <v/>
      </c>
      <c r="K1183" s="31" t="inlineStr">
        <is>
          <t>26</t>
        </is>
      </c>
      <c r="L1183" s="31" t="inlineStr">
        <is>
          <t>26</t>
        </is>
      </c>
      <c r="M1183" s="31" t="inlineStr">
        <is>
          <t>S1</t>
        </is>
      </c>
      <c r="N1183" s="31" t="inlineStr">
        <is>
          <t>S2</t>
        </is>
      </c>
      <c r="O1183" s="31" t="inlineStr">
        <is>
          <t>338-003-504-0</t>
        </is>
      </c>
      <c r="P1183" s="31" t="inlineStr">
        <is>
          <t>SR Technics Switzerland</t>
        </is>
      </c>
    </row>
    <row r="1184">
      <c r="B1184" s="31" t="inlineStr">
        <is>
          <t>CFM56-5B</t>
        </is>
      </c>
      <c r="C1184" s="31" t="inlineStr">
        <is>
          <t>2024-2025</t>
        </is>
      </c>
      <c r="D1184" s="31" t="inlineStr">
        <is>
          <t>664390</t>
        </is>
      </c>
      <c r="E1184" s="31" t="inlineStr">
        <is>
          <t>72-21-09</t>
        </is>
      </c>
      <c r="F1184" s="31" t="inlineStr">
        <is>
          <t>K</t>
        </is>
      </c>
      <c r="G1184" s="31" t="inlineStr">
        <is>
          <t>Fan / booster</t>
        </is>
      </c>
      <c r="H1184" s="27" t="n">
        <v>865</v>
      </c>
      <c r="I1184" s="27" t="n">
        <v>920</v>
      </c>
      <c r="J1184" s="154">
        <f>I1184/H1184-1</f>
        <v/>
      </c>
      <c r="K1184" s="31" t="inlineStr">
        <is>
          <t>26</t>
        </is>
      </c>
      <c r="L1184" s="31" t="inlineStr">
        <is>
          <t>26</t>
        </is>
      </c>
      <c r="M1184" s="31" t="inlineStr">
        <is>
          <t>S1</t>
        </is>
      </c>
      <c r="N1184" s="31" t="inlineStr">
        <is>
          <t>S2</t>
        </is>
      </c>
      <c r="O1184" s="31" t="inlineStr">
        <is>
          <t>338-003-504-0</t>
        </is>
      </c>
      <c r="P1184" s="31" t="inlineStr">
        <is>
          <t>SR Technics Switzerland</t>
        </is>
      </c>
    </row>
    <row r="1185">
      <c r="B1185" s="31" t="inlineStr">
        <is>
          <t>CFM56-5B</t>
        </is>
      </c>
      <c r="C1185" s="31" t="inlineStr">
        <is>
          <t>2024-2025</t>
        </is>
      </c>
      <c r="D1185" s="31" t="inlineStr">
        <is>
          <t>664390</t>
        </is>
      </c>
      <c r="E1185" s="31" t="inlineStr">
        <is>
          <t>72-21-09</t>
        </is>
      </c>
      <c r="F1185" s="31" t="inlineStr">
        <is>
          <t>L</t>
        </is>
      </c>
      <c r="G1185" s="31" t="inlineStr">
        <is>
          <t>Fan / booster</t>
        </is>
      </c>
      <c r="H1185" s="27" t="n">
        <v>4880</v>
      </c>
      <c r="I1185" s="27" t="n">
        <v>5175</v>
      </c>
      <c r="J1185" s="154">
        <f>I1185/H1185-1</f>
        <v/>
      </c>
      <c r="K1185" s="31" t="inlineStr">
        <is>
          <t>26</t>
        </is>
      </c>
      <c r="L1185" s="31" t="inlineStr">
        <is>
          <t>26</t>
        </is>
      </c>
      <c r="M1185" s="31" t="inlineStr">
        <is>
          <t>S1</t>
        </is>
      </c>
      <c r="N1185" s="31" t="inlineStr">
        <is>
          <t>S2</t>
        </is>
      </c>
      <c r="O1185" s="31" t="inlineStr">
        <is>
          <t>338-003-504-0</t>
        </is>
      </c>
      <c r="P1185" s="31" t="inlineStr">
        <is>
          <t>SR Technics Switzerland</t>
        </is>
      </c>
    </row>
    <row r="1186">
      <c r="B1186" s="31" t="inlineStr">
        <is>
          <t>CFM56-5B</t>
        </is>
      </c>
      <c r="C1186" s="31" t="inlineStr">
        <is>
          <t>2024-2025</t>
        </is>
      </c>
      <c r="D1186" s="31" t="inlineStr">
        <is>
          <t>664390</t>
        </is>
      </c>
      <c r="E1186" s="31" t="inlineStr">
        <is>
          <t>72-21-09</t>
        </is>
      </c>
      <c r="F1186" s="31" t="inlineStr">
        <is>
          <t>SB01</t>
        </is>
      </c>
      <c r="G1186" s="31" t="inlineStr">
        <is>
          <t>Fan / booster</t>
        </is>
      </c>
      <c r="H1186" s="27" t="n">
        <v>4270</v>
      </c>
      <c r="I1186" s="27" t="n">
        <v>4530</v>
      </c>
      <c r="J1186" s="154">
        <f>I1186/H1186-1</f>
        <v/>
      </c>
      <c r="K1186" s="31" t="inlineStr">
        <is>
          <t>26</t>
        </is>
      </c>
      <c r="L1186" s="31" t="inlineStr">
        <is>
          <t>26</t>
        </is>
      </c>
      <c r="M1186" s="31" t="inlineStr">
        <is>
          <t>S1</t>
        </is>
      </c>
      <c r="N1186" s="31" t="inlineStr">
        <is>
          <t>S2</t>
        </is>
      </c>
      <c r="O1186" s="31" t="inlineStr">
        <is>
          <t>338-003-504-0</t>
        </is>
      </c>
      <c r="P1186" s="31" t="inlineStr">
        <is>
          <t>SR Technics Switzerland</t>
        </is>
      </c>
    </row>
    <row r="1187">
      <c r="B1187" s="31" t="inlineStr">
        <is>
          <t>CFM56-5B</t>
        </is>
      </c>
      <c r="C1187" s="31" t="inlineStr">
        <is>
          <t>2024-2025</t>
        </is>
      </c>
      <c r="D1187" s="31" t="inlineStr">
        <is>
          <t>664390</t>
        </is>
      </c>
      <c r="E1187" s="31" t="inlineStr">
        <is>
          <t>72-21-09</t>
        </is>
      </c>
      <c r="F1187" s="31" t="inlineStr">
        <is>
          <t>SB02</t>
        </is>
      </c>
      <c r="G1187" s="31" t="inlineStr">
        <is>
          <t>Fan / booster</t>
        </is>
      </c>
      <c r="H1187" s="27" t="n">
        <v>7520</v>
      </c>
      <c r="I1187" s="27" t="n">
        <v>7975</v>
      </c>
      <c r="J1187" s="154">
        <f>I1187/H1187-1</f>
        <v/>
      </c>
      <c r="K1187" s="31" t="inlineStr">
        <is>
          <t>26</t>
        </is>
      </c>
      <c r="L1187" s="31" t="inlineStr">
        <is>
          <t>26</t>
        </is>
      </c>
      <c r="M1187" s="31" t="inlineStr">
        <is>
          <t>S1</t>
        </is>
      </c>
      <c r="N1187" s="31" t="inlineStr">
        <is>
          <t>S2</t>
        </is>
      </c>
      <c r="O1187" s="31" t="inlineStr">
        <is>
          <t>338-003-504-0</t>
        </is>
      </c>
      <c r="P1187" s="31" t="inlineStr">
        <is>
          <t>SR Technics Switzerland</t>
        </is>
      </c>
    </row>
    <row r="1188">
      <c r="B1188" s="31" t="inlineStr">
        <is>
          <t>CFM56-5B</t>
        </is>
      </c>
      <c r="C1188" s="31" t="inlineStr">
        <is>
          <t>2024-2025</t>
        </is>
      </c>
      <c r="D1188" s="31" t="inlineStr">
        <is>
          <t>665444</t>
        </is>
      </c>
      <c r="E1188" s="31" t="inlineStr">
        <is>
          <t>72-21-00</t>
        </is>
      </c>
      <c r="F1188" s="31" t="inlineStr">
        <is>
          <t>A</t>
        </is>
      </c>
      <c r="G1188" s="31" t="inlineStr">
        <is>
          <t>Fan / booster</t>
        </is>
      </c>
      <c r="H1188" s="27" t="n">
        <v>65</v>
      </c>
      <c r="I1188" s="27" t="n">
        <v>70</v>
      </c>
      <c r="J1188" s="154">
        <f>I1188/H1188-1</f>
        <v/>
      </c>
      <c r="K1188" s="31" t="inlineStr">
        <is>
          <t>81</t>
        </is>
      </c>
      <c r="L1188" s="31" t="inlineStr">
        <is>
          <t>83</t>
        </is>
      </c>
      <c r="M1188" s="31" t="inlineStr">
        <is>
          <t>S1</t>
        </is>
      </c>
      <c r="N1188" s="31" t="inlineStr">
        <is>
          <t>S2</t>
        </is>
      </c>
      <c r="O1188" s="31" t="inlineStr">
        <is>
          <t>336-056-201-0</t>
        </is>
      </c>
      <c r="P1188" s="31" t="inlineStr">
        <is>
          <t>SR Technics Switzerland</t>
        </is>
      </c>
    </row>
    <row r="1189">
      <c r="B1189" s="31" t="inlineStr">
        <is>
          <t>CFM56-5B</t>
        </is>
      </c>
      <c r="C1189" s="31" t="inlineStr">
        <is>
          <t>2024-2025</t>
        </is>
      </c>
      <c r="D1189" s="31" t="inlineStr">
        <is>
          <t>667723</t>
        </is>
      </c>
      <c r="E1189" s="31" t="inlineStr">
        <is>
          <t>72-31-20</t>
        </is>
      </c>
      <c r="F1189" s="31" t="inlineStr">
        <is>
          <t>A</t>
        </is>
      </c>
      <c r="G1189" s="31" t="inlineStr">
        <is>
          <t>Compressor</t>
        </is>
      </c>
      <c r="H1189" s="27" t="n">
        <v>65</v>
      </c>
      <c r="I1189" s="27" t="n">
        <v>70</v>
      </c>
      <c r="J1189" s="154">
        <f>I1189/H1189-1</f>
        <v/>
      </c>
      <c r="K1189" s="31" t="inlineStr">
        <is>
          <t>81</t>
        </is>
      </c>
      <c r="L1189" s="31" t="inlineStr">
        <is>
          <t>83</t>
        </is>
      </c>
      <c r="M1189" s="31" t="inlineStr">
        <is>
          <t>S1</t>
        </is>
      </c>
      <c r="N1189" s="31" t="inlineStr">
        <is>
          <t>S2</t>
        </is>
      </c>
      <c r="O1189" s="31" t="inlineStr">
        <is>
          <t>1834M53P01</t>
        </is>
      </c>
      <c r="P1189" s="31" t="inlineStr">
        <is>
          <t>SR Technics Switzerland</t>
        </is>
      </c>
    </row>
    <row r="1190">
      <c r="B1190" s="31" t="inlineStr">
        <is>
          <t>CFM56-5B</t>
        </is>
      </c>
      <c r="C1190" s="31" t="inlineStr">
        <is>
          <t>2024-2025</t>
        </is>
      </c>
      <c r="D1190" s="31" t="inlineStr">
        <is>
          <t>671086</t>
        </is>
      </c>
      <c r="E1190" s="31" t="inlineStr">
        <is>
          <t>72-09-04</t>
        </is>
      </c>
      <c r="F1190" s="31" t="inlineStr">
        <is>
          <t>A</t>
        </is>
      </c>
      <c r="G1190" s="31" t="inlineStr">
        <is>
          <t>Other / assembly</t>
        </is>
      </c>
      <c r="H1190" s="27" t="n">
        <v>140</v>
      </c>
      <c r="I1190" s="27" t="n">
        <v>150</v>
      </c>
      <c r="J1190" s="154">
        <f>I1190/H1190-1</f>
        <v/>
      </c>
      <c r="K1190" s="31" t="inlineStr">
        <is>
          <t>81</t>
        </is>
      </c>
      <c r="L1190" s="31" t="inlineStr">
        <is>
          <t>83</t>
        </is>
      </c>
      <c r="M1190" s="31" t="inlineStr">
        <is>
          <t>S1</t>
        </is>
      </c>
      <c r="N1190" s="31" t="inlineStr">
        <is>
          <t>S2</t>
        </is>
      </c>
      <c r="O1190" s="31" t="inlineStr">
        <is>
          <t>336-482-301-0</t>
        </is>
      </c>
      <c r="P1190" s="31" t="inlineStr">
        <is>
          <t>SR Technics Switzerland</t>
        </is>
      </c>
    </row>
    <row r="1191">
      <c r="B1191" s="31" t="inlineStr">
        <is>
          <t>CFM56-5B</t>
        </is>
      </c>
      <c r="C1191" s="31" t="inlineStr">
        <is>
          <t>2024-2025</t>
        </is>
      </c>
      <c r="D1191" s="31" t="inlineStr">
        <is>
          <t>671086</t>
        </is>
      </c>
      <c r="E1191" s="31" t="inlineStr">
        <is>
          <t>72-09-04</t>
        </is>
      </c>
      <c r="F1191" s="31" t="inlineStr">
        <is>
          <t>B</t>
        </is>
      </c>
      <c r="G1191" s="31" t="inlineStr">
        <is>
          <t>Other / assembly</t>
        </is>
      </c>
      <c r="H1191" s="27" t="n">
        <v>185</v>
      </c>
      <c r="I1191" s="27" t="n">
        <v>200</v>
      </c>
      <c r="J1191" s="154">
        <f>I1191/H1191-1</f>
        <v/>
      </c>
      <c r="K1191" s="31" t="inlineStr">
        <is>
          <t>81</t>
        </is>
      </c>
      <c r="L1191" s="31" t="inlineStr">
        <is>
          <t>83</t>
        </is>
      </c>
      <c r="M1191" s="31" t="inlineStr">
        <is>
          <t>S1</t>
        </is>
      </c>
      <c r="N1191" s="31" t="inlineStr">
        <is>
          <t>S2</t>
        </is>
      </c>
      <c r="O1191" s="31" t="inlineStr">
        <is>
          <t>336-482-301-0</t>
        </is>
      </c>
      <c r="P1191" s="31" t="inlineStr">
        <is>
          <t>SR Technics Switzerland</t>
        </is>
      </c>
    </row>
    <row r="1192">
      <c r="B1192" s="31" t="inlineStr">
        <is>
          <t>CFM56-5B</t>
        </is>
      </c>
      <c r="C1192" s="31" t="inlineStr">
        <is>
          <t>2024-2025</t>
        </is>
      </c>
      <c r="D1192" s="31" t="inlineStr">
        <is>
          <t>671086</t>
        </is>
      </c>
      <c r="E1192" s="31" t="inlineStr">
        <is>
          <t>72-09-04</t>
        </is>
      </c>
      <c r="F1192" s="31" t="inlineStr">
        <is>
          <t>C</t>
        </is>
      </c>
      <c r="G1192" s="31" t="inlineStr">
        <is>
          <t>Other / assembly</t>
        </is>
      </c>
      <c r="H1192" s="27" t="n">
        <v>80</v>
      </c>
      <c r="I1192" s="27" t="n">
        <v>85</v>
      </c>
      <c r="J1192" s="154">
        <f>I1192/H1192-1</f>
        <v/>
      </c>
      <c r="K1192" s="31" t="inlineStr">
        <is>
          <t>81</t>
        </is>
      </c>
      <c r="L1192" s="31" t="inlineStr">
        <is>
          <t>83</t>
        </is>
      </c>
      <c r="M1192" s="31" t="inlineStr">
        <is>
          <t>S1</t>
        </is>
      </c>
      <c r="N1192" s="31" t="inlineStr">
        <is>
          <t>S2</t>
        </is>
      </c>
      <c r="O1192" s="31" t="inlineStr">
        <is>
          <t>336-482-301-0</t>
        </is>
      </c>
      <c r="P1192" s="31" t="inlineStr">
        <is>
          <t>SR Technics Switzerland</t>
        </is>
      </c>
    </row>
    <row r="1193">
      <c r="B1193" s="31" t="inlineStr">
        <is>
          <t>CFM56-5B</t>
        </is>
      </c>
      <c r="C1193" s="31" t="inlineStr">
        <is>
          <t>2024-2025</t>
        </is>
      </c>
      <c r="D1193" s="31" t="inlineStr">
        <is>
          <t>671086</t>
        </is>
      </c>
      <c r="E1193" s="31" t="inlineStr">
        <is>
          <t>72-09-04</t>
        </is>
      </c>
      <c r="F1193" s="31" t="inlineStr">
        <is>
          <t>D</t>
        </is>
      </c>
      <c r="G1193" s="31" t="inlineStr">
        <is>
          <t>Other / assembly</t>
        </is>
      </c>
      <c r="H1193" s="27" t="n">
        <v>135</v>
      </c>
      <c r="I1193" s="27" t="n">
        <v>145</v>
      </c>
      <c r="J1193" s="154">
        <f>I1193/H1193-1</f>
        <v/>
      </c>
      <c r="K1193" s="31" t="inlineStr">
        <is>
          <t>82</t>
        </is>
      </c>
      <c r="L1193" s="31" t="inlineStr">
        <is>
          <t>83</t>
        </is>
      </c>
      <c r="M1193" s="31" t="inlineStr">
        <is>
          <t>S1</t>
        </is>
      </c>
      <c r="N1193" s="31" t="inlineStr">
        <is>
          <t>S2</t>
        </is>
      </c>
      <c r="O1193" s="31" t="inlineStr">
        <is>
          <t>336-482-301-0</t>
        </is>
      </c>
      <c r="P1193" s="31" t="inlineStr">
        <is>
          <t>SR Technics Switzerland</t>
        </is>
      </c>
    </row>
    <row r="1194">
      <c r="B1194" s="31" t="inlineStr">
        <is>
          <t>CFM56-5B</t>
        </is>
      </c>
      <c r="C1194" s="31" t="inlineStr">
        <is>
          <t>2024-2025</t>
        </is>
      </c>
      <c r="D1194" s="31" t="inlineStr">
        <is>
          <t>671089</t>
        </is>
      </c>
      <c r="E1194" s="31" t="inlineStr">
        <is>
          <t>72-09-04</t>
        </is>
      </c>
      <c r="F1194" s="31" t="inlineStr">
        <is>
          <t>A</t>
        </is>
      </c>
      <c r="G1194" s="31" t="inlineStr">
        <is>
          <t>Other / assembly</t>
        </is>
      </c>
      <c r="H1194" s="27" t="n">
        <v>165</v>
      </c>
      <c r="I1194" s="27" t="n">
        <v>250</v>
      </c>
      <c r="J1194" s="154">
        <f>I1194/H1194-1</f>
        <v/>
      </c>
      <c r="K1194" s="31" t="inlineStr">
        <is>
          <t>82</t>
        </is>
      </c>
      <c r="L1194" s="31" t="inlineStr">
        <is>
          <t>84</t>
        </is>
      </c>
      <c r="M1194" s="31" t="inlineStr">
        <is>
          <t>S1</t>
        </is>
      </c>
      <c r="N1194" s="31" t="inlineStr">
        <is>
          <t>S2</t>
        </is>
      </c>
      <c r="O1194" s="31" t="inlineStr">
        <is>
          <t>1348M59P01</t>
        </is>
      </c>
      <c r="P1194" s="31" t="inlineStr">
        <is>
          <t>SR Technics Switzerland</t>
        </is>
      </c>
    </row>
    <row r="1195">
      <c r="B1195" s="31" t="inlineStr">
        <is>
          <t>CFM56-5B</t>
        </is>
      </c>
      <c r="C1195" s="31" t="inlineStr">
        <is>
          <t>2024-2025</t>
        </is>
      </c>
      <c r="D1195" s="31" t="inlineStr">
        <is>
          <t>671089</t>
        </is>
      </c>
      <c r="E1195" s="31" t="inlineStr">
        <is>
          <t>72-09-04</t>
        </is>
      </c>
      <c r="F1195" s="31" t="inlineStr">
        <is>
          <t>B</t>
        </is>
      </c>
      <c r="G1195" s="31" t="inlineStr">
        <is>
          <t>Other / assembly</t>
        </is>
      </c>
      <c r="H1195" s="27" t="n">
        <v>70</v>
      </c>
      <c r="I1195" s="27" t="n">
        <v>75</v>
      </c>
      <c r="J1195" s="154">
        <f>I1195/H1195-1</f>
        <v/>
      </c>
      <c r="K1195" s="31" t="inlineStr">
        <is>
          <t>82</t>
        </is>
      </c>
      <c r="L1195" s="31" t="inlineStr">
        <is>
          <t>84</t>
        </is>
      </c>
      <c r="M1195" s="31" t="inlineStr">
        <is>
          <t>S1</t>
        </is>
      </c>
      <c r="N1195" s="31" t="inlineStr">
        <is>
          <t>S2</t>
        </is>
      </c>
      <c r="O1195" s="31" t="inlineStr">
        <is>
          <t>1348M59P01</t>
        </is>
      </c>
      <c r="P1195" s="31" t="inlineStr">
        <is>
          <t>SR Technics Switzerland</t>
        </is>
      </c>
    </row>
    <row r="1196">
      <c r="B1196" s="31" t="inlineStr">
        <is>
          <t>CFM56-5B</t>
        </is>
      </c>
      <c r="C1196" s="31" t="inlineStr">
        <is>
          <t>2024-2025</t>
        </is>
      </c>
      <c r="D1196" s="31" t="inlineStr">
        <is>
          <t>671089</t>
        </is>
      </c>
      <c r="E1196" s="31" t="inlineStr">
        <is>
          <t>72-09-04</t>
        </is>
      </c>
      <c r="F1196" s="31" t="inlineStr">
        <is>
          <t>C</t>
        </is>
      </c>
      <c r="G1196" s="31" t="inlineStr">
        <is>
          <t>Other / assembly</t>
        </is>
      </c>
      <c r="H1196" s="27" t="n">
        <v>180</v>
      </c>
      <c r="I1196" s="27" t="n">
        <v>195</v>
      </c>
      <c r="J1196" s="154">
        <f>I1196/H1196-1</f>
        <v/>
      </c>
      <c r="K1196" s="31" t="inlineStr">
        <is>
          <t>82</t>
        </is>
      </c>
      <c r="L1196" s="31" t="inlineStr">
        <is>
          <t>84</t>
        </is>
      </c>
      <c r="M1196" s="31" t="inlineStr">
        <is>
          <t>S1</t>
        </is>
      </c>
      <c r="N1196" s="31" t="inlineStr">
        <is>
          <t>S2</t>
        </is>
      </c>
      <c r="O1196" s="31" t="inlineStr">
        <is>
          <t>1348M59P01</t>
        </is>
      </c>
      <c r="P1196" s="31" t="inlineStr">
        <is>
          <t>SR Technics Switzerland</t>
        </is>
      </c>
    </row>
    <row r="1197">
      <c r="B1197" s="31" t="inlineStr">
        <is>
          <t>CFM56-5B</t>
        </is>
      </c>
      <c r="C1197" s="31" t="inlineStr">
        <is>
          <t>2024-2025</t>
        </is>
      </c>
      <c r="D1197" s="31" t="inlineStr">
        <is>
          <t>671089</t>
        </is>
      </c>
      <c r="E1197" s="31" t="inlineStr">
        <is>
          <t>72-09-04</t>
        </is>
      </c>
      <c r="F1197" s="31" t="inlineStr">
        <is>
          <t>D</t>
        </is>
      </c>
      <c r="G1197" s="31" t="inlineStr">
        <is>
          <t>Other / assembly</t>
        </is>
      </c>
      <c r="H1197" s="27" t="n">
        <v>160</v>
      </c>
      <c r="I1197" s="27" t="n">
        <v>170</v>
      </c>
      <c r="J1197" s="154">
        <f>I1197/H1197-1</f>
        <v/>
      </c>
      <c r="K1197" s="31" t="inlineStr">
        <is>
          <t>82</t>
        </is>
      </c>
      <c r="L1197" s="31" t="inlineStr">
        <is>
          <t>84</t>
        </is>
      </c>
      <c r="M1197" s="31" t="inlineStr">
        <is>
          <t>S1</t>
        </is>
      </c>
      <c r="N1197" s="31" t="inlineStr">
        <is>
          <t>S2</t>
        </is>
      </c>
      <c r="O1197" s="31" t="inlineStr">
        <is>
          <t>1348M59P01</t>
        </is>
      </c>
      <c r="P1197" s="31" t="inlineStr">
        <is>
          <t>SR Technics Switzerland</t>
        </is>
      </c>
    </row>
    <row r="1198">
      <c r="B1198" s="31" t="inlineStr">
        <is>
          <t>CFM56-5B</t>
        </is>
      </c>
      <c r="C1198" s="31" t="inlineStr">
        <is>
          <t>2024-2025</t>
        </is>
      </c>
      <c r="D1198" s="31" t="inlineStr">
        <is>
          <t>671089</t>
        </is>
      </c>
      <c r="E1198" s="31" t="inlineStr">
        <is>
          <t>72-09-04</t>
        </is>
      </c>
      <c r="F1198" s="31" t="inlineStr">
        <is>
          <t>E</t>
        </is>
      </c>
      <c r="G1198" s="31" t="inlineStr">
        <is>
          <t>Other / assembly</t>
        </is>
      </c>
      <c r="H1198" s="27" t="n">
        <v>235</v>
      </c>
      <c r="I1198" s="27" t="n">
        <v>250</v>
      </c>
      <c r="J1198" s="154">
        <f>I1198/H1198-1</f>
        <v/>
      </c>
      <c r="K1198" s="31" t="inlineStr">
        <is>
          <t>83</t>
        </is>
      </c>
      <c r="L1198" s="31" t="inlineStr">
        <is>
          <t>84</t>
        </is>
      </c>
      <c r="M1198" s="31" t="inlineStr">
        <is>
          <t>S1</t>
        </is>
      </c>
      <c r="N1198" s="31" t="inlineStr">
        <is>
          <t>S2</t>
        </is>
      </c>
      <c r="O1198" s="31" t="inlineStr">
        <is>
          <t>1348M59P01</t>
        </is>
      </c>
      <c r="P1198" s="31" t="inlineStr">
        <is>
          <t>SR Technics Switzerland</t>
        </is>
      </c>
    </row>
    <row r="1199">
      <c r="B1199" s="31" t="inlineStr">
        <is>
          <t>CFM56-5B</t>
        </is>
      </c>
      <c r="C1199" s="31" t="inlineStr">
        <is>
          <t>2024-2025</t>
        </is>
      </c>
      <c r="D1199" s="31" t="inlineStr">
        <is>
          <t>671089</t>
        </is>
      </c>
      <c r="E1199" s="31" t="inlineStr">
        <is>
          <t>72-09-04</t>
        </is>
      </c>
      <c r="F1199" s="31" t="inlineStr">
        <is>
          <t>F</t>
        </is>
      </c>
      <c r="G1199" s="31" t="inlineStr">
        <is>
          <t>Other / assembly</t>
        </is>
      </c>
      <c r="H1199" s="27" t="n">
        <v>170</v>
      </c>
      <c r="I1199" s="27" t="n">
        <v>185</v>
      </c>
      <c r="J1199" s="154">
        <f>I1199/H1199-1</f>
        <v/>
      </c>
      <c r="K1199" s="31" t="inlineStr">
        <is>
          <t>83</t>
        </is>
      </c>
      <c r="L1199" s="31" t="inlineStr">
        <is>
          <t>84</t>
        </is>
      </c>
      <c r="M1199" s="31" t="inlineStr">
        <is>
          <t>S1</t>
        </is>
      </c>
      <c r="N1199" s="31" t="inlineStr">
        <is>
          <t>S2</t>
        </is>
      </c>
      <c r="O1199" s="31" t="inlineStr">
        <is>
          <t>1348M59P01</t>
        </is>
      </c>
      <c r="P1199" s="31" t="inlineStr">
        <is>
          <t>SR Technics Switzerland</t>
        </is>
      </c>
    </row>
    <row r="1200">
      <c r="B1200" s="31" t="inlineStr">
        <is>
          <t>CFM56-5B</t>
        </is>
      </c>
      <c r="C1200" s="31" t="inlineStr">
        <is>
          <t>2024-2025</t>
        </is>
      </c>
      <c r="D1200" s="31" t="inlineStr">
        <is>
          <t>671089</t>
        </is>
      </c>
      <c r="E1200" s="31" t="inlineStr">
        <is>
          <t>72-09-04</t>
        </is>
      </c>
      <c r="F1200" s="31" t="inlineStr">
        <is>
          <t>G</t>
        </is>
      </c>
      <c r="G1200" s="31" t="inlineStr">
        <is>
          <t>Other / assembly</t>
        </is>
      </c>
      <c r="H1200" s="27" t="n">
        <v>70</v>
      </c>
      <c r="I1200" s="27" t="n">
        <v>75</v>
      </c>
      <c r="J1200" s="154">
        <f>I1200/H1200-1</f>
        <v/>
      </c>
      <c r="K1200" s="31" t="inlineStr">
        <is>
          <t>83</t>
        </is>
      </c>
      <c r="L1200" s="31" t="inlineStr">
        <is>
          <t>84</t>
        </is>
      </c>
      <c r="M1200" s="31" t="inlineStr">
        <is>
          <t>S1</t>
        </is>
      </c>
      <c r="N1200" s="31" t="inlineStr">
        <is>
          <t>S2</t>
        </is>
      </c>
      <c r="O1200" s="31" t="inlineStr">
        <is>
          <t>1348M59P01</t>
        </is>
      </c>
      <c r="P1200" s="31" t="inlineStr">
        <is>
          <t>SR Technics Switzerland</t>
        </is>
      </c>
    </row>
    <row r="1201">
      <c r="B1201" s="31" t="inlineStr">
        <is>
          <t>CFM56-5B</t>
        </is>
      </c>
      <c r="C1201" s="31" t="inlineStr">
        <is>
          <t>2024-2025</t>
        </is>
      </c>
      <c r="D1201" s="31" t="inlineStr">
        <is>
          <t>671089</t>
        </is>
      </c>
      <c r="E1201" s="31" t="inlineStr">
        <is>
          <t>72-09-04</t>
        </is>
      </c>
      <c r="F1201" s="31" t="inlineStr">
        <is>
          <t>L</t>
        </is>
      </c>
      <c r="G1201" s="31" t="inlineStr">
        <is>
          <t>Other / assembly</t>
        </is>
      </c>
      <c r="H1201" s="27" t="n">
        <v>90</v>
      </c>
      <c r="I1201" s="27" t="n">
        <v>100</v>
      </c>
      <c r="J1201" s="154">
        <f>I1201/H1201-1</f>
        <v/>
      </c>
      <c r="K1201" s="31" t="inlineStr">
        <is>
          <t>83</t>
        </is>
      </c>
      <c r="L1201" s="31" t="inlineStr">
        <is>
          <t>84</t>
        </is>
      </c>
      <c r="M1201" s="31" t="inlineStr">
        <is>
          <t>S1</t>
        </is>
      </c>
      <c r="N1201" s="31" t="inlineStr">
        <is>
          <t>S2</t>
        </is>
      </c>
      <c r="O1201" s="31" t="inlineStr">
        <is>
          <t>1348M59P01</t>
        </is>
      </c>
      <c r="P1201" s="31" t="inlineStr">
        <is>
          <t>SR Technics Switzerland</t>
        </is>
      </c>
    </row>
    <row r="1202">
      <c r="B1202" s="31" t="inlineStr">
        <is>
          <t>CFM56-5B</t>
        </is>
      </c>
      <c r="C1202" s="31" t="inlineStr">
        <is>
          <t>2024-2025</t>
        </is>
      </c>
      <c r="D1202" s="31" t="inlineStr">
        <is>
          <t>671089</t>
        </is>
      </c>
      <c r="E1202" s="31" t="inlineStr">
        <is>
          <t>72-09-04</t>
        </is>
      </c>
      <c r="F1202" s="31" t="inlineStr">
        <is>
          <t>M</t>
        </is>
      </c>
      <c r="G1202" s="31" t="inlineStr">
        <is>
          <t>Other / assembly</t>
        </is>
      </c>
      <c r="H1202" s="27" t="n">
        <v>145</v>
      </c>
      <c r="I1202" s="27" t="n">
        <v>155</v>
      </c>
      <c r="J1202" s="154">
        <f>I1202/H1202-1</f>
        <v/>
      </c>
      <c r="K1202" s="31" t="inlineStr">
        <is>
          <t>83</t>
        </is>
      </c>
      <c r="L1202" s="31" t="inlineStr">
        <is>
          <t>84</t>
        </is>
      </c>
      <c r="M1202" s="31" t="inlineStr">
        <is>
          <t>S1</t>
        </is>
      </c>
      <c r="N1202" s="31" t="inlineStr">
        <is>
          <t>S2</t>
        </is>
      </c>
      <c r="O1202" s="31" t="inlineStr">
        <is>
          <t>1348M59P01</t>
        </is>
      </c>
      <c r="P1202" s="31" t="inlineStr">
        <is>
          <t>SR Technics Switzerland</t>
        </is>
      </c>
    </row>
    <row r="1203">
      <c r="B1203" s="31" t="inlineStr">
        <is>
          <t>CFM56-5B</t>
        </is>
      </c>
      <c r="C1203" s="31" t="inlineStr">
        <is>
          <t>2024-2025</t>
        </is>
      </c>
      <c r="D1203" s="31" t="inlineStr">
        <is>
          <t>671089</t>
        </is>
      </c>
      <c r="E1203" s="31" t="inlineStr">
        <is>
          <t>72-09-04</t>
        </is>
      </c>
      <c r="F1203" s="31" t="inlineStr">
        <is>
          <t>N</t>
        </is>
      </c>
      <c r="G1203" s="31" t="inlineStr">
        <is>
          <t>Other / assembly</t>
        </is>
      </c>
      <c r="H1203" s="27" t="n">
        <v>80</v>
      </c>
      <c r="I1203" s="27" t="n">
        <v>85</v>
      </c>
      <c r="J1203" s="154">
        <f>I1203/H1203-1</f>
        <v/>
      </c>
      <c r="K1203" s="31" t="inlineStr">
        <is>
          <t>83</t>
        </is>
      </c>
      <c r="L1203" s="31" t="inlineStr">
        <is>
          <t>84</t>
        </is>
      </c>
      <c r="M1203" s="31" t="inlineStr">
        <is>
          <t>S1</t>
        </is>
      </c>
      <c r="N1203" s="31" t="inlineStr">
        <is>
          <t>S2</t>
        </is>
      </c>
      <c r="O1203" s="31" t="inlineStr">
        <is>
          <t>1348M59P01</t>
        </is>
      </c>
      <c r="P1203" s="31" t="inlineStr">
        <is>
          <t>SR Technics Switzerland</t>
        </is>
      </c>
    </row>
    <row r="1204">
      <c r="B1204" s="31" t="inlineStr">
        <is>
          <t>CFM56-5B</t>
        </is>
      </c>
      <c r="C1204" s="31" t="inlineStr">
        <is>
          <t>2024-2025</t>
        </is>
      </c>
      <c r="D1204" s="31" t="inlineStr">
        <is>
          <t>671089</t>
        </is>
      </c>
      <c r="E1204" s="31" t="inlineStr">
        <is>
          <t>72-09-04</t>
        </is>
      </c>
      <c r="F1204" s="31" t="inlineStr">
        <is>
          <t>SB00</t>
        </is>
      </c>
      <c r="G1204" s="31" t="inlineStr">
        <is>
          <t>Other / assembly</t>
        </is>
      </c>
      <c r="H1204" s="27" t="n">
        <v>580</v>
      </c>
      <c r="I1204" s="27" t="n">
        <v>615</v>
      </c>
      <c r="J1204" s="154">
        <f>I1204/H1204-1</f>
        <v/>
      </c>
      <c r="K1204" s="31" t="inlineStr">
        <is>
          <t>83</t>
        </is>
      </c>
      <c r="L1204" s="31" t="inlineStr">
        <is>
          <t>84</t>
        </is>
      </c>
      <c r="M1204" s="31" t="inlineStr">
        <is>
          <t>S1</t>
        </is>
      </c>
      <c r="N1204" s="31" t="inlineStr">
        <is>
          <t>S2</t>
        </is>
      </c>
      <c r="O1204" s="31" t="inlineStr">
        <is>
          <t>1348M59P01</t>
        </is>
      </c>
      <c r="P1204" s="31" t="inlineStr">
        <is>
          <t>SR Technics Switzerland</t>
        </is>
      </c>
    </row>
    <row r="1205">
      <c r="B1205" s="31" t="inlineStr">
        <is>
          <t>CFM56-5B</t>
        </is>
      </c>
      <c r="C1205" s="31" t="inlineStr">
        <is>
          <t>2024-2025</t>
        </is>
      </c>
      <c r="D1205" s="31" t="inlineStr">
        <is>
          <t>671095</t>
        </is>
      </c>
      <c r="E1205" s="31" t="inlineStr">
        <is>
          <t>72-09-04</t>
        </is>
      </c>
      <c r="F1205" s="31" t="inlineStr">
        <is>
          <t>A</t>
        </is>
      </c>
      <c r="G1205" s="31" t="inlineStr">
        <is>
          <t>Other / assembly</t>
        </is>
      </c>
      <c r="H1205" s="27" t="n">
        <v>95</v>
      </c>
      <c r="I1205" s="27" t="n">
        <v>105</v>
      </c>
      <c r="J1205" s="154">
        <f>I1205/H1205-1</f>
        <v/>
      </c>
      <c r="K1205" s="31" t="inlineStr">
        <is>
          <t>85</t>
        </is>
      </c>
      <c r="L1205" s="31" t="inlineStr">
        <is>
          <t>86</t>
        </is>
      </c>
      <c r="M1205" s="31" t="inlineStr">
        <is>
          <t>S1</t>
        </is>
      </c>
      <c r="N1205" s="31" t="inlineStr">
        <is>
          <t>S2</t>
        </is>
      </c>
      <c r="O1205" s="31" t="inlineStr">
        <is>
          <t>301-534-311-0</t>
        </is>
      </c>
      <c r="P1205" s="31" t="inlineStr">
        <is>
          <t>SR Technics Switzerland</t>
        </is>
      </c>
    </row>
    <row r="1206">
      <c r="B1206" s="31" t="inlineStr">
        <is>
          <t>CFM56-5B</t>
        </is>
      </c>
      <c r="C1206" s="31" t="inlineStr">
        <is>
          <t>2024-2025</t>
        </is>
      </c>
      <c r="D1206" s="31" t="inlineStr">
        <is>
          <t>671095</t>
        </is>
      </c>
      <c r="E1206" s="31" t="inlineStr">
        <is>
          <t>72-09-04</t>
        </is>
      </c>
      <c r="F1206" s="31" t="inlineStr">
        <is>
          <t>B</t>
        </is>
      </c>
      <c r="G1206" s="31" t="inlineStr">
        <is>
          <t>Other / assembly</t>
        </is>
      </c>
      <c r="H1206" s="27" t="n">
        <v>75</v>
      </c>
      <c r="I1206" s="27" t="n">
        <v>80</v>
      </c>
      <c r="J1206" s="154">
        <f>I1206/H1206-1</f>
        <v/>
      </c>
      <c r="K1206" s="31" t="inlineStr">
        <is>
          <t>85</t>
        </is>
      </c>
      <c r="L1206" s="31" t="inlineStr">
        <is>
          <t>86</t>
        </is>
      </c>
      <c r="M1206" s="31" t="inlineStr">
        <is>
          <t>S1</t>
        </is>
      </c>
      <c r="N1206" s="31" t="inlineStr">
        <is>
          <t>S2</t>
        </is>
      </c>
      <c r="O1206" s="31" t="inlineStr">
        <is>
          <t>301-534-311-0</t>
        </is>
      </c>
      <c r="P1206" s="31" t="inlineStr">
        <is>
          <t>SR Technics Switzerland</t>
        </is>
      </c>
    </row>
    <row r="1207">
      <c r="B1207" s="31" t="inlineStr">
        <is>
          <t>CFM56-5B</t>
        </is>
      </c>
      <c r="C1207" s="31" t="inlineStr">
        <is>
          <t>2024-2025</t>
        </is>
      </c>
      <c r="D1207" s="31" t="inlineStr">
        <is>
          <t>671095</t>
        </is>
      </c>
      <c r="E1207" s="31" t="inlineStr">
        <is>
          <t>72-09-04</t>
        </is>
      </c>
      <c r="F1207" s="31" t="inlineStr">
        <is>
          <t>C</t>
        </is>
      </c>
      <c r="G1207" s="31" t="inlineStr">
        <is>
          <t>Other / assembly</t>
        </is>
      </c>
      <c r="H1207" s="27" t="n">
        <v>75</v>
      </c>
      <c r="I1207" s="27" t="n">
        <v>80</v>
      </c>
      <c r="J1207" s="154">
        <f>I1207/H1207-1</f>
        <v/>
      </c>
      <c r="K1207" s="31" t="inlineStr">
        <is>
          <t>85</t>
        </is>
      </c>
      <c r="L1207" s="31" t="inlineStr">
        <is>
          <t>86</t>
        </is>
      </c>
      <c r="M1207" s="31" t="inlineStr">
        <is>
          <t>S1</t>
        </is>
      </c>
      <c r="N1207" s="31" t="inlineStr">
        <is>
          <t>S2</t>
        </is>
      </c>
      <c r="O1207" s="31" t="inlineStr">
        <is>
          <t>301-534-311-0</t>
        </is>
      </c>
      <c r="P1207" s="31" t="inlineStr">
        <is>
          <t>SR Technics Switzerland</t>
        </is>
      </c>
    </row>
    <row r="1208">
      <c r="B1208" s="31" t="inlineStr">
        <is>
          <t>CFM56-5B</t>
        </is>
      </c>
      <c r="C1208" s="31" t="inlineStr">
        <is>
          <t>2024-2025</t>
        </is>
      </c>
      <c r="D1208" s="31" t="inlineStr">
        <is>
          <t>671095</t>
        </is>
      </c>
      <c r="E1208" s="31" t="inlineStr">
        <is>
          <t>72-09-04</t>
        </is>
      </c>
      <c r="F1208" s="31" t="inlineStr">
        <is>
          <t>D</t>
        </is>
      </c>
      <c r="G1208" s="31" t="inlineStr">
        <is>
          <t>Other / assembly</t>
        </is>
      </c>
      <c r="H1208" s="27" t="n">
        <v>75</v>
      </c>
      <c r="I1208" s="27" t="n">
        <v>80</v>
      </c>
      <c r="J1208" s="154">
        <f>I1208/H1208-1</f>
        <v/>
      </c>
      <c r="K1208" s="31" t="inlineStr">
        <is>
          <t>85</t>
        </is>
      </c>
      <c r="L1208" s="31" t="inlineStr">
        <is>
          <t>86</t>
        </is>
      </c>
      <c r="M1208" s="31" t="inlineStr">
        <is>
          <t>S1</t>
        </is>
      </c>
      <c r="N1208" s="31" t="inlineStr">
        <is>
          <t>S2</t>
        </is>
      </c>
      <c r="O1208" s="31" t="inlineStr">
        <is>
          <t>301-534-311-0</t>
        </is>
      </c>
      <c r="P1208" s="31" t="inlineStr">
        <is>
          <t>SR Technics Switzerland</t>
        </is>
      </c>
    </row>
    <row r="1209">
      <c r="B1209" s="31" t="inlineStr">
        <is>
          <t>CFM56-5B</t>
        </is>
      </c>
      <c r="C1209" s="31" t="inlineStr">
        <is>
          <t>2024-2025</t>
        </is>
      </c>
      <c r="D1209" s="31" t="inlineStr">
        <is>
          <t>671175</t>
        </is>
      </c>
      <c r="E1209" s="31" t="inlineStr">
        <is>
          <t>72-09-04</t>
        </is>
      </c>
      <c r="F1209" s="31" t="inlineStr">
        <is>
          <t>A</t>
        </is>
      </c>
      <c r="G1209" s="31" t="inlineStr">
        <is>
          <t>Other / assembly</t>
        </is>
      </c>
      <c r="H1209" s="27" t="n">
        <v>60</v>
      </c>
      <c r="I1209" s="27" t="n">
        <v>65</v>
      </c>
      <c r="J1209" s="154">
        <f>I1209/H1209-1</f>
        <v/>
      </c>
      <c r="K1209" s="31" t="inlineStr">
        <is>
          <t>85</t>
        </is>
      </c>
      <c r="L1209" s="31" t="inlineStr">
        <is>
          <t>87</t>
        </is>
      </c>
      <c r="M1209" s="31" t="inlineStr">
        <is>
          <t>S1</t>
        </is>
      </c>
      <c r="N1209" s="31" t="inlineStr">
        <is>
          <t>S2</t>
        </is>
      </c>
      <c r="O1209" s="31" t="inlineStr">
        <is>
          <t>340-031-802-0</t>
        </is>
      </c>
      <c r="P1209" s="31" t="inlineStr">
        <is>
          <t>SR Technics Switzerland</t>
        </is>
      </c>
    </row>
    <row r="1210">
      <c r="B1210" s="31" t="inlineStr">
        <is>
          <t>CFM56-5B</t>
        </is>
      </c>
      <c r="C1210" s="31" t="inlineStr">
        <is>
          <t>2024-2025</t>
        </is>
      </c>
      <c r="D1210" s="31" t="inlineStr">
        <is>
          <t>672589</t>
        </is>
      </c>
      <c r="E1210" s="31" t="inlineStr">
        <is>
          <t>72-21-09</t>
        </is>
      </c>
      <c r="F1210" s="31" t="inlineStr">
        <is>
          <t>A</t>
        </is>
      </c>
      <c r="G1210" s="31" t="inlineStr">
        <is>
          <t>Fan / booster</t>
        </is>
      </c>
      <c r="H1210" s="27" t="n">
        <v>800</v>
      </c>
      <c r="I1210" s="27" t="n">
        <v>850</v>
      </c>
      <c r="J1210" s="154">
        <f>I1210/H1210-1</f>
        <v/>
      </c>
      <c r="K1210" s="31" t="inlineStr">
        <is>
          <t>26</t>
        </is>
      </c>
      <c r="L1210" s="31" t="inlineStr">
        <is>
          <t>26</t>
        </is>
      </c>
      <c r="M1210" s="31" t="inlineStr">
        <is>
          <t>S1</t>
        </is>
      </c>
      <c r="N1210" s="31" t="inlineStr">
        <is>
          <t>S2</t>
        </is>
      </c>
      <c r="O1210" s="31" t="inlineStr">
        <is>
          <t>338-003-104-0</t>
        </is>
      </c>
      <c r="P1210" s="31" t="inlineStr">
        <is>
          <t>SR Technics Switzerland</t>
        </is>
      </c>
    </row>
    <row r="1211">
      <c r="B1211" s="31" t="inlineStr">
        <is>
          <t>CFM56-5B</t>
        </is>
      </c>
      <c r="C1211" s="31" t="inlineStr">
        <is>
          <t>2024-2025</t>
        </is>
      </c>
      <c r="D1211" s="31" t="inlineStr">
        <is>
          <t>672589</t>
        </is>
      </c>
      <c r="E1211" s="31" t="inlineStr">
        <is>
          <t>72-21-09</t>
        </is>
      </c>
      <c r="F1211" s="31" t="inlineStr">
        <is>
          <t>AK</t>
        </is>
      </c>
      <c r="G1211" s="31" t="inlineStr">
        <is>
          <t>Fan / booster</t>
        </is>
      </c>
      <c r="H1211" s="27" t="n">
        <v>2270</v>
      </c>
      <c r="I1211" s="27" t="n">
        <v>2410</v>
      </c>
      <c r="J1211" s="154">
        <f>I1211/H1211-1</f>
        <v/>
      </c>
      <c r="K1211" s="31" t="inlineStr">
        <is>
          <t>26</t>
        </is>
      </c>
      <c r="L1211" s="31" t="inlineStr">
        <is>
          <t>26</t>
        </is>
      </c>
      <c r="M1211" s="31" t="inlineStr">
        <is>
          <t>S1</t>
        </is>
      </c>
      <c r="N1211" s="31" t="inlineStr">
        <is>
          <t>S2</t>
        </is>
      </c>
      <c r="O1211" s="31" t="inlineStr">
        <is>
          <t>338-003-104-0</t>
        </is>
      </c>
      <c r="P1211" s="31" t="inlineStr">
        <is>
          <t>SR Technics Switzerland</t>
        </is>
      </c>
    </row>
    <row r="1212">
      <c r="B1212" s="31" t="inlineStr">
        <is>
          <t>CFM56-5B</t>
        </is>
      </c>
      <c r="C1212" s="31" t="inlineStr">
        <is>
          <t>2024-2025</t>
        </is>
      </c>
      <c r="D1212" s="31" t="inlineStr">
        <is>
          <t>672589</t>
        </is>
      </c>
      <c r="E1212" s="31" t="inlineStr">
        <is>
          <t>72-21-09</t>
        </is>
      </c>
      <c r="F1212" s="31" t="inlineStr">
        <is>
          <t>AL</t>
        </is>
      </c>
      <c r="G1212" s="31" t="inlineStr">
        <is>
          <t>Fan / booster</t>
        </is>
      </c>
      <c r="H1212" s="27" t="n">
        <v>1515</v>
      </c>
      <c r="I1212" s="27" t="n">
        <v>1610</v>
      </c>
      <c r="J1212" s="154">
        <f>I1212/H1212-1</f>
        <v/>
      </c>
      <c r="K1212" s="31" t="inlineStr">
        <is>
          <t>26</t>
        </is>
      </c>
      <c r="L1212" s="31" t="inlineStr">
        <is>
          <t>26</t>
        </is>
      </c>
      <c r="M1212" s="31" t="inlineStr">
        <is>
          <t>S1</t>
        </is>
      </c>
      <c r="N1212" s="31" t="inlineStr">
        <is>
          <t>S2</t>
        </is>
      </c>
      <c r="O1212" s="31" t="inlineStr">
        <is>
          <t>338-003-104-0</t>
        </is>
      </c>
      <c r="P1212" s="31" t="inlineStr">
        <is>
          <t>SR Technics Switzerland</t>
        </is>
      </c>
    </row>
    <row r="1213">
      <c r="B1213" s="31" t="inlineStr">
        <is>
          <t>CFM56-5B</t>
        </is>
      </c>
      <c r="C1213" s="31" t="inlineStr">
        <is>
          <t>2024-2025</t>
        </is>
      </c>
      <c r="D1213" s="31" t="inlineStr">
        <is>
          <t>672589</t>
        </is>
      </c>
      <c r="E1213" s="31" t="inlineStr">
        <is>
          <t>72-21-09</t>
        </is>
      </c>
      <c r="F1213" s="31" t="inlineStr">
        <is>
          <t>AN</t>
        </is>
      </c>
      <c r="G1213" s="31" t="inlineStr">
        <is>
          <t>Fan / booster</t>
        </is>
      </c>
      <c r="H1213" s="27" t="n">
        <v>5025</v>
      </c>
      <c r="I1213" s="27" t="n">
        <v>6250</v>
      </c>
      <c r="J1213" s="154">
        <f>I1213/H1213-1</f>
        <v/>
      </c>
      <c r="K1213" s="31" t="inlineStr">
        <is>
          <t>26</t>
        </is>
      </c>
      <c r="L1213" s="31" t="inlineStr">
        <is>
          <t>26</t>
        </is>
      </c>
      <c r="M1213" s="31" t="inlineStr">
        <is>
          <t>S1</t>
        </is>
      </c>
      <c r="N1213" s="31" t="inlineStr">
        <is>
          <t>S2</t>
        </is>
      </c>
      <c r="O1213" s="31" t="inlineStr">
        <is>
          <t>338-003-104-0</t>
        </is>
      </c>
      <c r="P1213" s="31" t="inlineStr">
        <is>
          <t>SR Technics Switzerland</t>
        </is>
      </c>
    </row>
    <row r="1214">
      <c r="B1214" s="31" t="inlineStr">
        <is>
          <t>CFM56-5B</t>
        </is>
      </c>
      <c r="C1214" s="31" t="inlineStr">
        <is>
          <t>2024-2025</t>
        </is>
      </c>
      <c r="D1214" s="31" t="inlineStr">
        <is>
          <t>672589</t>
        </is>
      </c>
      <c r="E1214" s="31" t="inlineStr">
        <is>
          <t>72-21-09</t>
        </is>
      </c>
      <c r="F1214" s="31" t="inlineStr">
        <is>
          <t>B</t>
        </is>
      </c>
      <c r="G1214" s="31" t="inlineStr">
        <is>
          <t>Fan / booster</t>
        </is>
      </c>
      <c r="H1214" s="27" t="n">
        <v>1230</v>
      </c>
      <c r="I1214" s="27" t="n">
        <v>1305</v>
      </c>
      <c r="J1214" s="154">
        <f>I1214/H1214-1</f>
        <v/>
      </c>
      <c r="K1214" s="31" t="inlineStr">
        <is>
          <t>26</t>
        </is>
      </c>
      <c r="L1214" s="31" t="inlineStr">
        <is>
          <t>26</t>
        </is>
      </c>
      <c r="M1214" s="31" t="inlineStr">
        <is>
          <t>S1</t>
        </is>
      </c>
      <c r="N1214" s="31" t="inlineStr">
        <is>
          <t>S2</t>
        </is>
      </c>
      <c r="O1214" s="31" t="inlineStr">
        <is>
          <t>338-003-104-0</t>
        </is>
      </c>
      <c r="P1214" s="31" t="inlineStr">
        <is>
          <t>SR Technics Switzerland</t>
        </is>
      </c>
    </row>
    <row r="1215">
      <c r="B1215" s="31" t="inlineStr">
        <is>
          <t>CFM56-5B</t>
        </is>
      </c>
      <c r="C1215" s="31" t="inlineStr">
        <is>
          <t>2024-2025</t>
        </is>
      </c>
      <c r="D1215" s="31" t="inlineStr">
        <is>
          <t>672589</t>
        </is>
      </c>
      <c r="E1215" s="31" t="inlineStr">
        <is>
          <t>72-21-09</t>
        </is>
      </c>
      <c r="F1215" s="31" t="inlineStr">
        <is>
          <t>C</t>
        </is>
      </c>
      <c r="G1215" s="31" t="inlineStr">
        <is>
          <t>Fan / booster</t>
        </is>
      </c>
      <c r="H1215" s="27" t="n">
        <v>3520</v>
      </c>
      <c r="I1215" s="27" t="n">
        <v>3735</v>
      </c>
      <c r="J1215" s="154">
        <f>I1215/H1215-1</f>
        <v/>
      </c>
      <c r="K1215" s="31" t="inlineStr">
        <is>
          <t>26</t>
        </is>
      </c>
      <c r="L1215" s="31" t="inlineStr">
        <is>
          <t>26</t>
        </is>
      </c>
      <c r="M1215" s="31" t="inlineStr">
        <is>
          <t>S1</t>
        </is>
      </c>
      <c r="N1215" s="31" t="inlineStr">
        <is>
          <t>S2</t>
        </is>
      </c>
      <c r="O1215" s="31" t="inlineStr">
        <is>
          <t>338-003-104-0</t>
        </is>
      </c>
      <c r="P1215" s="31" t="inlineStr">
        <is>
          <t>SR Technics Switzerland</t>
        </is>
      </c>
    </row>
    <row r="1216">
      <c r="B1216" s="31" t="inlineStr">
        <is>
          <t>CFM56-5B</t>
        </is>
      </c>
      <c r="C1216" s="31" t="inlineStr">
        <is>
          <t>2024-2025</t>
        </is>
      </c>
      <c r="D1216" s="31" t="inlineStr">
        <is>
          <t>672589</t>
        </is>
      </c>
      <c r="E1216" s="31" t="inlineStr">
        <is>
          <t>72-21-09</t>
        </is>
      </c>
      <c r="F1216" s="31" t="inlineStr">
        <is>
          <t>D</t>
        </is>
      </c>
      <c r="G1216" s="31" t="inlineStr">
        <is>
          <t>Fan / booster</t>
        </is>
      </c>
      <c r="H1216" s="27" t="n">
        <v>5645</v>
      </c>
      <c r="I1216" s="27" t="n">
        <v>5985</v>
      </c>
      <c r="J1216" s="154">
        <f>I1216/H1216-1</f>
        <v/>
      </c>
      <c r="K1216" s="31" t="inlineStr">
        <is>
          <t>26</t>
        </is>
      </c>
      <c r="L1216" s="31" t="inlineStr">
        <is>
          <t>26</t>
        </is>
      </c>
      <c r="M1216" s="31" t="inlineStr">
        <is>
          <t>S1</t>
        </is>
      </c>
      <c r="N1216" s="31" t="inlineStr">
        <is>
          <t>S2</t>
        </is>
      </c>
      <c r="O1216" s="31" t="inlineStr">
        <is>
          <t>338-003-104-0</t>
        </is>
      </c>
      <c r="P1216" s="31" t="inlineStr">
        <is>
          <t>SR Technics Switzerland</t>
        </is>
      </c>
    </row>
    <row r="1217">
      <c r="B1217" s="31" t="inlineStr">
        <is>
          <t>CFM56-5B</t>
        </is>
      </c>
      <c r="C1217" s="31" t="inlineStr">
        <is>
          <t>2024-2025</t>
        </is>
      </c>
      <c r="D1217" s="31" t="inlineStr">
        <is>
          <t>672589</t>
        </is>
      </c>
      <c r="E1217" s="31" t="inlineStr">
        <is>
          <t>72-21-09</t>
        </is>
      </c>
      <c r="F1217" s="31" t="inlineStr">
        <is>
          <t>E</t>
        </is>
      </c>
      <c r="G1217" s="31" t="inlineStr">
        <is>
          <t>Fan / booster</t>
        </is>
      </c>
      <c r="H1217" s="27" t="n">
        <v>890</v>
      </c>
      <c r="I1217" s="27" t="n">
        <v>945</v>
      </c>
      <c r="J1217" s="154">
        <f>I1217/H1217-1</f>
        <v/>
      </c>
      <c r="K1217" s="31" t="inlineStr">
        <is>
          <t>26</t>
        </is>
      </c>
      <c r="L1217" s="31" t="inlineStr">
        <is>
          <t>26</t>
        </is>
      </c>
      <c r="M1217" s="31" t="inlineStr">
        <is>
          <t>S1</t>
        </is>
      </c>
      <c r="N1217" s="31" t="inlineStr">
        <is>
          <t>S2</t>
        </is>
      </c>
      <c r="O1217" s="31" t="inlineStr">
        <is>
          <t>338-003-104-0</t>
        </is>
      </c>
      <c r="P1217" s="31" t="inlineStr">
        <is>
          <t>SR Technics Switzerland</t>
        </is>
      </c>
    </row>
    <row r="1218">
      <c r="B1218" s="31" t="inlineStr">
        <is>
          <t>CFM56-5B</t>
        </is>
      </c>
      <c r="C1218" s="31" t="inlineStr">
        <is>
          <t>2024-2025</t>
        </is>
      </c>
      <c r="D1218" s="31" t="inlineStr">
        <is>
          <t>672589</t>
        </is>
      </c>
      <c r="E1218" s="31" t="inlineStr">
        <is>
          <t>72-21-09</t>
        </is>
      </c>
      <c r="F1218" s="31" t="inlineStr">
        <is>
          <t>G</t>
        </is>
      </c>
      <c r="G1218" s="31" t="inlineStr">
        <is>
          <t>Fan / booster</t>
        </is>
      </c>
      <c r="H1218" s="27" t="n">
        <v>2830</v>
      </c>
      <c r="I1218" s="27" t="n">
        <v>3000</v>
      </c>
      <c r="J1218" s="154">
        <f>I1218/H1218-1</f>
        <v/>
      </c>
      <c r="K1218" s="31" t="inlineStr">
        <is>
          <t>26</t>
        </is>
      </c>
      <c r="L1218" s="31" t="inlineStr">
        <is>
          <t>26</t>
        </is>
      </c>
      <c r="M1218" s="31" t="inlineStr">
        <is>
          <t>S1</t>
        </is>
      </c>
      <c r="N1218" s="31" t="inlineStr">
        <is>
          <t>S2</t>
        </is>
      </c>
      <c r="O1218" s="31" t="inlineStr">
        <is>
          <t>338-003-104-0</t>
        </is>
      </c>
      <c r="P1218" s="31" t="inlineStr">
        <is>
          <t>SR Technics Switzerland</t>
        </is>
      </c>
    </row>
    <row r="1219">
      <c r="B1219" s="31" t="inlineStr">
        <is>
          <t>CFM56-5B</t>
        </is>
      </c>
      <c r="C1219" s="31" t="inlineStr">
        <is>
          <t>2024-2025</t>
        </is>
      </c>
      <c r="D1219" s="31" t="inlineStr">
        <is>
          <t>672589</t>
        </is>
      </c>
      <c r="E1219" s="31" t="inlineStr">
        <is>
          <t>72-21-09</t>
        </is>
      </c>
      <c r="F1219" s="31" t="inlineStr">
        <is>
          <t>H</t>
        </is>
      </c>
      <c r="G1219" s="31" t="inlineStr">
        <is>
          <t>Fan / booster</t>
        </is>
      </c>
      <c r="H1219" s="27" t="n">
        <v>2830</v>
      </c>
      <c r="I1219" s="27" t="n">
        <v>3000</v>
      </c>
      <c r="J1219" s="154">
        <f>I1219/H1219-1</f>
        <v/>
      </c>
      <c r="K1219" s="31" t="inlineStr">
        <is>
          <t>26</t>
        </is>
      </c>
      <c r="L1219" s="31" t="inlineStr">
        <is>
          <t>26</t>
        </is>
      </c>
      <c r="M1219" s="31" t="inlineStr">
        <is>
          <t>S1</t>
        </is>
      </c>
      <c r="N1219" s="31" t="inlineStr">
        <is>
          <t>S2</t>
        </is>
      </c>
      <c r="O1219" s="31" t="inlineStr">
        <is>
          <t>338-003-104-0</t>
        </is>
      </c>
      <c r="P1219" s="31" t="inlineStr">
        <is>
          <t>SR Technics Switzerland</t>
        </is>
      </c>
    </row>
    <row r="1220">
      <c r="B1220" s="31" t="inlineStr">
        <is>
          <t>CFM56-5B</t>
        </is>
      </c>
      <c r="C1220" s="31" t="inlineStr">
        <is>
          <t>2024-2025</t>
        </is>
      </c>
      <c r="D1220" s="31" t="inlineStr">
        <is>
          <t>672589</t>
        </is>
      </c>
      <c r="E1220" s="31" t="inlineStr">
        <is>
          <t>72-21-09</t>
        </is>
      </c>
      <c r="F1220" s="31" t="inlineStr">
        <is>
          <t>SB00</t>
        </is>
      </c>
      <c r="G1220" s="31" t="inlineStr">
        <is>
          <t>Fan / booster</t>
        </is>
      </c>
      <c r="H1220" s="27" t="n">
        <v>4775</v>
      </c>
      <c r="I1220" s="27" t="n">
        <v>5065</v>
      </c>
      <c r="J1220" s="154">
        <f>I1220/H1220-1</f>
        <v/>
      </c>
      <c r="K1220" s="31" t="inlineStr">
        <is>
          <t>26</t>
        </is>
      </c>
      <c r="L1220" s="31" t="inlineStr">
        <is>
          <t>26</t>
        </is>
      </c>
      <c r="M1220" s="31" t="inlineStr">
        <is>
          <t>S1</t>
        </is>
      </c>
      <c r="N1220" s="31" t="inlineStr">
        <is>
          <t>S2</t>
        </is>
      </c>
      <c r="O1220" s="31" t="inlineStr">
        <is>
          <t>338-003-104-0</t>
        </is>
      </c>
      <c r="P1220" s="31" t="inlineStr">
        <is>
          <t>SR Technics Switzerland</t>
        </is>
      </c>
    </row>
    <row r="1221">
      <c r="B1221" s="31" t="inlineStr">
        <is>
          <t>CFM56-5B</t>
        </is>
      </c>
      <c r="C1221" s="31" t="inlineStr">
        <is>
          <t>2024-2025</t>
        </is>
      </c>
      <c r="D1221" s="31" t="inlineStr">
        <is>
          <t>672589</t>
        </is>
      </c>
      <c r="E1221" s="31" t="inlineStr">
        <is>
          <t>72-21-09</t>
        </is>
      </c>
      <c r="F1221" s="31" t="inlineStr">
        <is>
          <t>SB01</t>
        </is>
      </c>
      <c r="G1221" s="31" t="inlineStr">
        <is>
          <t>Fan / booster</t>
        </is>
      </c>
      <c r="H1221" s="27" t="n">
        <v>4775</v>
      </c>
      <c r="I1221" s="27" t="n">
        <v>5065</v>
      </c>
      <c r="J1221" s="154">
        <f>I1221/H1221-1</f>
        <v/>
      </c>
      <c r="K1221" s="31" t="inlineStr">
        <is>
          <t>26</t>
        </is>
      </c>
      <c r="L1221" s="31" t="inlineStr">
        <is>
          <t>26</t>
        </is>
      </c>
      <c r="M1221" s="31" t="inlineStr">
        <is>
          <t>S1</t>
        </is>
      </c>
      <c r="N1221" s="31" t="inlineStr">
        <is>
          <t>S2</t>
        </is>
      </c>
      <c r="O1221" s="31" t="inlineStr">
        <is>
          <t>338-003-104-0</t>
        </is>
      </c>
      <c r="P1221" s="31" t="inlineStr">
        <is>
          <t>SR Technics Switzerland</t>
        </is>
      </c>
    </row>
    <row r="1222">
      <c r="B1222" s="31" t="inlineStr">
        <is>
          <t>CFM56-5B</t>
        </is>
      </c>
      <c r="C1222" s="31" t="inlineStr">
        <is>
          <t>2024-2025</t>
        </is>
      </c>
      <c r="D1222" s="31" t="inlineStr">
        <is>
          <t>672589</t>
        </is>
      </c>
      <c r="E1222" s="31" t="inlineStr">
        <is>
          <t>72-21-09</t>
        </is>
      </c>
      <c r="F1222" s="31" t="inlineStr">
        <is>
          <t>SB02</t>
        </is>
      </c>
      <c r="G1222" s="31" t="inlineStr">
        <is>
          <t>Fan / booster</t>
        </is>
      </c>
      <c r="H1222" s="27" t="n">
        <v>5645</v>
      </c>
      <c r="I1222" s="27" t="n">
        <v>5985</v>
      </c>
      <c r="J1222" s="154">
        <f>I1222/H1222-1</f>
        <v/>
      </c>
      <c r="K1222" s="31" t="inlineStr">
        <is>
          <t>26</t>
        </is>
      </c>
      <c r="L1222" s="31" t="inlineStr">
        <is>
          <t>27</t>
        </is>
      </c>
      <c r="M1222" s="31" t="inlineStr">
        <is>
          <t>S1</t>
        </is>
      </c>
      <c r="N1222" s="31" t="inlineStr">
        <is>
          <t>S2</t>
        </is>
      </c>
      <c r="O1222" s="31" t="inlineStr">
        <is>
          <t>338-003-104-0</t>
        </is>
      </c>
      <c r="P1222" s="31" t="inlineStr">
        <is>
          <t>SR Technics Switzerland</t>
        </is>
      </c>
    </row>
    <row r="1223">
      <c r="B1223" s="31" t="inlineStr">
        <is>
          <t>CFM56-5B</t>
        </is>
      </c>
      <c r="C1223" s="31" t="inlineStr">
        <is>
          <t>2024-2025</t>
        </is>
      </c>
      <c r="D1223" s="31" t="inlineStr">
        <is>
          <t>672589</t>
        </is>
      </c>
      <c r="E1223" s="31" t="inlineStr">
        <is>
          <t>72-21-09</t>
        </is>
      </c>
      <c r="F1223" s="31" t="inlineStr">
        <is>
          <t>SB03</t>
        </is>
      </c>
      <c r="G1223" s="31" t="inlineStr">
        <is>
          <t>Fan / booster</t>
        </is>
      </c>
      <c r="H1223" s="27" t="n">
        <v>4775</v>
      </c>
      <c r="I1223" s="27" t="n">
        <v>5065</v>
      </c>
      <c r="J1223" s="154">
        <f>I1223/H1223-1</f>
        <v/>
      </c>
      <c r="K1223" s="31" t="inlineStr">
        <is>
          <t>26</t>
        </is>
      </c>
      <c r="L1223" s="31" t="inlineStr">
        <is>
          <t>27</t>
        </is>
      </c>
      <c r="M1223" s="31" t="inlineStr">
        <is>
          <t>S1</t>
        </is>
      </c>
      <c r="N1223" s="31" t="inlineStr">
        <is>
          <t>S2</t>
        </is>
      </c>
      <c r="O1223" s="31" t="inlineStr">
        <is>
          <t>338-003-104-0</t>
        </is>
      </c>
      <c r="P1223" s="31" t="inlineStr">
        <is>
          <t>SR Technics Switzerland</t>
        </is>
      </c>
    </row>
    <row r="1224">
      <c r="B1224" s="31" t="inlineStr">
        <is>
          <t>CFM56-5B</t>
        </is>
      </c>
      <c r="C1224" s="31" t="inlineStr">
        <is>
          <t>2024-2025</t>
        </is>
      </c>
      <c r="D1224" s="31" t="inlineStr">
        <is>
          <t>672589</t>
        </is>
      </c>
      <c r="E1224" s="31" t="inlineStr">
        <is>
          <t>72-21-09</t>
        </is>
      </c>
      <c r="F1224" s="31" t="inlineStr">
        <is>
          <t>SB04</t>
        </is>
      </c>
      <c r="G1224" s="31" t="inlineStr">
        <is>
          <t>Fan / booster</t>
        </is>
      </c>
      <c r="H1224" s="27" t="n">
        <v>2460</v>
      </c>
      <c r="I1224" s="27" t="n">
        <v>2610</v>
      </c>
      <c r="J1224" s="154">
        <f>I1224/H1224-1</f>
        <v/>
      </c>
      <c r="K1224" s="31" t="inlineStr">
        <is>
          <t>26</t>
        </is>
      </c>
      <c r="L1224" s="31" t="inlineStr">
        <is>
          <t>27</t>
        </is>
      </c>
      <c r="M1224" s="31" t="inlineStr">
        <is>
          <t>S1</t>
        </is>
      </c>
      <c r="N1224" s="31" t="inlineStr">
        <is>
          <t>S2</t>
        </is>
      </c>
      <c r="O1224" s="31" t="inlineStr">
        <is>
          <t>338-003-104-0</t>
        </is>
      </c>
      <c r="P1224" s="31" t="inlineStr">
        <is>
          <t>SR Technics Switzerland</t>
        </is>
      </c>
    </row>
    <row r="1225">
      <c r="B1225" s="31" t="inlineStr">
        <is>
          <t>CFM56-5B</t>
        </is>
      </c>
      <c r="C1225" s="31" t="inlineStr">
        <is>
          <t>2024-2025</t>
        </is>
      </c>
      <c r="D1225" s="31" t="inlineStr">
        <is>
          <t>672596</t>
        </is>
      </c>
      <c r="E1225" s="31" t="inlineStr">
        <is>
          <t>72-31-07</t>
        </is>
      </c>
      <c r="F1225" s="31" t="inlineStr">
        <is>
          <t>A</t>
        </is>
      </c>
      <c r="G1225" s="31" t="inlineStr">
        <is>
          <t>Compressor</t>
        </is>
      </c>
      <c r="H1225" s="27" t="n">
        <v>910</v>
      </c>
      <c r="I1225" s="27" t="n">
        <v>965</v>
      </c>
      <c r="J1225" s="154">
        <f>I1225/H1225-1</f>
        <v/>
      </c>
      <c r="K1225" s="31" t="inlineStr">
        <is>
          <t>26</t>
        </is>
      </c>
      <c r="L1225" s="31" t="inlineStr">
        <is>
          <t>27</t>
        </is>
      </c>
      <c r="M1225" s="31" t="inlineStr">
        <is>
          <t>S1</t>
        </is>
      </c>
      <c r="N1225" s="31" t="inlineStr">
        <is>
          <t>S2</t>
        </is>
      </c>
      <c r="O1225" s="31" t="inlineStr">
        <is>
          <t>1386M56P02</t>
        </is>
      </c>
      <c r="P1225" s="31" t="inlineStr">
        <is>
          <t>SR Technics Switzerland</t>
        </is>
      </c>
    </row>
    <row r="1226">
      <c r="B1226" s="31" t="inlineStr">
        <is>
          <t>CFM56-5B</t>
        </is>
      </c>
      <c r="C1226" s="31" t="inlineStr">
        <is>
          <t>2024-2025</t>
        </is>
      </c>
      <c r="D1226" s="31" t="inlineStr">
        <is>
          <t>672596</t>
        </is>
      </c>
      <c r="E1226" s="31" t="inlineStr">
        <is>
          <t>72-31-07</t>
        </is>
      </c>
      <c r="F1226" s="31" t="inlineStr">
        <is>
          <t>B</t>
        </is>
      </c>
      <c r="G1226" s="31" t="inlineStr">
        <is>
          <t>Compressor</t>
        </is>
      </c>
      <c r="H1226" s="27" t="n">
        <v>1515</v>
      </c>
      <c r="I1226" s="27" t="n">
        <v>1610</v>
      </c>
      <c r="J1226" s="154">
        <f>I1226/H1226-1</f>
        <v/>
      </c>
      <c r="K1226" s="31" t="inlineStr">
        <is>
          <t>26</t>
        </is>
      </c>
      <c r="L1226" s="31" t="inlineStr">
        <is>
          <t>27</t>
        </is>
      </c>
      <c r="M1226" s="31" t="inlineStr">
        <is>
          <t>S1</t>
        </is>
      </c>
      <c r="N1226" s="31" t="inlineStr">
        <is>
          <t>S2</t>
        </is>
      </c>
      <c r="O1226" s="31" t="inlineStr">
        <is>
          <t>1386M56P02</t>
        </is>
      </c>
      <c r="P1226" s="31" t="inlineStr">
        <is>
          <t>SR Technics Switzerland</t>
        </is>
      </c>
    </row>
    <row r="1227">
      <c r="B1227" s="31" t="inlineStr">
        <is>
          <t>CFM56-5B</t>
        </is>
      </c>
      <c r="C1227" s="31" t="inlineStr">
        <is>
          <t>2024-2025</t>
        </is>
      </c>
      <c r="D1227" s="31" t="inlineStr">
        <is>
          <t>672596</t>
        </is>
      </c>
      <c r="E1227" s="31" t="inlineStr">
        <is>
          <t>72-31-07</t>
        </is>
      </c>
      <c r="F1227" s="31" t="inlineStr">
        <is>
          <t>E</t>
        </is>
      </c>
      <c r="G1227" s="31" t="inlineStr">
        <is>
          <t>Compressor</t>
        </is>
      </c>
      <c r="H1227" s="27" t="n">
        <v>3145</v>
      </c>
      <c r="I1227" s="27" t="n">
        <v>3335</v>
      </c>
      <c r="J1227" s="154">
        <f>I1227/H1227-1</f>
        <v/>
      </c>
      <c r="K1227" s="31" t="inlineStr">
        <is>
          <t>26</t>
        </is>
      </c>
      <c r="L1227" s="31" t="inlineStr">
        <is>
          <t>27</t>
        </is>
      </c>
      <c r="M1227" s="31" t="inlineStr">
        <is>
          <t>S1</t>
        </is>
      </c>
      <c r="N1227" s="31" t="inlineStr">
        <is>
          <t>S2</t>
        </is>
      </c>
      <c r="O1227" s="31" t="inlineStr">
        <is>
          <t>1386M56P02</t>
        </is>
      </c>
      <c r="P1227" s="31" t="inlineStr">
        <is>
          <t>SR Technics Switzerland</t>
        </is>
      </c>
    </row>
    <row r="1228">
      <c r="B1228" s="31" t="inlineStr">
        <is>
          <t>CFM56-5B</t>
        </is>
      </c>
      <c r="C1228" s="31" t="inlineStr">
        <is>
          <t>2024-2025</t>
        </is>
      </c>
      <c r="D1228" s="31" t="inlineStr">
        <is>
          <t>672596</t>
        </is>
      </c>
      <c r="E1228" s="31" t="inlineStr">
        <is>
          <t>72-31-07</t>
        </is>
      </c>
      <c r="F1228" s="31" t="inlineStr">
        <is>
          <t>F</t>
        </is>
      </c>
      <c r="G1228" s="31" t="inlineStr">
        <is>
          <t>Compressor</t>
        </is>
      </c>
      <c r="H1228" s="27" t="n">
        <v>5780</v>
      </c>
      <c r="I1228" s="27" t="n">
        <v>6130</v>
      </c>
      <c r="J1228" s="154">
        <f>I1228/H1228-1</f>
        <v/>
      </c>
      <c r="K1228" s="31" t="inlineStr">
        <is>
          <t>26</t>
        </is>
      </c>
      <c r="L1228" s="31" t="inlineStr">
        <is>
          <t>27</t>
        </is>
      </c>
      <c r="M1228" s="31" t="inlineStr">
        <is>
          <t>S1</t>
        </is>
      </c>
      <c r="N1228" s="31" t="inlineStr">
        <is>
          <t>S2</t>
        </is>
      </c>
      <c r="O1228" s="31" t="inlineStr">
        <is>
          <t>1386M56P02</t>
        </is>
      </c>
      <c r="P1228" s="31" t="inlineStr">
        <is>
          <t>SR Technics Switzerland</t>
        </is>
      </c>
    </row>
    <row r="1229">
      <c r="B1229" s="31" t="inlineStr">
        <is>
          <t>CFM56-5B</t>
        </is>
      </c>
      <c r="C1229" s="31" t="inlineStr">
        <is>
          <t>2024-2025</t>
        </is>
      </c>
      <c r="D1229" s="31" t="inlineStr">
        <is>
          <t>672596</t>
        </is>
      </c>
      <c r="E1229" s="31" t="inlineStr">
        <is>
          <t>72-31-07</t>
        </is>
      </c>
      <c r="F1229" s="31" t="inlineStr">
        <is>
          <t>G</t>
        </is>
      </c>
      <c r="G1229" s="31" t="inlineStr">
        <is>
          <t>Compressor</t>
        </is>
      </c>
      <c r="H1229" s="27" t="n">
        <v>1645</v>
      </c>
      <c r="I1229" s="27" t="n">
        <v>1745</v>
      </c>
      <c r="J1229" s="154">
        <f>I1229/H1229-1</f>
        <v/>
      </c>
      <c r="K1229" s="31" t="inlineStr">
        <is>
          <t>26</t>
        </is>
      </c>
      <c r="L1229" s="31" t="inlineStr">
        <is>
          <t>27</t>
        </is>
      </c>
      <c r="M1229" s="31" t="inlineStr">
        <is>
          <t>S1</t>
        </is>
      </c>
      <c r="N1229" s="31" t="inlineStr">
        <is>
          <t>S2</t>
        </is>
      </c>
      <c r="O1229" s="31" t="inlineStr">
        <is>
          <t>1386M56P02</t>
        </is>
      </c>
      <c r="P1229" s="31" t="inlineStr">
        <is>
          <t>SR Technics Switzerland</t>
        </is>
      </c>
    </row>
    <row r="1230">
      <c r="B1230" s="31" t="inlineStr">
        <is>
          <t>CFM56-5B</t>
        </is>
      </c>
      <c r="C1230" s="31" t="inlineStr">
        <is>
          <t>2024-2025</t>
        </is>
      </c>
      <c r="D1230" s="31" t="inlineStr">
        <is>
          <t>672596</t>
        </is>
      </c>
      <c r="E1230" s="31" t="inlineStr">
        <is>
          <t>72-31-07</t>
        </is>
      </c>
      <c r="F1230" s="31" t="inlineStr">
        <is>
          <t>SB00</t>
        </is>
      </c>
      <c r="G1230" s="31" t="inlineStr">
        <is>
          <t>Compressor</t>
        </is>
      </c>
      <c r="H1230" s="27" t="n">
        <v>760</v>
      </c>
      <c r="I1230" s="27" t="n">
        <v>810</v>
      </c>
      <c r="J1230" s="154">
        <f>I1230/H1230-1</f>
        <v/>
      </c>
      <c r="K1230" s="31" t="inlineStr">
        <is>
          <t>26</t>
        </is>
      </c>
      <c r="L1230" s="31" t="inlineStr">
        <is>
          <t>27</t>
        </is>
      </c>
      <c r="M1230" s="31" t="inlineStr">
        <is>
          <t>S1</t>
        </is>
      </c>
      <c r="N1230" s="31" t="inlineStr">
        <is>
          <t>S2</t>
        </is>
      </c>
      <c r="O1230" s="31" t="inlineStr">
        <is>
          <t>1386M56P02</t>
        </is>
      </c>
      <c r="P1230" s="31" t="inlineStr">
        <is>
          <t>SR Technics Switzerland</t>
        </is>
      </c>
    </row>
    <row r="1231">
      <c r="B1231" s="31" t="inlineStr">
        <is>
          <t>CFM56-5B</t>
        </is>
      </c>
      <c r="C1231" s="31" t="inlineStr">
        <is>
          <t>2024-2025</t>
        </is>
      </c>
      <c r="D1231" s="31" t="inlineStr">
        <is>
          <t>672775</t>
        </is>
      </c>
      <c r="E1231" s="31" t="inlineStr">
        <is>
          <t>72-41-04</t>
        </is>
      </c>
      <c r="F1231" s="31" t="inlineStr">
        <is>
          <t>A</t>
        </is>
      </c>
      <c r="G1231" s="31" t="inlineStr">
        <is>
          <t>Combustor</t>
        </is>
      </c>
      <c r="H1231" s="27" t="n">
        <v>505</v>
      </c>
      <c r="I1231" s="27" t="n">
        <v>540</v>
      </c>
      <c r="J1231" s="154">
        <f>I1231/H1231-1</f>
        <v/>
      </c>
      <c r="K1231" s="31" t="inlineStr">
        <is>
          <t>85</t>
        </is>
      </c>
      <c r="L1231" s="31" t="inlineStr">
        <is>
          <t>87</t>
        </is>
      </c>
      <c r="M1231" s="31" t="inlineStr">
        <is>
          <t>S1</t>
        </is>
      </c>
      <c r="N1231" s="31" t="inlineStr">
        <is>
          <t>S2</t>
        </is>
      </c>
      <c r="O1231" s="31" t="inlineStr">
        <is>
          <t>1348M88G05</t>
        </is>
      </c>
      <c r="P1231" s="31" t="inlineStr">
        <is>
          <t>SR Technics Switzerland</t>
        </is>
      </c>
    </row>
    <row r="1232">
      <c r="B1232" s="31" t="inlineStr">
        <is>
          <t>CFM56-5B</t>
        </is>
      </c>
      <c r="C1232" s="31" t="inlineStr">
        <is>
          <t>2024-2025</t>
        </is>
      </c>
      <c r="D1232" s="31" t="inlineStr">
        <is>
          <t>672775</t>
        </is>
      </c>
      <c r="E1232" s="31" t="inlineStr">
        <is>
          <t>72-41-04</t>
        </is>
      </c>
      <c r="F1232" s="31" t="inlineStr">
        <is>
          <t>B</t>
        </is>
      </c>
      <c r="G1232" s="31" t="inlineStr">
        <is>
          <t>Combustor</t>
        </is>
      </c>
      <c r="H1232" s="27" t="n">
        <v>915</v>
      </c>
      <c r="I1232" s="27" t="n">
        <v>970</v>
      </c>
      <c r="J1232" s="154">
        <f>I1232/H1232-1</f>
        <v/>
      </c>
      <c r="K1232" s="31" t="inlineStr">
        <is>
          <t>85</t>
        </is>
      </c>
      <c r="L1232" s="31" t="inlineStr">
        <is>
          <t>87</t>
        </is>
      </c>
      <c r="M1232" s="31" t="inlineStr">
        <is>
          <t>S1</t>
        </is>
      </c>
      <c r="N1232" s="31" t="inlineStr">
        <is>
          <t>S2</t>
        </is>
      </c>
      <c r="O1232" s="31" t="inlineStr">
        <is>
          <t>1348M88G05</t>
        </is>
      </c>
      <c r="P1232" s="31" t="inlineStr">
        <is>
          <t>SR Technics Switzerland</t>
        </is>
      </c>
    </row>
    <row r="1233">
      <c r="B1233" s="31" t="inlineStr">
        <is>
          <t>CFM56-5B</t>
        </is>
      </c>
      <c r="C1233" s="31" t="inlineStr">
        <is>
          <t>2024-2025</t>
        </is>
      </c>
      <c r="D1233" s="31" t="inlineStr">
        <is>
          <t>672775</t>
        </is>
      </c>
      <c r="E1233" s="31" t="inlineStr">
        <is>
          <t>72-41-04</t>
        </is>
      </c>
      <c r="F1233" s="31" t="inlineStr">
        <is>
          <t>D</t>
        </is>
      </c>
      <c r="G1233" s="31" t="inlineStr">
        <is>
          <t>Combustor</t>
        </is>
      </c>
      <c r="H1233" s="27" t="n">
        <v>445</v>
      </c>
      <c r="I1233" s="27" t="n">
        <v>475</v>
      </c>
      <c r="J1233" s="154">
        <f>I1233/H1233-1</f>
        <v/>
      </c>
      <c r="K1233" s="31" t="inlineStr">
        <is>
          <t>85</t>
        </is>
      </c>
      <c r="L1233" s="31" t="inlineStr">
        <is>
          <t>87</t>
        </is>
      </c>
      <c r="M1233" s="31" t="inlineStr">
        <is>
          <t>S1</t>
        </is>
      </c>
      <c r="N1233" s="31" t="inlineStr">
        <is>
          <t>S2</t>
        </is>
      </c>
      <c r="O1233" s="31" t="inlineStr">
        <is>
          <t>1348M88G05</t>
        </is>
      </c>
      <c r="P1233" s="31" t="inlineStr">
        <is>
          <t>SR Technics Switzerland</t>
        </is>
      </c>
    </row>
    <row r="1234">
      <c r="B1234" s="31" t="inlineStr">
        <is>
          <t>CFM56-5B</t>
        </is>
      </c>
      <c r="C1234" s="31" t="inlineStr">
        <is>
          <t>2024-2025</t>
        </is>
      </c>
      <c r="D1234" s="31" t="inlineStr">
        <is>
          <t>672775</t>
        </is>
      </c>
      <c r="E1234" s="31" t="inlineStr">
        <is>
          <t>72-41-04</t>
        </is>
      </c>
      <c r="F1234" s="31" t="inlineStr">
        <is>
          <t>E</t>
        </is>
      </c>
      <c r="G1234" s="31" t="inlineStr">
        <is>
          <t>Combustor</t>
        </is>
      </c>
      <c r="H1234" s="27" t="n">
        <v>330</v>
      </c>
      <c r="I1234" s="27" t="n">
        <v>350</v>
      </c>
      <c r="J1234" s="154">
        <f>I1234/H1234-1</f>
        <v/>
      </c>
      <c r="K1234" s="31" t="inlineStr">
        <is>
          <t>85</t>
        </is>
      </c>
      <c r="L1234" s="31" t="inlineStr">
        <is>
          <t>87</t>
        </is>
      </c>
      <c r="M1234" s="31" t="inlineStr">
        <is>
          <t>S1</t>
        </is>
      </c>
      <c r="N1234" s="31" t="inlineStr">
        <is>
          <t>S2</t>
        </is>
      </c>
      <c r="O1234" s="31" t="inlineStr">
        <is>
          <t>1348M88G05</t>
        </is>
      </c>
      <c r="P1234" s="31" t="inlineStr">
        <is>
          <t>SR Technics Switzerland</t>
        </is>
      </c>
    </row>
    <row r="1235">
      <c r="B1235" s="31" t="inlineStr">
        <is>
          <t>CFM56-5B</t>
        </is>
      </c>
      <c r="C1235" s="31" t="inlineStr">
        <is>
          <t>2024-2025</t>
        </is>
      </c>
      <c r="D1235" s="31" t="inlineStr">
        <is>
          <t>672775</t>
        </is>
      </c>
      <c r="E1235" s="31" t="inlineStr">
        <is>
          <t>72-41-04</t>
        </is>
      </c>
      <c r="F1235" s="31" t="inlineStr">
        <is>
          <t>SB00</t>
        </is>
      </c>
      <c r="G1235" s="31" t="inlineStr">
        <is>
          <t>Combustor</t>
        </is>
      </c>
      <c r="H1235" s="27" t="n">
        <v>820</v>
      </c>
      <c r="I1235" s="27" t="n">
        <v>870</v>
      </c>
      <c r="J1235" s="154">
        <f>I1235/H1235-1</f>
        <v/>
      </c>
      <c r="K1235" s="31" t="inlineStr">
        <is>
          <t>85</t>
        </is>
      </c>
      <c r="L1235" s="31" t="inlineStr">
        <is>
          <t>87</t>
        </is>
      </c>
      <c r="M1235" s="31" t="inlineStr">
        <is>
          <t>S1</t>
        </is>
      </c>
      <c r="N1235" s="31" t="inlineStr">
        <is>
          <t>S2</t>
        </is>
      </c>
      <c r="O1235" s="31" t="inlineStr">
        <is>
          <t>1348M88G05</t>
        </is>
      </c>
      <c r="P1235" s="31" t="inlineStr">
        <is>
          <t>SR Technics Switzerland</t>
        </is>
      </c>
    </row>
    <row r="1236">
      <c r="B1236" s="31" t="inlineStr">
        <is>
          <t>CFM56-5B</t>
        </is>
      </c>
      <c r="C1236" s="31" t="inlineStr">
        <is>
          <t>2024-2025</t>
        </is>
      </c>
      <c r="D1236" s="31" t="inlineStr">
        <is>
          <t>672775</t>
        </is>
      </c>
      <c r="E1236" s="31" t="inlineStr">
        <is>
          <t>72-41-04</t>
        </is>
      </c>
      <c r="F1236" s="31" t="inlineStr">
        <is>
          <t>SB01</t>
        </is>
      </c>
      <c r="G1236" s="31" t="inlineStr">
        <is>
          <t>Combustor</t>
        </is>
      </c>
      <c r="H1236" s="27" t="n">
        <v>3180</v>
      </c>
      <c r="I1236" s="27" t="n">
        <v>3375</v>
      </c>
      <c r="J1236" s="154">
        <f>I1236/H1236-1</f>
        <v/>
      </c>
      <c r="K1236" s="31" t="inlineStr">
        <is>
          <t>85</t>
        </is>
      </c>
      <c r="L1236" s="31" t="inlineStr">
        <is>
          <t>87</t>
        </is>
      </c>
      <c r="M1236" s="31" t="inlineStr">
        <is>
          <t>S1</t>
        </is>
      </c>
      <c r="N1236" s="31" t="inlineStr">
        <is>
          <t>S2</t>
        </is>
      </c>
      <c r="O1236" s="31" t="inlineStr">
        <is>
          <t>1348M88G05</t>
        </is>
      </c>
      <c r="P1236" s="31" t="inlineStr">
        <is>
          <t>SR Technics Switzerland</t>
        </is>
      </c>
    </row>
    <row r="1237">
      <c r="B1237" s="31" t="inlineStr">
        <is>
          <t>CFM56-5B</t>
        </is>
      </c>
      <c r="C1237" s="31" t="inlineStr">
        <is>
          <t>2024-2025</t>
        </is>
      </c>
      <c r="D1237" s="31" t="inlineStr">
        <is>
          <t>672783</t>
        </is>
      </c>
      <c r="E1237" s="31" t="inlineStr">
        <is>
          <t>72-09-04</t>
        </is>
      </c>
      <c r="F1237" s="31" t="inlineStr">
        <is>
          <t>A</t>
        </is>
      </c>
      <c r="G1237" s="31" t="inlineStr">
        <is>
          <t>Other / assembly</t>
        </is>
      </c>
      <c r="H1237" s="27" t="n">
        <v>165</v>
      </c>
      <c r="I1237" s="27" t="n">
        <v>175</v>
      </c>
      <c r="J1237" s="154">
        <f>I1237/H1237-1</f>
        <v/>
      </c>
      <c r="K1237" s="31" t="inlineStr">
        <is>
          <t>27</t>
        </is>
      </c>
      <c r="L1237" s="31" t="inlineStr">
        <is>
          <t>88</t>
        </is>
      </c>
      <c r="M1237" s="31" t="inlineStr">
        <is>
          <t>S1</t>
        </is>
      </c>
      <c r="N1237" s="31" t="inlineStr">
        <is>
          <t>S2</t>
        </is>
      </c>
      <c r="O1237" s="31" t="inlineStr">
        <is>
          <t>1871M49G03</t>
        </is>
      </c>
      <c r="P1237" s="31" t="inlineStr">
        <is>
          <t>SR Technics Switzerland</t>
        </is>
      </c>
    </row>
    <row r="1238">
      <c r="B1238" s="31" t="inlineStr">
        <is>
          <t>CFM56-5B</t>
        </is>
      </c>
      <c r="C1238" s="31" t="inlineStr">
        <is>
          <t>2024-2025</t>
        </is>
      </c>
      <c r="D1238" s="31" t="inlineStr">
        <is>
          <t>672783</t>
        </is>
      </c>
      <c r="E1238" s="31" t="inlineStr">
        <is>
          <t>72-09-04</t>
        </is>
      </c>
      <c r="F1238" s="31" t="inlineStr">
        <is>
          <t>B</t>
        </is>
      </c>
      <c r="G1238" s="31" t="inlineStr">
        <is>
          <t>Other / assembly</t>
        </is>
      </c>
      <c r="H1238" s="27" t="n">
        <v>70</v>
      </c>
      <c r="I1238" s="27" t="n">
        <v>75</v>
      </c>
      <c r="J1238" s="154">
        <f>I1238/H1238-1</f>
        <v/>
      </c>
      <c r="K1238" s="31" t="inlineStr">
        <is>
          <t>27</t>
        </is>
      </c>
      <c r="L1238" s="31" t="inlineStr">
        <is>
          <t>88</t>
        </is>
      </c>
      <c r="M1238" s="31" t="inlineStr">
        <is>
          <t>S1</t>
        </is>
      </c>
      <c r="N1238" s="31" t="inlineStr">
        <is>
          <t>S2</t>
        </is>
      </c>
      <c r="O1238" s="31" t="inlineStr">
        <is>
          <t>1871M49G03</t>
        </is>
      </c>
      <c r="P1238" s="31" t="inlineStr">
        <is>
          <t>SR Technics Switzerland</t>
        </is>
      </c>
    </row>
    <row r="1239">
      <c r="B1239" s="31" t="inlineStr">
        <is>
          <t>CFM56-5B</t>
        </is>
      </c>
      <c r="C1239" s="31" t="inlineStr">
        <is>
          <t>2024-2025</t>
        </is>
      </c>
      <c r="D1239" s="31" t="inlineStr">
        <is>
          <t>672783</t>
        </is>
      </c>
      <c r="E1239" s="31" t="inlineStr">
        <is>
          <t>72-09-04</t>
        </is>
      </c>
      <c r="F1239" s="31" t="inlineStr">
        <is>
          <t>C</t>
        </is>
      </c>
      <c r="G1239" s="31" t="inlineStr">
        <is>
          <t>Other / assembly</t>
        </is>
      </c>
      <c r="H1239" s="27" t="n">
        <v>180</v>
      </c>
      <c r="I1239" s="27" t="n">
        <v>195</v>
      </c>
      <c r="J1239" s="154">
        <f>I1239/H1239-1</f>
        <v/>
      </c>
      <c r="K1239" s="31" t="inlineStr">
        <is>
          <t>27</t>
        </is>
      </c>
      <c r="L1239" s="31" t="inlineStr">
        <is>
          <t>88</t>
        </is>
      </c>
      <c r="M1239" s="31" t="inlineStr">
        <is>
          <t>S1</t>
        </is>
      </c>
      <c r="N1239" s="31" t="inlineStr">
        <is>
          <t>S2</t>
        </is>
      </c>
      <c r="O1239" s="31" t="inlineStr">
        <is>
          <t>1871M49G03</t>
        </is>
      </c>
      <c r="P1239" s="31" t="inlineStr">
        <is>
          <t>SR Technics Switzerland</t>
        </is>
      </c>
    </row>
    <row r="1240">
      <c r="B1240" s="31" t="inlineStr">
        <is>
          <t>CFM56-5B</t>
        </is>
      </c>
      <c r="C1240" s="31" t="inlineStr">
        <is>
          <t>2024-2025</t>
        </is>
      </c>
      <c r="D1240" s="31" t="inlineStr">
        <is>
          <t>672783</t>
        </is>
      </c>
      <c r="E1240" s="31" t="inlineStr">
        <is>
          <t>72-09-04</t>
        </is>
      </c>
      <c r="F1240" s="31" t="inlineStr">
        <is>
          <t>L</t>
        </is>
      </c>
      <c r="G1240" s="31" t="inlineStr">
        <is>
          <t>Other / assembly</t>
        </is>
      </c>
      <c r="H1240" s="27" t="n">
        <v>90</v>
      </c>
      <c r="I1240" s="27" t="n">
        <v>100</v>
      </c>
      <c r="J1240" s="154">
        <f>I1240/H1240-1</f>
        <v/>
      </c>
      <c r="K1240" s="31" t="inlineStr">
        <is>
          <t>27</t>
        </is>
      </c>
      <c r="L1240" s="31" t="inlineStr">
        <is>
          <t>88</t>
        </is>
      </c>
      <c r="M1240" s="31" t="inlineStr">
        <is>
          <t>S1</t>
        </is>
      </c>
      <c r="N1240" s="31" t="inlineStr">
        <is>
          <t>S2</t>
        </is>
      </c>
      <c r="O1240" s="31" t="inlineStr">
        <is>
          <t>1871M49G03</t>
        </is>
      </c>
      <c r="P1240" s="31" t="inlineStr">
        <is>
          <t>SR Technics Switzerland</t>
        </is>
      </c>
    </row>
    <row r="1241">
      <c r="B1241" s="31" t="inlineStr">
        <is>
          <t>CFM56-5B</t>
        </is>
      </c>
      <c r="C1241" s="31" t="inlineStr">
        <is>
          <t>2024-2025</t>
        </is>
      </c>
      <c r="D1241" s="31" t="inlineStr">
        <is>
          <t>672783</t>
        </is>
      </c>
      <c r="E1241" s="31" t="inlineStr">
        <is>
          <t>72-09-04</t>
        </is>
      </c>
      <c r="F1241" s="31" t="inlineStr">
        <is>
          <t>M</t>
        </is>
      </c>
      <c r="G1241" s="31" t="inlineStr">
        <is>
          <t>Other / assembly</t>
        </is>
      </c>
      <c r="H1241" s="27" t="n">
        <v>145</v>
      </c>
      <c r="I1241" s="27" t="n">
        <v>155</v>
      </c>
      <c r="J1241" s="154">
        <f>I1241/H1241-1</f>
        <v/>
      </c>
      <c r="K1241" s="31" t="inlineStr">
        <is>
          <t>27</t>
        </is>
      </c>
      <c r="L1241" s="31" t="inlineStr">
        <is>
          <t>88</t>
        </is>
      </c>
      <c r="M1241" s="31" t="inlineStr">
        <is>
          <t>S1</t>
        </is>
      </c>
      <c r="N1241" s="31" t="inlineStr">
        <is>
          <t>S2</t>
        </is>
      </c>
      <c r="O1241" s="31" t="inlineStr">
        <is>
          <t>1871M49G03</t>
        </is>
      </c>
      <c r="P1241" s="31" t="inlineStr">
        <is>
          <t>SR Technics Switzerland</t>
        </is>
      </c>
    </row>
    <row r="1242">
      <c r="B1242" s="31" t="inlineStr">
        <is>
          <t>CFM56-5B</t>
        </is>
      </c>
      <c r="C1242" s="31" t="inlineStr">
        <is>
          <t>2024-2025</t>
        </is>
      </c>
      <c r="D1242" s="31" t="inlineStr">
        <is>
          <t>672783</t>
        </is>
      </c>
      <c r="E1242" s="31" t="inlineStr">
        <is>
          <t>72-09-04</t>
        </is>
      </c>
      <c r="F1242" s="31" t="inlineStr">
        <is>
          <t>N</t>
        </is>
      </c>
      <c r="G1242" s="31" t="inlineStr">
        <is>
          <t>Other / assembly</t>
        </is>
      </c>
      <c r="H1242" s="27" t="n">
        <v>80</v>
      </c>
      <c r="I1242" s="27" t="n">
        <v>85</v>
      </c>
      <c r="J1242" s="154">
        <f>I1242/H1242-1</f>
        <v/>
      </c>
      <c r="K1242" s="31" t="inlineStr">
        <is>
          <t>27</t>
        </is>
      </c>
      <c r="L1242" s="31" t="inlineStr">
        <is>
          <t>88</t>
        </is>
      </c>
      <c r="M1242" s="31" t="inlineStr">
        <is>
          <t>S1</t>
        </is>
      </c>
      <c r="N1242" s="31" t="inlineStr">
        <is>
          <t>S2</t>
        </is>
      </c>
      <c r="O1242" s="31" t="inlineStr">
        <is>
          <t>1871M49G03</t>
        </is>
      </c>
      <c r="P1242" s="31" t="inlineStr">
        <is>
          <t>SR Technics Switzerland</t>
        </is>
      </c>
    </row>
    <row r="1243">
      <c r="B1243" s="31" t="inlineStr">
        <is>
          <t>CFM56-5B</t>
        </is>
      </c>
      <c r="C1243" s="31" t="inlineStr">
        <is>
          <t>2024-2025</t>
        </is>
      </c>
      <c r="D1243" s="31" t="inlineStr">
        <is>
          <t>672788</t>
        </is>
      </c>
      <c r="E1243" s="31" t="inlineStr">
        <is>
          <t>72-09-04</t>
        </is>
      </c>
      <c r="F1243" s="31" t="inlineStr">
        <is>
          <t>A</t>
        </is>
      </c>
      <c r="G1243" s="31" t="inlineStr">
        <is>
          <t>Other / assembly</t>
        </is>
      </c>
      <c r="H1243" s="27" t="n">
        <v>140</v>
      </c>
      <c r="I1243" s="27" t="n">
        <v>150</v>
      </c>
      <c r="J1243" s="154">
        <f>I1243/H1243-1</f>
        <v/>
      </c>
      <c r="K1243" s="31" t="inlineStr">
        <is>
          <t>86</t>
        </is>
      </c>
      <c r="L1243" s="31" t="inlineStr">
        <is>
          <t>88</t>
        </is>
      </c>
      <c r="M1243" s="31" t="inlineStr">
        <is>
          <t>S1</t>
        </is>
      </c>
      <c r="N1243" s="31" t="inlineStr">
        <is>
          <t>S2</t>
        </is>
      </c>
      <c r="O1243" s="31" t="inlineStr">
        <is>
          <t>1443M74G02</t>
        </is>
      </c>
      <c r="P1243" s="31" t="inlineStr">
        <is>
          <t>SR Technics Switzerland</t>
        </is>
      </c>
    </row>
    <row r="1244">
      <c r="B1244" s="31" t="inlineStr">
        <is>
          <t>CFM56-5B</t>
        </is>
      </c>
      <c r="C1244" s="31" t="inlineStr">
        <is>
          <t>2024-2025</t>
        </is>
      </c>
      <c r="D1244" s="31" t="inlineStr">
        <is>
          <t>672788</t>
        </is>
      </c>
      <c r="E1244" s="31" t="inlineStr">
        <is>
          <t>72-09-04</t>
        </is>
      </c>
      <c r="F1244" s="31" t="inlineStr">
        <is>
          <t>B</t>
        </is>
      </c>
      <c r="G1244" s="31" t="inlineStr">
        <is>
          <t>Other / assembly</t>
        </is>
      </c>
      <c r="H1244" s="27" t="n">
        <v>185</v>
      </c>
      <c r="I1244" s="27" t="n">
        <v>200</v>
      </c>
      <c r="J1244" s="154">
        <f>I1244/H1244-1</f>
        <v/>
      </c>
      <c r="K1244" s="31" t="inlineStr">
        <is>
          <t>86, 87</t>
        </is>
      </c>
      <c r="L1244" s="31" t="inlineStr">
        <is>
          <t>88</t>
        </is>
      </c>
      <c r="M1244" s="31" t="inlineStr">
        <is>
          <t>S1</t>
        </is>
      </c>
      <c r="N1244" s="31" t="inlineStr">
        <is>
          <t>S2</t>
        </is>
      </c>
      <c r="O1244" s="31" t="inlineStr">
        <is>
          <t>1443M74G02</t>
        </is>
      </c>
      <c r="P1244" s="31" t="inlineStr">
        <is>
          <t>SR Technics Switzerland</t>
        </is>
      </c>
    </row>
    <row r="1245">
      <c r="B1245" s="31" t="inlineStr">
        <is>
          <t>CFM56-5B</t>
        </is>
      </c>
      <c r="C1245" s="31" t="inlineStr">
        <is>
          <t>2024-2025</t>
        </is>
      </c>
      <c r="D1245" s="31" t="inlineStr">
        <is>
          <t>672788</t>
        </is>
      </c>
      <c r="E1245" s="31" t="inlineStr">
        <is>
          <t>72-09-04</t>
        </is>
      </c>
      <c r="F1245" s="31" t="inlineStr">
        <is>
          <t>C</t>
        </is>
      </c>
      <c r="G1245" s="31" t="inlineStr">
        <is>
          <t>Other / assembly</t>
        </is>
      </c>
      <c r="H1245" s="27" t="n">
        <v>80</v>
      </c>
      <c r="I1245" s="27" t="n">
        <v>85</v>
      </c>
      <c r="J1245" s="154">
        <f>I1245/H1245-1</f>
        <v/>
      </c>
      <c r="K1245" s="31" t="inlineStr">
        <is>
          <t>87</t>
        </is>
      </c>
      <c r="L1245" s="31" t="inlineStr">
        <is>
          <t>88</t>
        </is>
      </c>
      <c r="M1245" s="31" t="inlineStr">
        <is>
          <t>S1</t>
        </is>
      </c>
      <c r="N1245" s="31" t="inlineStr">
        <is>
          <t>S2</t>
        </is>
      </c>
      <c r="O1245" s="31" t="inlineStr">
        <is>
          <t>1443M74G02</t>
        </is>
      </c>
      <c r="P1245" s="31" t="inlineStr">
        <is>
          <t>SR Technics Switzerland</t>
        </is>
      </c>
    </row>
    <row r="1246">
      <c r="B1246" s="31" t="inlineStr">
        <is>
          <t>CFM56-5B</t>
        </is>
      </c>
      <c r="C1246" s="31" t="inlineStr">
        <is>
          <t>2024-2025</t>
        </is>
      </c>
      <c r="D1246" s="31" t="inlineStr">
        <is>
          <t>672788</t>
        </is>
      </c>
      <c r="E1246" s="31" t="inlineStr">
        <is>
          <t>72-09-04</t>
        </is>
      </c>
      <c r="F1246" s="31" t="inlineStr">
        <is>
          <t>D</t>
        </is>
      </c>
      <c r="G1246" s="31" t="inlineStr">
        <is>
          <t>Other / assembly</t>
        </is>
      </c>
      <c r="H1246" s="27" t="n">
        <v>135</v>
      </c>
      <c r="I1246" s="27" t="n">
        <v>145</v>
      </c>
      <c r="J1246" s="154">
        <f>I1246/H1246-1</f>
        <v/>
      </c>
      <c r="K1246" s="31" t="inlineStr">
        <is>
          <t>87</t>
        </is>
      </c>
      <c r="L1246" s="31" t="inlineStr">
        <is>
          <t>88</t>
        </is>
      </c>
      <c r="M1246" s="31" t="inlineStr">
        <is>
          <t>S1</t>
        </is>
      </c>
      <c r="N1246" s="31" t="inlineStr">
        <is>
          <t>S2</t>
        </is>
      </c>
      <c r="O1246" s="31" t="inlineStr">
        <is>
          <t>1443M74G02</t>
        </is>
      </c>
      <c r="P1246" s="31" t="inlineStr">
        <is>
          <t>SR Technics Switzerland</t>
        </is>
      </c>
    </row>
    <row r="1247">
      <c r="B1247" s="31" t="inlineStr">
        <is>
          <t>CFM56-5B</t>
        </is>
      </c>
      <c r="C1247" s="31" t="inlineStr">
        <is>
          <t>2024-2025</t>
        </is>
      </c>
      <c r="D1247" s="31" t="inlineStr">
        <is>
          <t>672788</t>
        </is>
      </c>
      <c r="E1247" s="31" t="inlineStr">
        <is>
          <t>72-09-04</t>
        </is>
      </c>
      <c r="F1247" s="31" t="inlineStr">
        <is>
          <t>SB00</t>
        </is>
      </c>
      <c r="G1247" s="31" t="inlineStr">
        <is>
          <t>Other / assembly</t>
        </is>
      </c>
      <c r="H1247" s="27" t="n">
        <v>140</v>
      </c>
      <c r="I1247" s="27" t="n">
        <v>150</v>
      </c>
      <c r="J1247" s="154">
        <f>I1247/H1247-1</f>
        <v/>
      </c>
      <c r="K1247" s="31" t="inlineStr">
        <is>
          <t>87</t>
        </is>
      </c>
      <c r="L1247" s="31" t="inlineStr">
        <is>
          <t>88</t>
        </is>
      </c>
      <c r="M1247" s="31" t="inlineStr">
        <is>
          <t>S1</t>
        </is>
      </c>
      <c r="N1247" s="31" t="inlineStr">
        <is>
          <t>S2</t>
        </is>
      </c>
      <c r="O1247" s="31" t="inlineStr">
        <is>
          <t>1443M74G02</t>
        </is>
      </c>
      <c r="P1247" s="31" t="inlineStr">
        <is>
          <t>SR Technics Switzerland</t>
        </is>
      </c>
    </row>
    <row r="1248">
      <c r="B1248" s="31" t="inlineStr">
        <is>
          <t>CFM56-5B</t>
        </is>
      </c>
      <c r="C1248" s="31" t="inlineStr">
        <is>
          <t>2024-2025</t>
        </is>
      </c>
      <c r="D1248" s="31" t="inlineStr">
        <is>
          <t>672792</t>
        </is>
      </c>
      <c r="E1248" s="31" t="inlineStr">
        <is>
          <t>72-09-03</t>
        </is>
      </c>
      <c r="F1248" s="31" t="inlineStr">
        <is>
          <t>A</t>
        </is>
      </c>
      <c r="G1248" s="31" t="inlineStr">
        <is>
          <t>Other / assembly</t>
        </is>
      </c>
      <c r="H1248" s="27" t="n">
        <v>370</v>
      </c>
      <c r="I1248" s="27" t="n">
        <v>395</v>
      </c>
      <c r="J1248" s="154">
        <f>I1248/H1248-1</f>
        <v/>
      </c>
      <c r="K1248" s="31" t="inlineStr">
        <is>
          <t>27</t>
        </is>
      </c>
      <c r="L1248" s="31" t="inlineStr">
        <is>
          <t>27</t>
        </is>
      </c>
      <c r="M1248" s="31" t="inlineStr">
        <is>
          <t>S1</t>
        </is>
      </c>
      <c r="N1248" s="31" t="inlineStr">
        <is>
          <t>S2</t>
        </is>
      </c>
      <c r="O1248" s="31" t="inlineStr">
        <is>
          <t>338-040-751-0</t>
        </is>
      </c>
      <c r="P1248" s="31" t="inlineStr">
        <is>
          <t>SR Technics Switzerland</t>
        </is>
      </c>
    </row>
    <row r="1249">
      <c r="B1249" s="31" t="inlineStr">
        <is>
          <t>CFM56-5B</t>
        </is>
      </c>
      <c r="C1249" s="31" t="inlineStr">
        <is>
          <t>2024-2025</t>
        </is>
      </c>
      <c r="D1249" s="31" t="inlineStr">
        <is>
          <t>672792</t>
        </is>
      </c>
      <c r="E1249" s="31" t="inlineStr">
        <is>
          <t>72-09-03</t>
        </is>
      </c>
      <c r="F1249" s="31" t="inlineStr">
        <is>
          <t>B</t>
        </is>
      </c>
      <c r="G1249" s="31" t="inlineStr">
        <is>
          <t>Other / assembly</t>
        </is>
      </c>
      <c r="H1249" s="27" t="n">
        <v>1015</v>
      </c>
      <c r="I1249" s="27" t="n">
        <v>1080</v>
      </c>
      <c r="J1249" s="154">
        <f>I1249/H1249-1</f>
        <v/>
      </c>
      <c r="K1249" s="31" t="inlineStr">
        <is>
          <t>27</t>
        </is>
      </c>
      <c r="L1249" s="31" t="inlineStr">
        <is>
          <t>27</t>
        </is>
      </c>
      <c r="M1249" s="31" t="inlineStr">
        <is>
          <t>S1</t>
        </is>
      </c>
      <c r="N1249" s="31" t="inlineStr">
        <is>
          <t>S2</t>
        </is>
      </c>
      <c r="O1249" s="31" t="inlineStr">
        <is>
          <t>338-040-751-0</t>
        </is>
      </c>
      <c r="P1249" s="31" t="inlineStr">
        <is>
          <t>SR Technics Switzerland</t>
        </is>
      </c>
    </row>
    <row r="1250">
      <c r="B1250" s="31" t="inlineStr">
        <is>
          <t>CFM56-5B</t>
        </is>
      </c>
      <c r="C1250" s="31" t="inlineStr">
        <is>
          <t>2024-2025</t>
        </is>
      </c>
      <c r="D1250" s="31" t="inlineStr">
        <is>
          <t>672793</t>
        </is>
      </c>
      <c r="E1250" s="31" t="inlineStr">
        <is>
          <t>72-09-04</t>
        </is>
      </c>
      <c r="F1250" s="31" t="inlineStr">
        <is>
          <t>A</t>
        </is>
      </c>
      <c r="G1250" s="31" t="inlineStr">
        <is>
          <t>Other / assembly</t>
        </is>
      </c>
      <c r="H1250" s="27" t="n">
        <v>95</v>
      </c>
      <c r="I1250" s="27" t="n">
        <v>105</v>
      </c>
      <c r="J1250" s="154">
        <f>I1250/H1250-1</f>
        <v/>
      </c>
      <c r="K1250" s="31" t="inlineStr">
        <is>
          <t>87</t>
        </is>
      </c>
      <c r="L1250" s="31" t="inlineStr">
        <is>
          <t>89</t>
        </is>
      </c>
      <c r="M1250" s="31" t="inlineStr">
        <is>
          <t>S1</t>
        </is>
      </c>
      <c r="N1250" s="31" t="inlineStr">
        <is>
          <t>S2</t>
        </is>
      </c>
      <c r="O1250" s="31" t="inlineStr">
        <is>
          <t>1869M44G01</t>
        </is>
      </c>
      <c r="P1250" s="31" t="inlineStr">
        <is>
          <t>SR Technics Switzerland</t>
        </is>
      </c>
    </row>
    <row r="1251">
      <c r="B1251" s="31" t="inlineStr">
        <is>
          <t>CFM56-5B</t>
        </is>
      </c>
      <c r="C1251" s="31" t="inlineStr">
        <is>
          <t>2024-2025</t>
        </is>
      </c>
      <c r="D1251" s="31" t="inlineStr">
        <is>
          <t>672793</t>
        </is>
      </c>
      <c r="E1251" s="31" t="inlineStr">
        <is>
          <t>72-09-04</t>
        </is>
      </c>
      <c r="F1251" s="31" t="inlineStr">
        <is>
          <t>B</t>
        </is>
      </c>
      <c r="G1251" s="31" t="inlineStr">
        <is>
          <t>Other / assembly</t>
        </is>
      </c>
      <c r="H1251" s="27" t="n">
        <v>75</v>
      </c>
      <c r="I1251" s="27" t="n">
        <v>80</v>
      </c>
      <c r="J1251" s="154">
        <f>I1251/H1251-1</f>
        <v/>
      </c>
      <c r="K1251" s="31" t="inlineStr">
        <is>
          <t>87</t>
        </is>
      </c>
      <c r="L1251" s="31" t="inlineStr">
        <is>
          <t>89</t>
        </is>
      </c>
      <c r="M1251" s="31" t="inlineStr">
        <is>
          <t>S1</t>
        </is>
      </c>
      <c r="N1251" s="31" t="inlineStr">
        <is>
          <t>S2</t>
        </is>
      </c>
      <c r="O1251" s="31" t="inlineStr">
        <is>
          <t>1869M44G01</t>
        </is>
      </c>
      <c r="P1251" s="31" t="inlineStr">
        <is>
          <t>SR Technics Switzerland</t>
        </is>
      </c>
    </row>
    <row r="1252">
      <c r="B1252" s="31" t="inlineStr">
        <is>
          <t>CFM56-5B</t>
        </is>
      </c>
      <c r="C1252" s="31" t="inlineStr">
        <is>
          <t>2024-2025</t>
        </is>
      </c>
      <c r="D1252" s="31" t="inlineStr">
        <is>
          <t>672793</t>
        </is>
      </c>
      <c r="E1252" s="31" t="inlineStr">
        <is>
          <t>72-09-04</t>
        </is>
      </c>
      <c r="F1252" s="31" t="inlineStr">
        <is>
          <t>C</t>
        </is>
      </c>
      <c r="G1252" s="31" t="inlineStr">
        <is>
          <t>Other / assembly</t>
        </is>
      </c>
      <c r="H1252" s="27" t="n">
        <v>75</v>
      </c>
      <c r="I1252" s="27" t="n">
        <v>80</v>
      </c>
      <c r="J1252" s="154">
        <f>I1252/H1252-1</f>
        <v/>
      </c>
      <c r="K1252" s="31" t="inlineStr">
        <is>
          <t>87</t>
        </is>
      </c>
      <c r="L1252" s="31" t="inlineStr">
        <is>
          <t>89</t>
        </is>
      </c>
      <c r="M1252" s="31" t="inlineStr">
        <is>
          <t>S1</t>
        </is>
      </c>
      <c r="N1252" s="31" t="inlineStr">
        <is>
          <t>S2</t>
        </is>
      </c>
      <c r="O1252" s="31" t="inlineStr">
        <is>
          <t>1869M44G01</t>
        </is>
      </c>
      <c r="P1252" s="31" t="inlineStr">
        <is>
          <t>SR Technics Switzerland</t>
        </is>
      </c>
    </row>
    <row r="1253">
      <c r="B1253" s="31" t="inlineStr">
        <is>
          <t>CFM56-5B</t>
        </is>
      </c>
      <c r="C1253" s="31" t="inlineStr">
        <is>
          <t>2024-2025</t>
        </is>
      </c>
      <c r="D1253" s="31" t="inlineStr">
        <is>
          <t>672801</t>
        </is>
      </c>
      <c r="E1253" s="31" t="inlineStr">
        <is>
          <t>72-09-04</t>
        </is>
      </c>
      <c r="F1253" s="31" t="inlineStr">
        <is>
          <t>A</t>
        </is>
      </c>
      <c r="G1253" s="31" t="inlineStr">
        <is>
          <t>Other / assembly</t>
        </is>
      </c>
      <c r="H1253" s="27" t="n">
        <v>65</v>
      </c>
      <c r="I1253" s="27" t="n">
        <v>70</v>
      </c>
      <c r="J1253" s="154">
        <f>I1253/H1253-1</f>
        <v/>
      </c>
      <c r="K1253" s="31" t="inlineStr">
        <is>
          <t>87</t>
        </is>
      </c>
      <c r="L1253" s="31" t="inlineStr">
        <is>
          <t>89</t>
        </is>
      </c>
      <c r="M1253" s="31" t="inlineStr">
        <is>
          <t>S1</t>
        </is>
      </c>
      <c r="N1253" s="31" t="inlineStr">
        <is>
          <t>S2</t>
        </is>
      </c>
      <c r="O1253" s="31" t="inlineStr">
        <is>
          <t>1871M51G01</t>
        </is>
      </c>
      <c r="P1253" s="31" t="inlineStr">
        <is>
          <t>SR Technics Switzerland</t>
        </is>
      </c>
    </row>
    <row r="1254">
      <c r="B1254" s="31" t="inlineStr">
        <is>
          <t>CFM56-5B</t>
        </is>
      </c>
      <c r="C1254" s="31" t="inlineStr">
        <is>
          <t>2024-2025</t>
        </is>
      </c>
      <c r="D1254" s="31" t="inlineStr">
        <is>
          <t>672807</t>
        </is>
      </c>
      <c r="E1254" s="31" t="inlineStr">
        <is>
          <t>72-09-03</t>
        </is>
      </c>
      <c r="F1254" s="31" t="inlineStr">
        <is>
          <t>A</t>
        </is>
      </c>
      <c r="G1254" s="31" t="inlineStr">
        <is>
          <t>Other / assembly</t>
        </is>
      </c>
      <c r="H1254" s="27" t="n">
        <v>315</v>
      </c>
      <c r="I1254" s="27" t="n">
        <v>335</v>
      </c>
      <c r="J1254" s="154">
        <f>I1254/H1254-1</f>
        <v/>
      </c>
      <c r="K1254" s="31" t="inlineStr">
        <is>
          <t>88</t>
        </is>
      </c>
      <c r="L1254" s="31" t="inlineStr">
        <is>
          <t>89</t>
        </is>
      </c>
      <c r="M1254" s="31" t="inlineStr">
        <is>
          <t>S1</t>
        </is>
      </c>
      <c r="N1254" s="31" t="inlineStr">
        <is>
          <t>S2</t>
        </is>
      </c>
      <c r="O1254" s="31" t="inlineStr">
        <is>
          <t>337-114-052-0</t>
        </is>
      </c>
      <c r="P1254" s="31" t="inlineStr">
        <is>
          <t>SR Technics Switzerland</t>
        </is>
      </c>
    </row>
    <row r="1255">
      <c r="B1255" s="31" t="inlineStr">
        <is>
          <t>CFM56-5B</t>
        </is>
      </c>
      <c r="C1255" s="31" t="inlineStr">
        <is>
          <t>2024-2025</t>
        </is>
      </c>
      <c r="D1255" s="31" t="inlineStr">
        <is>
          <t>672807</t>
        </is>
      </c>
      <c r="E1255" s="31" t="inlineStr">
        <is>
          <t>72-09-03</t>
        </is>
      </c>
      <c r="F1255" s="31" t="inlineStr">
        <is>
          <t>G</t>
        </is>
      </c>
      <c r="G1255" s="31" t="inlineStr">
        <is>
          <t>Other / assembly</t>
        </is>
      </c>
      <c r="H1255" s="27" t="n">
        <v>1135</v>
      </c>
      <c r="I1255" s="27" t="n">
        <v>1205</v>
      </c>
      <c r="J1255" s="154">
        <f>I1255/H1255-1</f>
        <v/>
      </c>
      <c r="K1255" s="31" t="inlineStr">
        <is>
          <t>88</t>
        </is>
      </c>
      <c r="L1255" s="31" t="inlineStr">
        <is>
          <t>89</t>
        </is>
      </c>
      <c r="M1255" s="31" t="inlineStr">
        <is>
          <t>S1</t>
        </is>
      </c>
      <c r="N1255" s="31" t="inlineStr">
        <is>
          <t>S2</t>
        </is>
      </c>
      <c r="O1255" s="31" t="inlineStr">
        <is>
          <t>337-114-052-0</t>
        </is>
      </c>
      <c r="P1255" s="31" t="inlineStr">
        <is>
          <t>SR Technics Switzerland</t>
        </is>
      </c>
    </row>
    <row r="1256">
      <c r="B1256" s="31" t="inlineStr">
        <is>
          <t>CFM56-5B</t>
        </is>
      </c>
      <c r="C1256" s="31" t="inlineStr">
        <is>
          <t>2024-2025</t>
        </is>
      </c>
      <c r="D1256" s="31" t="inlineStr">
        <is>
          <t>672818</t>
        </is>
      </c>
      <c r="E1256" s="31" t="inlineStr">
        <is>
          <t>72-23-18</t>
        </is>
      </c>
      <c r="F1256" s="31" t="inlineStr">
        <is>
          <t>A</t>
        </is>
      </c>
      <c r="G1256" s="31" t="inlineStr">
        <is>
          <t>Fan / booster</t>
        </is>
      </c>
      <c r="H1256" s="27" t="n">
        <v>615</v>
      </c>
      <c r="I1256" s="27" t="n">
        <v>655</v>
      </c>
      <c r="J1256" s="154">
        <f>I1256/H1256-1</f>
        <v/>
      </c>
      <c r="K1256" s="31" t="inlineStr">
        <is>
          <t>88</t>
        </is>
      </c>
      <c r="L1256" s="31" t="inlineStr">
        <is>
          <t>89</t>
        </is>
      </c>
      <c r="M1256" s="31" t="inlineStr">
        <is>
          <t>S1</t>
        </is>
      </c>
      <c r="N1256" s="31" t="inlineStr">
        <is>
          <t>S2</t>
        </is>
      </c>
      <c r="O1256" s="31" t="inlineStr">
        <is>
          <t>338-082-101-0</t>
        </is>
      </c>
      <c r="P1256" s="31" t="inlineStr">
        <is>
          <t>SR Technics Switzerland</t>
        </is>
      </c>
    </row>
    <row r="1257">
      <c r="B1257" s="31" t="inlineStr">
        <is>
          <t>CFM56-5B</t>
        </is>
      </c>
      <c r="C1257" s="31" t="inlineStr">
        <is>
          <t>2024-2025</t>
        </is>
      </c>
      <c r="D1257" s="31" t="inlineStr">
        <is>
          <t>672818</t>
        </is>
      </c>
      <c r="E1257" s="31" t="inlineStr">
        <is>
          <t>72-23-18</t>
        </is>
      </c>
      <c r="F1257" s="31" t="inlineStr">
        <is>
          <t>B</t>
        </is>
      </c>
      <c r="G1257" s="31" t="inlineStr">
        <is>
          <t>Fan / booster</t>
        </is>
      </c>
      <c r="H1257" s="27" t="n">
        <v>305</v>
      </c>
      <c r="I1257" s="27" t="n">
        <v>325</v>
      </c>
      <c r="J1257" s="154">
        <f>I1257/H1257-1</f>
        <v/>
      </c>
      <c r="K1257" s="31" t="inlineStr">
        <is>
          <t>88</t>
        </is>
      </c>
      <c r="L1257" s="31" t="inlineStr">
        <is>
          <t>89</t>
        </is>
      </c>
      <c r="M1257" s="31" t="inlineStr">
        <is>
          <t>S1</t>
        </is>
      </c>
      <c r="N1257" s="31" t="inlineStr">
        <is>
          <t>S2</t>
        </is>
      </c>
      <c r="O1257" s="31" t="inlineStr">
        <is>
          <t>338-082-101-0</t>
        </is>
      </c>
      <c r="P1257" s="31" t="inlineStr">
        <is>
          <t>SR Technics Switzerland</t>
        </is>
      </c>
    </row>
    <row r="1258">
      <c r="B1258" s="31" t="inlineStr">
        <is>
          <t>CFM56-5B</t>
        </is>
      </c>
      <c r="C1258" s="31" t="inlineStr">
        <is>
          <t>2024-2025</t>
        </is>
      </c>
      <c r="D1258" s="31" t="inlineStr">
        <is>
          <t>672819</t>
        </is>
      </c>
      <c r="E1258" s="31" t="inlineStr">
        <is>
          <t>72-09-03</t>
        </is>
      </c>
      <c r="F1258" s="31" t="inlineStr">
        <is>
          <t>A</t>
        </is>
      </c>
      <c r="G1258" s="31" t="inlineStr">
        <is>
          <t>Other / assembly</t>
        </is>
      </c>
      <c r="H1258" s="27" t="n">
        <v>390</v>
      </c>
      <c r="I1258" s="27" t="n">
        <v>415</v>
      </c>
      <c r="J1258" s="154">
        <f>I1258/H1258-1</f>
        <v/>
      </c>
      <c r="K1258" s="31" t="inlineStr">
        <is>
          <t>88</t>
        </is>
      </c>
      <c r="L1258" s="31" t="inlineStr">
        <is>
          <t>90</t>
        </is>
      </c>
      <c r="M1258" s="31" t="inlineStr">
        <is>
          <t>S1</t>
        </is>
      </c>
      <c r="N1258" s="31" t="inlineStr">
        <is>
          <t>S2</t>
        </is>
      </c>
      <c r="O1258" s="31" t="inlineStr">
        <is>
          <t>1898M65G01</t>
        </is>
      </c>
      <c r="P1258" s="31" t="inlineStr">
        <is>
          <t>SR Technics Switzerland</t>
        </is>
      </c>
    </row>
    <row r="1259">
      <c r="B1259" s="31" t="inlineStr">
        <is>
          <t>CFM56-5B</t>
        </is>
      </c>
      <c r="C1259" s="31" t="inlineStr">
        <is>
          <t>2024-2025</t>
        </is>
      </c>
      <c r="D1259" s="31" t="inlineStr">
        <is>
          <t>672819</t>
        </is>
      </c>
      <c r="E1259" s="31" t="inlineStr">
        <is>
          <t>72-09-03</t>
        </is>
      </c>
      <c r="F1259" s="31" t="inlineStr">
        <is>
          <t>G</t>
        </is>
      </c>
      <c r="G1259" s="31" t="inlineStr">
        <is>
          <t>Other / assembly</t>
        </is>
      </c>
      <c r="H1259" s="27" t="n">
        <v>950</v>
      </c>
      <c r="I1259" s="27" t="n">
        <v>1010</v>
      </c>
      <c r="J1259" s="154">
        <f>I1259/H1259-1</f>
        <v/>
      </c>
      <c r="K1259" s="31" t="inlineStr">
        <is>
          <t>88</t>
        </is>
      </c>
      <c r="L1259" s="31" t="inlineStr">
        <is>
          <t>90</t>
        </is>
      </c>
      <c r="M1259" s="31" t="inlineStr">
        <is>
          <t>S1</t>
        </is>
      </c>
      <c r="N1259" s="31" t="inlineStr">
        <is>
          <t>S2</t>
        </is>
      </c>
      <c r="O1259" s="31" t="inlineStr">
        <is>
          <t>1898M65G01</t>
        </is>
      </c>
      <c r="P1259" s="31" t="inlineStr">
        <is>
          <t>SR Technics Switzerland</t>
        </is>
      </c>
    </row>
    <row r="1260">
      <c r="B1260" s="31" t="inlineStr">
        <is>
          <t>CFM56-5B</t>
        </is>
      </c>
      <c r="C1260" s="31" t="inlineStr">
        <is>
          <t>2024-2025</t>
        </is>
      </c>
      <c r="D1260" s="31" t="inlineStr">
        <is>
          <t>672820</t>
        </is>
      </c>
      <c r="E1260" s="31" t="inlineStr">
        <is>
          <t>72-09-03</t>
        </is>
      </c>
      <c r="F1260" s="31" t="inlineStr">
        <is>
          <t>A</t>
        </is>
      </c>
      <c r="G1260" s="31" t="inlineStr">
        <is>
          <t>Other / assembly</t>
        </is>
      </c>
      <c r="H1260" s="27" t="n">
        <v>390</v>
      </c>
      <c r="I1260" s="27" t="n">
        <v>415</v>
      </c>
      <c r="J1260" s="154">
        <f>I1260/H1260-1</f>
        <v/>
      </c>
      <c r="K1260" s="31" t="inlineStr">
        <is>
          <t>88</t>
        </is>
      </c>
      <c r="L1260" s="31" t="inlineStr">
        <is>
          <t>90</t>
        </is>
      </c>
      <c r="M1260" s="31" t="inlineStr">
        <is>
          <t>S1</t>
        </is>
      </c>
      <c r="N1260" s="31" t="inlineStr">
        <is>
          <t>S2</t>
        </is>
      </c>
      <c r="O1260" s="31" t="inlineStr">
        <is>
          <t>337-036-917-0</t>
        </is>
      </c>
      <c r="P1260" s="31" t="inlineStr">
        <is>
          <t>SR Technics Switzerland</t>
        </is>
      </c>
    </row>
    <row r="1261">
      <c r="B1261" s="31" t="inlineStr">
        <is>
          <t>CFM56-5B</t>
        </is>
      </c>
      <c r="C1261" s="31" t="inlineStr">
        <is>
          <t>2024-2025</t>
        </is>
      </c>
      <c r="D1261" s="31" t="inlineStr">
        <is>
          <t>672820</t>
        </is>
      </c>
      <c r="E1261" s="31" t="inlineStr">
        <is>
          <t>72-09-03</t>
        </is>
      </c>
      <c r="F1261" s="31" t="inlineStr">
        <is>
          <t>G</t>
        </is>
      </c>
      <c r="G1261" s="31" t="inlineStr">
        <is>
          <t>Other / assembly</t>
        </is>
      </c>
      <c r="H1261" s="27" t="n">
        <v>950</v>
      </c>
      <c r="I1261" s="27" t="n">
        <v>1010</v>
      </c>
      <c r="J1261" s="154">
        <f>I1261/H1261-1</f>
        <v/>
      </c>
      <c r="K1261" s="31" t="inlineStr">
        <is>
          <t>88</t>
        </is>
      </c>
      <c r="L1261" s="31" t="inlineStr">
        <is>
          <t>90</t>
        </is>
      </c>
      <c r="M1261" s="31" t="inlineStr">
        <is>
          <t>S1</t>
        </is>
      </c>
      <c r="N1261" s="31" t="inlineStr">
        <is>
          <t>S2</t>
        </is>
      </c>
      <c r="O1261" s="31" t="inlineStr">
        <is>
          <t>337-036-917-0</t>
        </is>
      </c>
      <c r="P1261" s="31" t="inlineStr">
        <is>
          <t>SR Technics Switzerland</t>
        </is>
      </c>
    </row>
    <row r="1262">
      <c r="B1262" s="31" t="inlineStr">
        <is>
          <t>CFM56-5B</t>
        </is>
      </c>
      <c r="C1262" s="31" t="inlineStr">
        <is>
          <t>2024-2025</t>
        </is>
      </c>
      <c r="D1262" s="31" t="inlineStr">
        <is>
          <t>672822</t>
        </is>
      </c>
      <c r="E1262" s="31" t="inlineStr">
        <is>
          <t>72-09-03</t>
        </is>
      </c>
      <c r="F1262" s="31" t="inlineStr">
        <is>
          <t>A</t>
        </is>
      </c>
      <c r="G1262" s="31" t="inlineStr">
        <is>
          <t>Other / assembly</t>
        </is>
      </c>
      <c r="H1262" s="27" t="n">
        <v>285</v>
      </c>
      <c r="I1262" s="27" t="n">
        <v>305</v>
      </c>
      <c r="J1262" s="154">
        <f>I1262/H1262-1</f>
        <v/>
      </c>
      <c r="K1262" s="31" t="inlineStr">
        <is>
          <t>88</t>
        </is>
      </c>
      <c r="L1262" s="31" t="inlineStr">
        <is>
          <t>90</t>
        </is>
      </c>
      <c r="M1262" s="31" t="inlineStr">
        <is>
          <t>S1</t>
        </is>
      </c>
      <c r="N1262" s="31" t="inlineStr">
        <is>
          <t>S2</t>
        </is>
      </c>
      <c r="O1262" s="31" t="inlineStr">
        <is>
          <t>340-026-502-0</t>
        </is>
      </c>
      <c r="P1262" s="31" t="inlineStr">
        <is>
          <t>SR Technics Switzerland</t>
        </is>
      </c>
    </row>
    <row r="1263">
      <c r="B1263" s="31" t="inlineStr">
        <is>
          <t>CFM56-5B</t>
        </is>
      </c>
      <c r="C1263" s="31" t="inlineStr">
        <is>
          <t>2024-2025</t>
        </is>
      </c>
      <c r="D1263" s="31" t="inlineStr">
        <is>
          <t>672822</t>
        </is>
      </c>
      <c r="E1263" s="31" t="inlineStr">
        <is>
          <t>72-09-03</t>
        </is>
      </c>
      <c r="F1263" s="31" t="inlineStr">
        <is>
          <t>G</t>
        </is>
      </c>
      <c r="G1263" s="31" t="inlineStr">
        <is>
          <t>Other / assembly</t>
        </is>
      </c>
      <c r="H1263" s="27" t="n">
        <v>600</v>
      </c>
      <c r="I1263" s="27" t="n">
        <v>640</v>
      </c>
      <c r="J1263" s="154">
        <f>I1263/H1263-1</f>
        <v/>
      </c>
      <c r="K1263" s="31" t="inlineStr">
        <is>
          <t>88</t>
        </is>
      </c>
      <c r="L1263" s="31" t="inlineStr">
        <is>
          <t>90</t>
        </is>
      </c>
      <c r="M1263" s="31" t="inlineStr">
        <is>
          <t>S1</t>
        </is>
      </c>
      <c r="N1263" s="31" t="inlineStr">
        <is>
          <t>S2</t>
        </is>
      </c>
      <c r="O1263" s="31" t="inlineStr">
        <is>
          <t>340-026-502-0</t>
        </is>
      </c>
      <c r="P1263" s="31" t="inlineStr">
        <is>
          <t>SR Technics Switzerland</t>
        </is>
      </c>
    </row>
    <row r="1264">
      <c r="B1264" s="31" t="inlineStr">
        <is>
          <t>CFM56-5B</t>
        </is>
      </c>
      <c r="C1264" s="31" t="inlineStr">
        <is>
          <t>2024-2025</t>
        </is>
      </c>
      <c r="D1264" s="31" t="inlineStr">
        <is>
          <t>672828</t>
        </is>
      </c>
      <c r="E1264" s="31" t="inlineStr">
        <is>
          <t>72-56-01</t>
        </is>
      </c>
      <c r="F1264" s="31" t="inlineStr">
        <is>
          <t>A</t>
        </is>
      </c>
      <c r="G1264" s="31" t="inlineStr">
        <is>
          <t>LPT</t>
        </is>
      </c>
      <c r="H1264" s="27" t="n">
        <v>2610</v>
      </c>
      <c r="I1264" s="27" t="n">
        <v>2770</v>
      </c>
      <c r="J1264" s="154">
        <f>I1264/H1264-1</f>
        <v/>
      </c>
      <c r="K1264" s="31" t="inlineStr">
        <is>
          <t>27</t>
        </is>
      </c>
      <c r="L1264" s="31" t="inlineStr">
        <is>
          <t>27</t>
        </is>
      </c>
      <c r="M1264" s="31" t="inlineStr">
        <is>
          <t>S1</t>
        </is>
      </c>
      <c r="N1264" s="31" t="inlineStr">
        <is>
          <t>S2</t>
        </is>
      </c>
      <c r="O1264" s="31" t="inlineStr">
        <is>
          <t>336-031-631-0</t>
        </is>
      </c>
      <c r="P1264" s="31" t="inlineStr">
        <is>
          <t>SR Technics Switzerland</t>
        </is>
      </c>
    </row>
    <row r="1265">
      <c r="B1265" s="31" t="inlineStr">
        <is>
          <t>CFM56-5B</t>
        </is>
      </c>
      <c r="C1265" s="31" t="inlineStr">
        <is>
          <t>2024-2025</t>
        </is>
      </c>
      <c r="D1265" s="31" t="inlineStr">
        <is>
          <t>672828</t>
        </is>
      </c>
      <c r="E1265" s="31" t="inlineStr">
        <is>
          <t>72-56-01</t>
        </is>
      </c>
      <c r="F1265" s="31" t="inlineStr">
        <is>
          <t>AA</t>
        </is>
      </c>
      <c r="G1265" s="31" t="inlineStr">
        <is>
          <t>LPT</t>
        </is>
      </c>
      <c r="H1265" s="27" t="n">
        <v>2450</v>
      </c>
      <c r="I1265" s="27" t="n">
        <v>2600</v>
      </c>
      <c r="J1265" s="154">
        <f>I1265/H1265-1</f>
        <v/>
      </c>
      <c r="K1265" s="31" t="inlineStr">
        <is>
          <t>27</t>
        </is>
      </c>
      <c r="L1265" s="31" t="inlineStr">
        <is>
          <t>27</t>
        </is>
      </c>
      <c r="M1265" s="31" t="inlineStr">
        <is>
          <t>S1</t>
        </is>
      </c>
      <c r="N1265" s="31" t="inlineStr">
        <is>
          <t>S2</t>
        </is>
      </c>
      <c r="O1265" s="31" t="inlineStr">
        <is>
          <t>336-031-631-0</t>
        </is>
      </c>
      <c r="P1265" s="31" t="inlineStr">
        <is>
          <t>SR Technics Switzerland</t>
        </is>
      </c>
    </row>
    <row r="1266">
      <c r="B1266" s="31" t="inlineStr">
        <is>
          <t>CFM56-5B</t>
        </is>
      </c>
      <c r="C1266" s="31" t="inlineStr">
        <is>
          <t>2024-2025</t>
        </is>
      </c>
      <c r="D1266" s="31" t="inlineStr">
        <is>
          <t>672828</t>
        </is>
      </c>
      <c r="E1266" s="31" t="inlineStr">
        <is>
          <t>72-56-01</t>
        </is>
      </c>
      <c r="F1266" s="31" t="inlineStr">
        <is>
          <t>AB</t>
        </is>
      </c>
      <c r="G1266" s="31" t="inlineStr">
        <is>
          <t>LPT</t>
        </is>
      </c>
      <c r="H1266" s="27" t="n">
        <v>3670</v>
      </c>
      <c r="I1266" s="27" t="n">
        <v>3895</v>
      </c>
      <c r="J1266" s="154">
        <f>I1266/H1266-1</f>
        <v/>
      </c>
      <c r="K1266" s="31" t="inlineStr">
        <is>
          <t>27</t>
        </is>
      </c>
      <c r="L1266" s="31" t="inlineStr">
        <is>
          <t>27</t>
        </is>
      </c>
      <c r="M1266" s="31" t="inlineStr">
        <is>
          <t>S1</t>
        </is>
      </c>
      <c r="N1266" s="31" t="inlineStr">
        <is>
          <t>S2</t>
        </is>
      </c>
      <c r="O1266" s="31" t="inlineStr">
        <is>
          <t>336-031-631-0</t>
        </is>
      </c>
      <c r="P1266" s="31" t="inlineStr">
        <is>
          <t>SR Technics Switzerland</t>
        </is>
      </c>
    </row>
    <row r="1267">
      <c r="B1267" s="31" t="inlineStr">
        <is>
          <t>CFM56-5B</t>
        </is>
      </c>
      <c r="C1267" s="31" t="inlineStr">
        <is>
          <t>2024-2025</t>
        </is>
      </c>
      <c r="D1267" s="31" t="inlineStr">
        <is>
          <t>672828</t>
        </is>
      </c>
      <c r="E1267" s="31" t="inlineStr">
        <is>
          <t>72-56-01</t>
        </is>
      </c>
      <c r="F1267" s="31" t="inlineStr">
        <is>
          <t>AC</t>
        </is>
      </c>
      <c r="G1267" s="31" t="inlineStr">
        <is>
          <t>LPT</t>
        </is>
      </c>
      <c r="H1267" s="27" t="n">
        <v>1610</v>
      </c>
      <c r="I1267" s="27" t="n">
        <v>1710</v>
      </c>
      <c r="J1267" s="154">
        <f>I1267/H1267-1</f>
        <v/>
      </c>
      <c r="K1267" s="31" t="inlineStr">
        <is>
          <t>27</t>
        </is>
      </c>
      <c r="L1267" s="31" t="inlineStr">
        <is>
          <t>27</t>
        </is>
      </c>
      <c r="M1267" s="31" t="inlineStr">
        <is>
          <t>S1</t>
        </is>
      </c>
      <c r="N1267" s="31" t="inlineStr">
        <is>
          <t>S2</t>
        </is>
      </c>
      <c r="O1267" s="31" t="inlineStr">
        <is>
          <t>336-031-631-0</t>
        </is>
      </c>
      <c r="P1267" s="31" t="inlineStr">
        <is>
          <t>SR Technics Switzerland</t>
        </is>
      </c>
    </row>
    <row r="1268">
      <c r="B1268" s="31" t="inlineStr">
        <is>
          <t>CFM56-5B</t>
        </is>
      </c>
      <c r="C1268" s="31" t="inlineStr">
        <is>
          <t>2024-2025</t>
        </is>
      </c>
      <c r="D1268" s="31" t="inlineStr">
        <is>
          <t>672828</t>
        </is>
      </c>
      <c r="E1268" s="31" t="inlineStr">
        <is>
          <t>72-56-01</t>
        </is>
      </c>
      <c r="F1268" s="31" t="inlineStr">
        <is>
          <t>AD</t>
        </is>
      </c>
      <c r="G1268" s="31" t="inlineStr">
        <is>
          <t>LPT</t>
        </is>
      </c>
      <c r="H1268" s="27" t="n">
        <v>1240</v>
      </c>
      <c r="I1268" s="27" t="n">
        <v>1315</v>
      </c>
      <c r="J1268" s="154">
        <f>I1268/H1268-1</f>
        <v/>
      </c>
      <c r="K1268" s="31" t="inlineStr">
        <is>
          <t>27</t>
        </is>
      </c>
      <c r="L1268" s="31" t="inlineStr">
        <is>
          <t>27</t>
        </is>
      </c>
      <c r="M1268" s="31" t="inlineStr">
        <is>
          <t>S1</t>
        </is>
      </c>
      <c r="N1268" s="31" t="inlineStr">
        <is>
          <t>S2</t>
        </is>
      </c>
      <c r="O1268" s="31" t="inlineStr">
        <is>
          <t>336-031-631-0</t>
        </is>
      </c>
      <c r="P1268" s="31" t="inlineStr">
        <is>
          <t>SR Technics Switzerland</t>
        </is>
      </c>
    </row>
    <row r="1269">
      <c r="B1269" s="31" t="inlineStr">
        <is>
          <t>CFM56-5B</t>
        </is>
      </c>
      <c r="C1269" s="31" t="inlineStr">
        <is>
          <t>2024-2025</t>
        </is>
      </c>
      <c r="D1269" s="31" t="inlineStr">
        <is>
          <t>672828</t>
        </is>
      </c>
      <c r="E1269" s="31" t="inlineStr">
        <is>
          <t>72-56-01</t>
        </is>
      </c>
      <c r="F1269" s="31" t="inlineStr">
        <is>
          <t>AE</t>
        </is>
      </c>
      <c r="G1269" s="31" t="inlineStr">
        <is>
          <t>LPT</t>
        </is>
      </c>
      <c r="H1269" s="27" t="n">
        <v>3150</v>
      </c>
      <c r="I1269" s="27" t="n">
        <v>3340</v>
      </c>
      <c r="J1269" s="154">
        <f>I1269/H1269-1</f>
        <v/>
      </c>
      <c r="K1269" s="31" t="inlineStr">
        <is>
          <t>27</t>
        </is>
      </c>
      <c r="L1269" s="31" t="inlineStr">
        <is>
          <t>27</t>
        </is>
      </c>
      <c r="M1269" s="31" t="inlineStr">
        <is>
          <t>S1</t>
        </is>
      </c>
      <c r="N1269" s="31" t="inlineStr">
        <is>
          <t>S2</t>
        </is>
      </c>
      <c r="O1269" s="31" t="inlineStr">
        <is>
          <t>336-031-631-0</t>
        </is>
      </c>
      <c r="P1269" s="31" t="inlineStr">
        <is>
          <t>SR Technics Switzerland</t>
        </is>
      </c>
    </row>
    <row r="1270">
      <c r="B1270" s="31" t="inlineStr">
        <is>
          <t>CFM56-5B</t>
        </is>
      </c>
      <c r="C1270" s="31" t="inlineStr">
        <is>
          <t>2024-2025</t>
        </is>
      </c>
      <c r="D1270" s="31" t="inlineStr">
        <is>
          <t>672828</t>
        </is>
      </c>
      <c r="E1270" s="31" t="inlineStr">
        <is>
          <t>72-56-01</t>
        </is>
      </c>
      <c r="F1270" s="31" t="inlineStr">
        <is>
          <t>AI</t>
        </is>
      </c>
      <c r="G1270" s="31" t="inlineStr">
        <is>
          <t>LPT</t>
        </is>
      </c>
      <c r="H1270" s="27" t="n">
        <v>1230</v>
      </c>
      <c r="I1270" s="27" t="n">
        <v>1305</v>
      </c>
      <c r="J1270" s="154">
        <f>I1270/H1270-1</f>
        <v/>
      </c>
      <c r="K1270" s="31" t="inlineStr">
        <is>
          <t>27</t>
        </is>
      </c>
      <c r="L1270" s="31" t="inlineStr">
        <is>
          <t>27</t>
        </is>
      </c>
      <c r="M1270" s="31" t="inlineStr">
        <is>
          <t>S1</t>
        </is>
      </c>
      <c r="N1270" s="31" t="inlineStr">
        <is>
          <t>S2</t>
        </is>
      </c>
      <c r="O1270" s="31" t="inlineStr">
        <is>
          <t>336-031-631-0</t>
        </is>
      </c>
      <c r="P1270" s="31" t="inlineStr">
        <is>
          <t>SR Technics Switzerland</t>
        </is>
      </c>
    </row>
    <row r="1271">
      <c r="B1271" s="31" t="inlineStr">
        <is>
          <t>CFM56-5B</t>
        </is>
      </c>
      <c r="C1271" s="31" t="inlineStr">
        <is>
          <t>2024-2025</t>
        </is>
      </c>
      <c r="D1271" s="31" t="inlineStr">
        <is>
          <t>672828</t>
        </is>
      </c>
      <c r="E1271" s="31" t="inlineStr">
        <is>
          <t>72-56-01</t>
        </is>
      </c>
      <c r="F1271" s="31" t="inlineStr">
        <is>
          <t>AJ</t>
        </is>
      </c>
      <c r="G1271" s="31" t="inlineStr">
        <is>
          <t>LPT</t>
        </is>
      </c>
      <c r="H1271" s="27" t="n">
        <v>600</v>
      </c>
      <c r="I1271" s="27" t="n">
        <v>640</v>
      </c>
      <c r="J1271" s="154">
        <f>I1271/H1271-1</f>
        <v/>
      </c>
      <c r="K1271" s="31" t="inlineStr">
        <is>
          <t>27</t>
        </is>
      </c>
      <c r="L1271" s="31" t="inlineStr">
        <is>
          <t>27</t>
        </is>
      </c>
      <c r="M1271" s="31" t="inlineStr">
        <is>
          <t>S1</t>
        </is>
      </c>
      <c r="N1271" s="31" t="inlineStr">
        <is>
          <t>S2</t>
        </is>
      </c>
      <c r="O1271" s="31" t="inlineStr">
        <is>
          <t>336-031-631-0</t>
        </is>
      </c>
      <c r="P1271" s="31" t="inlineStr">
        <is>
          <t>SR Technics Switzerland</t>
        </is>
      </c>
    </row>
    <row r="1272">
      <c r="B1272" s="31" t="inlineStr">
        <is>
          <t>CFM56-5B</t>
        </is>
      </c>
      <c r="C1272" s="31" t="inlineStr">
        <is>
          <t>2024-2025</t>
        </is>
      </c>
      <c r="D1272" s="31" t="inlineStr">
        <is>
          <t>672828</t>
        </is>
      </c>
      <c r="E1272" s="31" t="inlineStr">
        <is>
          <t>72-56-01</t>
        </is>
      </c>
      <c r="F1272" s="31" t="inlineStr">
        <is>
          <t>AM</t>
        </is>
      </c>
      <c r="G1272" s="31" t="inlineStr">
        <is>
          <t>LPT</t>
        </is>
      </c>
      <c r="H1272" s="27" t="n">
        <v>4275</v>
      </c>
      <c r="I1272" s="27" t="n">
        <v>4535</v>
      </c>
      <c r="J1272" s="154">
        <f>I1272/H1272-1</f>
        <v/>
      </c>
      <c r="K1272" s="31" t="inlineStr">
        <is>
          <t>27</t>
        </is>
      </c>
      <c r="L1272" s="31" t="inlineStr">
        <is>
          <t>27</t>
        </is>
      </c>
      <c r="M1272" s="31" t="inlineStr">
        <is>
          <t>S1</t>
        </is>
      </c>
      <c r="N1272" s="31" t="inlineStr">
        <is>
          <t>S2</t>
        </is>
      </c>
      <c r="O1272" s="31" t="inlineStr">
        <is>
          <t>336-031-631-0</t>
        </is>
      </c>
      <c r="P1272" s="31" t="inlineStr">
        <is>
          <t>SR Technics Switzerland</t>
        </is>
      </c>
    </row>
    <row r="1273">
      <c r="B1273" s="31" t="inlineStr">
        <is>
          <t>CFM56-5B</t>
        </is>
      </c>
      <c r="C1273" s="31" t="inlineStr">
        <is>
          <t>2024-2025</t>
        </is>
      </c>
      <c r="D1273" s="31" t="inlineStr">
        <is>
          <t>672828</t>
        </is>
      </c>
      <c r="E1273" s="31" t="inlineStr">
        <is>
          <t>72-56-01</t>
        </is>
      </c>
      <c r="F1273" s="31" t="inlineStr">
        <is>
          <t>AN</t>
        </is>
      </c>
      <c r="G1273" s="31" t="inlineStr">
        <is>
          <t>LPT</t>
        </is>
      </c>
      <c r="H1273" s="27" t="n">
        <v>2035</v>
      </c>
      <c r="I1273" s="27" t="n">
        <v>2160</v>
      </c>
      <c r="J1273" s="154">
        <f>I1273/H1273-1</f>
        <v/>
      </c>
      <c r="K1273" s="31" t="inlineStr">
        <is>
          <t>27</t>
        </is>
      </c>
      <c r="L1273" s="31" t="inlineStr">
        <is>
          <t>27</t>
        </is>
      </c>
      <c r="M1273" s="31" t="inlineStr">
        <is>
          <t>S1</t>
        </is>
      </c>
      <c r="N1273" s="31" t="inlineStr">
        <is>
          <t>S2</t>
        </is>
      </c>
      <c r="O1273" s="31" t="inlineStr">
        <is>
          <t>336-031-631-0</t>
        </is>
      </c>
      <c r="P1273" s="31" t="inlineStr">
        <is>
          <t>SR Technics Switzerland</t>
        </is>
      </c>
    </row>
    <row r="1274">
      <c r="B1274" s="31" t="inlineStr">
        <is>
          <t>CFM56-5B</t>
        </is>
      </c>
      <c r="C1274" s="31" t="inlineStr">
        <is>
          <t>2024-2025</t>
        </is>
      </c>
      <c r="D1274" s="31" t="inlineStr">
        <is>
          <t>672828</t>
        </is>
      </c>
      <c r="E1274" s="31" t="inlineStr">
        <is>
          <t>72-56-01</t>
        </is>
      </c>
      <c r="F1274" s="31" t="inlineStr">
        <is>
          <t>B</t>
        </is>
      </c>
      <c r="G1274" s="31" t="inlineStr">
        <is>
          <t>LPT</t>
        </is>
      </c>
      <c r="H1274" s="27" t="n">
        <v>2700</v>
      </c>
      <c r="I1274" s="27" t="n">
        <v>2865</v>
      </c>
      <c r="J1274" s="154">
        <f>I1274/H1274-1</f>
        <v/>
      </c>
      <c r="K1274" s="31" t="inlineStr">
        <is>
          <t>27</t>
        </is>
      </c>
      <c r="L1274" s="31" t="inlineStr">
        <is>
          <t>27</t>
        </is>
      </c>
      <c r="M1274" s="31" t="inlineStr">
        <is>
          <t>S1</t>
        </is>
      </c>
      <c r="N1274" s="31" t="inlineStr">
        <is>
          <t>S2</t>
        </is>
      </c>
      <c r="O1274" s="31" t="inlineStr">
        <is>
          <t>336-031-631-0</t>
        </is>
      </c>
      <c r="P1274" s="31" t="inlineStr">
        <is>
          <t>SR Technics Switzerland</t>
        </is>
      </c>
    </row>
    <row r="1275">
      <c r="B1275" s="31" t="inlineStr">
        <is>
          <t>CFM56-5B</t>
        </is>
      </c>
      <c r="C1275" s="31" t="inlineStr">
        <is>
          <t>2024-2025</t>
        </is>
      </c>
      <c r="D1275" s="31" t="inlineStr">
        <is>
          <t>672828</t>
        </is>
      </c>
      <c r="E1275" s="31" t="inlineStr">
        <is>
          <t>72-56-01</t>
        </is>
      </c>
      <c r="F1275" s="31" t="inlineStr">
        <is>
          <t>C</t>
        </is>
      </c>
      <c r="G1275" s="31" t="inlineStr">
        <is>
          <t>LPT</t>
        </is>
      </c>
      <c r="H1275" s="27" t="n">
        <v>1155</v>
      </c>
      <c r="I1275" s="27" t="n">
        <v>1225</v>
      </c>
      <c r="J1275" s="154">
        <f>I1275/H1275-1</f>
        <v/>
      </c>
      <c r="K1275" s="31" t="inlineStr">
        <is>
          <t>27</t>
        </is>
      </c>
      <c r="L1275" s="31" t="inlineStr">
        <is>
          <t>27</t>
        </is>
      </c>
      <c r="M1275" s="31" t="inlineStr">
        <is>
          <t>S1</t>
        </is>
      </c>
      <c r="N1275" s="31" t="inlineStr">
        <is>
          <t>S2</t>
        </is>
      </c>
      <c r="O1275" s="31" t="inlineStr">
        <is>
          <t>336-031-631-0</t>
        </is>
      </c>
      <c r="P1275" s="31" t="inlineStr">
        <is>
          <t>SR Technics Switzerland</t>
        </is>
      </c>
    </row>
    <row r="1276">
      <c r="B1276" s="31" t="inlineStr">
        <is>
          <t>CFM56-5B</t>
        </is>
      </c>
      <c r="C1276" s="31" t="inlineStr">
        <is>
          <t>2024-2025</t>
        </is>
      </c>
      <c r="D1276" s="31" t="inlineStr">
        <is>
          <t>672828</t>
        </is>
      </c>
      <c r="E1276" s="31" t="inlineStr">
        <is>
          <t>72-56-01</t>
        </is>
      </c>
      <c r="F1276" s="31" t="inlineStr">
        <is>
          <t>D</t>
        </is>
      </c>
      <c r="G1276" s="31" t="inlineStr">
        <is>
          <t>LPT</t>
        </is>
      </c>
      <c r="H1276" s="27" t="n">
        <v>1355</v>
      </c>
      <c r="I1276" s="27" t="n">
        <v>1440</v>
      </c>
      <c r="J1276" s="154">
        <f>I1276/H1276-1</f>
        <v/>
      </c>
      <c r="K1276" s="31" t="inlineStr">
        <is>
          <t>27</t>
        </is>
      </c>
      <c r="L1276" s="31" t="inlineStr">
        <is>
          <t>27</t>
        </is>
      </c>
      <c r="M1276" s="31" t="inlineStr">
        <is>
          <t>S1</t>
        </is>
      </c>
      <c r="N1276" s="31" t="inlineStr">
        <is>
          <t>S2</t>
        </is>
      </c>
      <c r="O1276" s="31" t="inlineStr">
        <is>
          <t>336-031-631-0</t>
        </is>
      </c>
      <c r="P1276" s="31" t="inlineStr">
        <is>
          <t>SR Technics Switzerland</t>
        </is>
      </c>
    </row>
    <row r="1277">
      <c r="B1277" s="31" t="inlineStr">
        <is>
          <t>CFM56-5B</t>
        </is>
      </c>
      <c r="C1277" s="31" t="inlineStr">
        <is>
          <t>2024-2025</t>
        </is>
      </c>
      <c r="D1277" s="31" t="inlineStr">
        <is>
          <t>672828</t>
        </is>
      </c>
      <c r="E1277" s="31" t="inlineStr">
        <is>
          <t>72-56-01</t>
        </is>
      </c>
      <c r="F1277" s="31" t="inlineStr">
        <is>
          <t>E</t>
        </is>
      </c>
      <c r="G1277" s="31" t="inlineStr">
        <is>
          <t>LPT</t>
        </is>
      </c>
      <c r="H1277" s="27" t="n">
        <v>1355</v>
      </c>
      <c r="I1277" s="27" t="n">
        <v>1440</v>
      </c>
      <c r="J1277" s="154">
        <f>I1277/H1277-1</f>
        <v/>
      </c>
      <c r="K1277" s="31" t="inlineStr">
        <is>
          <t>27</t>
        </is>
      </c>
      <c r="L1277" s="31" t="inlineStr">
        <is>
          <t>27</t>
        </is>
      </c>
      <c r="M1277" s="31" t="inlineStr">
        <is>
          <t>S1</t>
        </is>
      </c>
      <c r="N1277" s="31" t="inlineStr">
        <is>
          <t>S2</t>
        </is>
      </c>
      <c r="O1277" s="31" t="inlineStr">
        <is>
          <t>336-031-631-0</t>
        </is>
      </c>
      <c r="P1277" s="31" t="inlineStr">
        <is>
          <t>SR Technics Switzerland</t>
        </is>
      </c>
    </row>
    <row r="1278">
      <c r="B1278" s="31" t="inlineStr">
        <is>
          <t>CFM56-5B</t>
        </is>
      </c>
      <c r="C1278" s="31" t="inlineStr">
        <is>
          <t>2024-2025</t>
        </is>
      </c>
      <c r="D1278" s="31" t="inlineStr">
        <is>
          <t>672828</t>
        </is>
      </c>
      <c r="E1278" s="31" t="inlineStr">
        <is>
          <t>72-56-01</t>
        </is>
      </c>
      <c r="F1278" s="31" t="inlineStr">
        <is>
          <t>F</t>
        </is>
      </c>
      <c r="G1278" s="31" t="inlineStr">
        <is>
          <t>LPT</t>
        </is>
      </c>
      <c r="H1278" s="27" t="n">
        <v>1100</v>
      </c>
      <c r="I1278" s="27" t="n">
        <v>1170</v>
      </c>
      <c r="J1278" s="154">
        <f>I1278/H1278-1</f>
        <v/>
      </c>
      <c r="K1278" s="31" t="inlineStr">
        <is>
          <t>27</t>
        </is>
      </c>
      <c r="L1278" s="31" t="inlineStr">
        <is>
          <t>27</t>
        </is>
      </c>
      <c r="M1278" s="31" t="inlineStr">
        <is>
          <t>S1</t>
        </is>
      </c>
      <c r="N1278" s="31" t="inlineStr">
        <is>
          <t>S2</t>
        </is>
      </c>
      <c r="O1278" s="31" t="inlineStr">
        <is>
          <t>336-031-631-0</t>
        </is>
      </c>
      <c r="P1278" s="31" t="inlineStr">
        <is>
          <t>SR Technics Switzerland</t>
        </is>
      </c>
    </row>
    <row r="1279">
      <c r="B1279" s="31" t="inlineStr">
        <is>
          <t>CFM56-5B</t>
        </is>
      </c>
      <c r="C1279" s="31" t="inlineStr">
        <is>
          <t>2024-2025</t>
        </is>
      </c>
      <c r="D1279" s="31" t="inlineStr">
        <is>
          <t>672828</t>
        </is>
      </c>
      <c r="E1279" s="31" t="inlineStr">
        <is>
          <t>72-56-01</t>
        </is>
      </c>
      <c r="F1279" s="31" t="inlineStr">
        <is>
          <t>H</t>
        </is>
      </c>
      <c r="G1279" s="31" t="inlineStr">
        <is>
          <t>LPT</t>
        </is>
      </c>
      <c r="H1279" s="27" t="n">
        <v>4270</v>
      </c>
      <c r="I1279" s="27" t="n">
        <v>4530</v>
      </c>
      <c r="J1279" s="154">
        <f>I1279/H1279-1</f>
        <v/>
      </c>
      <c r="K1279" s="31" t="inlineStr">
        <is>
          <t>27</t>
        </is>
      </c>
      <c r="L1279" s="31" t="inlineStr">
        <is>
          <t>27</t>
        </is>
      </c>
      <c r="M1279" s="31" t="inlineStr">
        <is>
          <t>S1</t>
        </is>
      </c>
      <c r="N1279" s="31" t="inlineStr">
        <is>
          <t>S2</t>
        </is>
      </c>
      <c r="O1279" s="31" t="inlineStr">
        <is>
          <t>336-031-631-0</t>
        </is>
      </c>
      <c r="P1279" s="31" t="inlineStr">
        <is>
          <t>SR Technics Switzerland</t>
        </is>
      </c>
    </row>
    <row r="1280">
      <c r="B1280" s="31" t="inlineStr">
        <is>
          <t>CFM56-5B</t>
        </is>
      </c>
      <c r="C1280" s="31" t="inlineStr">
        <is>
          <t>2024-2025</t>
        </is>
      </c>
      <c r="D1280" s="31" t="inlineStr">
        <is>
          <t>672828</t>
        </is>
      </c>
      <c r="E1280" s="31" t="inlineStr">
        <is>
          <t>72-56-01</t>
        </is>
      </c>
      <c r="F1280" s="31" t="inlineStr">
        <is>
          <t>I</t>
        </is>
      </c>
      <c r="G1280" s="31" t="inlineStr">
        <is>
          <t>LPT</t>
        </is>
      </c>
      <c r="H1280" s="27" t="n">
        <v>3775</v>
      </c>
      <c r="I1280" s="27" t="n">
        <v>4005</v>
      </c>
      <c r="J1280" s="154">
        <f>I1280/H1280-1</f>
        <v/>
      </c>
      <c r="K1280" s="31" t="inlineStr">
        <is>
          <t>27</t>
        </is>
      </c>
      <c r="L1280" s="31" t="inlineStr">
        <is>
          <t>27</t>
        </is>
      </c>
      <c r="M1280" s="31" t="inlineStr">
        <is>
          <t>S1</t>
        </is>
      </c>
      <c r="N1280" s="31" t="inlineStr">
        <is>
          <t>S2</t>
        </is>
      </c>
      <c r="O1280" s="31" t="inlineStr">
        <is>
          <t>336-031-631-0</t>
        </is>
      </c>
      <c r="P1280" s="31" t="inlineStr">
        <is>
          <t>SR Technics Switzerland</t>
        </is>
      </c>
    </row>
    <row r="1281">
      <c r="B1281" s="31" t="inlineStr">
        <is>
          <t>CFM56-5B</t>
        </is>
      </c>
      <c r="C1281" s="31" t="inlineStr">
        <is>
          <t>2024-2025</t>
        </is>
      </c>
      <c r="D1281" s="31" t="inlineStr">
        <is>
          <t>672828</t>
        </is>
      </c>
      <c r="E1281" s="31" t="inlineStr">
        <is>
          <t>72-56-01</t>
        </is>
      </c>
      <c r="F1281" s="31" t="inlineStr">
        <is>
          <t>J</t>
        </is>
      </c>
      <c r="G1281" s="31" t="inlineStr">
        <is>
          <t>LPT</t>
        </is>
      </c>
      <c r="H1281" s="27" t="n">
        <v>615</v>
      </c>
      <c r="I1281" s="27" t="n">
        <v>655</v>
      </c>
      <c r="J1281" s="154">
        <f>I1281/H1281-1</f>
        <v/>
      </c>
      <c r="K1281" s="31" t="inlineStr">
        <is>
          <t>27</t>
        </is>
      </c>
      <c r="L1281" s="31" t="inlineStr">
        <is>
          <t>27</t>
        </is>
      </c>
      <c r="M1281" s="31" t="inlineStr">
        <is>
          <t>S1</t>
        </is>
      </c>
      <c r="N1281" s="31" t="inlineStr">
        <is>
          <t>S2</t>
        </is>
      </c>
      <c r="O1281" s="31" t="inlineStr">
        <is>
          <t>336-031-631-0</t>
        </is>
      </c>
      <c r="P1281" s="31" t="inlineStr">
        <is>
          <t>SR Technics Switzerland</t>
        </is>
      </c>
    </row>
    <row r="1282">
      <c r="B1282" s="31" t="inlineStr">
        <is>
          <t>CFM56-5B</t>
        </is>
      </c>
      <c r="C1282" s="31" t="inlineStr">
        <is>
          <t>2024-2025</t>
        </is>
      </c>
      <c r="D1282" s="31" t="inlineStr">
        <is>
          <t>672828</t>
        </is>
      </c>
      <c r="E1282" s="31" t="inlineStr">
        <is>
          <t>72-56-01</t>
        </is>
      </c>
      <c r="F1282" s="31" t="inlineStr">
        <is>
          <t>L</t>
        </is>
      </c>
      <c r="G1282" s="31" t="inlineStr">
        <is>
          <t>LPT</t>
        </is>
      </c>
      <c r="H1282" s="27" t="n">
        <v>1525</v>
      </c>
      <c r="I1282" s="27" t="n">
        <v>1620</v>
      </c>
      <c r="J1282" s="154">
        <f>I1282/H1282-1</f>
        <v/>
      </c>
      <c r="K1282" s="31" t="inlineStr">
        <is>
          <t>27</t>
        </is>
      </c>
      <c r="L1282" s="31" t="inlineStr">
        <is>
          <t>27</t>
        </is>
      </c>
      <c r="M1282" s="31" t="inlineStr">
        <is>
          <t>S1</t>
        </is>
      </c>
      <c r="N1282" s="31" t="inlineStr">
        <is>
          <t>S2</t>
        </is>
      </c>
      <c r="O1282" s="31" t="inlineStr">
        <is>
          <t>336-031-631-0</t>
        </is>
      </c>
      <c r="P1282" s="31" t="inlineStr">
        <is>
          <t>SR Technics Switzerland</t>
        </is>
      </c>
    </row>
    <row r="1283">
      <c r="B1283" s="31" t="inlineStr">
        <is>
          <t>CFM56-5B</t>
        </is>
      </c>
      <c r="C1283" s="31" t="inlineStr">
        <is>
          <t>2024-2025</t>
        </is>
      </c>
      <c r="D1283" s="31" t="inlineStr">
        <is>
          <t>672828</t>
        </is>
      </c>
      <c r="E1283" s="31" t="inlineStr">
        <is>
          <t>72-56-01</t>
        </is>
      </c>
      <c r="F1283" s="31" t="inlineStr">
        <is>
          <t>M</t>
        </is>
      </c>
      <c r="G1283" s="31" t="inlineStr">
        <is>
          <t>LPT</t>
        </is>
      </c>
      <c r="H1283" s="27" t="n">
        <v>1630</v>
      </c>
      <c r="I1283" s="27" t="n">
        <v>1730</v>
      </c>
      <c r="J1283" s="154">
        <f>I1283/H1283-1</f>
        <v/>
      </c>
      <c r="K1283" s="31" t="inlineStr">
        <is>
          <t>27</t>
        </is>
      </c>
      <c r="L1283" s="31" t="inlineStr">
        <is>
          <t>27</t>
        </is>
      </c>
      <c r="M1283" s="31" t="inlineStr">
        <is>
          <t>S1</t>
        </is>
      </c>
      <c r="N1283" s="31" t="inlineStr">
        <is>
          <t>S2</t>
        </is>
      </c>
      <c r="O1283" s="31" t="inlineStr">
        <is>
          <t>336-031-631-0</t>
        </is>
      </c>
      <c r="P1283" s="31" t="inlineStr">
        <is>
          <t>SR Technics Switzerland</t>
        </is>
      </c>
    </row>
    <row r="1284">
      <c r="B1284" s="31" t="inlineStr">
        <is>
          <t>CFM56-5B</t>
        </is>
      </c>
      <c r="C1284" s="31" t="inlineStr">
        <is>
          <t>2024-2025</t>
        </is>
      </c>
      <c r="D1284" s="31" t="inlineStr">
        <is>
          <t>672828</t>
        </is>
      </c>
      <c r="E1284" s="31" t="inlineStr">
        <is>
          <t>72-56-01</t>
        </is>
      </c>
      <c r="F1284" s="31" t="inlineStr">
        <is>
          <t>N</t>
        </is>
      </c>
      <c r="G1284" s="31" t="inlineStr">
        <is>
          <t>LPT</t>
        </is>
      </c>
      <c r="H1284" s="27" t="n">
        <v>2760</v>
      </c>
      <c r="I1284" s="27" t="n">
        <v>2930</v>
      </c>
      <c r="J1284" s="154">
        <f>I1284/H1284-1</f>
        <v/>
      </c>
      <c r="K1284" s="31" t="inlineStr">
        <is>
          <t>27</t>
        </is>
      </c>
      <c r="L1284" s="31" t="inlineStr">
        <is>
          <t>27</t>
        </is>
      </c>
      <c r="M1284" s="31" t="inlineStr">
        <is>
          <t>S1</t>
        </is>
      </c>
      <c r="N1284" s="31" t="inlineStr">
        <is>
          <t>S2</t>
        </is>
      </c>
      <c r="O1284" s="31" t="inlineStr">
        <is>
          <t>336-031-631-0</t>
        </is>
      </c>
      <c r="P1284" s="31" t="inlineStr">
        <is>
          <t>SR Technics Switzerland</t>
        </is>
      </c>
    </row>
    <row r="1285">
      <c r="B1285" s="31" t="inlineStr">
        <is>
          <t>CFM56-5B</t>
        </is>
      </c>
      <c r="C1285" s="31" t="inlineStr">
        <is>
          <t>2024-2025</t>
        </is>
      </c>
      <c r="D1285" s="31" t="inlineStr">
        <is>
          <t>672828</t>
        </is>
      </c>
      <c r="E1285" s="31" t="inlineStr">
        <is>
          <t>72-56-01</t>
        </is>
      </c>
      <c r="F1285" s="31" t="inlineStr">
        <is>
          <t>P</t>
        </is>
      </c>
      <c r="G1285" s="31" t="inlineStr">
        <is>
          <t>LPT</t>
        </is>
      </c>
      <c r="H1285" s="27" t="n">
        <v>3590</v>
      </c>
      <c r="I1285" s="27" t="n">
        <v>3810</v>
      </c>
      <c r="J1285" s="154">
        <f>I1285/H1285-1</f>
        <v/>
      </c>
      <c r="K1285" s="31" t="inlineStr">
        <is>
          <t>27</t>
        </is>
      </c>
      <c r="L1285" s="31" t="inlineStr">
        <is>
          <t>27</t>
        </is>
      </c>
      <c r="M1285" s="31" t="inlineStr">
        <is>
          <t>S1</t>
        </is>
      </c>
      <c r="N1285" s="31" t="inlineStr">
        <is>
          <t>S2</t>
        </is>
      </c>
      <c r="O1285" s="31" t="inlineStr">
        <is>
          <t>336-031-631-0</t>
        </is>
      </c>
      <c r="P1285" s="31" t="inlineStr">
        <is>
          <t>SR Technics Switzerland</t>
        </is>
      </c>
    </row>
    <row r="1286">
      <c r="B1286" s="31" t="inlineStr">
        <is>
          <t>CFM56-5B</t>
        </is>
      </c>
      <c r="C1286" s="31" t="inlineStr">
        <is>
          <t>2024-2025</t>
        </is>
      </c>
      <c r="D1286" s="31" t="inlineStr">
        <is>
          <t>672828</t>
        </is>
      </c>
      <c r="E1286" s="31" t="inlineStr">
        <is>
          <t>72-56-01</t>
        </is>
      </c>
      <c r="F1286" s="31" t="inlineStr">
        <is>
          <t>Q</t>
        </is>
      </c>
      <c r="G1286" s="31" t="inlineStr">
        <is>
          <t>LPT</t>
        </is>
      </c>
      <c r="H1286" s="27" t="n">
        <v>5255</v>
      </c>
      <c r="I1286" s="27" t="n">
        <v>5575</v>
      </c>
      <c r="J1286" s="154">
        <f>I1286/H1286-1</f>
        <v/>
      </c>
      <c r="K1286" s="31" t="inlineStr">
        <is>
          <t>27</t>
        </is>
      </c>
      <c r="L1286" s="31" t="inlineStr">
        <is>
          <t>27</t>
        </is>
      </c>
      <c r="M1286" s="31" t="inlineStr">
        <is>
          <t>S1</t>
        </is>
      </c>
      <c r="N1286" s="31" t="inlineStr">
        <is>
          <t>S2</t>
        </is>
      </c>
      <c r="O1286" s="31" t="inlineStr">
        <is>
          <t>336-031-631-0</t>
        </is>
      </c>
      <c r="P1286" s="31" t="inlineStr">
        <is>
          <t>SR Technics Switzerland</t>
        </is>
      </c>
    </row>
    <row r="1287">
      <c r="B1287" s="31" t="inlineStr">
        <is>
          <t>CFM56-5B</t>
        </is>
      </c>
      <c r="C1287" s="31" t="inlineStr">
        <is>
          <t>2024-2025</t>
        </is>
      </c>
      <c r="D1287" s="31" t="inlineStr">
        <is>
          <t>672828</t>
        </is>
      </c>
      <c r="E1287" s="31" t="inlineStr">
        <is>
          <t>72-56-01</t>
        </is>
      </c>
      <c r="F1287" s="31" t="inlineStr">
        <is>
          <t>R</t>
        </is>
      </c>
      <c r="G1287" s="31" t="inlineStr">
        <is>
          <t>LPT</t>
        </is>
      </c>
      <c r="H1287" s="27" t="n">
        <v>1840</v>
      </c>
      <c r="I1287" s="27" t="n">
        <v>1955</v>
      </c>
      <c r="J1287" s="154">
        <f>I1287/H1287-1</f>
        <v/>
      </c>
      <c r="K1287" s="31" t="inlineStr">
        <is>
          <t>27</t>
        </is>
      </c>
      <c r="L1287" s="31" t="inlineStr">
        <is>
          <t>27</t>
        </is>
      </c>
      <c r="M1287" s="31" t="inlineStr">
        <is>
          <t>S1</t>
        </is>
      </c>
      <c r="N1287" s="31" t="inlineStr">
        <is>
          <t>S2</t>
        </is>
      </c>
      <c r="O1287" s="31" t="inlineStr">
        <is>
          <t>336-031-631-0</t>
        </is>
      </c>
      <c r="P1287" s="31" t="inlineStr">
        <is>
          <t>SR Technics Switzerland</t>
        </is>
      </c>
    </row>
    <row r="1288">
      <c r="B1288" s="31" t="inlineStr">
        <is>
          <t>CFM56-5B</t>
        </is>
      </c>
      <c r="C1288" s="31" t="inlineStr">
        <is>
          <t>2024-2025</t>
        </is>
      </c>
      <c r="D1288" s="31" t="inlineStr">
        <is>
          <t>672828</t>
        </is>
      </c>
      <c r="E1288" s="31" t="inlineStr">
        <is>
          <t>72-56-01</t>
        </is>
      </c>
      <c r="F1288" s="31" t="inlineStr">
        <is>
          <t>S</t>
        </is>
      </c>
      <c r="G1288" s="31" t="inlineStr">
        <is>
          <t>LPT</t>
        </is>
      </c>
      <c r="H1288" s="27" t="n">
        <v>6720</v>
      </c>
      <c r="I1288" s="27" t="n">
        <v>7125</v>
      </c>
      <c r="J1288" s="154">
        <f>I1288/H1288-1</f>
        <v/>
      </c>
      <c r="K1288" s="31" t="inlineStr">
        <is>
          <t>27</t>
        </is>
      </c>
      <c r="L1288" s="31" t="inlineStr">
        <is>
          <t>27</t>
        </is>
      </c>
      <c r="M1288" s="31" t="inlineStr">
        <is>
          <t>S1</t>
        </is>
      </c>
      <c r="N1288" s="31" t="inlineStr">
        <is>
          <t>S2</t>
        </is>
      </c>
      <c r="O1288" s="31" t="inlineStr">
        <is>
          <t>336-031-631-0</t>
        </is>
      </c>
      <c r="P1288" s="31" t="inlineStr">
        <is>
          <t>SR Technics Switzerland</t>
        </is>
      </c>
    </row>
    <row r="1289">
      <c r="B1289" s="31" t="inlineStr">
        <is>
          <t>CFM56-5B</t>
        </is>
      </c>
      <c r="C1289" s="31" t="inlineStr">
        <is>
          <t>2024-2025</t>
        </is>
      </c>
      <c r="D1289" s="31" t="inlineStr">
        <is>
          <t>672828</t>
        </is>
      </c>
      <c r="E1289" s="31" t="inlineStr">
        <is>
          <t>72-56-01</t>
        </is>
      </c>
      <c r="F1289" s="31" t="inlineStr">
        <is>
          <t>SB01</t>
        </is>
      </c>
      <c r="G1289" s="31" t="inlineStr">
        <is>
          <t>LPT</t>
        </is>
      </c>
      <c r="H1289" s="27" t="n">
        <v>1645</v>
      </c>
      <c r="I1289" s="27" t="n">
        <v>1745</v>
      </c>
      <c r="J1289" s="154">
        <f>I1289/H1289-1</f>
        <v/>
      </c>
      <c r="K1289" s="31" t="inlineStr">
        <is>
          <t>27</t>
        </is>
      </c>
      <c r="L1289" s="31" t="inlineStr">
        <is>
          <t>27</t>
        </is>
      </c>
      <c r="M1289" s="31" t="inlineStr">
        <is>
          <t>S1</t>
        </is>
      </c>
      <c r="N1289" s="31" t="inlineStr">
        <is>
          <t>S2</t>
        </is>
      </c>
      <c r="O1289" s="31" t="inlineStr">
        <is>
          <t>336-031-631-0</t>
        </is>
      </c>
      <c r="P1289" s="31" t="inlineStr">
        <is>
          <t>SR Technics Switzerland</t>
        </is>
      </c>
    </row>
    <row r="1290">
      <c r="B1290" s="31" t="inlineStr">
        <is>
          <t>CFM56-5B</t>
        </is>
      </c>
      <c r="C1290" s="31" t="inlineStr">
        <is>
          <t>2024-2025</t>
        </is>
      </c>
      <c r="D1290" s="31" t="inlineStr">
        <is>
          <t>672828</t>
        </is>
      </c>
      <c r="E1290" s="31" t="inlineStr">
        <is>
          <t>72-56-01</t>
        </is>
      </c>
      <c r="F1290" s="31" t="inlineStr">
        <is>
          <t>SB02</t>
        </is>
      </c>
      <c r="G1290" s="31" t="inlineStr">
        <is>
          <t>LPT</t>
        </is>
      </c>
      <c r="H1290" s="27" t="n">
        <v>875</v>
      </c>
      <c r="I1290" s="27" t="n">
        <v>930</v>
      </c>
      <c r="J1290" s="154">
        <f>I1290/H1290-1</f>
        <v/>
      </c>
      <c r="K1290" s="31" t="inlineStr">
        <is>
          <t>27</t>
        </is>
      </c>
      <c r="L1290" s="31" t="inlineStr">
        <is>
          <t>27</t>
        </is>
      </c>
      <c r="M1290" s="31" t="inlineStr">
        <is>
          <t>S1</t>
        </is>
      </c>
      <c r="N1290" s="31" t="inlineStr">
        <is>
          <t>S2</t>
        </is>
      </c>
      <c r="O1290" s="31" t="inlineStr">
        <is>
          <t>336-031-631-0</t>
        </is>
      </c>
      <c r="P1290" s="31" t="inlineStr">
        <is>
          <t>SR Technics Switzerland</t>
        </is>
      </c>
    </row>
    <row r="1291">
      <c r="B1291" s="31" t="inlineStr">
        <is>
          <t>CFM56-5B</t>
        </is>
      </c>
      <c r="C1291" s="31" t="inlineStr">
        <is>
          <t>2024-2025</t>
        </is>
      </c>
      <c r="D1291" s="31" t="inlineStr">
        <is>
          <t>672828</t>
        </is>
      </c>
      <c r="E1291" s="31" t="inlineStr">
        <is>
          <t>72-56-01</t>
        </is>
      </c>
      <c r="F1291" s="31" t="inlineStr">
        <is>
          <t>SB03</t>
        </is>
      </c>
      <c r="G1291" s="31" t="inlineStr">
        <is>
          <t>LPT</t>
        </is>
      </c>
      <c r="H1291" s="27" t="n">
        <v>835</v>
      </c>
      <c r="I1291" s="27" t="n">
        <v>890</v>
      </c>
      <c r="J1291" s="154">
        <f>I1291/H1291-1</f>
        <v/>
      </c>
      <c r="K1291" s="31" t="inlineStr">
        <is>
          <t>27</t>
        </is>
      </c>
      <c r="L1291" s="31" t="inlineStr">
        <is>
          <t>27</t>
        </is>
      </c>
      <c r="M1291" s="31" t="inlineStr">
        <is>
          <t>S1</t>
        </is>
      </c>
      <c r="N1291" s="31" t="inlineStr">
        <is>
          <t>S2</t>
        </is>
      </c>
      <c r="O1291" s="31" t="inlineStr">
        <is>
          <t>336-031-631-0</t>
        </is>
      </c>
      <c r="P1291" s="31" t="inlineStr">
        <is>
          <t>SR Technics Switzerland</t>
        </is>
      </c>
    </row>
    <row r="1292">
      <c r="B1292" s="31" t="inlineStr">
        <is>
          <t>CFM56-5B</t>
        </is>
      </c>
      <c r="C1292" s="31" t="inlineStr">
        <is>
          <t>2024-2025</t>
        </is>
      </c>
      <c r="D1292" s="31" t="inlineStr">
        <is>
          <t>672828</t>
        </is>
      </c>
      <c r="E1292" s="31" t="inlineStr">
        <is>
          <t>72-56-01</t>
        </is>
      </c>
      <c r="F1292" s="31" t="inlineStr">
        <is>
          <t>SB04</t>
        </is>
      </c>
      <c r="G1292" s="31" t="inlineStr">
        <is>
          <t>LPT</t>
        </is>
      </c>
      <c r="H1292" s="27" t="n">
        <v>955</v>
      </c>
      <c r="I1292" s="27" t="n">
        <v>1015</v>
      </c>
      <c r="J1292" s="154">
        <f>I1292/H1292-1</f>
        <v/>
      </c>
      <c r="K1292" s="31" t="inlineStr">
        <is>
          <t>27</t>
        </is>
      </c>
      <c r="L1292" s="31" t="inlineStr">
        <is>
          <t>27</t>
        </is>
      </c>
      <c r="M1292" s="31" t="inlineStr">
        <is>
          <t>S1</t>
        </is>
      </c>
      <c r="N1292" s="31" t="inlineStr">
        <is>
          <t>S2</t>
        </is>
      </c>
      <c r="O1292" s="31" t="inlineStr">
        <is>
          <t>336-031-631-0</t>
        </is>
      </c>
      <c r="P1292" s="31" t="inlineStr">
        <is>
          <t>SR Technics Switzerland</t>
        </is>
      </c>
    </row>
    <row r="1293">
      <c r="B1293" s="31" t="inlineStr">
        <is>
          <t>CFM56-5B</t>
        </is>
      </c>
      <c r="C1293" s="31" t="inlineStr">
        <is>
          <t>2024-2025</t>
        </is>
      </c>
      <c r="D1293" s="31" t="inlineStr">
        <is>
          <t>672828</t>
        </is>
      </c>
      <c r="E1293" s="31" t="inlineStr">
        <is>
          <t>72-56-01</t>
        </is>
      </c>
      <c r="F1293" s="31" t="inlineStr">
        <is>
          <t>SB05</t>
        </is>
      </c>
      <c r="G1293" s="31" t="inlineStr">
        <is>
          <t>LPT</t>
        </is>
      </c>
      <c r="H1293" s="27" t="n">
        <v>1385</v>
      </c>
      <c r="I1293" s="27" t="n">
        <v>1470</v>
      </c>
      <c r="J1293" s="154">
        <f>I1293/H1293-1</f>
        <v/>
      </c>
      <c r="K1293" s="31" t="inlineStr">
        <is>
          <t>27</t>
        </is>
      </c>
      <c r="L1293" s="31" t="inlineStr">
        <is>
          <t>27</t>
        </is>
      </c>
      <c r="M1293" s="31" t="inlineStr">
        <is>
          <t>S1</t>
        </is>
      </c>
      <c r="N1293" s="31" t="inlineStr">
        <is>
          <t>S2</t>
        </is>
      </c>
      <c r="O1293" s="31" t="inlineStr">
        <is>
          <t>336-031-631-0</t>
        </is>
      </c>
      <c r="P1293" s="31" t="inlineStr">
        <is>
          <t>SR Technics Switzerland</t>
        </is>
      </c>
    </row>
    <row r="1294">
      <c r="B1294" s="31" t="inlineStr">
        <is>
          <t>CFM56-5B</t>
        </is>
      </c>
      <c r="C1294" s="31" t="inlineStr">
        <is>
          <t>2024-2025</t>
        </is>
      </c>
      <c r="D1294" s="31" t="inlineStr">
        <is>
          <t>672828</t>
        </is>
      </c>
      <c r="E1294" s="31" t="inlineStr">
        <is>
          <t>72-56-01</t>
        </is>
      </c>
      <c r="F1294" s="31" t="inlineStr">
        <is>
          <t>SB06</t>
        </is>
      </c>
      <c r="G1294" s="31" t="inlineStr">
        <is>
          <t>LPT</t>
        </is>
      </c>
      <c r="H1294" s="27" t="n">
        <v>1190</v>
      </c>
      <c r="I1294" s="27" t="n">
        <v>1265</v>
      </c>
      <c r="J1294" s="154">
        <f>I1294/H1294-1</f>
        <v/>
      </c>
      <c r="K1294" s="31" t="inlineStr">
        <is>
          <t>27</t>
        </is>
      </c>
      <c r="L1294" s="31" t="inlineStr">
        <is>
          <t>27</t>
        </is>
      </c>
      <c r="M1294" s="31" t="inlineStr">
        <is>
          <t>S1</t>
        </is>
      </c>
      <c r="N1294" s="31" t="inlineStr">
        <is>
          <t>S2</t>
        </is>
      </c>
      <c r="O1294" s="31" t="inlineStr">
        <is>
          <t>336-031-631-0</t>
        </is>
      </c>
      <c r="P1294" s="31" t="inlineStr">
        <is>
          <t>SR Technics Switzerland</t>
        </is>
      </c>
    </row>
    <row r="1295">
      <c r="B1295" s="31" t="inlineStr">
        <is>
          <t>CFM56-5B</t>
        </is>
      </c>
      <c r="C1295" s="31" t="inlineStr">
        <is>
          <t>2024-2025</t>
        </is>
      </c>
      <c r="D1295" s="31" t="inlineStr">
        <is>
          <t>672828</t>
        </is>
      </c>
      <c r="E1295" s="31" t="inlineStr">
        <is>
          <t>72-56-01</t>
        </is>
      </c>
      <c r="F1295" s="31" t="inlineStr">
        <is>
          <t>SB07</t>
        </is>
      </c>
      <c r="G1295" s="31" t="inlineStr">
        <is>
          <t>LPT</t>
        </is>
      </c>
      <c r="H1295" s="27" t="n">
        <v>1385</v>
      </c>
      <c r="I1295" s="27" t="n">
        <v>1470</v>
      </c>
      <c r="J1295" s="154">
        <f>I1295/H1295-1</f>
        <v/>
      </c>
      <c r="K1295" s="31" t="inlineStr">
        <is>
          <t>27</t>
        </is>
      </c>
      <c r="L1295" s="31" t="inlineStr">
        <is>
          <t>27</t>
        </is>
      </c>
      <c r="M1295" s="31" t="inlineStr">
        <is>
          <t>S1</t>
        </is>
      </c>
      <c r="N1295" s="31" t="inlineStr">
        <is>
          <t>S2</t>
        </is>
      </c>
      <c r="O1295" s="31" t="inlineStr">
        <is>
          <t>336-031-631-0</t>
        </is>
      </c>
      <c r="P1295" s="31" t="inlineStr">
        <is>
          <t>SR Technics Switzerland</t>
        </is>
      </c>
    </row>
    <row r="1296">
      <c r="B1296" s="31" t="inlineStr">
        <is>
          <t>CFM56-5B</t>
        </is>
      </c>
      <c r="C1296" s="31" t="inlineStr">
        <is>
          <t>2024-2025</t>
        </is>
      </c>
      <c r="D1296" s="31" t="inlineStr">
        <is>
          <t>672828</t>
        </is>
      </c>
      <c r="E1296" s="31" t="inlineStr">
        <is>
          <t>72-56-01</t>
        </is>
      </c>
      <c r="F1296" s="31" t="inlineStr">
        <is>
          <t>SB10</t>
        </is>
      </c>
      <c r="G1296" s="31" t="inlineStr">
        <is>
          <t>LPT</t>
        </is>
      </c>
      <c r="H1296" s="27" t="n">
        <v>1385</v>
      </c>
      <c r="I1296" s="27" t="n">
        <v>1470</v>
      </c>
      <c r="J1296" s="154">
        <f>I1296/H1296-1</f>
        <v/>
      </c>
      <c r="K1296" s="31" t="inlineStr">
        <is>
          <t>27</t>
        </is>
      </c>
      <c r="L1296" s="31" t="inlineStr">
        <is>
          <t>27, 28</t>
        </is>
      </c>
      <c r="M1296" s="31" t="inlineStr">
        <is>
          <t>S1</t>
        </is>
      </c>
      <c r="N1296" s="31" t="inlineStr">
        <is>
          <t>S2</t>
        </is>
      </c>
      <c r="O1296" s="31" t="inlineStr">
        <is>
          <t>336-031-631-0</t>
        </is>
      </c>
      <c r="P1296" s="31" t="inlineStr">
        <is>
          <t>SR Technics Switzerland</t>
        </is>
      </c>
    </row>
    <row r="1297">
      <c r="B1297" s="31" t="inlineStr">
        <is>
          <t>CFM56-5B</t>
        </is>
      </c>
      <c r="C1297" s="31" t="inlineStr">
        <is>
          <t>2024-2025</t>
        </is>
      </c>
      <c r="D1297" s="31" t="inlineStr">
        <is>
          <t>672828</t>
        </is>
      </c>
      <c r="E1297" s="31" t="inlineStr">
        <is>
          <t>72-56-01</t>
        </is>
      </c>
      <c r="F1297" s="31" t="inlineStr">
        <is>
          <t>SB13</t>
        </is>
      </c>
      <c r="G1297" s="31" t="inlineStr">
        <is>
          <t>LPT</t>
        </is>
      </c>
      <c r="H1297" s="27" t="n">
        <v>1385</v>
      </c>
      <c r="I1297" s="27" t="n">
        <v>1470</v>
      </c>
      <c r="J1297" s="154">
        <f>I1297/H1297-1</f>
        <v/>
      </c>
      <c r="K1297" s="31" t="inlineStr">
        <is>
          <t>27</t>
        </is>
      </c>
      <c r="L1297" s="31" t="inlineStr">
        <is>
          <t>28</t>
        </is>
      </c>
      <c r="M1297" s="31" t="inlineStr">
        <is>
          <t>S1</t>
        </is>
      </c>
      <c r="N1297" s="31" t="inlineStr">
        <is>
          <t>S2</t>
        </is>
      </c>
      <c r="O1297" s="31" t="inlineStr">
        <is>
          <t>336-031-631-0</t>
        </is>
      </c>
      <c r="P1297" s="31" t="inlineStr">
        <is>
          <t>SR Technics Switzerland</t>
        </is>
      </c>
    </row>
    <row r="1298">
      <c r="B1298" s="31" t="inlineStr">
        <is>
          <t>CFM56-5B</t>
        </is>
      </c>
      <c r="C1298" s="31" t="inlineStr">
        <is>
          <t>2024-2025</t>
        </is>
      </c>
      <c r="D1298" s="31" t="inlineStr">
        <is>
          <t>672828</t>
        </is>
      </c>
      <c r="E1298" s="31" t="inlineStr">
        <is>
          <t>72-56-01</t>
        </is>
      </c>
      <c r="F1298" s="31" t="inlineStr">
        <is>
          <t>SB14</t>
        </is>
      </c>
      <c r="G1298" s="31" t="inlineStr">
        <is>
          <t>LPT</t>
        </is>
      </c>
      <c r="H1298" s="27" t="n">
        <v>795</v>
      </c>
      <c r="I1298" s="27" t="n">
        <v>845</v>
      </c>
      <c r="J1298" s="154">
        <f>I1298/H1298-1</f>
        <v/>
      </c>
      <c r="K1298" s="31" t="inlineStr">
        <is>
          <t>27</t>
        </is>
      </c>
      <c r="L1298" s="31" t="inlineStr">
        <is>
          <t>28</t>
        </is>
      </c>
      <c r="M1298" s="31" t="inlineStr">
        <is>
          <t>S1</t>
        </is>
      </c>
      <c r="N1298" s="31" t="inlineStr">
        <is>
          <t>S2</t>
        </is>
      </c>
      <c r="O1298" s="31" t="inlineStr">
        <is>
          <t>336-031-631-0</t>
        </is>
      </c>
      <c r="P1298" s="31" t="inlineStr">
        <is>
          <t>SR Technics Switzerland</t>
        </is>
      </c>
    </row>
    <row r="1299">
      <c r="B1299" s="31" t="inlineStr">
        <is>
          <t>CFM56-5B</t>
        </is>
      </c>
      <c r="C1299" s="31" t="inlineStr">
        <is>
          <t>2024-2025</t>
        </is>
      </c>
      <c r="D1299" s="31" t="inlineStr">
        <is>
          <t>672828</t>
        </is>
      </c>
      <c r="E1299" s="31" t="inlineStr">
        <is>
          <t>72-56-01</t>
        </is>
      </c>
      <c r="F1299" s="31" t="inlineStr">
        <is>
          <t>SB17</t>
        </is>
      </c>
      <c r="G1299" s="31" t="inlineStr">
        <is>
          <t>LPT</t>
        </is>
      </c>
      <c r="H1299" s="27" t="n">
        <v>795</v>
      </c>
      <c r="I1299" s="27" t="n">
        <v>845</v>
      </c>
      <c r="J1299" s="154">
        <f>I1299/H1299-1</f>
        <v/>
      </c>
      <c r="K1299" s="31" t="inlineStr">
        <is>
          <t>27</t>
        </is>
      </c>
      <c r="L1299" s="31" t="inlineStr">
        <is>
          <t>28</t>
        </is>
      </c>
      <c r="M1299" s="31" t="inlineStr">
        <is>
          <t>S1</t>
        </is>
      </c>
      <c r="N1299" s="31" t="inlineStr">
        <is>
          <t>S2</t>
        </is>
      </c>
      <c r="O1299" s="31" t="inlineStr">
        <is>
          <t>336-031-631-0</t>
        </is>
      </c>
      <c r="P1299" s="31" t="inlineStr">
        <is>
          <t>SR Technics Switzerland</t>
        </is>
      </c>
    </row>
    <row r="1300">
      <c r="B1300" s="31" t="inlineStr">
        <is>
          <t>CFM56-5B</t>
        </is>
      </c>
      <c r="C1300" s="31" t="inlineStr">
        <is>
          <t>2024-2025</t>
        </is>
      </c>
      <c r="D1300" s="31" t="inlineStr">
        <is>
          <t>672828</t>
        </is>
      </c>
      <c r="E1300" s="31" t="inlineStr">
        <is>
          <t>72-56-01</t>
        </is>
      </c>
      <c r="F1300" s="31" t="inlineStr">
        <is>
          <t>SB18</t>
        </is>
      </c>
      <c r="G1300" s="31" t="inlineStr">
        <is>
          <t>LPT</t>
        </is>
      </c>
      <c r="H1300" s="27" t="n">
        <v>1360</v>
      </c>
      <c r="I1300" s="27" t="n">
        <v>1445</v>
      </c>
      <c r="J1300" s="154">
        <f>I1300/H1300-1</f>
        <v/>
      </c>
      <c r="K1300" s="31" t="inlineStr">
        <is>
          <t>27</t>
        </is>
      </c>
      <c r="L1300" s="31" t="inlineStr">
        <is>
          <t>28</t>
        </is>
      </c>
      <c r="M1300" s="31" t="inlineStr">
        <is>
          <t>S1</t>
        </is>
      </c>
      <c r="N1300" s="31" t="inlineStr">
        <is>
          <t>S2</t>
        </is>
      </c>
      <c r="O1300" s="31" t="inlineStr">
        <is>
          <t>336-031-631-0</t>
        </is>
      </c>
      <c r="P1300" s="31" t="inlineStr">
        <is>
          <t>SR Technics Switzerland</t>
        </is>
      </c>
    </row>
    <row r="1301">
      <c r="B1301" s="31" t="inlineStr">
        <is>
          <t>CFM56-5B</t>
        </is>
      </c>
      <c r="C1301" s="31" t="inlineStr">
        <is>
          <t>2024-2025</t>
        </is>
      </c>
      <c r="D1301" s="31" t="inlineStr">
        <is>
          <t>672828</t>
        </is>
      </c>
      <c r="E1301" s="31" t="inlineStr">
        <is>
          <t>72-56-01</t>
        </is>
      </c>
      <c r="F1301" s="31" t="inlineStr">
        <is>
          <t>SB19</t>
        </is>
      </c>
      <c r="G1301" s="31" t="inlineStr">
        <is>
          <t>LPT</t>
        </is>
      </c>
      <c r="H1301" s="27" t="n">
        <v>690</v>
      </c>
      <c r="I1301" s="27" t="n">
        <v>735</v>
      </c>
      <c r="J1301" s="154">
        <f>I1301/H1301-1</f>
        <v/>
      </c>
      <c r="K1301" s="31" t="inlineStr">
        <is>
          <t>28</t>
        </is>
      </c>
      <c r="L1301" s="31" t="inlineStr">
        <is>
          <t>28</t>
        </is>
      </c>
      <c r="M1301" s="31" t="inlineStr">
        <is>
          <t>S1</t>
        </is>
      </c>
      <c r="N1301" s="31" t="inlineStr">
        <is>
          <t>S2</t>
        </is>
      </c>
      <c r="O1301" s="31" t="inlineStr">
        <is>
          <t>336-031-631-0</t>
        </is>
      </c>
      <c r="P1301" s="31" t="inlineStr">
        <is>
          <t>SR Technics Switzerland</t>
        </is>
      </c>
    </row>
    <row r="1302">
      <c r="B1302" s="31" t="inlineStr">
        <is>
          <t>CFM56-5B</t>
        </is>
      </c>
      <c r="C1302" s="31" t="inlineStr">
        <is>
          <t>2024-2025</t>
        </is>
      </c>
      <c r="D1302" s="31" t="inlineStr">
        <is>
          <t>672828</t>
        </is>
      </c>
      <c r="E1302" s="31" t="inlineStr">
        <is>
          <t>72-56-01</t>
        </is>
      </c>
      <c r="F1302" s="31" t="inlineStr">
        <is>
          <t>SB20</t>
        </is>
      </c>
      <c r="G1302" s="31" t="inlineStr">
        <is>
          <t>LPT</t>
        </is>
      </c>
      <c r="H1302" s="27" t="n">
        <v>670</v>
      </c>
      <c r="I1302" s="27" t="n">
        <v>715</v>
      </c>
      <c r="J1302" s="154">
        <f>I1302/H1302-1</f>
        <v/>
      </c>
      <c r="K1302" s="31" t="inlineStr">
        <is>
          <t>28</t>
        </is>
      </c>
      <c r="L1302" s="31" t="inlineStr">
        <is>
          <t>28</t>
        </is>
      </c>
      <c r="M1302" s="31" t="inlineStr">
        <is>
          <t>S1</t>
        </is>
      </c>
      <c r="N1302" s="31" t="inlineStr">
        <is>
          <t>S2</t>
        </is>
      </c>
      <c r="O1302" s="31" t="inlineStr">
        <is>
          <t>336-031-631-0</t>
        </is>
      </c>
      <c r="P1302" s="31" t="inlineStr">
        <is>
          <t>SR Technics Switzerland</t>
        </is>
      </c>
    </row>
    <row r="1303">
      <c r="B1303" s="31" t="inlineStr">
        <is>
          <t>CFM56-5B</t>
        </is>
      </c>
      <c r="C1303" s="31" t="inlineStr">
        <is>
          <t>2024-2025</t>
        </is>
      </c>
      <c r="D1303" s="31" t="inlineStr">
        <is>
          <t>672828</t>
        </is>
      </c>
      <c r="E1303" s="31" t="inlineStr">
        <is>
          <t>72-56-01</t>
        </is>
      </c>
      <c r="F1303" s="31" t="inlineStr">
        <is>
          <t>U</t>
        </is>
      </c>
      <c r="G1303" s="31" t="inlineStr">
        <is>
          <t>LPT</t>
        </is>
      </c>
      <c r="H1303" s="27" t="n">
        <v>5625</v>
      </c>
      <c r="I1303" s="27" t="n">
        <v>5965</v>
      </c>
      <c r="J1303" s="154">
        <f>I1303/H1303-1</f>
        <v/>
      </c>
      <c r="K1303" s="31" t="inlineStr">
        <is>
          <t>28</t>
        </is>
      </c>
      <c r="L1303" s="31" t="inlineStr">
        <is>
          <t>28</t>
        </is>
      </c>
      <c r="M1303" s="31" t="inlineStr">
        <is>
          <t>S1</t>
        </is>
      </c>
      <c r="N1303" s="31" t="inlineStr">
        <is>
          <t>S2</t>
        </is>
      </c>
      <c r="O1303" s="31" t="inlineStr">
        <is>
          <t>336-031-631-0</t>
        </is>
      </c>
      <c r="P1303" s="31" t="inlineStr">
        <is>
          <t>SR Technics Switzerland</t>
        </is>
      </c>
    </row>
    <row r="1304">
      <c r="B1304" s="31" t="inlineStr">
        <is>
          <t>CFM56-5B</t>
        </is>
      </c>
      <c r="C1304" s="31" t="inlineStr">
        <is>
          <t>2024-2025</t>
        </is>
      </c>
      <c r="D1304" s="31" t="inlineStr">
        <is>
          <t>672828</t>
        </is>
      </c>
      <c r="E1304" s="31" t="inlineStr">
        <is>
          <t>72-56-01</t>
        </is>
      </c>
      <c r="F1304" s="31" t="inlineStr">
        <is>
          <t>V</t>
        </is>
      </c>
      <c r="G1304" s="31" t="inlineStr">
        <is>
          <t>LPT</t>
        </is>
      </c>
      <c r="H1304" s="27" t="n">
        <v>4015</v>
      </c>
      <c r="I1304" s="27" t="n">
        <v>4260</v>
      </c>
      <c r="J1304" s="154">
        <f>I1304/H1304-1</f>
        <v/>
      </c>
      <c r="K1304" s="31" t="inlineStr">
        <is>
          <t>28</t>
        </is>
      </c>
      <c r="L1304" s="31" t="inlineStr">
        <is>
          <t>28</t>
        </is>
      </c>
      <c r="M1304" s="31" t="inlineStr">
        <is>
          <t>S1</t>
        </is>
      </c>
      <c r="N1304" s="31" t="inlineStr">
        <is>
          <t>S2</t>
        </is>
      </c>
      <c r="O1304" s="31" t="inlineStr">
        <is>
          <t>336-031-631-0</t>
        </is>
      </c>
      <c r="P1304" s="31" t="inlineStr">
        <is>
          <t>SR Technics Switzerland</t>
        </is>
      </c>
    </row>
    <row r="1305">
      <c r="B1305" s="31" t="inlineStr">
        <is>
          <t>CFM56-5B</t>
        </is>
      </c>
      <c r="C1305" s="31" t="inlineStr">
        <is>
          <t>2024-2025</t>
        </is>
      </c>
      <c r="D1305" s="31" t="inlineStr">
        <is>
          <t>672828</t>
        </is>
      </c>
      <c r="E1305" s="31" t="inlineStr">
        <is>
          <t>72-56-01</t>
        </is>
      </c>
      <c r="F1305" s="31" t="inlineStr">
        <is>
          <t>W</t>
        </is>
      </c>
      <c r="G1305" s="31" t="inlineStr">
        <is>
          <t>LPT</t>
        </is>
      </c>
      <c r="H1305" s="27" t="n">
        <v>1645</v>
      </c>
      <c r="I1305" s="27" t="n">
        <v>1745</v>
      </c>
      <c r="J1305" s="154">
        <f>I1305/H1305-1</f>
        <v/>
      </c>
      <c r="K1305" s="31" t="inlineStr">
        <is>
          <t>28</t>
        </is>
      </c>
      <c r="L1305" s="31" t="inlineStr">
        <is>
          <t>28</t>
        </is>
      </c>
      <c r="M1305" s="31" t="inlineStr">
        <is>
          <t>S1</t>
        </is>
      </c>
      <c r="N1305" s="31" t="inlineStr">
        <is>
          <t>S2</t>
        </is>
      </c>
      <c r="O1305" s="31" t="inlineStr">
        <is>
          <t>336-031-631-0</t>
        </is>
      </c>
      <c r="P1305" s="31" t="inlineStr">
        <is>
          <t>SR Technics Switzerland</t>
        </is>
      </c>
    </row>
    <row r="1306">
      <c r="B1306" s="31" t="inlineStr">
        <is>
          <t>CFM56-5B</t>
        </is>
      </c>
      <c r="C1306" s="31" t="inlineStr">
        <is>
          <t>2024-2025</t>
        </is>
      </c>
      <c r="D1306" s="31" t="inlineStr">
        <is>
          <t>672828</t>
        </is>
      </c>
      <c r="E1306" s="31" t="inlineStr">
        <is>
          <t>72-56-01</t>
        </is>
      </c>
      <c r="F1306" s="31" t="inlineStr">
        <is>
          <t>X</t>
        </is>
      </c>
      <c r="G1306" s="31" t="inlineStr">
        <is>
          <t>LPT</t>
        </is>
      </c>
      <c r="H1306" s="27" t="n">
        <v>1230</v>
      </c>
      <c r="I1306" s="27" t="n">
        <v>1305</v>
      </c>
      <c r="J1306" s="154">
        <f>I1306/H1306-1</f>
        <v/>
      </c>
      <c r="K1306" s="31" t="inlineStr">
        <is>
          <t>28</t>
        </is>
      </c>
      <c r="L1306" s="31" t="inlineStr">
        <is>
          <t>28</t>
        </is>
      </c>
      <c r="M1306" s="31" t="inlineStr">
        <is>
          <t>S1</t>
        </is>
      </c>
      <c r="N1306" s="31" t="inlineStr">
        <is>
          <t>S2</t>
        </is>
      </c>
      <c r="O1306" s="31" t="inlineStr">
        <is>
          <t>336-031-631-0</t>
        </is>
      </c>
      <c r="P1306" s="31" t="inlineStr">
        <is>
          <t>SR Technics Switzerland</t>
        </is>
      </c>
    </row>
    <row r="1307">
      <c r="B1307" s="31" t="inlineStr">
        <is>
          <t>CFM56-5B</t>
        </is>
      </c>
      <c r="C1307" s="31" t="inlineStr">
        <is>
          <t>2024-2025</t>
        </is>
      </c>
      <c r="D1307" s="31" t="inlineStr">
        <is>
          <t>672828</t>
        </is>
      </c>
      <c r="E1307" s="31" t="inlineStr">
        <is>
          <t>72-56-01</t>
        </is>
      </c>
      <c r="F1307" s="31" t="inlineStr">
        <is>
          <t>Y</t>
        </is>
      </c>
      <c r="G1307" s="31" t="inlineStr">
        <is>
          <t>LPT</t>
        </is>
      </c>
      <c r="H1307" s="27" t="n">
        <v>1205</v>
      </c>
      <c r="I1307" s="27" t="n">
        <v>1280</v>
      </c>
      <c r="J1307" s="154">
        <f>I1307/H1307-1</f>
        <v/>
      </c>
      <c r="K1307" s="31" t="inlineStr">
        <is>
          <t>28</t>
        </is>
      </c>
      <c r="L1307" s="31" t="inlineStr">
        <is>
          <t>28</t>
        </is>
      </c>
      <c r="M1307" s="31" t="inlineStr">
        <is>
          <t>S1</t>
        </is>
      </c>
      <c r="N1307" s="31" t="inlineStr">
        <is>
          <t>S2</t>
        </is>
      </c>
      <c r="O1307" s="31" t="inlineStr">
        <is>
          <t>336-031-631-0</t>
        </is>
      </c>
      <c r="P1307" s="31" t="inlineStr">
        <is>
          <t>SR Technics Switzerland</t>
        </is>
      </c>
    </row>
    <row r="1308">
      <c r="B1308" s="31" t="inlineStr">
        <is>
          <t>CFM56-5B</t>
        </is>
      </c>
      <c r="C1308" s="31" t="inlineStr">
        <is>
          <t>2024-2025</t>
        </is>
      </c>
      <c r="D1308" s="31" t="inlineStr">
        <is>
          <t>672828</t>
        </is>
      </c>
      <c r="E1308" s="31" t="inlineStr">
        <is>
          <t>72-56-01</t>
        </is>
      </c>
      <c r="F1308" s="31" t="inlineStr">
        <is>
          <t>Z</t>
        </is>
      </c>
      <c r="G1308" s="31" t="inlineStr">
        <is>
          <t>LPT</t>
        </is>
      </c>
      <c r="H1308" s="27" t="n">
        <v>1840</v>
      </c>
      <c r="I1308" s="27" t="n">
        <v>1955</v>
      </c>
      <c r="J1308" s="154">
        <f>I1308/H1308-1</f>
        <v/>
      </c>
      <c r="K1308" s="31" t="inlineStr">
        <is>
          <t>28</t>
        </is>
      </c>
      <c r="L1308" s="31" t="inlineStr">
        <is>
          <t>28</t>
        </is>
      </c>
      <c r="M1308" s="31" t="inlineStr">
        <is>
          <t>S1</t>
        </is>
      </c>
      <c r="N1308" s="31" t="inlineStr">
        <is>
          <t>S2</t>
        </is>
      </c>
      <c r="O1308" s="31" t="inlineStr">
        <is>
          <t>336-031-631-0</t>
        </is>
      </c>
      <c r="P1308" s="31" t="inlineStr">
        <is>
          <t>SR Technics Switzerland</t>
        </is>
      </c>
    </row>
    <row r="1309">
      <c r="B1309" s="31" t="inlineStr">
        <is>
          <t>CFM56-5B</t>
        </is>
      </c>
      <c r="C1309" s="31" t="inlineStr">
        <is>
          <t>2024-2025</t>
        </is>
      </c>
      <c r="D1309" s="31" t="inlineStr">
        <is>
          <t>673122</t>
        </is>
      </c>
      <c r="E1309" s="31" t="inlineStr">
        <is>
          <t>72-23-02</t>
        </is>
      </c>
      <c r="F1309" s="31" t="inlineStr">
        <is>
          <t>A</t>
        </is>
      </c>
      <c r="G1309" s="31" t="inlineStr">
        <is>
          <t>Fan / booster</t>
        </is>
      </c>
      <c r="H1309" s="27" t="n">
        <v>135</v>
      </c>
      <c r="I1309" s="27" t="n">
        <v>145</v>
      </c>
      <c r="J1309" s="154">
        <f>I1309/H1309-1</f>
        <v/>
      </c>
      <c r="K1309" s="31" t="inlineStr">
        <is>
          <t>88</t>
        </is>
      </c>
      <c r="L1309" s="31" t="inlineStr">
        <is>
          <t>90</t>
        </is>
      </c>
      <c r="M1309" s="31" t="inlineStr">
        <is>
          <t>S1</t>
        </is>
      </c>
      <c r="N1309" s="31" t="inlineStr">
        <is>
          <t>S2</t>
        </is>
      </c>
      <c r="O1309" s="31" t="inlineStr">
        <is>
          <t>238-0226-507</t>
        </is>
      </c>
      <c r="P1309" s="31" t="inlineStr">
        <is>
          <t>SR Technics Switzerland</t>
        </is>
      </c>
    </row>
    <row r="1310">
      <c r="B1310" s="31" t="inlineStr">
        <is>
          <t>CFM56-5B</t>
        </is>
      </c>
      <c r="C1310" s="31" t="inlineStr">
        <is>
          <t>2024-2025</t>
        </is>
      </c>
      <c r="D1310" s="31" t="inlineStr">
        <is>
          <t>673677</t>
        </is>
      </c>
      <c r="E1310" s="31" t="inlineStr">
        <is>
          <t>71-00-01</t>
        </is>
      </c>
      <c r="F1310" s="31" t="inlineStr">
        <is>
          <t>A</t>
        </is>
      </c>
      <c r="G1310" s="31" t="inlineStr">
        <is>
          <t>Other / assembly</t>
        </is>
      </c>
      <c r="H1310" s="27" t="n">
        <v>615</v>
      </c>
      <c r="I1310" s="27" t="n">
        <v>655</v>
      </c>
      <c r="J1310" s="154">
        <f>I1310/H1310-1</f>
        <v/>
      </c>
      <c r="K1310" s="31" t="inlineStr">
        <is>
          <t>88</t>
        </is>
      </c>
      <c r="L1310" s="31" t="inlineStr">
        <is>
          <t>90</t>
        </is>
      </c>
      <c r="M1310" s="31" t="inlineStr">
        <is>
          <t>S1</t>
        </is>
      </c>
      <c r="N1310" s="31" t="inlineStr">
        <is>
          <t>S2</t>
        </is>
      </c>
      <c r="O1310" s="31" t="inlineStr">
        <is>
          <t>321-450-603-0</t>
        </is>
      </c>
      <c r="P1310" s="31" t="inlineStr">
        <is>
          <t>SR Technics Switzerland</t>
        </is>
      </c>
    </row>
    <row r="1311">
      <c r="B1311" s="31" t="inlineStr">
        <is>
          <t>CFM56-5B</t>
        </is>
      </c>
      <c r="C1311" s="31" t="inlineStr">
        <is>
          <t>2024-2025</t>
        </is>
      </c>
      <c r="D1311" s="31" t="inlineStr">
        <is>
          <t>673677</t>
        </is>
      </c>
      <c r="E1311" s="31" t="inlineStr">
        <is>
          <t>71-00-01</t>
        </is>
      </c>
      <c r="F1311" s="31" t="inlineStr">
        <is>
          <t>B</t>
        </is>
      </c>
      <c r="G1311" s="31" t="inlineStr">
        <is>
          <t>Other / assembly</t>
        </is>
      </c>
      <c r="H1311" s="27" t="n">
        <v>210</v>
      </c>
      <c r="I1311" s="27" t="n">
        <v>225</v>
      </c>
      <c r="J1311" s="154">
        <f>I1311/H1311-1</f>
        <v/>
      </c>
      <c r="K1311" s="31" t="inlineStr">
        <is>
          <t>88</t>
        </is>
      </c>
      <c r="L1311" s="31" t="inlineStr">
        <is>
          <t>90</t>
        </is>
      </c>
      <c r="M1311" s="31" t="inlineStr">
        <is>
          <t>S1</t>
        </is>
      </c>
      <c r="N1311" s="31" t="inlineStr">
        <is>
          <t>S2</t>
        </is>
      </c>
      <c r="O1311" s="31" t="inlineStr">
        <is>
          <t>321-450-603-0</t>
        </is>
      </c>
      <c r="P1311" s="31" t="inlineStr">
        <is>
          <t>SR Technics Switzerland</t>
        </is>
      </c>
    </row>
    <row r="1312">
      <c r="B1312" s="31" t="inlineStr">
        <is>
          <t>CFM56-5B</t>
        </is>
      </c>
      <c r="C1312" s="31" t="inlineStr">
        <is>
          <t>2024-2025</t>
        </is>
      </c>
      <c r="D1312" s="31" t="inlineStr">
        <is>
          <t>673774</t>
        </is>
      </c>
      <c r="E1312" s="31" t="inlineStr">
        <is>
          <t>72-55-06</t>
        </is>
      </c>
      <c r="F1312" s="31" t="inlineStr">
        <is>
          <t>A</t>
        </is>
      </c>
      <c r="G1312" s="31" t="inlineStr">
        <is>
          <t>LPT</t>
        </is>
      </c>
      <c r="H1312" s="27" t="n">
        <v>480</v>
      </c>
      <c r="I1312" s="27" t="n">
        <v>510</v>
      </c>
      <c r="J1312" s="154">
        <f>I1312/H1312-1</f>
        <v/>
      </c>
      <c r="K1312" s="31" t="inlineStr">
        <is>
          <t>28</t>
        </is>
      </c>
      <c r="L1312" s="31" t="inlineStr">
        <is>
          <t>28</t>
        </is>
      </c>
      <c r="M1312" s="31" t="inlineStr">
        <is>
          <t>S1</t>
        </is>
      </c>
      <c r="N1312" s="31" t="inlineStr">
        <is>
          <t>S2</t>
        </is>
      </c>
      <c r="O1312" s="31" t="inlineStr">
        <is>
          <t>338-069-701-0</t>
        </is>
      </c>
      <c r="P1312" s="31" t="inlineStr">
        <is>
          <t>SR Technics Switzerland</t>
        </is>
      </c>
    </row>
    <row r="1313">
      <c r="B1313" s="31" t="inlineStr">
        <is>
          <t>CFM56-5B</t>
        </is>
      </c>
      <c r="C1313" s="31" t="inlineStr">
        <is>
          <t>2024-2025</t>
        </is>
      </c>
      <c r="D1313" s="31" t="inlineStr">
        <is>
          <t>673774</t>
        </is>
      </c>
      <c r="E1313" s="31" t="inlineStr">
        <is>
          <t>72-55-06</t>
        </is>
      </c>
      <c r="F1313" s="31" t="inlineStr">
        <is>
          <t>AN</t>
        </is>
      </c>
      <c r="G1313" s="31" t="inlineStr">
        <is>
          <t>LPT</t>
        </is>
      </c>
      <c r="H1313" s="27" t="n">
        <v>115</v>
      </c>
      <c r="I1313" s="27" t="n">
        <v>125</v>
      </c>
      <c r="J1313" s="154">
        <f>I1313/H1313-1</f>
        <v/>
      </c>
      <c r="K1313" s="31" t="inlineStr">
        <is>
          <t>28</t>
        </is>
      </c>
      <c r="L1313" s="31" t="inlineStr">
        <is>
          <t>28</t>
        </is>
      </c>
      <c r="M1313" s="31" t="inlineStr">
        <is>
          <t>S1</t>
        </is>
      </c>
      <c r="N1313" s="31" t="inlineStr">
        <is>
          <t>S2</t>
        </is>
      </c>
      <c r="O1313" s="31" t="inlineStr">
        <is>
          <t>338-069-701-0</t>
        </is>
      </c>
      <c r="P1313" s="31" t="inlineStr">
        <is>
          <t>SR Technics Switzerland</t>
        </is>
      </c>
    </row>
    <row r="1314">
      <c r="B1314" s="31" t="inlineStr">
        <is>
          <t>CFM56-5B</t>
        </is>
      </c>
      <c r="C1314" s="31" t="inlineStr">
        <is>
          <t>2024-2025</t>
        </is>
      </c>
      <c r="D1314" s="31" t="inlineStr">
        <is>
          <t>673774</t>
        </is>
      </c>
      <c r="E1314" s="31" t="inlineStr">
        <is>
          <t>72-55-06</t>
        </is>
      </c>
      <c r="F1314" s="31" t="inlineStr">
        <is>
          <t>B</t>
        </is>
      </c>
      <c r="G1314" s="31" t="inlineStr">
        <is>
          <t>LPT</t>
        </is>
      </c>
      <c r="H1314" s="27" t="n">
        <v>1940</v>
      </c>
      <c r="I1314" s="27" t="n">
        <v>2060</v>
      </c>
      <c r="J1314" s="154">
        <f>I1314/H1314-1</f>
        <v/>
      </c>
      <c r="K1314" s="31" t="inlineStr">
        <is>
          <t>28</t>
        </is>
      </c>
      <c r="L1314" s="31" t="inlineStr">
        <is>
          <t>28</t>
        </is>
      </c>
      <c r="M1314" s="31" t="inlineStr">
        <is>
          <t>S1</t>
        </is>
      </c>
      <c r="N1314" s="31" t="inlineStr">
        <is>
          <t>S2</t>
        </is>
      </c>
      <c r="O1314" s="31" t="inlineStr">
        <is>
          <t>338-069-701-0</t>
        </is>
      </c>
      <c r="P1314" s="31" t="inlineStr">
        <is>
          <t>SR Technics Switzerland</t>
        </is>
      </c>
    </row>
    <row r="1315">
      <c r="B1315" s="31" t="inlineStr">
        <is>
          <t>CFM56-5B</t>
        </is>
      </c>
      <c r="C1315" s="31" t="inlineStr">
        <is>
          <t>2024-2025</t>
        </is>
      </c>
      <c r="D1315" s="31" t="inlineStr">
        <is>
          <t>673774</t>
        </is>
      </c>
      <c r="E1315" s="31" t="inlineStr">
        <is>
          <t>72-55-06</t>
        </is>
      </c>
      <c r="F1315" s="31" t="inlineStr">
        <is>
          <t>C</t>
        </is>
      </c>
      <c r="G1315" s="31" t="inlineStr">
        <is>
          <t>LPT</t>
        </is>
      </c>
      <c r="H1315" s="27" t="n">
        <v>2440</v>
      </c>
      <c r="I1315" s="27" t="n">
        <v>2590</v>
      </c>
      <c r="J1315" s="154">
        <f>I1315/H1315-1</f>
        <v/>
      </c>
      <c r="K1315" s="31" t="inlineStr">
        <is>
          <t>28</t>
        </is>
      </c>
      <c r="L1315" s="31" t="inlineStr">
        <is>
          <t>28</t>
        </is>
      </c>
      <c r="M1315" s="31" t="inlineStr">
        <is>
          <t>S1</t>
        </is>
      </c>
      <c r="N1315" s="31" t="inlineStr">
        <is>
          <t>S2</t>
        </is>
      </c>
      <c r="O1315" s="31" t="inlineStr">
        <is>
          <t>338-069-701-0</t>
        </is>
      </c>
      <c r="P1315" s="31" t="inlineStr">
        <is>
          <t>SR Technics Switzerland</t>
        </is>
      </c>
    </row>
    <row r="1316">
      <c r="B1316" s="31" t="inlineStr">
        <is>
          <t>CFM56-5B</t>
        </is>
      </c>
      <c r="C1316" s="31" t="inlineStr">
        <is>
          <t>2024-2025</t>
        </is>
      </c>
      <c r="D1316" s="31" t="inlineStr">
        <is>
          <t>673774</t>
        </is>
      </c>
      <c r="E1316" s="31" t="inlineStr">
        <is>
          <t>72-55-06</t>
        </is>
      </c>
      <c r="F1316" s="31" t="inlineStr">
        <is>
          <t>D</t>
        </is>
      </c>
      <c r="G1316" s="31" t="inlineStr">
        <is>
          <t>LPT</t>
        </is>
      </c>
      <c r="H1316" s="27" t="n">
        <v>3395</v>
      </c>
      <c r="I1316" s="27" t="n">
        <v>3600</v>
      </c>
      <c r="J1316" s="154">
        <f>I1316/H1316-1</f>
        <v/>
      </c>
      <c r="K1316" s="31" t="inlineStr">
        <is>
          <t>28</t>
        </is>
      </c>
      <c r="L1316" s="31" t="inlineStr">
        <is>
          <t>28</t>
        </is>
      </c>
      <c r="M1316" s="31" t="inlineStr">
        <is>
          <t>S1</t>
        </is>
      </c>
      <c r="N1316" s="31" t="inlineStr">
        <is>
          <t>S2</t>
        </is>
      </c>
      <c r="O1316" s="31" t="inlineStr">
        <is>
          <t>338-069-701-0</t>
        </is>
      </c>
      <c r="P1316" s="31" t="inlineStr">
        <is>
          <t>SR Technics Switzerland</t>
        </is>
      </c>
    </row>
    <row r="1317">
      <c r="B1317" s="31" t="inlineStr">
        <is>
          <t>CFM56-5B</t>
        </is>
      </c>
      <c r="C1317" s="31" t="inlineStr">
        <is>
          <t>2024-2025</t>
        </is>
      </c>
      <c r="D1317" s="31" t="inlineStr">
        <is>
          <t>673774</t>
        </is>
      </c>
      <c r="E1317" s="31" t="inlineStr">
        <is>
          <t>72-55-06</t>
        </is>
      </c>
      <c r="F1317" s="31" t="inlineStr">
        <is>
          <t>E</t>
        </is>
      </c>
      <c r="G1317" s="31" t="inlineStr">
        <is>
          <t>LPT</t>
        </is>
      </c>
      <c r="H1317" s="27" t="n">
        <v>3655</v>
      </c>
      <c r="I1317" s="27" t="n">
        <v>3875</v>
      </c>
      <c r="J1317" s="154">
        <f>I1317/H1317-1</f>
        <v/>
      </c>
      <c r="K1317" s="31" t="inlineStr">
        <is>
          <t>28</t>
        </is>
      </c>
      <c r="L1317" s="31" t="inlineStr">
        <is>
          <t>28</t>
        </is>
      </c>
      <c r="M1317" s="31" t="inlineStr">
        <is>
          <t>S1</t>
        </is>
      </c>
      <c r="N1317" s="31" t="inlineStr">
        <is>
          <t>S2</t>
        </is>
      </c>
      <c r="O1317" s="31" t="inlineStr">
        <is>
          <t>338-069-701-0</t>
        </is>
      </c>
      <c r="P1317" s="31" t="inlineStr">
        <is>
          <t>SR Technics Switzerland</t>
        </is>
      </c>
    </row>
    <row r="1318">
      <c r="B1318" s="31" t="inlineStr">
        <is>
          <t>CFM56-5B</t>
        </is>
      </c>
      <c r="C1318" s="31" t="inlineStr">
        <is>
          <t>2024-2025</t>
        </is>
      </c>
      <c r="D1318" s="31" t="inlineStr">
        <is>
          <t>673774</t>
        </is>
      </c>
      <c r="E1318" s="31" t="inlineStr">
        <is>
          <t>72-55-06</t>
        </is>
      </c>
      <c r="F1318" s="31" t="inlineStr">
        <is>
          <t>F</t>
        </is>
      </c>
      <c r="G1318" s="31" t="inlineStr">
        <is>
          <t>LPT</t>
        </is>
      </c>
      <c r="H1318" s="27" t="n">
        <v>2565</v>
      </c>
      <c r="I1318" s="27" t="n">
        <v>2720</v>
      </c>
      <c r="J1318" s="154">
        <f>I1318/H1318-1</f>
        <v/>
      </c>
      <c r="K1318" s="31" t="inlineStr">
        <is>
          <t>28</t>
        </is>
      </c>
      <c r="L1318" s="31" t="inlineStr">
        <is>
          <t>28</t>
        </is>
      </c>
      <c r="M1318" s="31" t="inlineStr">
        <is>
          <t>S1</t>
        </is>
      </c>
      <c r="N1318" s="31" t="inlineStr">
        <is>
          <t>S2</t>
        </is>
      </c>
      <c r="O1318" s="31" t="inlineStr">
        <is>
          <t>338-069-701-0</t>
        </is>
      </c>
      <c r="P1318" s="31" t="inlineStr">
        <is>
          <t>SR Technics Switzerland</t>
        </is>
      </c>
    </row>
    <row r="1319">
      <c r="B1319" s="31" t="inlineStr">
        <is>
          <t>CFM56-5B</t>
        </is>
      </c>
      <c r="C1319" s="31" t="inlineStr">
        <is>
          <t>2024-2025</t>
        </is>
      </c>
      <c r="D1319" s="31" t="inlineStr">
        <is>
          <t>673774</t>
        </is>
      </c>
      <c r="E1319" s="31" t="inlineStr">
        <is>
          <t>72-55-06</t>
        </is>
      </c>
      <c r="F1319" s="31" t="inlineStr">
        <is>
          <t>H</t>
        </is>
      </c>
      <c r="G1319" s="31" t="inlineStr">
        <is>
          <t>LPT</t>
        </is>
      </c>
      <c r="H1319" s="27" t="n">
        <v>3870</v>
      </c>
      <c r="I1319" s="27" t="n">
        <v>4105</v>
      </c>
      <c r="J1319" s="154">
        <f>I1319/H1319-1</f>
        <v/>
      </c>
      <c r="K1319" s="31" t="inlineStr">
        <is>
          <t>28</t>
        </is>
      </c>
      <c r="L1319" s="31" t="inlineStr">
        <is>
          <t>28</t>
        </is>
      </c>
      <c r="M1319" s="31" t="inlineStr">
        <is>
          <t>S1</t>
        </is>
      </c>
      <c r="N1319" s="31" t="inlineStr">
        <is>
          <t>S2</t>
        </is>
      </c>
      <c r="O1319" s="31" t="inlineStr">
        <is>
          <t>338-069-701-0</t>
        </is>
      </c>
      <c r="P1319" s="31" t="inlineStr">
        <is>
          <t>SR Technics Switzerland</t>
        </is>
      </c>
    </row>
    <row r="1320">
      <c r="B1320" s="31" t="inlineStr">
        <is>
          <t>CFM56-5B</t>
        </is>
      </c>
      <c r="C1320" s="31" t="inlineStr">
        <is>
          <t>2024-2025</t>
        </is>
      </c>
      <c r="D1320" s="31" t="inlineStr">
        <is>
          <t>673774</t>
        </is>
      </c>
      <c r="E1320" s="31" t="inlineStr">
        <is>
          <t>72-55-06</t>
        </is>
      </c>
      <c r="F1320" s="31" t="inlineStr">
        <is>
          <t>I</t>
        </is>
      </c>
      <c r="G1320" s="31" t="inlineStr">
        <is>
          <t>LPT</t>
        </is>
      </c>
      <c r="H1320" s="27" t="n">
        <v>2030</v>
      </c>
      <c r="I1320" s="27" t="n">
        <v>2155</v>
      </c>
      <c r="J1320" s="154">
        <f>I1320/H1320-1</f>
        <v/>
      </c>
      <c r="K1320" s="31" t="inlineStr">
        <is>
          <t>28</t>
        </is>
      </c>
      <c r="L1320" s="31" t="inlineStr">
        <is>
          <t>28</t>
        </is>
      </c>
      <c r="M1320" s="31" t="inlineStr">
        <is>
          <t>S1</t>
        </is>
      </c>
      <c r="N1320" s="31" t="inlineStr">
        <is>
          <t>S2</t>
        </is>
      </c>
      <c r="O1320" s="31" t="inlineStr">
        <is>
          <t>338-069-701-0</t>
        </is>
      </c>
      <c r="P1320" s="31" t="inlineStr">
        <is>
          <t>SR Technics Switzerland</t>
        </is>
      </c>
    </row>
    <row r="1321">
      <c r="B1321" s="31" t="inlineStr">
        <is>
          <t>CFM56-5B</t>
        </is>
      </c>
      <c r="C1321" s="31" t="inlineStr">
        <is>
          <t>2024-2025</t>
        </is>
      </c>
      <c r="D1321" s="31" t="inlineStr">
        <is>
          <t>673774</t>
        </is>
      </c>
      <c r="E1321" s="31" t="inlineStr">
        <is>
          <t>72-55-06</t>
        </is>
      </c>
      <c r="F1321" s="31" t="inlineStr">
        <is>
          <t>J</t>
        </is>
      </c>
      <c r="G1321" s="31" t="inlineStr">
        <is>
          <t>LPT</t>
        </is>
      </c>
      <c r="H1321" s="27" t="n">
        <v>410</v>
      </c>
      <c r="I1321" s="27" t="n">
        <v>435</v>
      </c>
      <c r="J1321" s="154">
        <f>I1321/H1321-1</f>
        <v/>
      </c>
      <c r="K1321" s="31" t="inlineStr">
        <is>
          <t>28</t>
        </is>
      </c>
      <c r="L1321" s="31" t="inlineStr">
        <is>
          <t>28</t>
        </is>
      </c>
      <c r="M1321" s="31" t="inlineStr">
        <is>
          <t>S1</t>
        </is>
      </c>
      <c r="N1321" s="31" t="inlineStr">
        <is>
          <t>S2</t>
        </is>
      </c>
      <c r="O1321" s="31" t="inlineStr">
        <is>
          <t>338-069-701-0</t>
        </is>
      </c>
      <c r="P1321" s="31" t="inlineStr">
        <is>
          <t>SR Technics Switzerland</t>
        </is>
      </c>
    </row>
    <row r="1322">
      <c r="B1322" s="31" t="inlineStr">
        <is>
          <t>CFM56-5B</t>
        </is>
      </c>
      <c r="C1322" s="31" t="inlineStr">
        <is>
          <t>2024-2025</t>
        </is>
      </c>
      <c r="D1322" s="31" t="inlineStr">
        <is>
          <t>673774</t>
        </is>
      </c>
      <c r="E1322" s="31" t="inlineStr">
        <is>
          <t>72-55-06</t>
        </is>
      </c>
      <c r="F1322" s="31" t="inlineStr">
        <is>
          <t>K</t>
        </is>
      </c>
      <c r="G1322" s="31" t="inlineStr">
        <is>
          <t>LPT</t>
        </is>
      </c>
      <c r="H1322" s="27" t="n">
        <v>1775</v>
      </c>
      <c r="I1322" s="27" t="n">
        <v>1885</v>
      </c>
      <c r="J1322" s="154">
        <f>I1322/H1322-1</f>
        <v/>
      </c>
      <c r="K1322" s="31" t="inlineStr">
        <is>
          <t>28</t>
        </is>
      </c>
      <c r="L1322" s="31" t="inlineStr">
        <is>
          <t>28</t>
        </is>
      </c>
      <c r="M1322" s="31" t="inlineStr">
        <is>
          <t>S1</t>
        </is>
      </c>
      <c r="N1322" s="31" t="inlineStr">
        <is>
          <t>S2</t>
        </is>
      </c>
      <c r="O1322" s="31" t="inlineStr">
        <is>
          <t>338-069-701-0</t>
        </is>
      </c>
      <c r="P1322" s="31" t="inlineStr">
        <is>
          <t>SR Technics Switzerland</t>
        </is>
      </c>
    </row>
    <row r="1323">
      <c r="B1323" s="31" t="inlineStr">
        <is>
          <t>CFM56-5B</t>
        </is>
      </c>
      <c r="C1323" s="31" t="inlineStr">
        <is>
          <t>2024-2025</t>
        </is>
      </c>
      <c r="D1323" s="31" t="inlineStr">
        <is>
          <t>673774</t>
        </is>
      </c>
      <c r="E1323" s="31" t="inlineStr">
        <is>
          <t>72-55-06</t>
        </is>
      </c>
      <c r="F1323" s="31" t="inlineStr">
        <is>
          <t>L</t>
        </is>
      </c>
      <c r="G1323" s="31" t="inlineStr">
        <is>
          <t>LPT</t>
        </is>
      </c>
      <c r="H1323" s="27" t="n">
        <v>2205</v>
      </c>
      <c r="I1323" s="27" t="n">
        <v>2340</v>
      </c>
      <c r="J1323" s="154">
        <f>I1323/H1323-1</f>
        <v/>
      </c>
      <c r="K1323" s="31" t="inlineStr">
        <is>
          <t>28</t>
        </is>
      </c>
      <c r="L1323" s="31" t="inlineStr">
        <is>
          <t>28</t>
        </is>
      </c>
      <c r="M1323" s="31" t="inlineStr">
        <is>
          <t>S1</t>
        </is>
      </c>
      <c r="N1323" s="31" t="inlineStr">
        <is>
          <t>S2</t>
        </is>
      </c>
      <c r="O1323" s="31" t="inlineStr">
        <is>
          <t>338-069-701-0</t>
        </is>
      </c>
      <c r="P1323" s="31" t="inlineStr">
        <is>
          <t>SR Technics Switzerland</t>
        </is>
      </c>
    </row>
    <row r="1324">
      <c r="B1324" s="31" t="inlineStr">
        <is>
          <t>CFM56-5B</t>
        </is>
      </c>
      <c r="C1324" s="31" t="inlineStr">
        <is>
          <t>2024-2025</t>
        </is>
      </c>
      <c r="D1324" s="31" t="inlineStr">
        <is>
          <t>673774</t>
        </is>
      </c>
      <c r="E1324" s="31" t="inlineStr">
        <is>
          <t>72-55-06</t>
        </is>
      </c>
      <c r="F1324" s="31" t="inlineStr">
        <is>
          <t>O</t>
        </is>
      </c>
      <c r="G1324" s="31" t="inlineStr">
        <is>
          <t>LPT</t>
        </is>
      </c>
      <c r="H1324" s="27" t="n">
        <v>110</v>
      </c>
      <c r="I1324" s="27" t="n">
        <v>120</v>
      </c>
      <c r="J1324" s="154">
        <f>I1324/H1324-1</f>
        <v/>
      </c>
      <c r="K1324" s="31" t="inlineStr">
        <is>
          <t>28</t>
        </is>
      </c>
      <c r="L1324" s="31" t="inlineStr">
        <is>
          <t>28</t>
        </is>
      </c>
      <c r="M1324" s="31" t="inlineStr">
        <is>
          <t>S1</t>
        </is>
      </c>
      <c r="N1324" s="31" t="inlineStr">
        <is>
          <t>S2</t>
        </is>
      </c>
      <c r="O1324" s="31" t="inlineStr">
        <is>
          <t>338-069-701-0</t>
        </is>
      </c>
      <c r="P1324" s="31" t="inlineStr">
        <is>
          <t>SR Technics Switzerland</t>
        </is>
      </c>
    </row>
    <row r="1325">
      <c r="B1325" s="31" t="inlineStr">
        <is>
          <t>CFM56-5B</t>
        </is>
      </c>
      <c r="C1325" s="31" t="inlineStr">
        <is>
          <t>2024-2025</t>
        </is>
      </c>
      <c r="D1325" s="31" t="inlineStr">
        <is>
          <t>673774</t>
        </is>
      </c>
      <c r="E1325" s="31" t="inlineStr">
        <is>
          <t>72-55-06</t>
        </is>
      </c>
      <c r="F1325" s="31" t="inlineStr">
        <is>
          <t>SB00</t>
        </is>
      </c>
      <c r="G1325" s="31" t="inlineStr">
        <is>
          <t>LPT</t>
        </is>
      </c>
      <c r="H1325" s="27" t="n">
        <v>1655</v>
      </c>
      <c r="I1325" s="27" t="n">
        <v>1755</v>
      </c>
      <c r="J1325" s="154">
        <f>I1325/H1325-1</f>
        <v/>
      </c>
      <c r="K1325" s="31" t="inlineStr">
        <is>
          <t>28</t>
        </is>
      </c>
      <c r="L1325" s="31" t="inlineStr">
        <is>
          <t>28</t>
        </is>
      </c>
      <c r="M1325" s="31" t="inlineStr">
        <is>
          <t>S1</t>
        </is>
      </c>
      <c r="N1325" s="31" t="inlineStr">
        <is>
          <t>S2</t>
        </is>
      </c>
      <c r="O1325" s="31" t="inlineStr">
        <is>
          <t>338-069-701-0</t>
        </is>
      </c>
      <c r="P1325" s="31" t="inlineStr">
        <is>
          <t>SR Technics Switzerland</t>
        </is>
      </c>
    </row>
    <row r="1326">
      <c r="B1326" s="31" t="inlineStr">
        <is>
          <t>CFM56-5B</t>
        </is>
      </c>
      <c r="C1326" s="31" t="inlineStr">
        <is>
          <t>2024-2025</t>
        </is>
      </c>
      <c r="D1326" s="31" t="inlineStr">
        <is>
          <t>68796</t>
        </is>
      </c>
      <c r="E1326" s="31" t="inlineStr">
        <is>
          <t>72-00-52</t>
        </is>
      </c>
      <c r="F1326" s="31" t="inlineStr">
        <is>
          <t>A</t>
        </is>
      </c>
      <c r="G1326" s="31" t="inlineStr">
        <is>
          <t>Other / assembly</t>
        </is>
      </c>
      <c r="H1326" s="27" t="n">
        <v>3500</v>
      </c>
      <c r="I1326" s="27" t="n">
        <v>3710</v>
      </c>
      <c r="J1326" s="154">
        <f>I1326/H1326-1</f>
        <v/>
      </c>
      <c r="K1326" s="31" t="inlineStr">
        <is>
          <t>41</t>
        </is>
      </c>
      <c r="L1326" s="31" t="inlineStr">
        <is>
          <t>42</t>
        </is>
      </c>
      <c r="M1326" s="31" t="inlineStr">
        <is>
          <t>S1</t>
        </is>
      </c>
      <c r="N1326" s="31" t="inlineStr">
        <is>
          <t>S2</t>
        </is>
      </c>
      <c r="O1326" s="31" t="inlineStr">
        <is>
          <t>1887M11G01</t>
        </is>
      </c>
      <c r="P1326" s="31" t="inlineStr">
        <is>
          <t>SR Technics Switzerland</t>
        </is>
      </c>
    </row>
    <row r="1327">
      <c r="B1327" s="31" t="inlineStr">
        <is>
          <t>CFM56-5B</t>
        </is>
      </c>
      <c r="C1327" s="31" t="inlineStr">
        <is>
          <t>2024-2025</t>
        </is>
      </c>
      <c r="D1327" s="31" t="inlineStr">
        <is>
          <t>68796</t>
        </is>
      </c>
      <c r="E1327" s="31" t="inlineStr">
        <is>
          <t>72-00-52</t>
        </is>
      </c>
      <c r="F1327" s="31" t="inlineStr">
        <is>
          <t>B</t>
        </is>
      </c>
      <c r="G1327" s="31" t="inlineStr">
        <is>
          <t>Other / assembly</t>
        </is>
      </c>
      <c r="H1327" s="27" t="n">
        <v>270</v>
      </c>
      <c r="I1327" s="27" t="n">
        <v>290</v>
      </c>
      <c r="J1327" s="154">
        <f>I1327/H1327-1</f>
        <v/>
      </c>
      <c r="K1327" s="31" t="inlineStr">
        <is>
          <t>41</t>
        </is>
      </c>
      <c r="L1327" s="31" t="inlineStr">
        <is>
          <t>42</t>
        </is>
      </c>
      <c r="M1327" s="31" t="inlineStr">
        <is>
          <t>S1</t>
        </is>
      </c>
      <c r="N1327" s="31" t="inlineStr">
        <is>
          <t>S2</t>
        </is>
      </c>
      <c r="O1327" s="31" t="inlineStr">
        <is>
          <t>1887M11G01</t>
        </is>
      </c>
      <c r="P1327" s="31" t="inlineStr">
        <is>
          <t>SR Technics Switzerland</t>
        </is>
      </c>
    </row>
    <row r="1328">
      <c r="B1328" s="31" t="inlineStr">
        <is>
          <t>CFM56-5B</t>
        </is>
      </c>
      <c r="C1328" s="31" t="inlineStr">
        <is>
          <t>2024-2025</t>
        </is>
      </c>
      <c r="D1328" s="31" t="inlineStr">
        <is>
          <t>72531</t>
        </is>
      </c>
      <c r="E1328" s="31" t="inlineStr">
        <is>
          <t>72-31-09</t>
        </is>
      </c>
      <c r="F1328" s="31" t="inlineStr">
        <is>
          <t>A</t>
        </is>
      </c>
      <c r="G1328" s="31" t="inlineStr">
        <is>
          <t>Compressor</t>
        </is>
      </c>
      <c r="H1328" s="27" t="n">
        <v>360</v>
      </c>
      <c r="I1328" s="27" t="n">
        <v>385</v>
      </c>
      <c r="J1328" s="154">
        <f>I1328/H1328-1</f>
        <v/>
      </c>
      <c r="K1328" s="31" t="inlineStr">
        <is>
          <t>8</t>
        </is>
      </c>
      <c r="L1328" s="31" t="inlineStr">
        <is>
          <t>8</t>
        </is>
      </c>
      <c r="M1328" s="31" t="inlineStr">
        <is>
          <t>S1</t>
        </is>
      </c>
      <c r="N1328" s="31" t="inlineStr">
        <is>
          <t>S2</t>
        </is>
      </c>
      <c r="O1328" s="31" t="inlineStr">
        <is>
          <t>9523M11G03</t>
        </is>
      </c>
      <c r="P1328" s="31" t="inlineStr">
        <is>
          <t>SR Technics Switzerland</t>
        </is>
      </c>
    </row>
    <row r="1329">
      <c r="B1329" s="31" t="inlineStr">
        <is>
          <t>CFM56-5B</t>
        </is>
      </c>
      <c r="C1329" s="31" t="inlineStr">
        <is>
          <t>2024-2025</t>
        </is>
      </c>
      <c r="D1329" s="31" t="inlineStr">
        <is>
          <t>72531</t>
        </is>
      </c>
      <c r="E1329" s="31" t="inlineStr">
        <is>
          <t>72-31-09</t>
        </is>
      </c>
      <c r="F1329" s="31" t="inlineStr">
        <is>
          <t>B</t>
        </is>
      </c>
      <c r="G1329" s="31" t="inlineStr">
        <is>
          <t>Compressor</t>
        </is>
      </c>
      <c r="H1329" s="27" t="n">
        <v>290</v>
      </c>
      <c r="I1329" s="27" t="n">
        <v>310</v>
      </c>
      <c r="J1329" s="154">
        <f>I1329/H1329-1</f>
        <v/>
      </c>
      <c r="K1329" s="31" t="inlineStr">
        <is>
          <t>8</t>
        </is>
      </c>
      <c r="L1329" s="31" t="inlineStr">
        <is>
          <t>8</t>
        </is>
      </c>
      <c r="M1329" s="31" t="inlineStr">
        <is>
          <t>S1</t>
        </is>
      </c>
      <c r="N1329" s="31" t="inlineStr">
        <is>
          <t>S2</t>
        </is>
      </c>
      <c r="O1329" s="31" t="inlineStr">
        <is>
          <t>9523M11G03</t>
        </is>
      </c>
      <c r="P1329" s="31" t="inlineStr">
        <is>
          <t>SR Technics Switzerland</t>
        </is>
      </c>
    </row>
    <row r="1330">
      <c r="B1330" s="31" t="inlineStr">
        <is>
          <t>CFM56-5B</t>
        </is>
      </c>
      <c r="C1330" s="31" t="inlineStr">
        <is>
          <t>2024-2025</t>
        </is>
      </c>
      <c r="D1330" s="31" t="inlineStr">
        <is>
          <t>72544</t>
        </is>
      </c>
      <c r="E1330" s="31" t="inlineStr">
        <is>
          <t>72-63-05</t>
        </is>
      </c>
      <c r="F1330" s="31" t="inlineStr">
        <is>
          <t>A</t>
        </is>
      </c>
      <c r="G1330" s="31" t="inlineStr">
        <is>
          <t>Gearbox</t>
        </is>
      </c>
      <c r="H1330" s="27" t="n">
        <v>175</v>
      </c>
      <c r="I1330" s="27" t="n">
        <v>190</v>
      </c>
      <c r="J1330" s="154">
        <f>I1330/H1330-1</f>
        <v/>
      </c>
      <c r="K1330" s="31" t="inlineStr">
        <is>
          <t>41</t>
        </is>
      </c>
      <c r="L1330" s="31" t="inlineStr">
        <is>
          <t>42</t>
        </is>
      </c>
      <c r="M1330" s="31" t="inlineStr">
        <is>
          <t>S1</t>
        </is>
      </c>
      <c r="N1330" s="31" t="inlineStr">
        <is>
          <t>S2</t>
        </is>
      </c>
      <c r="O1330" s="31" t="inlineStr">
        <is>
          <t>305-165-501-0</t>
        </is>
      </c>
      <c r="P1330" s="31" t="inlineStr">
        <is>
          <t>SR Technics Switzerland</t>
        </is>
      </c>
    </row>
    <row r="1331">
      <c r="B1331" s="31" t="inlineStr">
        <is>
          <t>CFM56-5B</t>
        </is>
      </c>
      <c r="C1331" s="31" t="inlineStr">
        <is>
          <t>2024-2025</t>
        </is>
      </c>
      <c r="D1331" s="31" t="inlineStr">
        <is>
          <t>73189</t>
        </is>
      </c>
      <c r="E1331" s="31" t="inlineStr">
        <is>
          <t>72-23-21</t>
        </is>
      </c>
      <c r="F1331" s="31" t="inlineStr">
        <is>
          <t>A</t>
        </is>
      </c>
      <c r="G1331" s="31" t="inlineStr">
        <is>
          <t>Fan / booster</t>
        </is>
      </c>
      <c r="H1331" s="27" t="n">
        <v>490</v>
      </c>
      <c r="I1331" s="27" t="n">
        <v>520</v>
      </c>
      <c r="J1331" s="154">
        <f>I1331/H1331-1</f>
        <v/>
      </c>
      <c r="K1331" s="31" t="inlineStr">
        <is>
          <t>8</t>
        </is>
      </c>
      <c r="L1331" s="31" t="inlineStr">
        <is>
          <t>8</t>
        </is>
      </c>
      <c r="M1331" s="31" t="inlineStr">
        <is>
          <t>S1</t>
        </is>
      </c>
      <c r="N1331" s="31" t="inlineStr">
        <is>
          <t>S2</t>
        </is>
      </c>
      <c r="O1331" s="31" t="inlineStr">
        <is>
          <t>338-051-401-0</t>
        </is>
      </c>
      <c r="P1331" s="31" t="inlineStr">
        <is>
          <t>SR Technics Switzerland</t>
        </is>
      </c>
    </row>
    <row r="1332">
      <c r="B1332" s="31" t="inlineStr">
        <is>
          <t>CFM56-5B</t>
        </is>
      </c>
      <c r="C1332" s="31" t="inlineStr">
        <is>
          <t>2024-2025</t>
        </is>
      </c>
      <c r="D1332" s="31" t="inlineStr">
        <is>
          <t>73189</t>
        </is>
      </c>
      <c r="E1332" s="31" t="inlineStr">
        <is>
          <t>72-23-21</t>
        </is>
      </c>
      <c r="F1332" s="31" t="inlineStr">
        <is>
          <t>B</t>
        </is>
      </c>
      <c r="G1332" s="31" t="inlineStr">
        <is>
          <t>Fan / booster</t>
        </is>
      </c>
      <c r="H1332" s="27" t="n">
        <v>840</v>
      </c>
      <c r="I1332" s="27" t="n">
        <v>895</v>
      </c>
      <c r="J1332" s="154">
        <f>I1332/H1332-1</f>
        <v/>
      </c>
      <c r="K1332" s="31" t="inlineStr">
        <is>
          <t>8</t>
        </is>
      </c>
      <c r="L1332" s="31" t="inlineStr">
        <is>
          <t>8</t>
        </is>
      </c>
      <c r="M1332" s="31" t="inlineStr">
        <is>
          <t>S1</t>
        </is>
      </c>
      <c r="N1332" s="31" t="inlineStr">
        <is>
          <t>S2</t>
        </is>
      </c>
      <c r="O1332" s="31" t="inlineStr">
        <is>
          <t>338-051-401-0</t>
        </is>
      </c>
      <c r="P1332" s="31" t="inlineStr">
        <is>
          <t>SR Technics Switzerland</t>
        </is>
      </c>
    </row>
    <row r="1333">
      <c r="B1333" s="31" t="inlineStr">
        <is>
          <t>CFM56-5B</t>
        </is>
      </c>
      <c r="C1333" s="31" t="inlineStr">
        <is>
          <t>2024-2025</t>
        </is>
      </c>
      <c r="D1333" s="31" t="inlineStr">
        <is>
          <t>73189</t>
        </is>
      </c>
      <c r="E1333" s="31" t="inlineStr">
        <is>
          <t>72-23-21</t>
        </is>
      </c>
      <c r="F1333" s="31" t="inlineStr">
        <is>
          <t>E</t>
        </is>
      </c>
      <c r="G1333" s="31" t="inlineStr">
        <is>
          <t>Fan / booster</t>
        </is>
      </c>
      <c r="H1333" s="27" t="n">
        <v>480</v>
      </c>
      <c r="I1333" s="27" t="n">
        <v>510</v>
      </c>
      <c r="J1333" s="154">
        <f>I1333/H1333-1</f>
        <v/>
      </c>
      <c r="K1333" s="31" t="inlineStr">
        <is>
          <t>8</t>
        </is>
      </c>
      <c r="L1333" s="31" t="inlineStr">
        <is>
          <t>8</t>
        </is>
      </c>
      <c r="M1333" s="31" t="inlineStr">
        <is>
          <t>S1</t>
        </is>
      </c>
      <c r="N1333" s="31" t="inlineStr">
        <is>
          <t>S2</t>
        </is>
      </c>
      <c r="O1333" s="31" t="inlineStr">
        <is>
          <t>338-051-401-0</t>
        </is>
      </c>
      <c r="P1333" s="31" t="inlineStr">
        <is>
          <t>SR Technics Switzerland</t>
        </is>
      </c>
    </row>
    <row r="1334">
      <c r="B1334" s="31" t="inlineStr">
        <is>
          <t>CFM56-5B</t>
        </is>
      </c>
      <c r="C1334" s="31" t="inlineStr">
        <is>
          <t>2024-2025</t>
        </is>
      </c>
      <c r="D1334" s="31" t="inlineStr">
        <is>
          <t>73189</t>
        </is>
      </c>
      <c r="E1334" s="31" t="inlineStr">
        <is>
          <t>72-23-21</t>
        </is>
      </c>
      <c r="F1334" s="31" t="inlineStr">
        <is>
          <t>U</t>
        </is>
      </c>
      <c r="G1334" s="31" t="inlineStr">
        <is>
          <t>Fan / booster</t>
        </is>
      </c>
      <c r="H1334" s="27" t="n">
        <v>2730</v>
      </c>
      <c r="I1334" s="27" t="n">
        <v>2895</v>
      </c>
      <c r="J1334" s="154">
        <f>I1334/H1334-1</f>
        <v/>
      </c>
      <c r="K1334" s="31" t="inlineStr">
        <is>
          <t>8</t>
        </is>
      </c>
      <c r="L1334" s="31" t="inlineStr">
        <is>
          <t>8</t>
        </is>
      </c>
      <c r="M1334" s="31" t="inlineStr">
        <is>
          <t>S1</t>
        </is>
      </c>
      <c r="N1334" s="31" t="inlineStr">
        <is>
          <t>S2</t>
        </is>
      </c>
      <c r="O1334" s="31" t="inlineStr">
        <is>
          <t>338-051-401-0</t>
        </is>
      </c>
      <c r="P1334" s="31" t="inlineStr">
        <is>
          <t>SR Technics Switzerland</t>
        </is>
      </c>
    </row>
    <row r="1335">
      <c r="B1335" s="31" t="inlineStr">
        <is>
          <t>CFM56-5B</t>
        </is>
      </c>
      <c r="C1335" s="31" t="inlineStr">
        <is>
          <t>2024-2025</t>
        </is>
      </c>
      <c r="D1335" s="31" t="inlineStr">
        <is>
          <t>73189</t>
        </is>
      </c>
      <c r="E1335" s="31" t="inlineStr">
        <is>
          <t>72-23-21</t>
        </is>
      </c>
      <c r="F1335" s="31" t="inlineStr">
        <is>
          <t>X</t>
        </is>
      </c>
      <c r="G1335" s="31" t="inlineStr">
        <is>
          <t>Fan / booster</t>
        </is>
      </c>
      <c r="H1335" s="27" t="n">
        <v>2495</v>
      </c>
      <c r="I1335" s="27" t="n">
        <v>2645</v>
      </c>
      <c r="J1335" s="154">
        <f>I1335/H1335-1</f>
        <v/>
      </c>
      <c r="K1335" s="31" t="inlineStr">
        <is>
          <t>8</t>
        </is>
      </c>
      <c r="L1335" s="31" t="inlineStr">
        <is>
          <t>8</t>
        </is>
      </c>
      <c r="M1335" s="31" t="inlineStr">
        <is>
          <t>S1</t>
        </is>
      </c>
      <c r="N1335" s="31" t="inlineStr">
        <is>
          <t>S2</t>
        </is>
      </c>
      <c r="O1335" s="31" t="inlineStr">
        <is>
          <t>338-051-401-0</t>
        </is>
      </c>
      <c r="P1335" s="31" t="inlineStr">
        <is>
          <t>SR Technics Switzerland</t>
        </is>
      </c>
    </row>
    <row r="1336">
      <c r="B1336" s="31" t="inlineStr">
        <is>
          <t>CFM56-5B</t>
        </is>
      </c>
      <c r="C1336" s="31" t="inlineStr">
        <is>
          <t>2024-2025</t>
        </is>
      </c>
      <c r="D1336" s="31" t="inlineStr">
        <is>
          <t>73190</t>
        </is>
      </c>
      <c r="E1336" s="31" t="inlineStr">
        <is>
          <t>72-23-21</t>
        </is>
      </c>
      <c r="F1336" s="31" t="inlineStr">
        <is>
          <t>A</t>
        </is>
      </c>
      <c r="G1336" s="31" t="inlineStr">
        <is>
          <t>Fan / booster</t>
        </is>
      </c>
      <c r="H1336" s="27" t="n">
        <v>490</v>
      </c>
      <c r="I1336" s="27" t="n">
        <v>520</v>
      </c>
      <c r="J1336" s="154">
        <f>I1336/H1336-1</f>
        <v/>
      </c>
      <c r="K1336" s="31" t="inlineStr">
        <is>
          <t>8</t>
        </is>
      </c>
      <c r="L1336" s="31" t="inlineStr">
        <is>
          <t>8</t>
        </is>
      </c>
      <c r="M1336" s="31" t="inlineStr">
        <is>
          <t>S1</t>
        </is>
      </c>
      <c r="N1336" s="31" t="inlineStr">
        <is>
          <t>S2</t>
        </is>
      </c>
      <c r="O1336" s="31" t="inlineStr">
        <is>
          <t>338-020-703-0</t>
        </is>
      </c>
      <c r="P1336" s="31" t="inlineStr">
        <is>
          <t>SR Technics Switzerland</t>
        </is>
      </c>
    </row>
    <row r="1337">
      <c r="B1337" s="31" t="inlineStr">
        <is>
          <t>CFM56-5B</t>
        </is>
      </c>
      <c r="C1337" s="31" t="inlineStr">
        <is>
          <t>2024-2025</t>
        </is>
      </c>
      <c r="D1337" s="31" t="inlineStr">
        <is>
          <t>73190</t>
        </is>
      </c>
      <c r="E1337" s="31" t="inlineStr">
        <is>
          <t>72-23-21</t>
        </is>
      </c>
      <c r="F1337" s="31" t="inlineStr">
        <is>
          <t>C</t>
        </is>
      </c>
      <c r="G1337" s="31" t="inlineStr">
        <is>
          <t>Fan / booster</t>
        </is>
      </c>
      <c r="H1337" s="27" t="n">
        <v>695</v>
      </c>
      <c r="I1337" s="27" t="n">
        <v>740</v>
      </c>
      <c r="J1337" s="154">
        <f>I1337/H1337-1</f>
        <v/>
      </c>
      <c r="K1337" s="31" t="inlineStr">
        <is>
          <t>8</t>
        </is>
      </c>
      <c r="L1337" s="31" t="inlineStr">
        <is>
          <t>8</t>
        </is>
      </c>
      <c r="M1337" s="31" t="inlineStr">
        <is>
          <t>S1</t>
        </is>
      </c>
      <c r="N1337" s="31" t="inlineStr">
        <is>
          <t>S2</t>
        </is>
      </c>
      <c r="O1337" s="31" t="inlineStr">
        <is>
          <t>338-020-703-0</t>
        </is>
      </c>
      <c r="P1337" s="31" t="inlineStr">
        <is>
          <t>SR Technics Switzerland</t>
        </is>
      </c>
    </row>
    <row r="1338">
      <c r="B1338" s="31" t="inlineStr">
        <is>
          <t>CFM56-5B</t>
        </is>
      </c>
      <c r="C1338" s="31" t="inlineStr">
        <is>
          <t>2024-2025</t>
        </is>
      </c>
      <c r="D1338" s="31" t="inlineStr">
        <is>
          <t>73190</t>
        </is>
      </c>
      <c r="E1338" s="31" t="inlineStr">
        <is>
          <t>72-23-21</t>
        </is>
      </c>
      <c r="F1338" s="31" t="inlineStr">
        <is>
          <t>G</t>
        </is>
      </c>
      <c r="G1338" s="31" t="inlineStr">
        <is>
          <t>Fan / booster</t>
        </is>
      </c>
      <c r="H1338" s="27" t="n">
        <v>550</v>
      </c>
      <c r="I1338" s="27" t="n">
        <v>585</v>
      </c>
      <c r="J1338" s="154">
        <f>I1338/H1338-1</f>
        <v/>
      </c>
      <c r="K1338" s="31" t="inlineStr">
        <is>
          <t>8</t>
        </is>
      </c>
      <c r="L1338" s="31" t="inlineStr">
        <is>
          <t>8</t>
        </is>
      </c>
      <c r="M1338" s="31" t="inlineStr">
        <is>
          <t>S1</t>
        </is>
      </c>
      <c r="N1338" s="31" t="inlineStr">
        <is>
          <t>S2</t>
        </is>
      </c>
      <c r="O1338" s="31" t="inlineStr">
        <is>
          <t>338-020-703-0</t>
        </is>
      </c>
      <c r="P1338" s="31" t="inlineStr">
        <is>
          <t>SR Technics Switzerland</t>
        </is>
      </c>
    </row>
    <row r="1339">
      <c r="B1339" s="31" t="inlineStr">
        <is>
          <t>CFM56-5B</t>
        </is>
      </c>
      <c r="C1339" s="31" t="inlineStr">
        <is>
          <t>2024-2025</t>
        </is>
      </c>
      <c r="D1339" s="31" t="inlineStr">
        <is>
          <t>73190</t>
        </is>
      </c>
      <c r="E1339" s="31" t="inlineStr">
        <is>
          <t>72-23-21</t>
        </is>
      </c>
      <c r="F1339" s="31" t="inlineStr">
        <is>
          <t>N</t>
        </is>
      </c>
      <c r="G1339" s="31" t="inlineStr">
        <is>
          <t>Fan / booster</t>
        </is>
      </c>
      <c r="H1339" s="27" t="n">
        <v>1410</v>
      </c>
      <c r="I1339" s="27" t="n">
        <v>1495</v>
      </c>
      <c r="J1339" s="154">
        <f>I1339/H1339-1</f>
        <v/>
      </c>
      <c r="K1339" s="31" t="inlineStr">
        <is>
          <t>8</t>
        </is>
      </c>
      <c r="L1339" s="31" t="inlineStr">
        <is>
          <t>8</t>
        </is>
      </c>
      <c r="M1339" s="31" t="inlineStr">
        <is>
          <t>S1</t>
        </is>
      </c>
      <c r="N1339" s="31" t="inlineStr">
        <is>
          <t>S2</t>
        </is>
      </c>
      <c r="O1339" s="31" t="inlineStr">
        <is>
          <t>338-020-703-0</t>
        </is>
      </c>
      <c r="P1339" s="31" t="inlineStr">
        <is>
          <t>SR Technics Switzerland</t>
        </is>
      </c>
    </row>
    <row r="1340">
      <c r="B1340" s="31" t="inlineStr">
        <is>
          <t>CFM56-5B</t>
        </is>
      </c>
      <c r="C1340" s="31" t="inlineStr">
        <is>
          <t>2024-2025</t>
        </is>
      </c>
      <c r="D1340" s="31" t="inlineStr">
        <is>
          <t>73190</t>
        </is>
      </c>
      <c r="E1340" s="31" t="inlineStr">
        <is>
          <t>72-23-21</t>
        </is>
      </c>
      <c r="F1340" s="31" t="inlineStr">
        <is>
          <t>O</t>
        </is>
      </c>
      <c r="G1340" s="31" t="inlineStr">
        <is>
          <t>Fan / booster</t>
        </is>
      </c>
      <c r="H1340" s="27" t="n">
        <v>1415</v>
      </c>
      <c r="I1340" s="27" t="n">
        <v>1500</v>
      </c>
      <c r="J1340" s="154">
        <f>I1340/H1340-1</f>
        <v/>
      </c>
      <c r="K1340" s="31" t="inlineStr">
        <is>
          <t>8</t>
        </is>
      </c>
      <c r="L1340" s="31" t="inlineStr">
        <is>
          <t>8</t>
        </is>
      </c>
      <c r="M1340" s="31" t="inlineStr">
        <is>
          <t>S1</t>
        </is>
      </c>
      <c r="N1340" s="31" t="inlineStr">
        <is>
          <t>S2</t>
        </is>
      </c>
      <c r="O1340" s="31" t="inlineStr">
        <is>
          <t>338-020-703-0</t>
        </is>
      </c>
      <c r="P1340" s="31" t="inlineStr">
        <is>
          <t>SR Technics Switzerland</t>
        </is>
      </c>
    </row>
    <row r="1341">
      <c r="B1341" s="31" t="inlineStr">
        <is>
          <t>CFM56-5B</t>
        </is>
      </c>
      <c r="C1341" s="31" t="inlineStr">
        <is>
          <t>2024-2025</t>
        </is>
      </c>
      <c r="D1341" s="31" t="inlineStr">
        <is>
          <t>73190</t>
        </is>
      </c>
      <c r="E1341" s="31" t="inlineStr">
        <is>
          <t>72-23-21</t>
        </is>
      </c>
      <c r="F1341" s="31" t="inlineStr">
        <is>
          <t>P</t>
        </is>
      </c>
      <c r="G1341" s="31" t="inlineStr">
        <is>
          <t>Fan / booster</t>
        </is>
      </c>
      <c r="H1341" s="27" t="n">
        <v>645</v>
      </c>
      <c r="I1341" s="27" t="n">
        <v>685</v>
      </c>
      <c r="J1341" s="154">
        <f>I1341/H1341-1</f>
        <v/>
      </c>
      <c r="K1341" s="31" t="inlineStr">
        <is>
          <t>8</t>
        </is>
      </c>
      <c r="L1341" s="31" t="inlineStr">
        <is>
          <t>8</t>
        </is>
      </c>
      <c r="M1341" s="31" t="inlineStr">
        <is>
          <t>S1</t>
        </is>
      </c>
      <c r="N1341" s="31" t="inlineStr">
        <is>
          <t>S2</t>
        </is>
      </c>
      <c r="O1341" s="31" t="inlineStr">
        <is>
          <t>338-020-703-0</t>
        </is>
      </c>
      <c r="P1341" s="31" t="inlineStr">
        <is>
          <t>SR Technics Switzerland</t>
        </is>
      </c>
    </row>
    <row r="1342">
      <c r="B1342" s="31" t="inlineStr">
        <is>
          <t>CFM56-5B</t>
        </is>
      </c>
      <c r="C1342" s="31" t="inlineStr">
        <is>
          <t>2024-2025</t>
        </is>
      </c>
      <c r="D1342" s="31" t="inlineStr">
        <is>
          <t>73190</t>
        </is>
      </c>
      <c r="E1342" s="31" t="inlineStr">
        <is>
          <t>72-23-21</t>
        </is>
      </c>
      <c r="F1342" s="31" t="inlineStr">
        <is>
          <t>Q</t>
        </is>
      </c>
      <c r="G1342" s="31" t="inlineStr">
        <is>
          <t>Fan / booster</t>
        </is>
      </c>
      <c r="H1342" s="27" t="n">
        <v>645</v>
      </c>
      <c r="I1342" s="27" t="n">
        <v>685</v>
      </c>
      <c r="J1342" s="154">
        <f>I1342/H1342-1</f>
        <v/>
      </c>
      <c r="K1342" s="31" t="inlineStr">
        <is>
          <t>8</t>
        </is>
      </c>
      <c r="L1342" s="31" t="inlineStr">
        <is>
          <t>8</t>
        </is>
      </c>
      <c r="M1342" s="31" t="inlineStr">
        <is>
          <t>S1</t>
        </is>
      </c>
      <c r="N1342" s="31" t="inlineStr">
        <is>
          <t>S2</t>
        </is>
      </c>
      <c r="O1342" s="31" t="inlineStr">
        <is>
          <t>338-020-703-0</t>
        </is>
      </c>
      <c r="P1342" s="31" t="inlineStr">
        <is>
          <t>SR Technics Switzerland</t>
        </is>
      </c>
    </row>
    <row r="1343">
      <c r="B1343" s="31" t="inlineStr">
        <is>
          <t>CFM56-5B</t>
        </is>
      </c>
      <c r="C1343" s="31" t="inlineStr">
        <is>
          <t>2024-2025</t>
        </is>
      </c>
      <c r="D1343" s="31" t="inlineStr">
        <is>
          <t>73190</t>
        </is>
      </c>
      <c r="E1343" s="31" t="inlineStr">
        <is>
          <t>72-23-21</t>
        </is>
      </c>
      <c r="F1343" s="31" t="inlineStr">
        <is>
          <t>SB00</t>
        </is>
      </c>
      <c r="G1343" s="31" t="inlineStr">
        <is>
          <t>Fan / booster</t>
        </is>
      </c>
      <c r="H1343" s="27" t="n">
        <v>340</v>
      </c>
      <c r="I1343" s="27" t="n">
        <v>365</v>
      </c>
      <c r="J1343" s="154">
        <f>I1343/H1343-1</f>
        <v/>
      </c>
      <c r="K1343" s="31" t="inlineStr">
        <is>
          <t>8</t>
        </is>
      </c>
      <c r="L1343" s="31" t="inlineStr">
        <is>
          <t>8</t>
        </is>
      </c>
      <c r="M1343" s="31" t="inlineStr">
        <is>
          <t>S1</t>
        </is>
      </c>
      <c r="N1343" s="31" t="inlineStr">
        <is>
          <t>S2</t>
        </is>
      </c>
      <c r="O1343" s="31" t="inlineStr">
        <is>
          <t>338-020-703-0</t>
        </is>
      </c>
      <c r="P1343" s="31" t="inlineStr">
        <is>
          <t>SR Technics Switzerland</t>
        </is>
      </c>
    </row>
    <row r="1344">
      <c r="B1344" s="31" t="inlineStr">
        <is>
          <t>CFM56-5B</t>
        </is>
      </c>
      <c r="C1344" s="31" t="inlineStr">
        <is>
          <t>2024-2025</t>
        </is>
      </c>
      <c r="D1344" s="31" t="inlineStr">
        <is>
          <t>73191</t>
        </is>
      </c>
      <c r="E1344" s="31" t="inlineStr">
        <is>
          <t>72-23-21</t>
        </is>
      </c>
      <c r="F1344" s="31" t="inlineStr">
        <is>
          <t>A</t>
        </is>
      </c>
      <c r="G1344" s="31" t="inlineStr">
        <is>
          <t>Fan / booster</t>
        </is>
      </c>
      <c r="H1344" s="27" t="n">
        <v>490</v>
      </c>
      <c r="I1344" s="27" t="n">
        <v>520</v>
      </c>
      <c r="J1344" s="154">
        <f>I1344/H1344-1</f>
        <v/>
      </c>
      <c r="K1344" s="31" t="inlineStr">
        <is>
          <t>8</t>
        </is>
      </c>
      <c r="L1344" s="31" t="inlineStr">
        <is>
          <t>8</t>
        </is>
      </c>
      <c r="M1344" s="31" t="inlineStr">
        <is>
          <t>S1</t>
        </is>
      </c>
      <c r="N1344" s="31" t="inlineStr">
        <is>
          <t>S2</t>
        </is>
      </c>
      <c r="O1344" s="31" t="inlineStr">
        <is>
          <t>338-020-603-0</t>
        </is>
      </c>
      <c r="P1344" s="31" t="inlineStr">
        <is>
          <t>SR Technics Switzerland</t>
        </is>
      </c>
    </row>
    <row r="1345">
      <c r="B1345" s="31" t="inlineStr">
        <is>
          <t>CFM56-5B</t>
        </is>
      </c>
      <c r="C1345" s="31" t="inlineStr">
        <is>
          <t>2024-2025</t>
        </is>
      </c>
      <c r="D1345" s="31" t="inlineStr">
        <is>
          <t>73191</t>
        </is>
      </c>
      <c r="E1345" s="31" t="inlineStr">
        <is>
          <t>72-23-21</t>
        </is>
      </c>
      <c r="F1345" s="31" t="inlineStr">
        <is>
          <t>AN</t>
        </is>
      </c>
      <c r="G1345" s="31" t="inlineStr">
        <is>
          <t>Fan / booster</t>
        </is>
      </c>
      <c r="H1345" s="27" t="n">
        <v>650</v>
      </c>
      <c r="I1345" s="27" t="n">
        <v>690</v>
      </c>
      <c r="J1345" s="154">
        <f>I1345/H1345-1</f>
        <v/>
      </c>
      <c r="K1345" s="31" t="inlineStr">
        <is>
          <t>8</t>
        </is>
      </c>
      <c r="L1345" s="31" t="inlineStr">
        <is>
          <t>8</t>
        </is>
      </c>
      <c r="M1345" s="31" t="inlineStr">
        <is>
          <t>S1</t>
        </is>
      </c>
      <c r="N1345" s="31" t="inlineStr">
        <is>
          <t>S2</t>
        </is>
      </c>
      <c r="O1345" s="31" t="inlineStr">
        <is>
          <t>338-020-603-0</t>
        </is>
      </c>
      <c r="P1345" s="31" t="inlineStr">
        <is>
          <t>SR Technics Switzerland</t>
        </is>
      </c>
    </row>
    <row r="1346">
      <c r="B1346" s="31" t="inlineStr">
        <is>
          <t>CFM56-5B</t>
        </is>
      </c>
      <c r="C1346" s="31" t="inlineStr">
        <is>
          <t>2024-2025</t>
        </is>
      </c>
      <c r="D1346" s="31" t="inlineStr">
        <is>
          <t>7611</t>
        </is>
      </c>
      <c r="E1346" s="31" t="inlineStr">
        <is>
          <t>73-21-94</t>
        </is>
      </c>
      <c r="F1346" s="31" t="inlineStr">
        <is>
          <t>A</t>
        </is>
      </c>
      <c r="G1346" s="31" t="inlineStr">
        <is>
          <t>Fuel system</t>
        </is>
      </c>
      <c r="H1346" s="27" t="n">
        <v>335</v>
      </c>
      <c r="I1346" s="27" t="n">
        <v>360</v>
      </c>
      <c r="J1346" s="154">
        <f>I1346/H1346-1</f>
        <v/>
      </c>
      <c r="K1346" s="31" t="inlineStr">
        <is>
          <t>34</t>
        </is>
      </c>
      <c r="L1346" s="31" t="inlineStr">
        <is>
          <t>34</t>
        </is>
      </c>
      <c r="M1346" s="31" t="inlineStr">
        <is>
          <t>S1</t>
        </is>
      </c>
      <c r="N1346" s="31" t="inlineStr">
        <is>
          <t>S2</t>
        </is>
      </c>
      <c r="O1346" s="31" t="inlineStr">
        <is>
          <t>390-610-001-0</t>
        </is>
      </c>
      <c r="P1346" s="31" t="inlineStr">
        <is>
          <t>SR Technics Switzerland</t>
        </is>
      </c>
    </row>
    <row r="1347">
      <c r="B1347" s="31" t="inlineStr">
        <is>
          <t>CFM56-5B</t>
        </is>
      </c>
      <c r="C1347" s="31" t="inlineStr">
        <is>
          <t>2024-2025</t>
        </is>
      </c>
      <c r="D1347" s="31" t="inlineStr">
        <is>
          <t>7611</t>
        </is>
      </c>
      <c r="E1347" s="31" t="inlineStr">
        <is>
          <t>73-21-94</t>
        </is>
      </c>
      <c r="F1347" s="31" t="inlineStr">
        <is>
          <t>B</t>
        </is>
      </c>
      <c r="G1347" s="31" t="inlineStr">
        <is>
          <t>Fuel system</t>
        </is>
      </c>
      <c r="H1347" s="27" t="n">
        <v>760</v>
      </c>
      <c r="I1347" s="27" t="n">
        <v>810</v>
      </c>
      <c r="J1347" s="154">
        <f>I1347/H1347-1</f>
        <v/>
      </c>
      <c r="K1347" s="31" t="inlineStr">
        <is>
          <t>34</t>
        </is>
      </c>
      <c r="L1347" s="31" t="inlineStr">
        <is>
          <t>34</t>
        </is>
      </c>
      <c r="M1347" s="31" t="inlineStr">
        <is>
          <t>S1</t>
        </is>
      </c>
      <c r="N1347" s="31" t="inlineStr">
        <is>
          <t>S2</t>
        </is>
      </c>
      <c r="O1347" s="31" t="inlineStr">
        <is>
          <t>390-610-001-0</t>
        </is>
      </c>
      <c r="P1347" s="31" t="inlineStr">
        <is>
          <t>SR Technics Switzerland</t>
        </is>
      </c>
    </row>
    <row r="1348">
      <c r="B1348" s="31" t="inlineStr">
        <is>
          <t>CFM56-5B</t>
        </is>
      </c>
      <c r="C1348" s="31" t="inlineStr">
        <is>
          <t>2024-2025</t>
        </is>
      </c>
      <c r="D1348" s="31" t="inlineStr">
        <is>
          <t>7611</t>
        </is>
      </c>
      <c r="E1348" s="31" t="inlineStr">
        <is>
          <t>73-21-94</t>
        </is>
      </c>
      <c r="F1348" s="31" t="inlineStr">
        <is>
          <t>C</t>
        </is>
      </c>
      <c r="G1348" s="31" t="inlineStr">
        <is>
          <t>Fuel system</t>
        </is>
      </c>
      <c r="H1348" s="27" t="n">
        <v>1155</v>
      </c>
      <c r="I1348" s="27" t="n">
        <v>1225</v>
      </c>
      <c r="J1348" s="154">
        <f>I1348/H1348-1</f>
        <v/>
      </c>
      <c r="K1348" s="31" t="inlineStr">
        <is>
          <t>34</t>
        </is>
      </c>
      <c r="L1348" s="31" t="inlineStr">
        <is>
          <t>34</t>
        </is>
      </c>
      <c r="M1348" s="31" t="inlineStr">
        <is>
          <t>S1</t>
        </is>
      </c>
      <c r="N1348" s="31" t="inlineStr">
        <is>
          <t>S2</t>
        </is>
      </c>
      <c r="O1348" s="31" t="inlineStr">
        <is>
          <t>390-610-001-0</t>
        </is>
      </c>
      <c r="P1348" s="31" t="inlineStr">
        <is>
          <t>SR Technics Switzerland</t>
        </is>
      </c>
    </row>
    <row r="1349">
      <c r="B1349" s="31" t="inlineStr">
        <is>
          <t>CFM56-5B</t>
        </is>
      </c>
      <c r="C1349" s="31" t="inlineStr">
        <is>
          <t>2024-2025</t>
        </is>
      </c>
      <c r="D1349" s="31" t="inlineStr">
        <is>
          <t>7611</t>
        </is>
      </c>
      <c r="E1349" s="31" t="inlineStr">
        <is>
          <t>73-21-94</t>
        </is>
      </c>
      <c r="F1349" s="31" t="inlineStr">
        <is>
          <t>SB00</t>
        </is>
      </c>
      <c r="G1349" s="31" t="inlineStr">
        <is>
          <t>Fuel system</t>
        </is>
      </c>
      <c r="H1349" s="27" t="n">
        <v>305</v>
      </c>
      <c r="I1349" s="27" t="n">
        <v>325</v>
      </c>
      <c r="J1349" s="154">
        <f>I1349/H1349-1</f>
        <v/>
      </c>
      <c r="K1349" s="31" t="inlineStr">
        <is>
          <t>34</t>
        </is>
      </c>
      <c r="L1349" s="31" t="inlineStr">
        <is>
          <t>34</t>
        </is>
      </c>
      <c r="M1349" s="31" t="inlineStr">
        <is>
          <t>S1</t>
        </is>
      </c>
      <c r="N1349" s="31" t="inlineStr">
        <is>
          <t>S2</t>
        </is>
      </c>
      <c r="O1349" s="31" t="inlineStr">
        <is>
          <t>390-610-001-0</t>
        </is>
      </c>
      <c r="P1349" s="31" t="inlineStr">
        <is>
          <t>SR Technics Switzerland</t>
        </is>
      </c>
    </row>
    <row r="1350">
      <c r="B1350" s="31" t="inlineStr">
        <is>
          <t>CFM56-5B</t>
        </is>
      </c>
      <c r="C1350" s="31" t="inlineStr">
        <is>
          <t>2024-2025</t>
        </is>
      </c>
      <c r="D1350" s="31" t="inlineStr">
        <is>
          <t>7611</t>
        </is>
      </c>
      <c r="E1350" s="31" t="inlineStr">
        <is>
          <t>73-21-94</t>
        </is>
      </c>
      <c r="F1350" s="31" t="inlineStr">
        <is>
          <t>SB01</t>
        </is>
      </c>
      <c r="G1350" s="31" t="inlineStr">
        <is>
          <t>Fuel system</t>
        </is>
      </c>
      <c r="H1350" s="27" t="n">
        <v>305</v>
      </c>
      <c r="I1350" s="27" t="n">
        <v>325</v>
      </c>
      <c r="J1350" s="154">
        <f>I1350/H1350-1</f>
        <v/>
      </c>
      <c r="K1350" s="31" t="inlineStr">
        <is>
          <t>34</t>
        </is>
      </c>
      <c r="L1350" s="31" t="inlineStr">
        <is>
          <t>34</t>
        </is>
      </c>
      <c r="M1350" s="31" t="inlineStr">
        <is>
          <t>S1</t>
        </is>
      </c>
      <c r="N1350" s="31" t="inlineStr">
        <is>
          <t>S2</t>
        </is>
      </c>
      <c r="O1350" s="31" t="inlineStr">
        <is>
          <t>390-610-001-0</t>
        </is>
      </c>
      <c r="P1350" s="31" t="inlineStr">
        <is>
          <t>SR Technics Switzerland</t>
        </is>
      </c>
    </row>
    <row r="1351">
      <c r="B1351" s="31" t="inlineStr">
        <is>
          <t>CFM56-5B</t>
        </is>
      </c>
      <c r="C1351" s="31" t="inlineStr">
        <is>
          <t>2024-2025</t>
        </is>
      </c>
      <c r="D1351" s="31" t="inlineStr">
        <is>
          <t>7611</t>
        </is>
      </c>
      <c r="E1351" s="31" t="inlineStr">
        <is>
          <t>73-21-94</t>
        </is>
      </c>
      <c r="F1351" s="31" t="inlineStr">
        <is>
          <t>SB02</t>
        </is>
      </c>
      <c r="G1351" s="31" t="inlineStr">
        <is>
          <t>Fuel system</t>
        </is>
      </c>
      <c r="H1351" s="27" t="n">
        <v>305</v>
      </c>
      <c r="I1351" s="27" t="n">
        <v>325</v>
      </c>
      <c r="J1351" s="154">
        <f>I1351/H1351-1</f>
        <v/>
      </c>
      <c r="K1351" s="31" t="inlineStr">
        <is>
          <t>34</t>
        </is>
      </c>
      <c r="L1351" s="31" t="inlineStr">
        <is>
          <t>34</t>
        </is>
      </c>
      <c r="M1351" s="31" t="inlineStr">
        <is>
          <t>S1</t>
        </is>
      </c>
      <c r="N1351" s="31" t="inlineStr">
        <is>
          <t>S2</t>
        </is>
      </c>
      <c r="O1351" s="31" t="inlineStr">
        <is>
          <t>390-610-001-0</t>
        </is>
      </c>
      <c r="P1351" s="31" t="inlineStr">
        <is>
          <t>SR Technics Switzerland</t>
        </is>
      </c>
    </row>
    <row r="1352">
      <c r="B1352" s="31" t="inlineStr">
        <is>
          <t>CFM56-5B</t>
        </is>
      </c>
      <c r="C1352" s="31" t="inlineStr">
        <is>
          <t>2024-2025</t>
        </is>
      </c>
      <c r="D1352" s="31" t="inlineStr">
        <is>
          <t>7808</t>
        </is>
      </c>
      <c r="E1352" s="31" t="inlineStr">
        <is>
          <t>72-55-16</t>
        </is>
      </c>
      <c r="F1352" s="31" t="inlineStr">
        <is>
          <t>A</t>
        </is>
      </c>
      <c r="G1352" s="31" t="inlineStr">
        <is>
          <t>LPT</t>
        </is>
      </c>
      <c r="H1352" s="27" t="n">
        <v>340</v>
      </c>
      <c r="I1352" s="27" t="n">
        <v>365</v>
      </c>
      <c r="J1352" s="154">
        <f>I1352/H1352-1</f>
        <v/>
      </c>
      <c r="K1352" s="31" t="inlineStr">
        <is>
          <t>4</t>
        </is>
      </c>
      <c r="L1352" s="31" t="inlineStr">
        <is>
          <t>4</t>
        </is>
      </c>
      <c r="M1352" s="31" t="inlineStr">
        <is>
          <t>S1</t>
        </is>
      </c>
      <c r="N1352" s="31" t="inlineStr">
        <is>
          <t>S2</t>
        </is>
      </c>
      <c r="O1352" s="31" t="inlineStr">
        <is>
          <t>301-546-107-0</t>
        </is>
      </c>
      <c r="P1352" s="31" t="inlineStr">
        <is>
          <t>SR Technics Switzerland</t>
        </is>
      </c>
    </row>
    <row r="1353">
      <c r="B1353" s="31" t="inlineStr">
        <is>
          <t>CFM56-5B</t>
        </is>
      </c>
      <c r="C1353" s="31" t="inlineStr">
        <is>
          <t>2024-2025</t>
        </is>
      </c>
      <c r="D1353" s="31" t="inlineStr">
        <is>
          <t>7808</t>
        </is>
      </c>
      <c r="E1353" s="31" t="inlineStr">
        <is>
          <t>72-55-16</t>
        </is>
      </c>
      <c r="F1353" s="31" t="inlineStr">
        <is>
          <t>B</t>
        </is>
      </c>
      <c r="G1353" s="31" t="inlineStr">
        <is>
          <t>LPT</t>
        </is>
      </c>
      <c r="H1353" s="27" t="n">
        <v>1505</v>
      </c>
      <c r="I1353" s="27" t="n">
        <v>1600</v>
      </c>
      <c r="J1353" s="154">
        <f>I1353/H1353-1</f>
        <v/>
      </c>
      <c r="K1353" s="31" t="inlineStr">
        <is>
          <t>4</t>
        </is>
      </c>
      <c r="L1353" s="31" t="inlineStr">
        <is>
          <t>4</t>
        </is>
      </c>
      <c r="M1353" s="31" t="inlineStr">
        <is>
          <t>S1</t>
        </is>
      </c>
      <c r="N1353" s="31" t="inlineStr">
        <is>
          <t>S2</t>
        </is>
      </c>
      <c r="O1353" s="31" t="inlineStr">
        <is>
          <t>301-546-107-0</t>
        </is>
      </c>
      <c r="P1353" s="31" t="inlineStr">
        <is>
          <t>SR Technics Switzerland</t>
        </is>
      </c>
    </row>
    <row r="1354">
      <c r="B1354" s="31" t="inlineStr">
        <is>
          <t>CFM56-5B</t>
        </is>
      </c>
      <c r="C1354" s="31" t="inlineStr">
        <is>
          <t>2024-2025</t>
        </is>
      </c>
      <c r="D1354" s="31" t="inlineStr">
        <is>
          <t>7808</t>
        </is>
      </c>
      <c r="E1354" s="31" t="inlineStr">
        <is>
          <t>72-55-16</t>
        </is>
      </c>
      <c r="F1354" s="31" t="inlineStr">
        <is>
          <t>C</t>
        </is>
      </c>
      <c r="G1354" s="31" t="inlineStr">
        <is>
          <t>LPT</t>
        </is>
      </c>
      <c r="H1354" s="27" t="n">
        <v>1505</v>
      </c>
      <c r="I1354" s="27" t="n">
        <v>1600</v>
      </c>
      <c r="J1354" s="154">
        <f>I1354/H1354-1</f>
        <v/>
      </c>
      <c r="K1354" s="31" t="inlineStr">
        <is>
          <t>4</t>
        </is>
      </c>
      <c r="L1354" s="31" t="inlineStr">
        <is>
          <t>5</t>
        </is>
      </c>
      <c r="M1354" s="31" t="inlineStr">
        <is>
          <t>S1</t>
        </is>
      </c>
      <c r="N1354" s="31" t="inlineStr">
        <is>
          <t>S2</t>
        </is>
      </c>
      <c r="O1354" s="31" t="inlineStr">
        <is>
          <t>301-546-107-0</t>
        </is>
      </c>
      <c r="P1354" s="31" t="inlineStr">
        <is>
          <t>SR Technics Switzerland</t>
        </is>
      </c>
    </row>
    <row r="1355">
      <c r="B1355" s="31" t="inlineStr">
        <is>
          <t>CFM56-5B</t>
        </is>
      </c>
      <c r="C1355" s="31" t="inlineStr">
        <is>
          <t>2024-2025</t>
        </is>
      </c>
      <c r="D1355" s="31" t="inlineStr">
        <is>
          <t>7808</t>
        </is>
      </c>
      <c r="E1355" s="31" t="inlineStr">
        <is>
          <t>72-55-16</t>
        </is>
      </c>
      <c r="F1355" s="31" t="inlineStr">
        <is>
          <t>D</t>
        </is>
      </c>
      <c r="G1355" s="31" t="inlineStr">
        <is>
          <t>LPT</t>
        </is>
      </c>
      <c r="H1355" s="27" t="n">
        <v>1510</v>
      </c>
      <c r="I1355" s="27" t="n">
        <v>1605</v>
      </c>
      <c r="J1355" s="154">
        <f>I1355/H1355-1</f>
        <v/>
      </c>
      <c r="K1355" s="31" t="inlineStr">
        <is>
          <t>4</t>
        </is>
      </c>
      <c r="L1355" s="31" t="inlineStr">
        <is>
          <t>5</t>
        </is>
      </c>
      <c r="M1355" s="31" t="inlineStr">
        <is>
          <t>S1</t>
        </is>
      </c>
      <c r="N1355" s="31" t="inlineStr">
        <is>
          <t>S2</t>
        </is>
      </c>
      <c r="O1355" s="31" t="inlineStr">
        <is>
          <t>301-546-107-0</t>
        </is>
      </c>
      <c r="P1355" s="31" t="inlineStr">
        <is>
          <t>SR Technics Switzerland</t>
        </is>
      </c>
    </row>
    <row r="1356">
      <c r="B1356" s="31" t="inlineStr">
        <is>
          <t>CFM56-5B</t>
        </is>
      </c>
      <c r="C1356" s="31" t="inlineStr">
        <is>
          <t>2024-2025</t>
        </is>
      </c>
      <c r="D1356" s="31" t="inlineStr">
        <is>
          <t>7808</t>
        </is>
      </c>
      <c r="E1356" s="31" t="inlineStr">
        <is>
          <t>72-55-16</t>
        </is>
      </c>
      <c r="F1356" s="31" t="inlineStr">
        <is>
          <t>E</t>
        </is>
      </c>
      <c r="G1356" s="31" t="inlineStr">
        <is>
          <t>LPT</t>
        </is>
      </c>
      <c r="H1356" s="27" t="n">
        <v>1085</v>
      </c>
      <c r="I1356" s="27" t="n">
        <v>1155</v>
      </c>
      <c r="J1356" s="154">
        <f>I1356/H1356-1</f>
        <v/>
      </c>
      <c r="K1356" s="31" t="inlineStr">
        <is>
          <t>4</t>
        </is>
      </c>
      <c r="L1356" s="31" t="inlineStr">
        <is>
          <t>5</t>
        </is>
      </c>
      <c r="M1356" s="31" t="inlineStr">
        <is>
          <t>S1</t>
        </is>
      </c>
      <c r="N1356" s="31" t="inlineStr">
        <is>
          <t>S2</t>
        </is>
      </c>
      <c r="O1356" s="31" t="inlineStr">
        <is>
          <t>301-546-107-0</t>
        </is>
      </c>
      <c r="P1356" s="31" t="inlineStr">
        <is>
          <t>SR Technics Switzerland</t>
        </is>
      </c>
    </row>
    <row r="1357">
      <c r="B1357" s="31" t="inlineStr">
        <is>
          <t>CFM56-5B</t>
        </is>
      </c>
      <c r="C1357" s="31" t="inlineStr">
        <is>
          <t>2024-2025</t>
        </is>
      </c>
      <c r="D1357" s="31" t="inlineStr">
        <is>
          <t>7808</t>
        </is>
      </c>
      <c r="E1357" s="31" t="inlineStr">
        <is>
          <t>72-55-16</t>
        </is>
      </c>
      <c r="F1357" s="31" t="inlineStr">
        <is>
          <t>F</t>
        </is>
      </c>
      <c r="G1357" s="31" t="inlineStr">
        <is>
          <t>LPT</t>
        </is>
      </c>
      <c r="H1357" s="27" t="n">
        <v>205</v>
      </c>
      <c r="I1357" s="27" t="n">
        <v>220</v>
      </c>
      <c r="J1357" s="154">
        <f>I1357/H1357-1</f>
        <v/>
      </c>
      <c r="K1357" s="31" t="inlineStr">
        <is>
          <t>4</t>
        </is>
      </c>
      <c r="L1357" s="31" t="inlineStr">
        <is>
          <t>5</t>
        </is>
      </c>
      <c r="M1357" s="31" t="inlineStr">
        <is>
          <t>S1</t>
        </is>
      </c>
      <c r="N1357" s="31" t="inlineStr">
        <is>
          <t>S2</t>
        </is>
      </c>
      <c r="O1357" s="31" t="inlineStr">
        <is>
          <t>301-546-107-0</t>
        </is>
      </c>
      <c r="P1357" s="31" t="inlineStr">
        <is>
          <t>SR Technics Switzerland</t>
        </is>
      </c>
    </row>
    <row r="1358">
      <c r="B1358" s="31" t="inlineStr">
        <is>
          <t>CFM56-5B</t>
        </is>
      </c>
      <c r="C1358" s="31" t="inlineStr">
        <is>
          <t>2024-2025</t>
        </is>
      </c>
      <c r="D1358" s="31" t="inlineStr">
        <is>
          <t>8457</t>
        </is>
      </c>
      <c r="E1358" s="31" t="inlineStr">
        <is>
          <t>71-00-17</t>
        </is>
      </c>
      <c r="F1358" s="31" t="inlineStr">
        <is>
          <t>A</t>
        </is>
      </c>
      <c r="G1358" s="31" t="inlineStr">
        <is>
          <t>Other / assembly</t>
        </is>
      </c>
      <c r="H1358" s="27" t="n">
        <v>770</v>
      </c>
      <c r="I1358" s="27" t="n">
        <v>820</v>
      </c>
      <c r="J1358" s="154">
        <f>I1358/H1358-1</f>
        <v/>
      </c>
      <c r="K1358" s="31" t="inlineStr">
        <is>
          <t>4</t>
        </is>
      </c>
      <c r="L1358" s="31" t="inlineStr">
        <is>
          <t>5</t>
        </is>
      </c>
      <c r="M1358" s="31" t="inlineStr">
        <is>
          <t>S1</t>
        </is>
      </c>
      <c r="N1358" s="31" t="inlineStr">
        <is>
          <t>S2</t>
        </is>
      </c>
      <c r="O1358" s="31" t="inlineStr">
        <is>
          <t>238-0860-501</t>
        </is>
      </c>
      <c r="P1358" s="31" t="inlineStr">
        <is>
          <t>SR Technics Switzerland</t>
        </is>
      </c>
    </row>
    <row r="1359">
      <c r="B1359" s="31" t="inlineStr">
        <is>
          <t>CFM56-5B</t>
        </is>
      </c>
      <c r="C1359" s="31" t="inlineStr">
        <is>
          <t>2024-2025</t>
        </is>
      </c>
      <c r="D1359" s="31" t="inlineStr">
        <is>
          <t>8457</t>
        </is>
      </c>
      <c r="E1359" s="31" t="inlineStr">
        <is>
          <t>71-00-17</t>
        </is>
      </c>
      <c r="F1359" s="31" t="inlineStr">
        <is>
          <t>F</t>
        </is>
      </c>
      <c r="G1359" s="31" t="inlineStr">
        <is>
          <t>Other / assembly</t>
        </is>
      </c>
      <c r="H1359" s="27" t="n">
        <v>280</v>
      </c>
      <c r="I1359" s="27" t="n">
        <v>300</v>
      </c>
      <c r="J1359" s="154">
        <f>I1359/H1359-1</f>
        <v/>
      </c>
      <c r="K1359" s="31" t="inlineStr">
        <is>
          <t>5</t>
        </is>
      </c>
      <c r="L1359" s="31" t="inlineStr">
        <is>
          <t>5</t>
        </is>
      </c>
      <c r="M1359" s="31" t="inlineStr">
        <is>
          <t>S1</t>
        </is>
      </c>
      <c r="N1359" s="31" t="inlineStr">
        <is>
          <t>S2</t>
        </is>
      </c>
      <c r="O1359" s="31" t="inlineStr">
        <is>
          <t>238-0860-501</t>
        </is>
      </c>
      <c r="P1359" s="31" t="inlineStr">
        <is>
          <t>SR Technics Switzerland</t>
        </is>
      </c>
    </row>
    <row r="1360">
      <c r="B1360" s="31" t="inlineStr">
        <is>
          <t>CFM56-5B</t>
        </is>
      </c>
      <c r="C1360" s="31" t="inlineStr">
        <is>
          <t>2024-2025</t>
        </is>
      </c>
      <c r="D1360" s="31" t="inlineStr">
        <is>
          <t>8457</t>
        </is>
      </c>
      <c r="E1360" s="31" t="inlineStr">
        <is>
          <t>71-00-17</t>
        </is>
      </c>
      <c r="F1360" s="31" t="inlineStr">
        <is>
          <t>G</t>
        </is>
      </c>
      <c r="G1360" s="31" t="inlineStr">
        <is>
          <t>Other / assembly</t>
        </is>
      </c>
      <c r="H1360" s="27" t="n">
        <v>330</v>
      </c>
      <c r="I1360" s="27" t="n">
        <v>350</v>
      </c>
      <c r="J1360" s="154">
        <f>I1360/H1360-1</f>
        <v/>
      </c>
      <c r="K1360" s="31" t="inlineStr">
        <is>
          <t>5</t>
        </is>
      </c>
      <c r="L1360" s="31" t="inlineStr">
        <is>
          <t>5</t>
        </is>
      </c>
      <c r="M1360" s="31" t="inlineStr">
        <is>
          <t>S1</t>
        </is>
      </c>
      <c r="N1360" s="31" t="inlineStr">
        <is>
          <t>S2</t>
        </is>
      </c>
      <c r="O1360" s="31" t="inlineStr">
        <is>
          <t>238-0860-501</t>
        </is>
      </c>
      <c r="P1360" s="31" t="inlineStr">
        <is>
          <t>SR Technics Switzerland</t>
        </is>
      </c>
    </row>
    <row r="1361">
      <c r="B1361" s="31" t="inlineStr">
        <is>
          <t>CFM56-5B</t>
        </is>
      </c>
      <c r="C1361" s="31" t="inlineStr">
        <is>
          <t>2024-2025</t>
        </is>
      </c>
      <c r="D1361" s="31" t="inlineStr">
        <is>
          <t>8457</t>
        </is>
      </c>
      <c r="E1361" s="31" t="inlineStr">
        <is>
          <t>71-00-17</t>
        </is>
      </c>
      <c r="F1361" s="31" t="inlineStr">
        <is>
          <t>H</t>
        </is>
      </c>
      <c r="G1361" s="31" t="inlineStr">
        <is>
          <t>Other / assembly</t>
        </is>
      </c>
      <c r="H1361" s="27" t="n">
        <v>285</v>
      </c>
      <c r="I1361" s="27" t="n">
        <v>305</v>
      </c>
      <c r="J1361" s="154">
        <f>I1361/H1361-1</f>
        <v/>
      </c>
      <c r="K1361" s="31" t="inlineStr">
        <is>
          <t>5</t>
        </is>
      </c>
      <c r="L1361" s="31" t="inlineStr">
        <is>
          <t>5</t>
        </is>
      </c>
      <c r="M1361" s="31" t="inlineStr">
        <is>
          <t>S1</t>
        </is>
      </c>
      <c r="N1361" s="31" t="inlineStr">
        <is>
          <t>S2</t>
        </is>
      </c>
      <c r="O1361" s="31" t="inlineStr">
        <is>
          <t>238-0860-501</t>
        </is>
      </c>
      <c r="P1361" s="31" t="inlineStr">
        <is>
          <t>SR Technics Switzerland</t>
        </is>
      </c>
    </row>
    <row r="1362">
      <c r="B1362" s="31" t="inlineStr">
        <is>
          <t>CFM56-5B</t>
        </is>
      </c>
      <c r="C1362" s="31" t="inlineStr">
        <is>
          <t>2024-2025</t>
        </is>
      </c>
      <c r="D1362" s="31" t="inlineStr">
        <is>
          <t>8457</t>
        </is>
      </c>
      <c r="E1362" s="31" t="inlineStr">
        <is>
          <t>71-00-17</t>
        </is>
      </c>
      <c r="F1362" s="31" t="inlineStr">
        <is>
          <t>I</t>
        </is>
      </c>
      <c r="G1362" s="31" t="inlineStr">
        <is>
          <t>Other / assembly</t>
        </is>
      </c>
      <c r="H1362" s="27" t="n">
        <v>310</v>
      </c>
      <c r="I1362" s="27" t="n">
        <v>330</v>
      </c>
      <c r="J1362" s="154">
        <f>I1362/H1362-1</f>
        <v/>
      </c>
      <c r="K1362" s="31" t="inlineStr">
        <is>
          <t>5</t>
        </is>
      </c>
      <c r="L1362" s="31" t="inlineStr">
        <is>
          <t>5</t>
        </is>
      </c>
      <c r="M1362" s="31" t="inlineStr">
        <is>
          <t>S1</t>
        </is>
      </c>
      <c r="N1362" s="31" t="inlineStr">
        <is>
          <t>S2</t>
        </is>
      </c>
      <c r="O1362" s="31" t="inlineStr">
        <is>
          <t>238-0860-501</t>
        </is>
      </c>
      <c r="P1362" s="31" t="inlineStr">
        <is>
          <t>SR Technics Switzerland</t>
        </is>
      </c>
    </row>
    <row r="1363">
      <c r="B1363" s="31" t="inlineStr">
        <is>
          <t>CFM56-5B</t>
        </is>
      </c>
      <c r="C1363" s="31" t="inlineStr">
        <is>
          <t>2024-2025</t>
        </is>
      </c>
      <c r="D1363" s="31" t="inlineStr">
        <is>
          <t>8457</t>
        </is>
      </c>
      <c r="E1363" s="31" t="inlineStr">
        <is>
          <t>71-00-17</t>
        </is>
      </c>
      <c r="F1363" s="31" t="inlineStr">
        <is>
          <t>J</t>
        </is>
      </c>
      <c r="G1363" s="31" t="inlineStr">
        <is>
          <t>Other / assembly</t>
        </is>
      </c>
      <c r="H1363" s="27" t="n">
        <v>475</v>
      </c>
      <c r="I1363" s="27" t="n">
        <v>505</v>
      </c>
      <c r="J1363" s="154">
        <f>I1363/H1363-1</f>
        <v/>
      </c>
      <c r="K1363" s="31" t="inlineStr">
        <is>
          <t>5</t>
        </is>
      </c>
      <c r="L1363" s="31" t="inlineStr">
        <is>
          <t>5</t>
        </is>
      </c>
      <c r="M1363" s="31" t="inlineStr">
        <is>
          <t>S1</t>
        </is>
      </c>
      <c r="N1363" s="31" t="inlineStr">
        <is>
          <t>S2</t>
        </is>
      </c>
      <c r="O1363" s="31" t="inlineStr">
        <is>
          <t>238-0860-501</t>
        </is>
      </c>
      <c r="P1363" s="31" t="inlineStr">
        <is>
          <t>SR Technics Switzerland</t>
        </is>
      </c>
    </row>
    <row r="1364">
      <c r="B1364" s="31" t="inlineStr">
        <is>
          <t>CFM56-5B</t>
        </is>
      </c>
      <c r="C1364" s="31" t="inlineStr">
        <is>
          <t>2024-2025</t>
        </is>
      </c>
      <c r="D1364" s="31" t="inlineStr">
        <is>
          <t>8459</t>
        </is>
      </c>
      <c r="E1364" s="31" t="inlineStr">
        <is>
          <t>71-70-00</t>
        </is>
      </c>
      <c r="F1364" s="31" t="inlineStr">
        <is>
          <t>B</t>
        </is>
      </c>
      <c r="G1364" s="31" t="inlineStr">
        <is>
          <t>Other / assembly</t>
        </is>
      </c>
      <c r="H1364" s="27" t="n">
        <v>590</v>
      </c>
      <c r="I1364" s="27" t="n">
        <v>630</v>
      </c>
      <c r="J1364" s="154">
        <f>I1364/H1364-1</f>
        <v/>
      </c>
      <c r="K1364" s="31" t="inlineStr">
        <is>
          <t>34</t>
        </is>
      </c>
      <c r="L1364" s="31" t="inlineStr">
        <is>
          <t>34</t>
        </is>
      </c>
      <c r="M1364" s="31" t="inlineStr">
        <is>
          <t>S1</t>
        </is>
      </c>
      <c r="N1364" s="31" t="inlineStr">
        <is>
          <t>S2</t>
        </is>
      </c>
      <c r="O1364" s="31" t="inlineStr">
        <is>
          <t>238-0802-503</t>
        </is>
      </c>
      <c r="P1364" s="31" t="inlineStr">
        <is>
          <t>SR Technics Switzerland</t>
        </is>
      </c>
    </row>
    <row r="1365">
      <c r="B1365" s="31" t="inlineStr">
        <is>
          <t>CFM56-5B</t>
        </is>
      </c>
      <c r="C1365" s="31" t="inlineStr">
        <is>
          <t>2024-2025</t>
        </is>
      </c>
      <c r="D1365" s="31" t="inlineStr">
        <is>
          <t>8459</t>
        </is>
      </c>
      <c r="E1365" s="31" t="inlineStr">
        <is>
          <t>71-70-00</t>
        </is>
      </c>
      <c r="F1365" s="31" t="inlineStr">
        <is>
          <t>M</t>
        </is>
      </c>
      <c r="G1365" s="31" t="inlineStr">
        <is>
          <t>Other / assembly</t>
        </is>
      </c>
      <c r="H1365" s="27" t="n">
        <v>1800</v>
      </c>
      <c r="I1365" s="27" t="n">
        <v>1910</v>
      </c>
      <c r="J1365" s="154">
        <f>I1365/H1365-1</f>
        <v/>
      </c>
      <c r="K1365" s="31" t="inlineStr">
        <is>
          <t>34</t>
        </is>
      </c>
      <c r="L1365" s="31" t="inlineStr">
        <is>
          <t>35</t>
        </is>
      </c>
      <c r="M1365" s="31" t="inlineStr">
        <is>
          <t>S1</t>
        </is>
      </c>
      <c r="N1365" s="31" t="inlineStr">
        <is>
          <t>S2</t>
        </is>
      </c>
      <c r="O1365" s="31" t="inlineStr">
        <is>
          <t>238-0802-503</t>
        </is>
      </c>
      <c r="P1365" s="31" t="inlineStr">
        <is>
          <t>SR Technics Switzerland</t>
        </is>
      </c>
    </row>
    <row r="1366">
      <c r="B1366" s="31" t="inlineStr">
        <is>
          <t>CFM56-5B</t>
        </is>
      </c>
      <c r="C1366" s="31" t="inlineStr">
        <is>
          <t>2024-2025</t>
        </is>
      </c>
      <c r="D1366" s="31" t="inlineStr">
        <is>
          <t>8521</t>
        </is>
      </c>
      <c r="E1366" s="31" t="inlineStr">
        <is>
          <t>72-51-08</t>
        </is>
      </c>
      <c r="F1366" s="31" t="inlineStr">
        <is>
          <t>A</t>
        </is>
      </c>
      <c r="G1366" s="31" t="inlineStr">
        <is>
          <t>HPT / nozzle</t>
        </is>
      </c>
      <c r="H1366" s="27" t="n">
        <v>995</v>
      </c>
      <c r="I1366" s="27" t="n">
        <v>1055</v>
      </c>
      <c r="J1366" s="154">
        <f>I1366/H1366-1</f>
        <v/>
      </c>
      <c r="K1366" s="31" t="inlineStr">
        <is>
          <t>5</t>
        </is>
      </c>
      <c r="L1366" s="31" t="inlineStr">
        <is>
          <t>5</t>
        </is>
      </c>
      <c r="M1366" s="31" t="inlineStr">
        <is>
          <t>S1</t>
        </is>
      </c>
      <c r="N1366" s="31" t="inlineStr">
        <is>
          <t>S2</t>
        </is>
      </c>
      <c r="O1366" s="31" t="inlineStr">
        <is>
          <t>1358M35G02</t>
        </is>
      </c>
      <c r="P1366" s="31" t="inlineStr">
        <is>
          <t>SR Technics Switzerland</t>
        </is>
      </c>
    </row>
    <row r="1367">
      <c r="B1367" s="31" t="inlineStr">
        <is>
          <t>CFM56-5B</t>
        </is>
      </c>
      <c r="C1367" s="31" t="inlineStr">
        <is>
          <t>2024-2025</t>
        </is>
      </c>
      <c r="D1367" s="31" t="inlineStr">
        <is>
          <t>8521</t>
        </is>
      </c>
      <c r="E1367" s="31" t="inlineStr">
        <is>
          <t>72-51-08</t>
        </is>
      </c>
      <c r="F1367" s="31" t="inlineStr">
        <is>
          <t>B</t>
        </is>
      </c>
      <c r="G1367" s="31" t="inlineStr">
        <is>
          <t>HPT / nozzle</t>
        </is>
      </c>
      <c r="H1367" s="27" t="n">
        <v>6445</v>
      </c>
      <c r="I1367" s="27" t="n">
        <v>6835</v>
      </c>
      <c r="J1367" s="154">
        <f>I1367/H1367-1</f>
        <v/>
      </c>
      <c r="K1367" s="31" t="inlineStr">
        <is>
          <t>5</t>
        </is>
      </c>
      <c r="L1367" s="31" t="inlineStr">
        <is>
          <t>5</t>
        </is>
      </c>
      <c r="M1367" s="31" t="inlineStr">
        <is>
          <t>S1</t>
        </is>
      </c>
      <c r="N1367" s="31" t="inlineStr">
        <is>
          <t>S2</t>
        </is>
      </c>
      <c r="O1367" s="31" t="inlineStr">
        <is>
          <t>1358M35G02</t>
        </is>
      </c>
      <c r="P1367" s="31" t="inlineStr">
        <is>
          <t>SR Technics Switzerland</t>
        </is>
      </c>
    </row>
    <row r="1368">
      <c r="B1368" s="31" t="inlineStr">
        <is>
          <t>CFM56-5B</t>
        </is>
      </c>
      <c r="C1368" s="31" t="inlineStr">
        <is>
          <t>2024-2025</t>
        </is>
      </c>
      <c r="D1368" s="31" t="inlineStr">
        <is>
          <t>8521</t>
        </is>
      </c>
      <c r="E1368" s="31" t="inlineStr">
        <is>
          <t>72-51-08</t>
        </is>
      </c>
      <c r="F1368" s="31" t="inlineStr">
        <is>
          <t>C</t>
        </is>
      </c>
      <c r="G1368" s="31" t="inlineStr">
        <is>
          <t>HPT / nozzle</t>
        </is>
      </c>
      <c r="H1368" s="27" t="n">
        <v>1830</v>
      </c>
      <c r="I1368" s="27" t="n">
        <v>1940</v>
      </c>
      <c r="J1368" s="154">
        <f>I1368/H1368-1</f>
        <v/>
      </c>
      <c r="K1368" s="31" t="inlineStr">
        <is>
          <t>5</t>
        </is>
      </c>
      <c r="L1368" s="31" t="inlineStr">
        <is>
          <t>5</t>
        </is>
      </c>
      <c r="M1368" s="31" t="inlineStr">
        <is>
          <t>S1</t>
        </is>
      </c>
      <c r="N1368" s="31" t="inlineStr">
        <is>
          <t>S2</t>
        </is>
      </c>
      <c r="O1368" s="31" t="inlineStr">
        <is>
          <t>1358M35G02</t>
        </is>
      </c>
      <c r="P1368" s="31" t="inlineStr">
        <is>
          <t>SR Technics Switzerland</t>
        </is>
      </c>
    </row>
    <row r="1369">
      <c r="B1369" s="31" t="inlineStr">
        <is>
          <t>CFM56-5B</t>
        </is>
      </c>
      <c r="C1369" s="31" t="inlineStr">
        <is>
          <t>2024-2025</t>
        </is>
      </c>
      <c r="D1369" s="31" t="inlineStr">
        <is>
          <t>8521</t>
        </is>
      </c>
      <c r="E1369" s="31" t="inlineStr">
        <is>
          <t>72-51-08</t>
        </is>
      </c>
      <c r="F1369" s="31" t="inlineStr">
        <is>
          <t>SB00</t>
        </is>
      </c>
      <c r="G1369" s="31" t="inlineStr">
        <is>
          <t>HPT / nozzle</t>
        </is>
      </c>
      <c r="H1369" s="27" t="n">
        <v>280</v>
      </c>
      <c r="I1369" s="27" t="n">
        <v>300</v>
      </c>
      <c r="J1369" s="154">
        <f>I1369/H1369-1</f>
        <v/>
      </c>
      <c r="K1369" s="31" t="inlineStr">
        <is>
          <t>5</t>
        </is>
      </c>
      <c r="L1369" s="31" t="inlineStr">
        <is>
          <t>5</t>
        </is>
      </c>
      <c r="M1369" s="31" t="inlineStr">
        <is>
          <t>S1</t>
        </is>
      </c>
      <c r="N1369" s="31" t="inlineStr">
        <is>
          <t>S2</t>
        </is>
      </c>
      <c r="O1369" s="31" t="inlineStr">
        <is>
          <t>1358M35G02</t>
        </is>
      </c>
      <c r="P1369" s="31" t="inlineStr">
        <is>
          <t>SR Technics Switzerland</t>
        </is>
      </c>
    </row>
    <row r="1370">
      <c r="B1370" s="31" t="inlineStr">
        <is>
          <t>CFM56-5B</t>
        </is>
      </c>
      <c r="C1370" s="31" t="inlineStr">
        <is>
          <t>2024-2025</t>
        </is>
      </c>
      <c r="D1370" s="31" t="inlineStr">
        <is>
          <t>8527</t>
        </is>
      </c>
      <c r="E1370" s="31" t="inlineStr">
        <is>
          <t>72-22-12</t>
        </is>
      </c>
      <c r="F1370" s="31" t="inlineStr">
        <is>
          <t>A</t>
        </is>
      </c>
      <c r="G1370" s="31" t="inlineStr">
        <is>
          <t>Fan / booster</t>
        </is>
      </c>
      <c r="H1370" s="27" t="n">
        <v>735</v>
      </c>
      <c r="I1370" s="27" t="n">
        <v>780</v>
      </c>
      <c r="J1370" s="154">
        <f>I1370/H1370-1</f>
        <v/>
      </c>
      <c r="K1370" s="31" t="inlineStr">
        <is>
          <t>5</t>
        </is>
      </c>
      <c r="L1370" s="31" t="inlineStr">
        <is>
          <t>5</t>
        </is>
      </c>
      <c r="M1370" s="31" t="inlineStr">
        <is>
          <t>S1</t>
        </is>
      </c>
      <c r="N1370" s="31" t="inlineStr">
        <is>
          <t>S2</t>
        </is>
      </c>
      <c r="O1370" s="31" t="inlineStr">
        <is>
          <t>301-297-812-0</t>
        </is>
      </c>
      <c r="P1370" s="31" t="inlineStr">
        <is>
          <t>SR Technics Switzerland</t>
        </is>
      </c>
    </row>
    <row r="1371">
      <c r="B1371" s="31" t="inlineStr">
        <is>
          <t>CFM56-5B</t>
        </is>
      </c>
      <c r="C1371" s="31" t="inlineStr">
        <is>
          <t>2024-2025</t>
        </is>
      </c>
      <c r="D1371" s="31" t="inlineStr">
        <is>
          <t>8527</t>
        </is>
      </c>
      <c r="E1371" s="31" t="inlineStr">
        <is>
          <t>72-22-12</t>
        </is>
      </c>
      <c r="F1371" s="31" t="inlineStr">
        <is>
          <t>D</t>
        </is>
      </c>
      <c r="G1371" s="31" t="inlineStr">
        <is>
          <t>Fan / booster</t>
        </is>
      </c>
      <c r="H1371" s="27" t="n">
        <v>1100</v>
      </c>
      <c r="I1371" s="27" t="n">
        <v>1170</v>
      </c>
      <c r="J1371" s="154">
        <f>I1371/H1371-1</f>
        <v/>
      </c>
      <c r="K1371" s="31" t="inlineStr">
        <is>
          <t>5</t>
        </is>
      </c>
      <c r="L1371" s="31" t="inlineStr">
        <is>
          <t>5</t>
        </is>
      </c>
      <c r="M1371" s="31" t="inlineStr">
        <is>
          <t>S1</t>
        </is>
      </c>
      <c r="N1371" s="31" t="inlineStr">
        <is>
          <t>S2</t>
        </is>
      </c>
      <c r="O1371" s="31" t="inlineStr">
        <is>
          <t>301-297-812-0</t>
        </is>
      </c>
      <c r="P1371" s="31" t="inlineStr">
        <is>
          <t>SR Technics Switzerland</t>
        </is>
      </c>
    </row>
    <row r="1372">
      <c r="B1372" s="31" t="inlineStr">
        <is>
          <t>CFM56-5B</t>
        </is>
      </c>
      <c r="C1372" s="31" t="inlineStr">
        <is>
          <t>2024-2025</t>
        </is>
      </c>
      <c r="D1372" s="31" t="inlineStr">
        <is>
          <t>9017</t>
        </is>
      </c>
      <c r="E1372" s="31" t="inlineStr">
        <is>
          <t>72-52-00</t>
        </is>
      </c>
      <c r="F1372" s="31" t="inlineStr">
        <is>
          <t>C</t>
        </is>
      </c>
      <c r="G1372" s="31" t="inlineStr">
        <is>
          <t>HPT / nozzle</t>
        </is>
      </c>
      <c r="H1372" s="27" t="n">
        <v>3900</v>
      </c>
      <c r="I1372" s="27" t="n">
        <v>4135</v>
      </c>
      <c r="J1372" s="154">
        <f>I1372/H1372-1</f>
        <v/>
      </c>
      <c r="K1372" s="31" t="inlineStr">
        <is>
          <t>88</t>
        </is>
      </c>
      <c r="L1372" s="31" t="inlineStr">
        <is>
          <t>90</t>
        </is>
      </c>
      <c r="M1372" s="31" t="inlineStr">
        <is>
          <t>S1</t>
        </is>
      </c>
      <c r="N1372" s="31" t="inlineStr">
        <is>
          <t>S2</t>
        </is>
      </c>
      <c r="O1372" s="31" t="inlineStr">
        <is>
          <t>HPT</t>
        </is>
      </c>
      <c r="P1372" s="31" t="inlineStr">
        <is>
          <t>SR Technics Switzerland</t>
        </is>
      </c>
    </row>
    <row r="1373">
      <c r="B1373" s="31" t="inlineStr">
        <is>
          <t>CFM56-5B</t>
        </is>
      </c>
      <c r="C1373" s="31" t="inlineStr">
        <is>
          <t>2025-2026</t>
        </is>
      </c>
      <c r="D1373" s="31" t="inlineStr">
        <is>
          <t>125452</t>
        </is>
      </c>
      <c r="E1373" s="31" t="inlineStr">
        <is>
          <t>73-11-14</t>
        </is>
      </c>
      <c r="F1373" s="31" t="inlineStr">
        <is>
          <t>B</t>
        </is>
      </c>
      <c r="G1373" s="31" t="inlineStr">
        <is>
          <t>Fuel system</t>
        </is>
      </c>
      <c r="H1373" s="27" t="n">
        <v>700</v>
      </c>
      <c r="I1373" s="27" t="n">
        <v>735</v>
      </c>
      <c r="J1373" s="154">
        <f>I1373/H1373-1</f>
        <v/>
      </c>
      <c r="K1373" s="31" t="inlineStr">
        <is>
          <t>8</t>
        </is>
      </c>
      <c r="L1373" s="31" t="inlineStr">
        <is>
          <t>8</t>
        </is>
      </c>
      <c r="M1373" s="31" t="inlineStr">
        <is>
          <t>S2</t>
        </is>
      </c>
      <c r="N1373" s="31" t="inlineStr">
        <is>
          <t>S4</t>
        </is>
      </c>
      <c r="O1373" s="31" t="inlineStr">
        <is>
          <t>215788</t>
        </is>
      </c>
      <c r="P1373" s="31" t="inlineStr">
        <is>
          <t>SR Technics Switzerland</t>
        </is>
      </c>
    </row>
    <row r="1374">
      <c r="B1374" s="31" t="inlineStr">
        <is>
          <t>CFM56-5B</t>
        </is>
      </c>
      <c r="C1374" s="31" t="inlineStr">
        <is>
          <t>2025-2026</t>
        </is>
      </c>
      <c r="D1374" s="31" t="inlineStr">
        <is>
          <t>13471</t>
        </is>
      </c>
      <c r="E1374" s="31" t="inlineStr">
        <is>
          <t>72-23-15</t>
        </is>
      </c>
      <c r="F1374" s="31" t="inlineStr">
        <is>
          <t>C</t>
        </is>
      </c>
      <c r="G1374" s="31" t="inlineStr">
        <is>
          <t>Fan / booster</t>
        </is>
      </c>
      <c r="H1374" s="27" t="n">
        <v>1175</v>
      </c>
      <c r="I1374" s="27" t="n">
        <v>1250</v>
      </c>
      <c r="J1374" s="154">
        <f>I1374/H1374-1</f>
        <v/>
      </c>
      <c r="K1374" s="31" t="inlineStr">
        <is>
          <t>5</t>
        </is>
      </c>
      <c r="L1374" s="31" t="inlineStr">
        <is>
          <t>4</t>
        </is>
      </c>
      <c r="M1374" s="31" t="inlineStr">
        <is>
          <t>S2</t>
        </is>
      </c>
      <c r="N1374" s="31" t="inlineStr">
        <is>
          <t>S4</t>
        </is>
      </c>
      <c r="O1374" s="31" t="inlineStr">
        <is>
          <t>337-100-804-0</t>
        </is>
      </c>
      <c r="P1374" s="31" t="inlineStr">
        <is>
          <t>SR Technics Switzerland</t>
        </is>
      </c>
    </row>
    <row r="1375">
      <c r="B1375" s="31" t="inlineStr">
        <is>
          <t>CFM56-5B</t>
        </is>
      </c>
      <c r="C1375" s="31" t="inlineStr">
        <is>
          <t>2025-2026</t>
        </is>
      </c>
      <c r="D1375" s="31" t="inlineStr">
        <is>
          <t>13471</t>
        </is>
      </c>
      <c r="E1375" s="31" t="inlineStr">
        <is>
          <t>72-23-15</t>
        </is>
      </c>
      <c r="F1375" s="31" t="inlineStr">
        <is>
          <t>D</t>
        </is>
      </c>
      <c r="G1375" s="31" t="inlineStr">
        <is>
          <t>Fan / booster</t>
        </is>
      </c>
      <c r="H1375" s="27" t="n">
        <v>435</v>
      </c>
      <c r="I1375" s="27" t="n">
        <v>465</v>
      </c>
      <c r="J1375" s="154">
        <f>I1375/H1375-1</f>
        <v/>
      </c>
      <c r="K1375" s="31" t="inlineStr">
        <is>
          <t>5</t>
        </is>
      </c>
      <c r="L1375" s="31" t="inlineStr">
        <is>
          <t>4</t>
        </is>
      </c>
      <c r="M1375" s="31" t="inlineStr">
        <is>
          <t>S2</t>
        </is>
      </c>
      <c r="N1375" s="31" t="inlineStr">
        <is>
          <t>S4</t>
        </is>
      </c>
      <c r="O1375" s="31" t="inlineStr">
        <is>
          <t>337-100-804-0</t>
        </is>
      </c>
      <c r="P1375" s="31" t="inlineStr">
        <is>
          <t>SR Technics Switzerland</t>
        </is>
      </c>
    </row>
    <row r="1376">
      <c r="B1376" s="31" t="inlineStr">
        <is>
          <t>CFM56-5B</t>
        </is>
      </c>
      <c r="C1376" s="31" t="inlineStr">
        <is>
          <t>2025-2026</t>
        </is>
      </c>
      <c r="D1376" s="31" t="inlineStr">
        <is>
          <t>135024</t>
        </is>
      </c>
      <c r="E1376" s="31" t="inlineStr">
        <is>
          <t>71-22-07</t>
        </is>
      </c>
      <c r="F1376" s="31" t="inlineStr">
        <is>
          <t>C</t>
        </is>
      </c>
      <c r="G1376" s="31" t="inlineStr">
        <is>
          <t>Other / assembly</t>
        </is>
      </c>
      <c r="H1376" s="27" t="n">
        <v>2500</v>
      </c>
      <c r="I1376" s="27" t="n">
        <v>2650</v>
      </c>
      <c r="J1376" s="154">
        <f>I1376/H1376-1</f>
        <v/>
      </c>
      <c r="K1376" s="31" t="inlineStr">
        <is>
          <t>8</t>
        </is>
      </c>
      <c r="L1376" s="31" t="inlineStr">
        <is>
          <t>8</t>
        </is>
      </c>
      <c r="M1376" s="31" t="inlineStr">
        <is>
          <t>S2</t>
        </is>
      </c>
      <c r="N1376" s="31" t="inlineStr">
        <is>
          <t>S4</t>
        </is>
      </c>
      <c r="O1376" s="31" t="inlineStr">
        <is>
          <t>238-0230-15</t>
        </is>
      </c>
      <c r="P1376" s="31" t="inlineStr">
        <is>
          <t>SR Technics Switzerland</t>
        </is>
      </c>
    </row>
    <row r="1377">
      <c r="B1377" s="31" t="inlineStr">
        <is>
          <t>CFM56-5B</t>
        </is>
      </c>
      <c r="C1377" s="31" t="inlineStr">
        <is>
          <t>2025-2026</t>
        </is>
      </c>
      <c r="D1377" s="31" t="inlineStr">
        <is>
          <t>135024</t>
        </is>
      </c>
      <c r="E1377" s="31" t="inlineStr">
        <is>
          <t>71-22-07</t>
        </is>
      </c>
      <c r="F1377" s="31" t="inlineStr">
        <is>
          <t>SB00</t>
        </is>
      </c>
      <c r="G1377" s="31" t="inlineStr">
        <is>
          <t>Other / assembly</t>
        </is>
      </c>
      <c r="H1377" s="27" t="n">
        <v>980</v>
      </c>
      <c r="I1377" s="27" t="n">
        <v>1040</v>
      </c>
      <c r="J1377" s="154">
        <f>I1377/H1377-1</f>
        <v/>
      </c>
      <c r="K1377" s="31" t="inlineStr">
        <is>
          <t>9</t>
        </is>
      </c>
      <c r="L1377" s="31" t="inlineStr">
        <is>
          <t>8</t>
        </is>
      </c>
      <c r="M1377" s="31" t="inlineStr">
        <is>
          <t>S2</t>
        </is>
      </c>
      <c r="N1377" s="31" t="inlineStr">
        <is>
          <t>S4</t>
        </is>
      </c>
      <c r="O1377" s="31" t="inlineStr">
        <is>
          <t>238-0230-15</t>
        </is>
      </c>
      <c r="P1377" s="31" t="inlineStr">
        <is>
          <t>SR Technics Switzerland</t>
        </is>
      </c>
    </row>
    <row r="1378">
      <c r="B1378" s="31" t="inlineStr">
        <is>
          <t>CFM56-5B</t>
        </is>
      </c>
      <c r="C1378" s="31" t="inlineStr">
        <is>
          <t>2025-2026</t>
        </is>
      </c>
      <c r="D1378" s="31" t="inlineStr">
        <is>
          <t>135024</t>
        </is>
      </c>
      <c r="E1378" s="31" t="inlineStr">
        <is>
          <t>71-22-07</t>
        </is>
      </c>
      <c r="F1378" s="31" t="inlineStr">
        <is>
          <t>SB01</t>
        </is>
      </c>
      <c r="G1378" s="31" t="inlineStr">
        <is>
          <t>Other / assembly</t>
        </is>
      </c>
      <c r="H1378" s="27" t="n">
        <v>1170</v>
      </c>
      <c r="I1378" s="27" t="n">
        <v>1245</v>
      </c>
      <c r="J1378" s="154">
        <f>I1378/H1378-1</f>
        <v/>
      </c>
      <c r="K1378" s="31" t="inlineStr">
        <is>
          <t>9</t>
        </is>
      </c>
      <c r="L1378" s="31" t="inlineStr">
        <is>
          <t>8</t>
        </is>
      </c>
      <c r="M1378" s="31" t="inlineStr">
        <is>
          <t>S2</t>
        </is>
      </c>
      <c r="N1378" s="31" t="inlineStr">
        <is>
          <t>S4</t>
        </is>
      </c>
      <c r="O1378" s="31" t="inlineStr">
        <is>
          <t>238-0230-15</t>
        </is>
      </c>
      <c r="P1378" s="31" t="inlineStr">
        <is>
          <t>SR Technics Switzerland</t>
        </is>
      </c>
    </row>
    <row r="1379">
      <c r="B1379" s="31" t="inlineStr">
        <is>
          <t>CFM56-5B</t>
        </is>
      </c>
      <c r="C1379" s="31" t="inlineStr">
        <is>
          <t>2025-2026</t>
        </is>
      </c>
      <c r="D1379" s="31" t="inlineStr">
        <is>
          <t>135024</t>
        </is>
      </c>
      <c r="E1379" s="31" t="inlineStr">
        <is>
          <t>71-22-07</t>
        </is>
      </c>
      <c r="F1379" s="31" t="inlineStr">
        <is>
          <t>SB02</t>
        </is>
      </c>
      <c r="G1379" s="31" t="inlineStr">
        <is>
          <t>Other / assembly</t>
        </is>
      </c>
      <c r="H1379" s="27" t="n">
        <v>685</v>
      </c>
      <c r="I1379" s="27" t="n">
        <v>730</v>
      </c>
      <c r="J1379" s="154">
        <f>I1379/H1379-1</f>
        <v/>
      </c>
      <c r="K1379" s="31" t="inlineStr">
        <is>
          <t>9</t>
        </is>
      </c>
      <c r="L1379" s="31" t="inlineStr">
        <is>
          <t>8</t>
        </is>
      </c>
      <c r="M1379" s="31" t="inlineStr">
        <is>
          <t>S2</t>
        </is>
      </c>
      <c r="N1379" s="31" t="inlineStr">
        <is>
          <t>S4</t>
        </is>
      </c>
      <c r="O1379" s="31" t="inlineStr">
        <is>
          <t>238-0230-15</t>
        </is>
      </c>
      <c r="P1379" s="31" t="inlineStr">
        <is>
          <t>SR Technics Switzerland</t>
        </is>
      </c>
    </row>
    <row r="1380">
      <c r="B1380" s="31" t="inlineStr">
        <is>
          <t>CFM56-5B</t>
        </is>
      </c>
      <c r="C1380" s="31" t="inlineStr">
        <is>
          <t>2025-2026</t>
        </is>
      </c>
      <c r="D1380" s="31" t="inlineStr">
        <is>
          <t>135024</t>
        </is>
      </c>
      <c r="E1380" s="31" t="inlineStr">
        <is>
          <t>71-22-07</t>
        </is>
      </c>
      <c r="F1380" s="31" t="inlineStr">
        <is>
          <t>SB03</t>
        </is>
      </c>
      <c r="G1380" s="31" t="inlineStr">
        <is>
          <t>Other / assembly</t>
        </is>
      </c>
      <c r="H1380" s="27" t="n">
        <v>1170</v>
      </c>
      <c r="I1380" s="27" t="n">
        <v>1245</v>
      </c>
      <c r="J1380" s="154">
        <f>I1380/H1380-1</f>
        <v/>
      </c>
      <c r="K1380" s="31" t="inlineStr">
        <is>
          <t>9</t>
        </is>
      </c>
      <c r="L1380" s="31" t="inlineStr">
        <is>
          <t>8</t>
        </is>
      </c>
      <c r="M1380" s="31" t="inlineStr">
        <is>
          <t>S2</t>
        </is>
      </c>
      <c r="N1380" s="31" t="inlineStr">
        <is>
          <t>S4</t>
        </is>
      </c>
      <c r="O1380" s="31" t="inlineStr">
        <is>
          <t>238-0230-15</t>
        </is>
      </c>
      <c r="P1380" s="31" t="inlineStr">
        <is>
          <t>SR Technics Switzerland</t>
        </is>
      </c>
    </row>
    <row r="1381">
      <c r="B1381" s="31" t="inlineStr">
        <is>
          <t>CFM56-5B</t>
        </is>
      </c>
      <c r="C1381" s="31" t="inlineStr">
        <is>
          <t>2025-2026</t>
        </is>
      </c>
      <c r="D1381" s="31" t="inlineStr">
        <is>
          <t>135024</t>
        </is>
      </c>
      <c r="E1381" s="31" t="inlineStr">
        <is>
          <t>71-22-07</t>
        </is>
      </c>
      <c r="F1381" s="31" t="inlineStr">
        <is>
          <t>SB05</t>
        </is>
      </c>
      <c r="G1381" s="31" t="inlineStr">
        <is>
          <t>Other / assembly</t>
        </is>
      </c>
      <c r="H1381" s="27" t="n">
        <v>1030</v>
      </c>
      <c r="I1381" s="27" t="n">
        <v>1095</v>
      </c>
      <c r="J1381" s="154">
        <f>I1381/H1381-1</f>
        <v/>
      </c>
      <c r="K1381" s="31" t="inlineStr">
        <is>
          <t>9</t>
        </is>
      </c>
      <c r="L1381" s="31" t="inlineStr">
        <is>
          <t>8</t>
        </is>
      </c>
      <c r="M1381" s="31" t="inlineStr">
        <is>
          <t>S2</t>
        </is>
      </c>
      <c r="N1381" s="31" t="inlineStr">
        <is>
          <t>S4</t>
        </is>
      </c>
      <c r="O1381" s="31" t="inlineStr">
        <is>
          <t>238-0230-15</t>
        </is>
      </c>
      <c r="P1381" s="31" t="inlineStr">
        <is>
          <t>SR Technics Switzerland</t>
        </is>
      </c>
    </row>
    <row r="1382">
      <c r="B1382" s="31" t="inlineStr">
        <is>
          <t>CFM56-5B</t>
        </is>
      </c>
      <c r="C1382" s="31" t="inlineStr">
        <is>
          <t>2025-2026</t>
        </is>
      </c>
      <c r="D1382" s="31" t="inlineStr">
        <is>
          <t>135024</t>
        </is>
      </c>
      <c r="E1382" s="31" t="inlineStr">
        <is>
          <t>71-22-07</t>
        </is>
      </c>
      <c r="F1382" s="31" t="inlineStr">
        <is>
          <t>SB06</t>
        </is>
      </c>
      <c r="G1382" s="31" t="inlineStr">
        <is>
          <t>Other / assembly</t>
        </is>
      </c>
      <c r="H1382" s="27" t="n">
        <v>1080</v>
      </c>
      <c r="I1382" s="27" t="n">
        <v>1145</v>
      </c>
      <c r="J1382" s="154">
        <f>I1382/H1382-1</f>
        <v/>
      </c>
      <c r="K1382" s="31" t="inlineStr">
        <is>
          <t>9</t>
        </is>
      </c>
      <c r="L1382" s="31" t="inlineStr">
        <is>
          <t>8</t>
        </is>
      </c>
      <c r="M1382" s="31" t="inlineStr">
        <is>
          <t>S2</t>
        </is>
      </c>
      <c r="N1382" s="31" t="inlineStr">
        <is>
          <t>S4</t>
        </is>
      </c>
      <c r="O1382" s="31" t="inlineStr">
        <is>
          <t>238-0230-15</t>
        </is>
      </c>
      <c r="P1382" s="31" t="inlineStr">
        <is>
          <t>SR Technics Switzerland</t>
        </is>
      </c>
    </row>
    <row r="1383">
      <c r="B1383" s="31" t="inlineStr">
        <is>
          <t>CFM56-5B</t>
        </is>
      </c>
      <c r="C1383" s="31" t="inlineStr">
        <is>
          <t>2025-2026</t>
        </is>
      </c>
      <c r="D1383" s="31" t="inlineStr">
        <is>
          <t>135024</t>
        </is>
      </c>
      <c r="E1383" s="31" t="inlineStr">
        <is>
          <t>71-22-07</t>
        </is>
      </c>
      <c r="F1383" s="31" t="inlineStr">
        <is>
          <t>SB07</t>
        </is>
      </c>
      <c r="G1383" s="31" t="inlineStr">
        <is>
          <t>Other / assembly</t>
        </is>
      </c>
      <c r="H1383" s="27" t="n">
        <v>760</v>
      </c>
      <c r="I1383" s="27" t="n">
        <v>810</v>
      </c>
      <c r="J1383" s="154">
        <f>I1383/H1383-1</f>
        <v/>
      </c>
      <c r="K1383" s="31" t="inlineStr">
        <is>
          <t>9</t>
        </is>
      </c>
      <c r="L1383" s="31" t="inlineStr">
        <is>
          <t>8</t>
        </is>
      </c>
      <c r="M1383" s="31" t="inlineStr">
        <is>
          <t>S2</t>
        </is>
      </c>
      <c r="N1383" s="31" t="inlineStr">
        <is>
          <t>S4</t>
        </is>
      </c>
      <c r="O1383" s="31" t="inlineStr">
        <is>
          <t>238-0230-15</t>
        </is>
      </c>
      <c r="P1383" s="31" t="inlineStr">
        <is>
          <t>SR Technics Switzerland</t>
        </is>
      </c>
    </row>
    <row r="1384">
      <c r="B1384" s="31" t="inlineStr">
        <is>
          <t>CFM56-5B</t>
        </is>
      </c>
      <c r="C1384" s="31" t="inlineStr">
        <is>
          <t>2025-2026</t>
        </is>
      </c>
      <c r="D1384" s="31" t="inlineStr">
        <is>
          <t>135024</t>
        </is>
      </c>
      <c r="E1384" s="31" t="inlineStr">
        <is>
          <t>71-22-07</t>
        </is>
      </c>
      <c r="F1384" s="31" t="inlineStr">
        <is>
          <t>SB08</t>
        </is>
      </c>
      <c r="G1384" s="31" t="inlineStr">
        <is>
          <t>Other / assembly</t>
        </is>
      </c>
      <c r="H1384" s="27" t="n">
        <v>1030</v>
      </c>
      <c r="I1384" s="27" t="n">
        <v>1095</v>
      </c>
      <c r="J1384" s="154">
        <f>I1384/H1384-1</f>
        <v/>
      </c>
      <c r="K1384" s="31" t="inlineStr">
        <is>
          <t>9</t>
        </is>
      </c>
      <c r="L1384" s="31" t="inlineStr">
        <is>
          <t>8</t>
        </is>
      </c>
      <c r="M1384" s="31" t="inlineStr">
        <is>
          <t>S2</t>
        </is>
      </c>
      <c r="N1384" s="31" t="inlineStr">
        <is>
          <t>S4</t>
        </is>
      </c>
      <c r="O1384" s="31" t="inlineStr">
        <is>
          <t>238-0230-15</t>
        </is>
      </c>
      <c r="P1384" s="31" t="inlineStr">
        <is>
          <t>SR Technics Switzerland</t>
        </is>
      </c>
    </row>
    <row r="1385">
      <c r="B1385" s="31" t="inlineStr">
        <is>
          <t>CFM56-5B</t>
        </is>
      </c>
      <c r="C1385" s="31" t="inlineStr">
        <is>
          <t>2025-2026</t>
        </is>
      </c>
      <c r="D1385" s="31" t="inlineStr">
        <is>
          <t>135024</t>
        </is>
      </c>
      <c r="E1385" s="31" t="inlineStr">
        <is>
          <t>71-22-07</t>
        </is>
      </c>
      <c r="F1385" s="31" t="inlineStr">
        <is>
          <t>SB09</t>
        </is>
      </c>
      <c r="G1385" s="31" t="inlineStr">
        <is>
          <t>Other / assembly</t>
        </is>
      </c>
      <c r="H1385" s="27" t="n">
        <v>510</v>
      </c>
      <c r="I1385" s="27" t="n">
        <v>545</v>
      </c>
      <c r="J1385" s="154">
        <f>I1385/H1385-1</f>
        <v/>
      </c>
      <c r="K1385" s="31" t="inlineStr">
        <is>
          <t>9</t>
        </is>
      </c>
      <c r="L1385" s="31" t="inlineStr">
        <is>
          <t>8</t>
        </is>
      </c>
      <c r="M1385" s="31" t="inlineStr">
        <is>
          <t>S2</t>
        </is>
      </c>
      <c r="N1385" s="31" t="inlineStr">
        <is>
          <t>S4</t>
        </is>
      </c>
      <c r="O1385" s="31" t="inlineStr">
        <is>
          <t>238-0230-15</t>
        </is>
      </c>
      <c r="P1385" s="31" t="inlineStr">
        <is>
          <t>SR Technics Switzerland</t>
        </is>
      </c>
    </row>
    <row r="1386">
      <c r="B1386" s="31" t="inlineStr">
        <is>
          <t>CFM56-5B</t>
        </is>
      </c>
      <c r="C1386" s="31" t="inlineStr">
        <is>
          <t>2025-2026</t>
        </is>
      </c>
      <c r="D1386" s="31" t="inlineStr">
        <is>
          <t>135024</t>
        </is>
      </c>
      <c r="E1386" s="31" t="inlineStr">
        <is>
          <t>71-22-07</t>
        </is>
      </c>
      <c r="F1386" s="31" t="inlineStr">
        <is>
          <t>SB10</t>
        </is>
      </c>
      <c r="G1386" s="31" t="inlineStr">
        <is>
          <t>Other / assembly</t>
        </is>
      </c>
      <c r="H1386" s="27" t="n">
        <v>575</v>
      </c>
      <c r="I1386" s="27" t="n">
        <v>610</v>
      </c>
      <c r="J1386" s="154">
        <f>I1386/H1386-1</f>
        <v/>
      </c>
      <c r="K1386" s="31" t="inlineStr">
        <is>
          <t>9</t>
        </is>
      </c>
      <c r="L1386" s="31" t="inlineStr">
        <is>
          <t>9</t>
        </is>
      </c>
      <c r="M1386" s="31" t="inlineStr">
        <is>
          <t>S2</t>
        </is>
      </c>
      <c r="N1386" s="31" t="inlineStr">
        <is>
          <t>S4</t>
        </is>
      </c>
      <c r="O1386" s="31" t="inlineStr">
        <is>
          <t>238-0230-15</t>
        </is>
      </c>
      <c r="P1386" s="31" t="inlineStr">
        <is>
          <t>SR Technics Switzerland</t>
        </is>
      </c>
    </row>
    <row r="1387">
      <c r="B1387" s="31" t="inlineStr">
        <is>
          <t>CFM56-5B</t>
        </is>
      </c>
      <c r="C1387" s="31" t="inlineStr">
        <is>
          <t>2025-2026</t>
        </is>
      </c>
      <c r="D1387" s="31" t="inlineStr">
        <is>
          <t>135025</t>
        </is>
      </c>
      <c r="E1387" s="31" t="inlineStr">
        <is>
          <t>78-11-05</t>
        </is>
      </c>
      <c r="F1387" s="31" t="inlineStr">
        <is>
          <t>B</t>
        </is>
      </c>
      <c r="G1387" s="31" t="inlineStr">
        <is>
          <t>Other / assembly</t>
        </is>
      </c>
      <c r="H1387" s="27" t="n">
        <v>9065</v>
      </c>
      <c r="I1387" s="27" t="n">
        <v>9610</v>
      </c>
      <c r="J1387" s="154">
        <f>I1387/H1387-1</f>
        <v/>
      </c>
      <c r="K1387" s="31" t="inlineStr">
        <is>
          <t>9</t>
        </is>
      </c>
      <c r="L1387" s="31" t="inlineStr">
        <is>
          <t>9</t>
        </is>
      </c>
      <c r="M1387" s="31" t="inlineStr">
        <is>
          <t>S2</t>
        </is>
      </c>
      <c r="N1387" s="31" t="inlineStr">
        <is>
          <t>S4</t>
        </is>
      </c>
      <c r="O1387" s="31" t="inlineStr">
        <is>
          <t>238-0401-501</t>
        </is>
      </c>
      <c r="P1387" s="31" t="inlineStr">
        <is>
          <t>SR Technics Switzerland</t>
        </is>
      </c>
    </row>
    <row r="1388">
      <c r="B1388" s="31" t="inlineStr">
        <is>
          <t>CFM56-5B</t>
        </is>
      </c>
      <c r="C1388" s="31" t="inlineStr">
        <is>
          <t>2025-2026</t>
        </is>
      </c>
      <c r="D1388" s="31" t="inlineStr">
        <is>
          <t>135025</t>
        </is>
      </c>
      <c r="E1388" s="31" t="inlineStr">
        <is>
          <t>78-11-05</t>
        </is>
      </c>
      <c r="F1388" s="31" t="inlineStr">
        <is>
          <t>C</t>
        </is>
      </c>
      <c r="G1388" s="31" t="inlineStr">
        <is>
          <t>Other / assembly</t>
        </is>
      </c>
      <c r="H1388" s="27" t="n">
        <v>2725</v>
      </c>
      <c r="I1388" s="27" t="n">
        <v>2890</v>
      </c>
      <c r="J1388" s="154">
        <f>I1388/H1388-1</f>
        <v/>
      </c>
      <c r="K1388" s="31" t="inlineStr">
        <is>
          <t>9</t>
        </is>
      </c>
      <c r="L1388" s="31" t="inlineStr">
        <is>
          <t>9</t>
        </is>
      </c>
      <c r="M1388" s="31" t="inlineStr">
        <is>
          <t>S2</t>
        </is>
      </c>
      <c r="N1388" s="31" t="inlineStr">
        <is>
          <t>S4</t>
        </is>
      </c>
      <c r="O1388" s="31" t="inlineStr">
        <is>
          <t>238-0401-501</t>
        </is>
      </c>
      <c r="P1388" s="31" t="inlineStr">
        <is>
          <t>SR Technics Switzerland</t>
        </is>
      </c>
    </row>
    <row r="1389">
      <c r="B1389" s="31" t="inlineStr">
        <is>
          <t>CFM56-5B</t>
        </is>
      </c>
      <c r="C1389" s="31" t="inlineStr">
        <is>
          <t>2025-2026</t>
        </is>
      </c>
      <c r="D1389" s="31" t="inlineStr">
        <is>
          <t>135025</t>
        </is>
      </c>
      <c r="E1389" s="31" t="inlineStr">
        <is>
          <t>78-11-05</t>
        </is>
      </c>
      <c r="F1389" s="31" t="inlineStr">
        <is>
          <t>D</t>
        </is>
      </c>
      <c r="G1389" s="31" t="inlineStr">
        <is>
          <t>Other / assembly</t>
        </is>
      </c>
      <c r="H1389" s="27" t="n">
        <v>8940</v>
      </c>
      <c r="I1389" s="27" t="n">
        <v>9480</v>
      </c>
      <c r="J1389" s="154">
        <f>I1389/H1389-1</f>
        <v/>
      </c>
      <c r="K1389" s="31" t="inlineStr">
        <is>
          <t>9</t>
        </is>
      </c>
      <c r="L1389" s="31" t="inlineStr">
        <is>
          <t>9</t>
        </is>
      </c>
      <c r="M1389" s="31" t="inlineStr">
        <is>
          <t>S2</t>
        </is>
      </c>
      <c r="N1389" s="31" t="inlineStr">
        <is>
          <t>S4</t>
        </is>
      </c>
      <c r="O1389" s="31" t="inlineStr">
        <is>
          <t>238-0401-501</t>
        </is>
      </c>
      <c r="P1389" s="31" t="inlineStr">
        <is>
          <t>SR Technics Switzerland</t>
        </is>
      </c>
    </row>
    <row r="1390">
      <c r="B1390" s="31" t="inlineStr">
        <is>
          <t>CFM56-5B</t>
        </is>
      </c>
      <c r="C1390" s="31" t="inlineStr">
        <is>
          <t>2025-2026</t>
        </is>
      </c>
      <c r="D1390" s="31" t="inlineStr">
        <is>
          <t>135025</t>
        </is>
      </c>
      <c r="E1390" s="31" t="inlineStr">
        <is>
          <t>78-11-05</t>
        </is>
      </c>
      <c r="F1390" s="31" t="inlineStr">
        <is>
          <t>K</t>
        </is>
      </c>
      <c r="G1390" s="31" t="inlineStr">
        <is>
          <t>Other / assembly</t>
        </is>
      </c>
      <c r="H1390" s="27" t="n">
        <v>9420</v>
      </c>
      <c r="I1390" s="27" t="n">
        <v>9990</v>
      </c>
      <c r="J1390" s="154">
        <f>I1390/H1390-1</f>
        <v/>
      </c>
      <c r="K1390" s="31" t="inlineStr">
        <is>
          <t>9</t>
        </is>
      </c>
      <c r="L1390" s="31" t="inlineStr">
        <is>
          <t>9</t>
        </is>
      </c>
      <c r="M1390" s="31" t="inlineStr">
        <is>
          <t>S2</t>
        </is>
      </c>
      <c r="N1390" s="31" t="inlineStr">
        <is>
          <t>S4</t>
        </is>
      </c>
      <c r="O1390" s="31" t="inlineStr">
        <is>
          <t>238-0401-501</t>
        </is>
      </c>
      <c r="P1390" s="31" t="inlineStr">
        <is>
          <t>SR Technics Switzerland</t>
        </is>
      </c>
    </row>
    <row r="1391">
      <c r="B1391" s="31" t="inlineStr">
        <is>
          <t>CFM56-5B</t>
        </is>
      </c>
      <c r="C1391" s="31" t="inlineStr">
        <is>
          <t>2025-2026</t>
        </is>
      </c>
      <c r="D1391" s="31" t="inlineStr">
        <is>
          <t>135025</t>
        </is>
      </c>
      <c r="E1391" s="31" t="inlineStr">
        <is>
          <t>78-11-05</t>
        </is>
      </c>
      <c r="F1391" s="31" t="inlineStr">
        <is>
          <t>L</t>
        </is>
      </c>
      <c r="G1391" s="31" t="inlineStr">
        <is>
          <t>Other / assembly</t>
        </is>
      </c>
      <c r="H1391" s="27" t="n">
        <v>1500</v>
      </c>
      <c r="I1391" s="27" t="n">
        <v>1590</v>
      </c>
      <c r="J1391" s="154">
        <f>I1391/H1391-1</f>
        <v/>
      </c>
      <c r="K1391" s="31" t="inlineStr">
        <is>
          <t>9</t>
        </is>
      </c>
      <c r="L1391" s="31" t="inlineStr">
        <is>
          <t>9</t>
        </is>
      </c>
      <c r="M1391" s="31" t="inlineStr">
        <is>
          <t>S2</t>
        </is>
      </c>
      <c r="N1391" s="31" t="inlineStr">
        <is>
          <t>S4</t>
        </is>
      </c>
      <c r="O1391" s="31" t="inlineStr">
        <is>
          <t>238-0401-501</t>
        </is>
      </c>
      <c r="P1391" s="31" t="inlineStr">
        <is>
          <t>SR Technics Switzerland</t>
        </is>
      </c>
    </row>
    <row r="1392">
      <c r="B1392" s="31" t="inlineStr">
        <is>
          <t>CFM56-5B</t>
        </is>
      </c>
      <c r="C1392" s="31" t="inlineStr">
        <is>
          <t>2025-2026</t>
        </is>
      </c>
      <c r="D1392" s="31" t="inlineStr">
        <is>
          <t>135025</t>
        </is>
      </c>
      <c r="E1392" s="31" t="inlineStr">
        <is>
          <t>78-11-05</t>
        </is>
      </c>
      <c r="F1392" s="31" t="inlineStr">
        <is>
          <t>M</t>
        </is>
      </c>
      <c r="G1392" s="31" t="inlineStr">
        <is>
          <t>Other / assembly</t>
        </is>
      </c>
      <c r="H1392" s="27" t="n">
        <v>3700</v>
      </c>
      <c r="I1392" s="27" t="n">
        <v>3925</v>
      </c>
      <c r="J1392" s="154">
        <f>I1392/H1392-1</f>
        <v/>
      </c>
      <c r="K1392" s="31" t="inlineStr">
        <is>
          <t>9</t>
        </is>
      </c>
      <c r="L1392" s="31" t="inlineStr">
        <is>
          <t>9</t>
        </is>
      </c>
      <c r="M1392" s="31" t="inlineStr">
        <is>
          <t>S2</t>
        </is>
      </c>
      <c r="N1392" s="31" t="inlineStr">
        <is>
          <t>S4</t>
        </is>
      </c>
      <c r="O1392" s="31" t="inlineStr">
        <is>
          <t>238-0401-501</t>
        </is>
      </c>
      <c r="P1392" s="31" t="inlineStr">
        <is>
          <t>SR Technics Switzerland</t>
        </is>
      </c>
    </row>
    <row r="1393">
      <c r="B1393" s="31" t="inlineStr">
        <is>
          <t>CFM56-5B</t>
        </is>
      </c>
      <c r="C1393" s="31" t="inlineStr">
        <is>
          <t>2025-2026</t>
        </is>
      </c>
      <c r="D1393" s="31" t="inlineStr">
        <is>
          <t>135026</t>
        </is>
      </c>
      <c r="E1393" s="31" t="inlineStr">
        <is>
          <t>78-11-05</t>
        </is>
      </c>
      <c r="F1393" s="31" t="inlineStr">
        <is>
          <t>A</t>
        </is>
      </c>
      <c r="G1393" s="31" t="inlineStr">
        <is>
          <t>Other / assembly</t>
        </is>
      </c>
      <c r="H1393" s="27" t="n">
        <v>3430</v>
      </c>
      <c r="I1393" s="27" t="n">
        <v>3605</v>
      </c>
      <c r="J1393" s="154">
        <f>I1393/H1393-1</f>
        <v/>
      </c>
      <c r="K1393" s="31" t="inlineStr">
        <is>
          <t>42</t>
        </is>
      </c>
      <c r="L1393" s="31" t="inlineStr">
        <is>
          <t>43</t>
        </is>
      </c>
      <c r="M1393" s="31" t="inlineStr">
        <is>
          <t>S2</t>
        </is>
      </c>
      <c r="N1393" s="31" t="inlineStr">
        <is>
          <t>S4</t>
        </is>
      </c>
      <c r="O1393" s="31" t="inlineStr">
        <is>
          <t>238-0451-509</t>
        </is>
      </c>
      <c r="P1393" s="31" t="inlineStr">
        <is>
          <t>SR Technics Switzerland</t>
        </is>
      </c>
    </row>
    <row r="1394">
      <c r="B1394" s="31" t="inlineStr">
        <is>
          <t>CFM56-5B</t>
        </is>
      </c>
      <c r="C1394" s="31" t="inlineStr">
        <is>
          <t>2025-2026</t>
        </is>
      </c>
      <c r="D1394" s="31" t="inlineStr">
        <is>
          <t>135131</t>
        </is>
      </c>
      <c r="E1394" s="31" t="inlineStr">
        <is>
          <t>73-21-77</t>
        </is>
      </c>
      <c r="F1394" s="31" t="inlineStr">
        <is>
          <t>B</t>
        </is>
      </c>
      <c r="G1394" s="31" t="inlineStr">
        <is>
          <t>Fuel system</t>
        </is>
      </c>
      <c r="H1394" s="27" t="n">
        <v>910</v>
      </c>
      <c r="I1394" s="27" t="n">
        <v>965</v>
      </c>
      <c r="J1394" s="154">
        <f>I1394/H1394-1</f>
        <v/>
      </c>
      <c r="K1394" s="31" t="inlineStr">
        <is>
          <t>9</t>
        </is>
      </c>
      <c r="L1394" s="31" t="inlineStr">
        <is>
          <t>9</t>
        </is>
      </c>
      <c r="M1394" s="31" t="inlineStr">
        <is>
          <t>S2</t>
        </is>
      </c>
      <c r="N1394" s="31" t="inlineStr">
        <is>
          <t>S4</t>
        </is>
      </c>
      <c r="O1394" s="31" t="inlineStr">
        <is>
          <t>1324M94P03</t>
        </is>
      </c>
      <c r="P1394" s="31" t="inlineStr">
        <is>
          <t>SR Technics Switzerland</t>
        </is>
      </c>
    </row>
    <row r="1395">
      <c r="B1395" s="31" t="inlineStr">
        <is>
          <t>CFM56-5B</t>
        </is>
      </c>
      <c r="C1395" s="31" t="inlineStr">
        <is>
          <t>2025-2026</t>
        </is>
      </c>
      <c r="D1395" s="31" t="inlineStr">
        <is>
          <t>135131</t>
        </is>
      </c>
      <c r="E1395" s="31" t="inlineStr">
        <is>
          <t>73-21-77</t>
        </is>
      </c>
      <c r="F1395" s="31" t="inlineStr">
        <is>
          <t>C</t>
        </is>
      </c>
      <c r="G1395" s="31" t="inlineStr">
        <is>
          <t>Fuel system</t>
        </is>
      </c>
      <c r="H1395" s="27" t="n">
        <v>155</v>
      </c>
      <c r="I1395" s="27" t="n">
        <v>165</v>
      </c>
      <c r="J1395" s="154">
        <f>I1395/H1395-1</f>
        <v/>
      </c>
      <c r="K1395" s="31" t="inlineStr">
        <is>
          <t>9</t>
        </is>
      </c>
      <c r="L1395" s="31" t="inlineStr">
        <is>
          <t>9</t>
        </is>
      </c>
      <c r="M1395" s="31" t="inlineStr">
        <is>
          <t>S2</t>
        </is>
      </c>
      <c r="N1395" s="31" t="inlineStr">
        <is>
          <t>S4</t>
        </is>
      </c>
      <c r="O1395" s="31" t="inlineStr">
        <is>
          <t>1324M94P03</t>
        </is>
      </c>
      <c r="P1395" s="31" t="inlineStr">
        <is>
          <t>SR Technics Switzerland</t>
        </is>
      </c>
    </row>
    <row r="1396">
      <c r="B1396" s="31" t="inlineStr">
        <is>
          <t>CFM56-5B</t>
        </is>
      </c>
      <c r="C1396" s="31" t="inlineStr">
        <is>
          <t>2025-2026</t>
        </is>
      </c>
      <c r="D1396" s="31" t="inlineStr">
        <is>
          <t>135147</t>
        </is>
      </c>
      <c r="E1396" s="31" t="inlineStr">
        <is>
          <t>71-21-08</t>
        </is>
      </c>
      <c r="F1396" s="31" t="inlineStr">
        <is>
          <t>A</t>
        </is>
      </c>
      <c r="G1396" s="31" t="inlineStr">
        <is>
          <t>Other / assembly</t>
        </is>
      </c>
      <c r="H1396" s="27" t="n">
        <v>2725</v>
      </c>
      <c r="I1396" s="27" t="n">
        <v>2865</v>
      </c>
      <c r="J1396" s="154">
        <f>I1396/H1396-1</f>
        <v/>
      </c>
      <c r="K1396" s="31" t="inlineStr">
        <is>
          <t>9</t>
        </is>
      </c>
      <c r="L1396" s="31" t="inlineStr">
        <is>
          <t>9</t>
        </is>
      </c>
      <c r="M1396" s="31" t="inlineStr">
        <is>
          <t>S2</t>
        </is>
      </c>
      <c r="N1396" s="31" t="inlineStr">
        <is>
          <t>S4</t>
        </is>
      </c>
      <c r="O1396" s="31" t="inlineStr">
        <is>
          <t>642-2000-13</t>
        </is>
      </c>
      <c r="P1396" s="31" t="inlineStr">
        <is>
          <t>SR Technics Switzerland</t>
        </is>
      </c>
    </row>
    <row r="1397">
      <c r="B1397" s="31" t="inlineStr">
        <is>
          <t>CFM56-5B</t>
        </is>
      </c>
      <c r="C1397" s="31" t="inlineStr">
        <is>
          <t>2025-2026</t>
        </is>
      </c>
      <c r="D1397" s="31" t="inlineStr">
        <is>
          <t>135147</t>
        </is>
      </c>
      <c r="E1397" s="31" t="inlineStr">
        <is>
          <t>71-21-08</t>
        </is>
      </c>
      <c r="F1397" s="31" t="inlineStr">
        <is>
          <t>D</t>
        </is>
      </c>
      <c r="G1397" s="31" t="inlineStr">
        <is>
          <t>Other / assembly</t>
        </is>
      </c>
      <c r="H1397" s="27" t="n">
        <v>920</v>
      </c>
      <c r="I1397" s="27" t="n">
        <v>980</v>
      </c>
      <c r="J1397" s="154">
        <f>I1397/H1397-1</f>
        <v/>
      </c>
      <c r="K1397" s="31" t="inlineStr">
        <is>
          <t>9</t>
        </is>
      </c>
      <c r="L1397" s="31" t="inlineStr">
        <is>
          <t>9</t>
        </is>
      </c>
      <c r="M1397" s="31" t="inlineStr">
        <is>
          <t>S2</t>
        </is>
      </c>
      <c r="N1397" s="31" t="inlineStr">
        <is>
          <t>S4</t>
        </is>
      </c>
      <c r="O1397" s="31" t="inlineStr">
        <is>
          <t>642-2000-13</t>
        </is>
      </c>
      <c r="P1397" s="31" t="inlineStr">
        <is>
          <t>SR Technics Switzerland</t>
        </is>
      </c>
    </row>
    <row r="1398">
      <c r="B1398" s="31" t="inlineStr">
        <is>
          <t>CFM56-5B</t>
        </is>
      </c>
      <c r="C1398" s="31" t="inlineStr">
        <is>
          <t>2025-2026</t>
        </is>
      </c>
      <c r="D1398" s="31" t="inlineStr">
        <is>
          <t>135147</t>
        </is>
      </c>
      <c r="E1398" s="31" t="inlineStr">
        <is>
          <t>71-21-08</t>
        </is>
      </c>
      <c r="F1398" s="31" t="inlineStr">
        <is>
          <t>E</t>
        </is>
      </c>
      <c r="G1398" s="31" t="inlineStr">
        <is>
          <t>Other / assembly</t>
        </is>
      </c>
      <c r="H1398" s="27" t="n">
        <v>1955</v>
      </c>
      <c r="I1398" s="27" t="n">
        <v>2075</v>
      </c>
      <c r="J1398" s="154">
        <f>I1398/H1398-1</f>
        <v/>
      </c>
      <c r="K1398" s="31" t="inlineStr">
        <is>
          <t>9</t>
        </is>
      </c>
      <c r="L1398" s="31" t="inlineStr">
        <is>
          <t>9</t>
        </is>
      </c>
      <c r="M1398" s="31" t="inlineStr">
        <is>
          <t>S2</t>
        </is>
      </c>
      <c r="N1398" s="31" t="inlineStr">
        <is>
          <t>S4</t>
        </is>
      </c>
      <c r="O1398" s="31" t="inlineStr">
        <is>
          <t>642-2000-13</t>
        </is>
      </c>
      <c r="P1398" s="31" t="inlineStr">
        <is>
          <t>SR Technics Switzerland</t>
        </is>
      </c>
    </row>
    <row r="1399">
      <c r="B1399" s="31" t="inlineStr">
        <is>
          <t>CFM56-5B</t>
        </is>
      </c>
      <c r="C1399" s="31" t="inlineStr">
        <is>
          <t>2025-2026</t>
        </is>
      </c>
      <c r="D1399" s="31" t="inlineStr">
        <is>
          <t>135147</t>
        </is>
      </c>
      <c r="E1399" s="31" t="inlineStr">
        <is>
          <t>71-21-08</t>
        </is>
      </c>
      <c r="F1399" s="31" t="inlineStr">
        <is>
          <t>F</t>
        </is>
      </c>
      <c r="G1399" s="31" t="inlineStr">
        <is>
          <t>Other / assembly</t>
        </is>
      </c>
      <c r="H1399" s="27" t="n">
        <v>2990</v>
      </c>
      <c r="I1399" s="27" t="n">
        <v>3170</v>
      </c>
      <c r="J1399" s="154">
        <f>I1399/H1399-1</f>
        <v/>
      </c>
      <c r="K1399" s="31" t="inlineStr">
        <is>
          <t>9</t>
        </is>
      </c>
      <c r="L1399" s="31" t="inlineStr">
        <is>
          <t>9</t>
        </is>
      </c>
      <c r="M1399" s="31" t="inlineStr">
        <is>
          <t>S2</t>
        </is>
      </c>
      <c r="N1399" s="31" t="inlineStr">
        <is>
          <t>S4</t>
        </is>
      </c>
      <c r="O1399" s="31" t="inlineStr">
        <is>
          <t>642-2000-13</t>
        </is>
      </c>
      <c r="P1399" s="31" t="inlineStr">
        <is>
          <t>SR Technics Switzerland</t>
        </is>
      </c>
    </row>
    <row r="1400">
      <c r="B1400" s="31" t="inlineStr">
        <is>
          <t>CFM56-5B</t>
        </is>
      </c>
      <c r="C1400" s="31" t="inlineStr">
        <is>
          <t>2025-2026</t>
        </is>
      </c>
      <c r="D1400" s="31" t="inlineStr">
        <is>
          <t>135147</t>
        </is>
      </c>
      <c r="E1400" s="31" t="inlineStr">
        <is>
          <t>71-21-08</t>
        </is>
      </c>
      <c r="F1400" s="31" t="inlineStr">
        <is>
          <t>SB00</t>
        </is>
      </c>
      <c r="G1400" s="31" t="inlineStr">
        <is>
          <t>Other / assembly</t>
        </is>
      </c>
      <c r="H1400" s="27" t="n">
        <v>335</v>
      </c>
      <c r="I1400" s="27" t="n">
        <v>360</v>
      </c>
      <c r="J1400" s="154">
        <f>I1400/H1400-1</f>
        <v/>
      </c>
      <c r="K1400" s="31" t="inlineStr">
        <is>
          <t>9</t>
        </is>
      </c>
      <c r="L1400" s="31" t="inlineStr">
        <is>
          <t>9</t>
        </is>
      </c>
      <c r="M1400" s="31" t="inlineStr">
        <is>
          <t>S2</t>
        </is>
      </c>
      <c r="N1400" s="31" t="inlineStr">
        <is>
          <t>S4</t>
        </is>
      </c>
      <c r="O1400" s="31" t="inlineStr">
        <is>
          <t>642-2000-13</t>
        </is>
      </c>
      <c r="P1400" s="31" t="inlineStr">
        <is>
          <t>SR Technics Switzerland</t>
        </is>
      </c>
    </row>
    <row r="1401">
      <c r="B1401" s="31" t="inlineStr">
        <is>
          <t>CFM56-5B</t>
        </is>
      </c>
      <c r="C1401" s="31" t="inlineStr">
        <is>
          <t>2025-2026</t>
        </is>
      </c>
      <c r="D1401" s="31" t="inlineStr">
        <is>
          <t>135150</t>
        </is>
      </c>
      <c r="E1401" s="31" t="inlineStr">
        <is>
          <t>77-23-10</t>
        </is>
      </c>
      <c r="F1401" s="31" t="inlineStr">
        <is>
          <t>C</t>
        </is>
      </c>
      <c r="G1401" s="31" t="inlineStr">
        <is>
          <t>Other / assembly</t>
        </is>
      </c>
      <c r="H1401" s="27" t="n">
        <v>1015</v>
      </c>
      <c r="I1401" s="27" t="n">
        <v>1080</v>
      </c>
      <c r="J1401" s="154">
        <f>I1401/H1401-1</f>
        <v/>
      </c>
      <c r="K1401" s="31" t="inlineStr">
        <is>
          <t>42</t>
        </is>
      </c>
      <c r="L1401" s="31" t="inlineStr">
        <is>
          <t>43</t>
        </is>
      </c>
      <c r="M1401" s="31" t="inlineStr">
        <is>
          <t>S2</t>
        </is>
      </c>
      <c r="N1401" s="31" t="inlineStr">
        <is>
          <t>S4</t>
        </is>
      </c>
      <c r="O1401" s="31" t="inlineStr">
        <is>
          <t>1348M21P01</t>
        </is>
      </c>
      <c r="P1401" s="31" t="inlineStr">
        <is>
          <t>SR Technics Switzerland</t>
        </is>
      </c>
    </row>
    <row r="1402">
      <c r="B1402" s="31" t="inlineStr">
        <is>
          <t>CFM56-5B</t>
        </is>
      </c>
      <c r="C1402" s="31" t="inlineStr">
        <is>
          <t>2025-2026</t>
        </is>
      </c>
      <c r="D1402" s="31" t="inlineStr">
        <is>
          <t>135170</t>
        </is>
      </c>
      <c r="E1402" s="31" t="inlineStr">
        <is>
          <t>77-21-14</t>
        </is>
      </c>
      <c r="F1402" s="31" t="inlineStr">
        <is>
          <t>C</t>
        </is>
      </c>
      <c r="G1402" s="31" t="inlineStr">
        <is>
          <t>Other / assembly</t>
        </is>
      </c>
      <c r="H1402" s="27" t="n">
        <v>1045</v>
      </c>
      <c r="I1402" s="27" t="n">
        <v>1110</v>
      </c>
      <c r="J1402" s="154">
        <f>I1402/H1402-1</f>
        <v/>
      </c>
      <c r="K1402" s="31" t="inlineStr">
        <is>
          <t>42</t>
        </is>
      </c>
      <c r="L1402" s="31" t="inlineStr">
        <is>
          <t>44</t>
        </is>
      </c>
      <c r="M1402" s="31" t="inlineStr">
        <is>
          <t>S2</t>
        </is>
      </c>
      <c r="N1402" s="31" t="inlineStr">
        <is>
          <t>S4</t>
        </is>
      </c>
      <c r="O1402" s="31" t="inlineStr">
        <is>
          <t>301-795-702-0</t>
        </is>
      </c>
      <c r="P1402" s="31" t="inlineStr">
        <is>
          <t>SR Technics Switzerland</t>
        </is>
      </c>
    </row>
    <row r="1403">
      <c r="B1403" s="31" t="inlineStr">
        <is>
          <t>CFM56-5B</t>
        </is>
      </c>
      <c r="C1403" s="31" t="inlineStr">
        <is>
          <t>2025-2026</t>
        </is>
      </c>
      <c r="D1403" s="31" t="inlineStr">
        <is>
          <t>138941</t>
        </is>
      </c>
      <c r="E1403" s="31" t="inlineStr">
        <is>
          <t>72-21-07</t>
        </is>
      </c>
      <c r="F1403" s="31" t="inlineStr">
        <is>
          <t>B</t>
        </is>
      </c>
      <c r="G1403" s="31" t="inlineStr">
        <is>
          <t>Fan / booster</t>
        </is>
      </c>
      <c r="H1403" s="27" t="n">
        <v>165</v>
      </c>
      <c r="I1403" s="27" t="n">
        <v>175</v>
      </c>
      <c r="J1403" s="154">
        <f>I1403/H1403-1</f>
        <v/>
      </c>
      <c r="K1403" s="31" t="inlineStr">
        <is>
          <t>43</t>
        </is>
      </c>
      <c r="L1403" s="31" t="inlineStr">
        <is>
          <t>44</t>
        </is>
      </c>
      <c r="M1403" s="31" t="inlineStr">
        <is>
          <t>S2</t>
        </is>
      </c>
      <c r="N1403" s="31" t="inlineStr">
        <is>
          <t>S4</t>
        </is>
      </c>
      <c r="O1403" s="31" t="inlineStr">
        <is>
          <t>335-190-201-0</t>
        </is>
      </c>
      <c r="P1403" s="31" t="inlineStr">
        <is>
          <t>SR Technics Switzerland</t>
        </is>
      </c>
    </row>
    <row r="1404">
      <c r="B1404" s="31" t="inlineStr">
        <is>
          <t>CFM56-5B</t>
        </is>
      </c>
      <c r="C1404" s="31" t="inlineStr">
        <is>
          <t>2025-2026</t>
        </is>
      </c>
      <c r="D1404" s="31" t="inlineStr">
        <is>
          <t>138945</t>
        </is>
      </c>
      <c r="E1404" s="31" t="inlineStr">
        <is>
          <t>72-31-20</t>
        </is>
      </c>
      <c r="F1404" s="31" t="inlineStr">
        <is>
          <t>A</t>
        </is>
      </c>
      <c r="G1404" s="31" t="inlineStr">
        <is>
          <t>Compressor</t>
        </is>
      </c>
      <c r="H1404" s="27" t="n">
        <v>45</v>
      </c>
      <c r="I1404" s="27" t="n">
        <v>50</v>
      </c>
      <c r="J1404" s="154">
        <f>I1404/H1404-1</f>
        <v/>
      </c>
      <c r="K1404" s="31" t="inlineStr">
        <is>
          <t>43</t>
        </is>
      </c>
      <c r="L1404" s="31" t="inlineStr">
        <is>
          <t>44</t>
        </is>
      </c>
      <c r="M1404" s="31" t="inlineStr">
        <is>
          <t>S2</t>
        </is>
      </c>
      <c r="N1404" s="31" t="inlineStr">
        <is>
          <t>S4</t>
        </is>
      </c>
      <c r="O1404" s="31" t="inlineStr">
        <is>
          <t>1523M39P06</t>
        </is>
      </c>
      <c r="P1404" s="31" t="inlineStr">
        <is>
          <t>SR Technics Switzerland</t>
        </is>
      </c>
    </row>
    <row r="1405">
      <c r="B1405" s="31" t="inlineStr">
        <is>
          <t>CFM56-5B</t>
        </is>
      </c>
      <c r="C1405" s="31" t="inlineStr">
        <is>
          <t>2025-2026</t>
        </is>
      </c>
      <c r="D1405" s="31" t="inlineStr">
        <is>
          <t>138947</t>
        </is>
      </c>
      <c r="E1405" s="31" t="inlineStr">
        <is>
          <t>72-32-10</t>
        </is>
      </c>
      <c r="F1405" s="31" t="inlineStr">
        <is>
          <t>A</t>
        </is>
      </c>
      <c r="G1405" s="31" t="inlineStr">
        <is>
          <t>Compressor</t>
        </is>
      </c>
      <c r="H1405" s="27" t="n">
        <v>55</v>
      </c>
      <c r="I1405" s="27" t="n">
        <v>60</v>
      </c>
      <c r="J1405" s="154">
        <f>I1405/H1405-1</f>
        <v/>
      </c>
      <c r="K1405" s="31" t="inlineStr">
        <is>
          <t>43</t>
        </is>
      </c>
      <c r="L1405" s="31" t="inlineStr">
        <is>
          <t>44</t>
        </is>
      </c>
      <c r="M1405" s="31" t="inlineStr">
        <is>
          <t>S2</t>
        </is>
      </c>
      <c r="N1405" s="31" t="inlineStr">
        <is>
          <t>S4</t>
        </is>
      </c>
      <c r="O1405" s="31" t="inlineStr">
        <is>
          <t>1385M33G02</t>
        </is>
      </c>
      <c r="P1405" s="31" t="inlineStr">
        <is>
          <t>SR Technics Switzerland</t>
        </is>
      </c>
    </row>
    <row r="1406">
      <c r="B1406" s="31" t="inlineStr">
        <is>
          <t>CFM56-5B</t>
        </is>
      </c>
      <c r="C1406" s="31" t="inlineStr">
        <is>
          <t>2025-2026</t>
        </is>
      </c>
      <c r="D1406" s="31" t="inlineStr">
        <is>
          <t>138947</t>
        </is>
      </c>
      <c r="E1406" s="31" t="inlineStr">
        <is>
          <t>72-32-10</t>
        </is>
      </c>
      <c r="F1406" s="31" t="inlineStr">
        <is>
          <t>SB00</t>
        </is>
      </c>
      <c r="G1406" s="31" t="inlineStr">
        <is>
          <t>Compressor</t>
        </is>
      </c>
      <c r="H1406" s="27" t="n">
        <v>35</v>
      </c>
      <c r="I1406" s="27" t="n">
        <v>40</v>
      </c>
      <c r="J1406" s="154">
        <f>I1406/H1406-1</f>
        <v/>
      </c>
      <c r="K1406" s="31" t="inlineStr">
        <is>
          <t>43</t>
        </is>
      </c>
      <c r="L1406" s="31" t="inlineStr">
        <is>
          <t>45</t>
        </is>
      </c>
      <c r="M1406" s="31" t="inlineStr">
        <is>
          <t>S2</t>
        </is>
      </c>
      <c r="N1406" s="31" t="inlineStr">
        <is>
          <t>S4</t>
        </is>
      </c>
      <c r="O1406" s="31" t="inlineStr">
        <is>
          <t>1385M33G02</t>
        </is>
      </c>
      <c r="P1406" s="31" t="inlineStr">
        <is>
          <t>SR Technics Switzerland</t>
        </is>
      </c>
    </row>
    <row r="1407">
      <c r="B1407" s="31" t="inlineStr">
        <is>
          <t>CFM56-5B</t>
        </is>
      </c>
      <c r="C1407" s="31" t="inlineStr">
        <is>
          <t>2025-2026</t>
        </is>
      </c>
      <c r="D1407" s="31" t="inlineStr">
        <is>
          <t>138950</t>
        </is>
      </c>
      <c r="E1407" s="31" t="inlineStr">
        <is>
          <t>72-32-05</t>
        </is>
      </c>
      <c r="F1407" s="31" t="inlineStr">
        <is>
          <t>A</t>
        </is>
      </c>
      <c r="G1407" s="31" t="inlineStr">
        <is>
          <t>Compressor</t>
        </is>
      </c>
      <c r="H1407" s="27" t="n">
        <v>110</v>
      </c>
      <c r="I1407" s="27" t="n">
        <v>120</v>
      </c>
      <c r="J1407" s="154">
        <f>I1407/H1407-1</f>
        <v/>
      </c>
      <c r="K1407" s="31" t="inlineStr">
        <is>
          <t>9</t>
        </is>
      </c>
      <c r="L1407" s="31" t="inlineStr">
        <is>
          <t>9</t>
        </is>
      </c>
      <c r="M1407" s="31" t="inlineStr">
        <is>
          <t>S2</t>
        </is>
      </c>
      <c r="N1407" s="31" t="inlineStr">
        <is>
          <t>S4</t>
        </is>
      </c>
      <c r="O1407" s="31" t="inlineStr">
        <is>
          <t>1559M27G01</t>
        </is>
      </c>
      <c r="P1407" s="31" t="inlineStr">
        <is>
          <t>SRTAS</t>
        </is>
      </c>
    </row>
    <row r="1408">
      <c r="B1408" s="31" t="inlineStr">
        <is>
          <t>CFM56-5B</t>
        </is>
      </c>
      <c r="C1408" s="31" t="inlineStr">
        <is>
          <t>2025-2026</t>
        </is>
      </c>
      <c r="D1408" s="31" t="inlineStr">
        <is>
          <t>138950</t>
        </is>
      </c>
      <c r="E1408" s="31" t="inlineStr">
        <is>
          <t>72-32-05</t>
        </is>
      </c>
      <c r="F1408" s="31" t="inlineStr">
        <is>
          <t>B</t>
        </is>
      </c>
      <c r="G1408" s="31" t="inlineStr">
        <is>
          <t>Compressor</t>
        </is>
      </c>
      <c r="H1408" s="27" t="n">
        <v>430</v>
      </c>
      <c r="I1408" s="27" t="n">
        <v>465</v>
      </c>
      <c r="J1408" s="154">
        <f>I1408/H1408-1</f>
        <v/>
      </c>
      <c r="K1408" s="31" t="inlineStr">
        <is>
          <t>9</t>
        </is>
      </c>
      <c r="L1408" s="31" t="inlineStr">
        <is>
          <t>9</t>
        </is>
      </c>
      <c r="M1408" s="31" t="inlineStr">
        <is>
          <t>S2</t>
        </is>
      </c>
      <c r="N1408" s="31" t="inlineStr">
        <is>
          <t>S4</t>
        </is>
      </c>
      <c r="O1408" s="31" t="inlineStr">
        <is>
          <t>1559M27G01</t>
        </is>
      </c>
      <c r="P1408" s="31" t="inlineStr">
        <is>
          <t>SRTAS</t>
        </is>
      </c>
    </row>
    <row r="1409">
      <c r="B1409" s="31" t="inlineStr">
        <is>
          <t>CFM56-5B</t>
        </is>
      </c>
      <c r="C1409" s="31" t="inlineStr">
        <is>
          <t>2025-2026</t>
        </is>
      </c>
      <c r="D1409" s="31" t="inlineStr">
        <is>
          <t>138952</t>
        </is>
      </c>
      <c r="E1409" s="31" t="inlineStr">
        <is>
          <t>72-33-03</t>
        </is>
      </c>
      <c r="F1409" s="31" t="inlineStr">
        <is>
          <t>A</t>
        </is>
      </c>
      <c r="G1409" s="31" t="inlineStr">
        <is>
          <t>Compressor</t>
        </is>
      </c>
      <c r="H1409" s="27" t="n">
        <v>145</v>
      </c>
      <c r="I1409" s="27" t="n">
        <v>160</v>
      </c>
      <c r="J1409" s="154">
        <f>I1409/H1409-1</f>
        <v/>
      </c>
      <c r="K1409" s="31" t="inlineStr">
        <is>
          <t>9</t>
        </is>
      </c>
      <c r="L1409" s="31" t="inlineStr">
        <is>
          <t>9</t>
        </is>
      </c>
      <c r="M1409" s="31" t="inlineStr">
        <is>
          <t>S2</t>
        </is>
      </c>
      <c r="N1409" s="31" t="inlineStr">
        <is>
          <t>S4</t>
        </is>
      </c>
      <c r="O1409" s="31" t="inlineStr">
        <is>
          <t>1559M27G03</t>
        </is>
      </c>
      <c r="P1409" s="31" t="inlineStr">
        <is>
          <t>SRTAS</t>
        </is>
      </c>
    </row>
    <row r="1410">
      <c r="B1410" s="31" t="inlineStr">
        <is>
          <t>CFM56-5B</t>
        </is>
      </c>
      <c r="C1410" s="31" t="inlineStr">
        <is>
          <t>2025-2026</t>
        </is>
      </c>
      <c r="D1410" s="31" t="inlineStr">
        <is>
          <t>138952</t>
        </is>
      </c>
      <c r="E1410" s="31" t="inlineStr">
        <is>
          <t>72-33-03</t>
        </is>
      </c>
      <c r="F1410" s="31" t="inlineStr">
        <is>
          <t>B</t>
        </is>
      </c>
      <c r="G1410" s="31" t="inlineStr">
        <is>
          <t>Compressor</t>
        </is>
      </c>
      <c r="H1410" s="27" t="n">
        <v>380</v>
      </c>
      <c r="I1410" s="27" t="n">
        <v>410</v>
      </c>
      <c r="J1410" s="154">
        <f>I1410/H1410-1</f>
        <v/>
      </c>
      <c r="K1410" s="31" t="inlineStr">
        <is>
          <t>9</t>
        </is>
      </c>
      <c r="L1410" s="31" t="inlineStr">
        <is>
          <t>9</t>
        </is>
      </c>
      <c r="M1410" s="31" t="inlineStr">
        <is>
          <t>S2</t>
        </is>
      </c>
      <c r="N1410" s="31" t="inlineStr">
        <is>
          <t>S4</t>
        </is>
      </c>
      <c r="O1410" s="31" t="inlineStr">
        <is>
          <t>1559M27G03</t>
        </is>
      </c>
      <c r="P1410" s="31" t="inlineStr">
        <is>
          <t>SRTAS</t>
        </is>
      </c>
    </row>
    <row r="1411">
      <c r="B1411" s="31" t="inlineStr">
        <is>
          <t>CFM56-5B</t>
        </is>
      </c>
      <c r="C1411" s="31" t="inlineStr">
        <is>
          <t>2025-2026</t>
        </is>
      </c>
      <c r="D1411" s="31" t="inlineStr">
        <is>
          <t>138952</t>
        </is>
      </c>
      <c r="E1411" s="31" t="inlineStr">
        <is>
          <t>72-33-03</t>
        </is>
      </c>
      <c r="F1411" s="31" t="inlineStr">
        <is>
          <t>D</t>
        </is>
      </c>
      <c r="G1411" s="31" t="inlineStr">
        <is>
          <t>Compressor</t>
        </is>
      </c>
      <c r="H1411" s="27" t="n">
        <v>380</v>
      </c>
      <c r="I1411" s="27" t="n">
        <v>410</v>
      </c>
      <c r="J1411" s="154">
        <f>I1411/H1411-1</f>
        <v/>
      </c>
      <c r="K1411" s="31" t="inlineStr">
        <is>
          <t>9</t>
        </is>
      </c>
      <c r="L1411" s="31" t="inlineStr">
        <is>
          <t>9</t>
        </is>
      </c>
      <c r="M1411" s="31" t="inlineStr">
        <is>
          <t>S2</t>
        </is>
      </c>
      <c r="N1411" s="31" t="inlineStr">
        <is>
          <t>S4</t>
        </is>
      </c>
      <c r="O1411" s="31" t="inlineStr">
        <is>
          <t>1559M27G03</t>
        </is>
      </c>
      <c r="P1411" s="31" t="inlineStr">
        <is>
          <t>SRTAS</t>
        </is>
      </c>
    </row>
    <row r="1412">
      <c r="B1412" s="31" t="inlineStr">
        <is>
          <t>CFM56-5B</t>
        </is>
      </c>
      <c r="C1412" s="31" t="inlineStr">
        <is>
          <t>2025-2026</t>
        </is>
      </c>
      <c r="D1412" s="31" t="inlineStr">
        <is>
          <t>138952</t>
        </is>
      </c>
      <c r="E1412" s="31" t="inlineStr">
        <is>
          <t>72-33-03</t>
        </is>
      </c>
      <c r="F1412" s="31" t="inlineStr">
        <is>
          <t>F</t>
        </is>
      </c>
      <c r="G1412" s="31" t="inlineStr">
        <is>
          <t>Compressor</t>
        </is>
      </c>
      <c r="H1412" s="27" t="n">
        <v>380</v>
      </c>
      <c r="I1412" s="27" t="n">
        <v>410</v>
      </c>
      <c r="J1412" s="154">
        <f>I1412/H1412-1</f>
        <v/>
      </c>
      <c r="K1412" s="31" t="inlineStr">
        <is>
          <t>9</t>
        </is>
      </c>
      <c r="L1412" s="31" t="inlineStr">
        <is>
          <t>9</t>
        </is>
      </c>
      <c r="M1412" s="31" t="inlineStr">
        <is>
          <t>S2</t>
        </is>
      </c>
      <c r="N1412" s="31" t="inlineStr">
        <is>
          <t>S4</t>
        </is>
      </c>
      <c r="O1412" s="31" t="inlineStr">
        <is>
          <t>1559M27G03</t>
        </is>
      </c>
      <c r="P1412" s="31" t="inlineStr">
        <is>
          <t>SRTAS</t>
        </is>
      </c>
    </row>
    <row r="1413">
      <c r="B1413" s="31" t="inlineStr">
        <is>
          <t>CFM56-5B</t>
        </is>
      </c>
      <c r="C1413" s="31" t="inlineStr">
        <is>
          <t>2025-2026</t>
        </is>
      </c>
      <c r="D1413" s="31" t="inlineStr">
        <is>
          <t>138953</t>
        </is>
      </c>
      <c r="E1413" s="31" t="inlineStr">
        <is>
          <t>72-42-06</t>
        </is>
      </c>
      <c r="F1413" s="31" t="inlineStr">
        <is>
          <t>A</t>
        </is>
      </c>
      <c r="G1413" s="31" t="inlineStr">
        <is>
          <t>Combustor</t>
        </is>
      </c>
      <c r="H1413" s="27" t="n">
        <v>110</v>
      </c>
      <c r="I1413" s="27" t="n">
        <v>120</v>
      </c>
      <c r="J1413" s="154">
        <f>I1413/H1413-1</f>
        <v/>
      </c>
      <c r="K1413" s="31" t="inlineStr">
        <is>
          <t>43</t>
        </is>
      </c>
      <c r="L1413" s="31" t="inlineStr">
        <is>
          <t>45</t>
        </is>
      </c>
      <c r="M1413" s="31" t="inlineStr">
        <is>
          <t>S2</t>
        </is>
      </c>
      <c r="N1413" s="31" t="inlineStr">
        <is>
          <t>S4</t>
        </is>
      </c>
      <c r="O1413" s="31" t="inlineStr">
        <is>
          <t>1316M84G01</t>
        </is>
      </c>
      <c r="P1413" s="31" t="inlineStr">
        <is>
          <t>SR Technics Switzerland</t>
        </is>
      </c>
    </row>
    <row r="1414">
      <c r="B1414" s="31" t="inlineStr">
        <is>
          <t>CFM56-5B</t>
        </is>
      </c>
      <c r="C1414" s="31" t="inlineStr">
        <is>
          <t>2025-2026</t>
        </is>
      </c>
      <c r="D1414" s="31" t="inlineStr">
        <is>
          <t>138953</t>
        </is>
      </c>
      <c r="E1414" s="31" t="inlineStr">
        <is>
          <t>72-42-06</t>
        </is>
      </c>
      <c r="F1414" s="31" t="inlineStr">
        <is>
          <t>B</t>
        </is>
      </c>
      <c r="G1414" s="31" t="inlineStr">
        <is>
          <t>Combustor</t>
        </is>
      </c>
      <c r="H1414" s="27" t="n">
        <v>600</v>
      </c>
      <c r="I1414" s="27" t="n">
        <v>640</v>
      </c>
      <c r="J1414" s="154">
        <f>I1414/H1414-1</f>
        <v/>
      </c>
      <c r="K1414" s="31" t="inlineStr">
        <is>
          <t>43</t>
        </is>
      </c>
      <c r="L1414" s="31" t="inlineStr">
        <is>
          <t>45</t>
        </is>
      </c>
      <c r="M1414" s="31" t="inlineStr">
        <is>
          <t>S2</t>
        </is>
      </c>
      <c r="N1414" s="31" t="inlineStr">
        <is>
          <t>S4</t>
        </is>
      </c>
      <c r="O1414" s="31" t="inlineStr">
        <is>
          <t>1316M84G01</t>
        </is>
      </c>
      <c r="P1414" s="31" t="inlineStr">
        <is>
          <t>SR Technics Switzerland</t>
        </is>
      </c>
    </row>
    <row r="1415">
      <c r="B1415" s="31" t="inlineStr">
        <is>
          <t>CFM56-5B</t>
        </is>
      </c>
      <c r="C1415" s="31" t="inlineStr">
        <is>
          <t>2025-2026</t>
        </is>
      </c>
      <c r="D1415" s="31" t="inlineStr">
        <is>
          <t>138955</t>
        </is>
      </c>
      <c r="E1415" s="31" t="inlineStr">
        <is>
          <t>72-42-02</t>
        </is>
      </c>
      <c r="F1415" s="31" t="inlineStr">
        <is>
          <t>A</t>
        </is>
      </c>
      <c r="G1415" s="31" t="inlineStr">
        <is>
          <t>Combustor</t>
        </is>
      </c>
      <c r="H1415" s="27" t="n">
        <v>60</v>
      </c>
      <c r="I1415" s="27" t="n">
        <v>65</v>
      </c>
      <c r="J1415" s="154">
        <f>I1415/H1415-1</f>
        <v/>
      </c>
      <c r="K1415" s="31" t="inlineStr">
        <is>
          <t>9</t>
        </is>
      </c>
      <c r="L1415" s="31" t="inlineStr">
        <is>
          <t>9</t>
        </is>
      </c>
      <c r="M1415" s="31" t="inlineStr">
        <is>
          <t>S2</t>
        </is>
      </c>
      <c r="N1415" s="31" t="inlineStr">
        <is>
          <t>S4</t>
        </is>
      </c>
      <c r="O1415" s="31" t="inlineStr">
        <is>
          <t>1275M27P04</t>
        </is>
      </c>
      <c r="P1415" s="31" t="inlineStr">
        <is>
          <t>SR Technics Switzerland</t>
        </is>
      </c>
    </row>
    <row r="1416">
      <c r="B1416" s="31" t="inlineStr">
        <is>
          <t>CFM56-5B</t>
        </is>
      </c>
      <c r="C1416" s="31" t="inlineStr">
        <is>
          <t>2025-2026</t>
        </is>
      </c>
      <c r="D1416" s="31" t="inlineStr">
        <is>
          <t>138955</t>
        </is>
      </c>
      <c r="E1416" s="31" t="inlineStr">
        <is>
          <t>72-42-02</t>
        </is>
      </c>
      <c r="F1416" s="31" t="inlineStr">
        <is>
          <t>C</t>
        </is>
      </c>
      <c r="G1416" s="31" t="inlineStr">
        <is>
          <t>Combustor</t>
        </is>
      </c>
      <c r="H1416" s="27" t="n">
        <v>185</v>
      </c>
      <c r="I1416" s="27" t="n">
        <v>200</v>
      </c>
      <c r="J1416" s="154">
        <f>I1416/H1416-1</f>
        <v/>
      </c>
      <c r="K1416" s="31" t="inlineStr">
        <is>
          <t>9</t>
        </is>
      </c>
      <c r="L1416" s="31" t="inlineStr">
        <is>
          <t>9</t>
        </is>
      </c>
      <c r="M1416" s="31" t="inlineStr">
        <is>
          <t>S2</t>
        </is>
      </c>
      <c r="N1416" s="31" t="inlineStr">
        <is>
          <t>S4</t>
        </is>
      </c>
      <c r="O1416" s="31" t="inlineStr">
        <is>
          <t>1275M27P04</t>
        </is>
      </c>
      <c r="P1416" s="31" t="inlineStr">
        <is>
          <t>SR Technics Switzerland</t>
        </is>
      </c>
    </row>
    <row r="1417">
      <c r="B1417" s="31" t="inlineStr">
        <is>
          <t>CFM56-5B</t>
        </is>
      </c>
      <c r="C1417" s="31" t="inlineStr">
        <is>
          <t>2025-2026</t>
        </is>
      </c>
      <c r="D1417" s="31" t="inlineStr">
        <is>
          <t>138955</t>
        </is>
      </c>
      <c r="E1417" s="31" t="inlineStr">
        <is>
          <t>72-42-02</t>
        </is>
      </c>
      <c r="F1417" s="31" t="inlineStr">
        <is>
          <t>D</t>
        </is>
      </c>
      <c r="G1417" s="31" t="inlineStr">
        <is>
          <t>Combustor</t>
        </is>
      </c>
      <c r="H1417" s="27" t="n">
        <v>130</v>
      </c>
      <c r="I1417" s="27" t="n">
        <v>140</v>
      </c>
      <c r="J1417" s="154">
        <f>I1417/H1417-1</f>
        <v/>
      </c>
      <c r="K1417" s="31" t="inlineStr">
        <is>
          <t>9</t>
        </is>
      </c>
      <c r="L1417" s="31" t="inlineStr">
        <is>
          <t>9</t>
        </is>
      </c>
      <c r="M1417" s="31" t="inlineStr">
        <is>
          <t>S2</t>
        </is>
      </c>
      <c r="N1417" s="31" t="inlineStr">
        <is>
          <t>S4</t>
        </is>
      </c>
      <c r="O1417" s="31" t="inlineStr">
        <is>
          <t>1275M27P04</t>
        </is>
      </c>
      <c r="P1417" s="31" t="inlineStr">
        <is>
          <t>SR Technics Switzerland</t>
        </is>
      </c>
    </row>
    <row r="1418">
      <c r="B1418" s="31" t="inlineStr">
        <is>
          <t>CFM56-5B</t>
        </is>
      </c>
      <c r="C1418" s="31" t="inlineStr">
        <is>
          <t>2025-2026</t>
        </is>
      </c>
      <c r="D1418" s="31" t="inlineStr">
        <is>
          <t>138977</t>
        </is>
      </c>
      <c r="E1418" s="31" t="inlineStr">
        <is>
          <t>72-61-05</t>
        </is>
      </c>
      <c r="F1418" s="31" t="inlineStr">
        <is>
          <t>A</t>
        </is>
      </c>
      <c r="G1418" s="31" t="inlineStr">
        <is>
          <t>Gearbox</t>
        </is>
      </c>
      <c r="H1418" s="27" t="n">
        <v>1050</v>
      </c>
      <c r="I1418" s="27" t="n">
        <v>1105</v>
      </c>
      <c r="J1418" s="154">
        <f>I1418/H1418-1</f>
        <v/>
      </c>
      <c r="K1418" s="31" t="inlineStr">
        <is>
          <t>9</t>
        </is>
      </c>
      <c r="L1418" s="31" t="inlineStr">
        <is>
          <t>9</t>
        </is>
      </c>
      <c r="M1418" s="31" t="inlineStr">
        <is>
          <t>S2</t>
        </is>
      </c>
      <c r="N1418" s="31" t="inlineStr">
        <is>
          <t>S4</t>
        </is>
      </c>
      <c r="O1418" s="31" t="inlineStr">
        <is>
          <t>9972M46G05</t>
        </is>
      </c>
      <c r="P1418" s="31" t="inlineStr">
        <is>
          <t>SR Technics Switzerland</t>
        </is>
      </c>
    </row>
    <row r="1419">
      <c r="B1419" s="31" t="inlineStr">
        <is>
          <t>CFM56-5B</t>
        </is>
      </c>
      <c r="C1419" s="31" t="inlineStr">
        <is>
          <t>2025-2026</t>
        </is>
      </c>
      <c r="D1419" s="31" t="inlineStr">
        <is>
          <t>138977</t>
        </is>
      </c>
      <c r="E1419" s="31" t="inlineStr">
        <is>
          <t>72-61-05</t>
        </is>
      </c>
      <c r="F1419" s="31" t="inlineStr">
        <is>
          <t>C</t>
        </is>
      </c>
      <c r="G1419" s="31" t="inlineStr">
        <is>
          <t>Gearbox</t>
        </is>
      </c>
      <c r="H1419" s="27" t="n">
        <v>1100</v>
      </c>
      <c r="I1419" s="27" t="n">
        <v>1170</v>
      </c>
      <c r="J1419" s="154">
        <f>I1419/H1419-1</f>
        <v/>
      </c>
      <c r="K1419" s="31" t="inlineStr">
        <is>
          <t>9</t>
        </is>
      </c>
      <c r="L1419" s="31" t="inlineStr">
        <is>
          <t>9</t>
        </is>
      </c>
      <c r="M1419" s="31" t="inlineStr">
        <is>
          <t>S2</t>
        </is>
      </c>
      <c r="N1419" s="31" t="inlineStr">
        <is>
          <t>S4</t>
        </is>
      </c>
      <c r="O1419" s="31" t="inlineStr">
        <is>
          <t>9972M46G05</t>
        </is>
      </c>
      <c r="P1419" s="31" t="inlineStr">
        <is>
          <t>SR Technics Switzerland</t>
        </is>
      </c>
    </row>
    <row r="1420">
      <c r="B1420" s="31" t="inlineStr">
        <is>
          <t>CFM56-5B</t>
        </is>
      </c>
      <c r="C1420" s="31" t="inlineStr">
        <is>
          <t>2025-2026</t>
        </is>
      </c>
      <c r="D1420" s="31" t="inlineStr">
        <is>
          <t>138977</t>
        </is>
      </c>
      <c r="E1420" s="31" t="inlineStr">
        <is>
          <t>72-61-05</t>
        </is>
      </c>
      <c r="F1420" s="31" t="inlineStr">
        <is>
          <t>D</t>
        </is>
      </c>
      <c r="G1420" s="31" t="inlineStr">
        <is>
          <t>Gearbox</t>
        </is>
      </c>
      <c r="H1420" s="27" t="n">
        <v>1120</v>
      </c>
      <c r="I1420" s="27" t="n">
        <v>1190</v>
      </c>
      <c r="J1420" s="154">
        <f>I1420/H1420-1</f>
        <v/>
      </c>
      <c r="K1420" s="31" t="inlineStr">
        <is>
          <t>9</t>
        </is>
      </c>
      <c r="L1420" s="31" t="inlineStr">
        <is>
          <t>9</t>
        </is>
      </c>
      <c r="M1420" s="31" t="inlineStr">
        <is>
          <t>S2</t>
        </is>
      </c>
      <c r="N1420" s="31" t="inlineStr">
        <is>
          <t>S4</t>
        </is>
      </c>
      <c r="O1420" s="31" t="inlineStr">
        <is>
          <t>9972M46G05</t>
        </is>
      </c>
      <c r="P1420" s="31" t="inlineStr">
        <is>
          <t>SR Technics Switzerland</t>
        </is>
      </c>
    </row>
    <row r="1421">
      <c r="B1421" s="31" t="inlineStr">
        <is>
          <t>CFM56-5B</t>
        </is>
      </c>
      <c r="C1421" s="31" t="inlineStr">
        <is>
          <t>2025-2026</t>
        </is>
      </c>
      <c r="D1421" s="31" t="inlineStr">
        <is>
          <t>138977</t>
        </is>
      </c>
      <c r="E1421" s="31" t="inlineStr">
        <is>
          <t>72-61-05</t>
        </is>
      </c>
      <c r="F1421" s="31" t="inlineStr">
        <is>
          <t>E</t>
        </is>
      </c>
      <c r="G1421" s="31" t="inlineStr">
        <is>
          <t>Gearbox</t>
        </is>
      </c>
      <c r="H1421" s="27" t="n">
        <v>895</v>
      </c>
      <c r="I1421" s="27" t="n">
        <v>950</v>
      </c>
      <c r="J1421" s="154">
        <f>I1421/H1421-1</f>
        <v/>
      </c>
      <c r="K1421" s="31" t="inlineStr">
        <is>
          <t>9</t>
        </is>
      </c>
      <c r="L1421" s="31" t="inlineStr">
        <is>
          <t>9</t>
        </is>
      </c>
      <c r="M1421" s="31" t="inlineStr">
        <is>
          <t>S2</t>
        </is>
      </c>
      <c r="N1421" s="31" t="inlineStr">
        <is>
          <t>S4</t>
        </is>
      </c>
      <c r="O1421" s="31" t="inlineStr">
        <is>
          <t>9972M46G05</t>
        </is>
      </c>
      <c r="P1421" s="31" t="inlineStr">
        <is>
          <t>SR Technics Switzerland</t>
        </is>
      </c>
    </row>
    <row r="1422">
      <c r="B1422" s="31" t="inlineStr">
        <is>
          <t>CFM56-5B</t>
        </is>
      </c>
      <c r="C1422" s="31" t="inlineStr">
        <is>
          <t>2025-2026</t>
        </is>
      </c>
      <c r="D1422" s="31" t="inlineStr">
        <is>
          <t>138977</t>
        </is>
      </c>
      <c r="E1422" s="31" t="inlineStr">
        <is>
          <t>72-61-05</t>
        </is>
      </c>
      <c r="F1422" s="31" t="inlineStr">
        <is>
          <t>F</t>
        </is>
      </c>
      <c r="G1422" s="31" t="inlineStr">
        <is>
          <t>Gearbox</t>
        </is>
      </c>
      <c r="H1422" s="27" t="n">
        <v>795</v>
      </c>
      <c r="I1422" s="27" t="n">
        <v>845</v>
      </c>
      <c r="J1422" s="154">
        <f>I1422/H1422-1</f>
        <v/>
      </c>
      <c r="K1422" s="31" t="inlineStr">
        <is>
          <t>9</t>
        </is>
      </c>
      <c r="L1422" s="31" t="inlineStr">
        <is>
          <t>9</t>
        </is>
      </c>
      <c r="M1422" s="31" t="inlineStr">
        <is>
          <t>S2</t>
        </is>
      </c>
      <c r="N1422" s="31" t="inlineStr">
        <is>
          <t>S4</t>
        </is>
      </c>
      <c r="O1422" s="31" t="inlineStr">
        <is>
          <t>9972M46G05</t>
        </is>
      </c>
      <c r="P1422" s="31" t="inlineStr">
        <is>
          <t>SR Technics Switzerland</t>
        </is>
      </c>
    </row>
    <row r="1423">
      <c r="B1423" s="31" t="inlineStr">
        <is>
          <t>CFM56-5B</t>
        </is>
      </c>
      <c r="C1423" s="31" t="inlineStr">
        <is>
          <t>2025-2026</t>
        </is>
      </c>
      <c r="D1423" s="31" t="inlineStr">
        <is>
          <t>138977</t>
        </is>
      </c>
      <c r="E1423" s="31" t="inlineStr">
        <is>
          <t>72-61-05</t>
        </is>
      </c>
      <c r="F1423" s="31" t="inlineStr">
        <is>
          <t>G</t>
        </is>
      </c>
      <c r="G1423" s="31" t="inlineStr">
        <is>
          <t>Gearbox</t>
        </is>
      </c>
      <c r="H1423" s="27" t="n">
        <v>1845</v>
      </c>
      <c r="I1423" s="27" t="n">
        <v>1960</v>
      </c>
      <c r="J1423" s="154">
        <f>I1423/H1423-1</f>
        <v/>
      </c>
      <c r="K1423" s="31" t="inlineStr">
        <is>
          <t>10</t>
        </is>
      </c>
      <c r="L1423" s="31" t="inlineStr">
        <is>
          <t>9</t>
        </is>
      </c>
      <c r="M1423" s="31" t="inlineStr">
        <is>
          <t>S2</t>
        </is>
      </c>
      <c r="N1423" s="31" t="inlineStr">
        <is>
          <t>S4</t>
        </is>
      </c>
      <c r="O1423" s="31" t="inlineStr">
        <is>
          <t>9972M46G05</t>
        </is>
      </c>
      <c r="P1423" s="31" t="inlineStr">
        <is>
          <t>SR Technics Switzerland</t>
        </is>
      </c>
    </row>
    <row r="1424">
      <c r="B1424" s="31" t="inlineStr">
        <is>
          <t>CFM56-5B</t>
        </is>
      </c>
      <c r="C1424" s="31" t="inlineStr">
        <is>
          <t>2025-2026</t>
        </is>
      </c>
      <c r="D1424" s="31" t="inlineStr">
        <is>
          <t>138980</t>
        </is>
      </c>
      <c r="E1424" s="31" t="inlineStr">
        <is>
          <t>72-22-16</t>
        </is>
      </c>
      <c r="F1424" s="31" t="inlineStr">
        <is>
          <t>B</t>
        </is>
      </c>
      <c r="G1424" s="31" t="inlineStr">
        <is>
          <t>Fan / booster</t>
        </is>
      </c>
      <c r="H1424" s="27" t="n">
        <v>165</v>
      </c>
      <c r="I1424" s="27" t="n">
        <v>175</v>
      </c>
      <c r="J1424" s="154">
        <f>I1424/H1424-1</f>
        <v/>
      </c>
      <c r="K1424" s="31" t="inlineStr">
        <is>
          <t>43</t>
        </is>
      </c>
      <c r="L1424" s="31" t="inlineStr">
        <is>
          <t>45</t>
        </is>
      </c>
      <c r="M1424" s="31" t="inlineStr">
        <is>
          <t>S2</t>
        </is>
      </c>
      <c r="N1424" s="31" t="inlineStr">
        <is>
          <t>S4</t>
        </is>
      </c>
      <c r="O1424" s="31" t="inlineStr">
        <is>
          <t>301-297-909-0</t>
        </is>
      </c>
      <c r="P1424" s="31" t="inlineStr">
        <is>
          <t>SR Technics Switzerland</t>
        </is>
      </c>
    </row>
    <row r="1425">
      <c r="B1425" s="31" t="inlineStr">
        <is>
          <t>CFM56-5B</t>
        </is>
      </c>
      <c r="C1425" s="31" t="inlineStr">
        <is>
          <t>2025-2026</t>
        </is>
      </c>
      <c r="D1425" s="31" t="inlineStr">
        <is>
          <t>138980</t>
        </is>
      </c>
      <c r="E1425" s="31" t="inlineStr">
        <is>
          <t>72-22-16</t>
        </is>
      </c>
      <c r="F1425" s="31" t="inlineStr">
        <is>
          <t>C</t>
        </is>
      </c>
      <c r="G1425" s="31" t="inlineStr">
        <is>
          <t>Fan / booster</t>
        </is>
      </c>
      <c r="H1425" s="27" t="n">
        <v>1045</v>
      </c>
      <c r="I1425" s="27" t="n">
        <v>1110</v>
      </c>
      <c r="J1425" s="154">
        <f>I1425/H1425-1</f>
        <v/>
      </c>
      <c r="K1425" s="31" t="inlineStr">
        <is>
          <t>43</t>
        </is>
      </c>
      <c r="L1425" s="31" t="inlineStr">
        <is>
          <t>45</t>
        </is>
      </c>
      <c r="M1425" s="31" t="inlineStr">
        <is>
          <t>S2</t>
        </is>
      </c>
      <c r="N1425" s="31" t="inlineStr">
        <is>
          <t>S4</t>
        </is>
      </c>
      <c r="O1425" s="31" t="inlineStr">
        <is>
          <t>301-297-909-0</t>
        </is>
      </c>
      <c r="P1425" s="31" t="inlineStr">
        <is>
          <t>SR Technics Switzerland</t>
        </is>
      </c>
    </row>
    <row r="1426">
      <c r="B1426" s="31" t="inlineStr">
        <is>
          <t>CFM56-5B</t>
        </is>
      </c>
      <c r="C1426" s="31" t="inlineStr">
        <is>
          <t>2025-2026</t>
        </is>
      </c>
      <c r="D1426" s="31" t="inlineStr">
        <is>
          <t>138980</t>
        </is>
      </c>
      <c r="E1426" s="31" t="inlineStr">
        <is>
          <t>72-22-16</t>
        </is>
      </c>
      <c r="F1426" s="31" t="inlineStr">
        <is>
          <t>D</t>
        </is>
      </c>
      <c r="G1426" s="31" t="inlineStr">
        <is>
          <t>Fan / booster</t>
        </is>
      </c>
      <c r="H1426" s="27" t="n">
        <v>585</v>
      </c>
      <c r="I1426" s="27" t="n">
        <v>625</v>
      </c>
      <c r="J1426" s="154">
        <f>I1426/H1426-1</f>
        <v/>
      </c>
      <c r="K1426" s="31" t="inlineStr">
        <is>
          <t>43</t>
        </is>
      </c>
      <c r="L1426" s="31" t="inlineStr">
        <is>
          <t>45</t>
        </is>
      </c>
      <c r="M1426" s="31" t="inlineStr">
        <is>
          <t>S2</t>
        </is>
      </c>
      <c r="N1426" s="31" t="inlineStr">
        <is>
          <t>S4</t>
        </is>
      </c>
      <c r="O1426" s="31" t="inlineStr">
        <is>
          <t>301-297-909-0</t>
        </is>
      </c>
      <c r="P1426" s="31" t="inlineStr">
        <is>
          <t>SR Technics Switzerland</t>
        </is>
      </c>
    </row>
    <row r="1427">
      <c r="B1427" s="31" t="inlineStr">
        <is>
          <t>CFM56-5B</t>
        </is>
      </c>
      <c r="C1427" s="31" t="inlineStr">
        <is>
          <t>2025-2026</t>
        </is>
      </c>
      <c r="D1427" s="31" t="inlineStr">
        <is>
          <t>139000</t>
        </is>
      </c>
      <c r="E1427" s="31" t="inlineStr">
        <is>
          <t>71-21-08</t>
        </is>
      </c>
      <c r="F1427" s="31" t="inlineStr">
        <is>
          <t>A</t>
        </is>
      </c>
      <c r="G1427" s="31" t="inlineStr">
        <is>
          <t>Other / assembly</t>
        </is>
      </c>
      <c r="H1427" s="27" t="n">
        <v>395</v>
      </c>
      <c r="I1427" s="27" t="n">
        <v>415</v>
      </c>
      <c r="J1427" s="154">
        <f>I1427/H1427-1</f>
        <v/>
      </c>
      <c r="K1427" s="31" t="inlineStr">
        <is>
          <t>43</t>
        </is>
      </c>
      <c r="L1427" s="31" t="inlineStr">
        <is>
          <t>45</t>
        </is>
      </c>
      <c r="M1427" s="31" t="inlineStr">
        <is>
          <t>S2</t>
        </is>
      </c>
      <c r="N1427" s="31" t="inlineStr">
        <is>
          <t>S4</t>
        </is>
      </c>
      <c r="O1427" s="31" t="inlineStr">
        <is>
          <t>AMB34-4001</t>
        </is>
      </c>
      <c r="P1427" s="31" t="inlineStr">
        <is>
          <t>SR Technics Switzerland</t>
        </is>
      </c>
    </row>
    <row r="1428">
      <c r="B1428" s="31" t="inlineStr">
        <is>
          <t>CFM56-5B</t>
        </is>
      </c>
      <c r="C1428" s="31" t="inlineStr">
        <is>
          <t>2025-2026</t>
        </is>
      </c>
      <c r="D1428" s="31" t="inlineStr">
        <is>
          <t>139000</t>
        </is>
      </c>
      <c r="E1428" s="31" t="inlineStr">
        <is>
          <t>71-21-08</t>
        </is>
      </c>
      <c r="F1428" s="31" t="inlineStr">
        <is>
          <t>SB00</t>
        </is>
      </c>
      <c r="G1428" s="31" t="inlineStr">
        <is>
          <t>Other / assembly</t>
        </is>
      </c>
      <c r="H1428" s="27" t="n">
        <v>250</v>
      </c>
      <c r="I1428" s="27" t="n">
        <v>265</v>
      </c>
      <c r="J1428" s="154">
        <f>I1428/H1428-1</f>
        <v/>
      </c>
      <c r="K1428" s="31" t="inlineStr">
        <is>
          <t>44</t>
        </is>
      </c>
      <c r="L1428" s="31" t="inlineStr">
        <is>
          <t>45</t>
        </is>
      </c>
      <c r="M1428" s="31" t="inlineStr">
        <is>
          <t>S2</t>
        </is>
      </c>
      <c r="N1428" s="31" t="inlineStr">
        <is>
          <t>S4</t>
        </is>
      </c>
      <c r="O1428" s="31" t="inlineStr">
        <is>
          <t>AMB34-4001</t>
        </is>
      </c>
      <c r="P1428" s="31" t="inlineStr">
        <is>
          <t>SR Technics Switzerland</t>
        </is>
      </c>
    </row>
    <row r="1429">
      <c r="B1429" s="31" t="inlineStr">
        <is>
          <t>CFM56-5B</t>
        </is>
      </c>
      <c r="C1429" s="31" t="inlineStr">
        <is>
          <t>2025-2026</t>
        </is>
      </c>
      <c r="D1429" s="31" t="inlineStr">
        <is>
          <t>139015</t>
        </is>
      </c>
      <c r="E1429" s="31" t="inlineStr">
        <is>
          <t>72-63-21</t>
        </is>
      </c>
      <c r="F1429" s="31" t="inlineStr">
        <is>
          <t>B</t>
        </is>
      </c>
      <c r="G1429" s="31" t="inlineStr">
        <is>
          <t>Gearbox</t>
        </is>
      </c>
      <c r="H1429" s="27" t="n">
        <v>435</v>
      </c>
      <c r="I1429" s="27" t="n">
        <v>465</v>
      </c>
      <c r="J1429" s="154">
        <f>I1429/H1429-1</f>
        <v/>
      </c>
      <c r="K1429" s="31" t="inlineStr">
        <is>
          <t>44</t>
        </is>
      </c>
      <c r="L1429" s="31" t="inlineStr">
        <is>
          <t>46</t>
        </is>
      </c>
      <c r="M1429" s="31" t="inlineStr">
        <is>
          <t>S2</t>
        </is>
      </c>
      <c r="N1429" s="31" t="inlineStr">
        <is>
          <t>S4</t>
        </is>
      </c>
      <c r="O1429" s="31" t="inlineStr">
        <is>
          <t>305-115-704-0</t>
        </is>
      </c>
      <c r="P1429" s="31" t="inlineStr">
        <is>
          <t>SR Technics Switzerland</t>
        </is>
      </c>
    </row>
    <row r="1430">
      <c r="B1430" s="31" t="inlineStr">
        <is>
          <t>CFM56-5B</t>
        </is>
      </c>
      <c r="C1430" s="31" t="inlineStr">
        <is>
          <t>2025-2026</t>
        </is>
      </c>
      <c r="D1430" s="31" t="inlineStr">
        <is>
          <t>139015</t>
        </is>
      </c>
      <c r="E1430" s="31" t="inlineStr">
        <is>
          <t>72-63-21</t>
        </is>
      </c>
      <c r="F1430" s="31" t="inlineStr">
        <is>
          <t>C</t>
        </is>
      </c>
      <c r="G1430" s="31" t="inlineStr">
        <is>
          <t>Gearbox</t>
        </is>
      </c>
      <c r="H1430" s="27" t="n">
        <v>205</v>
      </c>
      <c r="I1430" s="27" t="n">
        <v>220</v>
      </c>
      <c r="J1430" s="154">
        <f>I1430/H1430-1</f>
        <v/>
      </c>
      <c r="K1430" s="31" t="inlineStr">
        <is>
          <t>44</t>
        </is>
      </c>
      <c r="L1430" s="31" t="inlineStr">
        <is>
          <t>46</t>
        </is>
      </c>
      <c r="M1430" s="31" t="inlineStr">
        <is>
          <t>S2</t>
        </is>
      </c>
      <c r="N1430" s="31" t="inlineStr">
        <is>
          <t>S4</t>
        </is>
      </c>
      <c r="O1430" s="31" t="inlineStr">
        <is>
          <t>305-115-704-0</t>
        </is>
      </c>
      <c r="P1430" s="31" t="inlineStr">
        <is>
          <t>SR Technics Switzerland</t>
        </is>
      </c>
    </row>
    <row r="1431">
      <c r="B1431" s="31" t="inlineStr">
        <is>
          <t>CFM56-5B</t>
        </is>
      </c>
      <c r="C1431" s="31" t="inlineStr">
        <is>
          <t>2025-2026</t>
        </is>
      </c>
      <c r="D1431" s="31" t="inlineStr">
        <is>
          <t>139019</t>
        </is>
      </c>
      <c r="E1431" s="31" t="inlineStr">
        <is>
          <t>72-63-09</t>
        </is>
      </c>
      <c r="F1431" s="31" t="inlineStr">
        <is>
          <t>A</t>
        </is>
      </c>
      <c r="G1431" s="31" t="inlineStr">
        <is>
          <t>Gearbox</t>
        </is>
      </c>
      <c r="H1431" s="27" t="n">
        <v>725</v>
      </c>
      <c r="I1431" s="27" t="n">
        <v>765</v>
      </c>
      <c r="J1431" s="154">
        <f>I1431/H1431-1</f>
        <v/>
      </c>
      <c r="K1431" s="31" t="inlineStr">
        <is>
          <t>44</t>
        </is>
      </c>
      <c r="L1431" s="31" t="inlineStr">
        <is>
          <t>46</t>
        </is>
      </c>
      <c r="M1431" s="31" t="inlineStr">
        <is>
          <t>S2</t>
        </is>
      </c>
      <c r="N1431" s="31" t="inlineStr">
        <is>
          <t>S4</t>
        </is>
      </c>
      <c r="O1431" s="31" t="inlineStr">
        <is>
          <t>305-145-601-0</t>
        </is>
      </c>
      <c r="P1431" s="31" t="inlineStr">
        <is>
          <t>SR Technics Switzerland</t>
        </is>
      </c>
    </row>
    <row r="1432">
      <c r="B1432" s="31" t="inlineStr">
        <is>
          <t>CFM56-5B</t>
        </is>
      </c>
      <c r="C1432" s="31" t="inlineStr">
        <is>
          <t>2025-2026</t>
        </is>
      </c>
      <c r="D1432" s="31" t="inlineStr">
        <is>
          <t>139019</t>
        </is>
      </c>
      <c r="E1432" s="31" t="inlineStr">
        <is>
          <t>72-63-09</t>
        </is>
      </c>
      <c r="F1432" s="31" t="inlineStr">
        <is>
          <t>SB01</t>
        </is>
      </c>
      <c r="G1432" s="31" t="inlineStr">
        <is>
          <t>Gearbox</t>
        </is>
      </c>
      <c r="H1432" s="27" t="n">
        <v>465</v>
      </c>
      <c r="I1432" s="27" t="n">
        <v>495</v>
      </c>
      <c r="J1432" s="154">
        <f>I1432/H1432-1</f>
        <v/>
      </c>
      <c r="K1432" s="31" t="inlineStr">
        <is>
          <t>44</t>
        </is>
      </c>
      <c r="L1432" s="31" t="inlineStr">
        <is>
          <t>46</t>
        </is>
      </c>
      <c r="M1432" s="31" t="inlineStr">
        <is>
          <t>S2</t>
        </is>
      </c>
      <c r="N1432" s="31" t="inlineStr">
        <is>
          <t>S4</t>
        </is>
      </c>
      <c r="O1432" s="31" t="inlineStr">
        <is>
          <t>305-145-601-0</t>
        </is>
      </c>
      <c r="P1432" s="31" t="inlineStr">
        <is>
          <t>SR Technics Switzerland</t>
        </is>
      </c>
    </row>
    <row r="1433">
      <c r="B1433" s="31" t="inlineStr">
        <is>
          <t>CFM56-5B</t>
        </is>
      </c>
      <c r="C1433" s="31" t="inlineStr">
        <is>
          <t>2025-2026</t>
        </is>
      </c>
      <c r="D1433" s="31" t="inlineStr">
        <is>
          <t>139021</t>
        </is>
      </c>
      <c r="E1433" s="31" t="inlineStr">
        <is>
          <t>72-63-14</t>
        </is>
      </c>
      <c r="F1433" s="31" t="inlineStr">
        <is>
          <t>B</t>
        </is>
      </c>
      <c r="G1433" s="31" t="inlineStr">
        <is>
          <t>Gearbox</t>
        </is>
      </c>
      <c r="H1433" s="27" t="n">
        <v>740</v>
      </c>
      <c r="I1433" s="27" t="n">
        <v>785</v>
      </c>
      <c r="J1433" s="154">
        <f>I1433/H1433-1</f>
        <v/>
      </c>
      <c r="K1433" s="31" t="inlineStr">
        <is>
          <t>44</t>
        </is>
      </c>
      <c r="L1433" s="31" t="inlineStr">
        <is>
          <t>46</t>
        </is>
      </c>
      <c r="M1433" s="31" t="inlineStr">
        <is>
          <t>S2</t>
        </is>
      </c>
      <c r="N1433" s="31" t="inlineStr">
        <is>
          <t>S4</t>
        </is>
      </c>
      <c r="O1433" s="31" t="inlineStr">
        <is>
          <t>301-495-102-0</t>
        </is>
      </c>
      <c r="P1433" s="31" t="inlineStr">
        <is>
          <t>SR Technics Switzerland</t>
        </is>
      </c>
    </row>
    <row r="1434">
      <c r="B1434" s="31" t="inlineStr">
        <is>
          <t>CFM56-5B</t>
        </is>
      </c>
      <c r="C1434" s="31" t="inlineStr">
        <is>
          <t>2025-2026</t>
        </is>
      </c>
      <c r="D1434" s="31" t="inlineStr">
        <is>
          <t>139021</t>
        </is>
      </c>
      <c r="E1434" s="31" t="inlineStr">
        <is>
          <t>72-63-14</t>
        </is>
      </c>
      <c r="F1434" s="31" t="inlineStr">
        <is>
          <t>C</t>
        </is>
      </c>
      <c r="G1434" s="31" t="inlineStr">
        <is>
          <t>Gearbox</t>
        </is>
      </c>
      <c r="H1434" s="27" t="n">
        <v>930</v>
      </c>
      <c r="I1434" s="27" t="n">
        <v>990</v>
      </c>
      <c r="J1434" s="154">
        <f>I1434/H1434-1</f>
        <v/>
      </c>
      <c r="K1434" s="31" t="inlineStr">
        <is>
          <t>44</t>
        </is>
      </c>
      <c r="L1434" s="31" t="inlineStr">
        <is>
          <t>46</t>
        </is>
      </c>
      <c r="M1434" s="31" t="inlineStr">
        <is>
          <t>S2</t>
        </is>
      </c>
      <c r="N1434" s="31" t="inlineStr">
        <is>
          <t>S4</t>
        </is>
      </c>
      <c r="O1434" s="31" t="inlineStr">
        <is>
          <t>301-495-102-0</t>
        </is>
      </c>
      <c r="P1434" s="31" t="inlineStr">
        <is>
          <t>SR Technics Switzerland</t>
        </is>
      </c>
    </row>
    <row r="1435">
      <c r="B1435" s="31" t="inlineStr">
        <is>
          <t>CFM56-5B</t>
        </is>
      </c>
      <c r="C1435" s="31" t="inlineStr">
        <is>
          <t>2025-2026</t>
        </is>
      </c>
      <c r="D1435" s="31" t="inlineStr">
        <is>
          <t>139023</t>
        </is>
      </c>
      <c r="E1435" s="31" t="inlineStr">
        <is>
          <t>72-55-11</t>
        </is>
      </c>
      <c r="F1435" s="31" t="inlineStr">
        <is>
          <t>A</t>
        </is>
      </c>
      <c r="G1435" s="31" t="inlineStr">
        <is>
          <t>LPT</t>
        </is>
      </c>
      <c r="H1435" s="27" t="n">
        <v>160</v>
      </c>
      <c r="I1435" s="27" t="n">
        <v>170</v>
      </c>
      <c r="J1435" s="154">
        <f>I1435/H1435-1</f>
        <v/>
      </c>
      <c r="K1435" s="31" t="inlineStr">
        <is>
          <t>44</t>
        </is>
      </c>
      <c r="L1435" s="31" t="inlineStr">
        <is>
          <t>46</t>
        </is>
      </c>
      <c r="M1435" s="31" t="inlineStr">
        <is>
          <t>S2</t>
        </is>
      </c>
      <c r="N1435" s="31" t="inlineStr">
        <is>
          <t>S4</t>
        </is>
      </c>
      <c r="O1435" s="31" t="inlineStr">
        <is>
          <t>301-367-605-0</t>
        </is>
      </c>
      <c r="P1435" s="31" t="inlineStr">
        <is>
          <t>SR Technics Switzerland</t>
        </is>
      </c>
    </row>
    <row r="1436">
      <c r="B1436" s="31" t="inlineStr">
        <is>
          <t>CFM56-5B</t>
        </is>
      </c>
      <c r="C1436" s="31" t="inlineStr">
        <is>
          <t>2025-2026</t>
        </is>
      </c>
      <c r="D1436" s="31" t="inlineStr">
        <is>
          <t>139024</t>
        </is>
      </c>
      <c r="E1436" s="31" t="inlineStr">
        <is>
          <t>72-54-14</t>
        </is>
      </c>
      <c r="F1436" s="31" t="inlineStr">
        <is>
          <t>AE</t>
        </is>
      </c>
      <c r="G1436" s="31" t="inlineStr">
        <is>
          <t>LPT</t>
        </is>
      </c>
      <c r="H1436" s="27" t="n">
        <v>120</v>
      </c>
      <c r="I1436" s="27" t="n">
        <v>130</v>
      </c>
      <c r="J1436" s="154">
        <f>I1436/H1436-1</f>
        <v/>
      </c>
      <c r="K1436" s="31" t="inlineStr">
        <is>
          <t>45</t>
        </is>
      </c>
      <c r="L1436" s="31" t="inlineStr">
        <is>
          <t>46</t>
        </is>
      </c>
      <c r="M1436" s="31" t="inlineStr">
        <is>
          <t>S2</t>
        </is>
      </c>
      <c r="N1436" s="31" t="inlineStr">
        <is>
          <t>S4</t>
        </is>
      </c>
      <c r="O1436" s="31" t="inlineStr">
        <is>
          <t>338-072-601-0</t>
        </is>
      </c>
      <c r="P1436" s="31" t="inlineStr">
        <is>
          <t>SR Technics Switzerland</t>
        </is>
      </c>
    </row>
    <row r="1437">
      <c r="B1437" s="31" t="inlineStr">
        <is>
          <t>CFM56-5B</t>
        </is>
      </c>
      <c r="C1437" s="31" t="inlineStr">
        <is>
          <t>2025-2026</t>
        </is>
      </c>
      <c r="D1437" s="31" t="inlineStr">
        <is>
          <t>139024</t>
        </is>
      </c>
      <c r="E1437" s="31" t="inlineStr">
        <is>
          <t>72-54-14</t>
        </is>
      </c>
      <c r="F1437" s="31" t="inlineStr">
        <is>
          <t>E</t>
        </is>
      </c>
      <c r="G1437" s="31" t="inlineStr">
        <is>
          <t>LPT</t>
        </is>
      </c>
      <c r="H1437" s="27" t="n">
        <v>155</v>
      </c>
      <c r="I1437" s="27" t="n">
        <v>165</v>
      </c>
      <c r="J1437" s="154">
        <f>I1437/H1437-1</f>
        <v/>
      </c>
      <c r="K1437" s="31" t="inlineStr">
        <is>
          <t>45</t>
        </is>
      </c>
      <c r="L1437" s="31" t="inlineStr">
        <is>
          <t>46</t>
        </is>
      </c>
      <c r="M1437" s="31" t="inlineStr">
        <is>
          <t>S2</t>
        </is>
      </c>
      <c r="N1437" s="31" t="inlineStr">
        <is>
          <t>S4</t>
        </is>
      </c>
      <c r="O1437" s="31" t="inlineStr">
        <is>
          <t>338-072-601-0</t>
        </is>
      </c>
      <c r="P1437" s="31" t="inlineStr">
        <is>
          <t>SR Technics Switzerland</t>
        </is>
      </c>
    </row>
    <row r="1438">
      <c r="B1438" s="31" t="inlineStr">
        <is>
          <t>CFM56-5B</t>
        </is>
      </c>
      <c r="C1438" s="31" t="inlineStr">
        <is>
          <t>2025-2026</t>
        </is>
      </c>
      <c r="D1438" s="31" t="inlineStr">
        <is>
          <t>13903</t>
        </is>
      </c>
      <c r="E1438" s="31" t="inlineStr">
        <is>
          <t>72-54-10</t>
        </is>
      </c>
      <c r="F1438" s="31" t="inlineStr">
        <is>
          <t>B</t>
        </is>
      </c>
      <c r="G1438" s="31" t="inlineStr">
        <is>
          <t>LPT</t>
        </is>
      </c>
      <c r="H1438" s="27" t="n">
        <v>230</v>
      </c>
      <c r="I1438" s="27" t="n">
        <v>245</v>
      </c>
      <c r="J1438" s="154">
        <f>I1438/H1438-1</f>
        <v/>
      </c>
      <c r="K1438" s="31" t="inlineStr">
        <is>
          <t>39</t>
        </is>
      </c>
      <c r="L1438" s="31" t="inlineStr">
        <is>
          <t>40</t>
        </is>
      </c>
      <c r="M1438" s="31" t="inlineStr">
        <is>
          <t>S2</t>
        </is>
      </c>
      <c r="N1438" s="31" t="inlineStr">
        <is>
          <t>S4</t>
        </is>
      </c>
      <c r="O1438" s="31" t="inlineStr">
        <is>
          <t>336-042-501-0</t>
        </is>
      </c>
      <c r="P1438" s="31" t="inlineStr">
        <is>
          <t>SR Technics Switzerland</t>
        </is>
      </c>
    </row>
    <row r="1439">
      <c r="B1439" s="31" t="inlineStr">
        <is>
          <t>CFM56-5B</t>
        </is>
      </c>
      <c r="C1439" s="31" t="inlineStr">
        <is>
          <t>2025-2026</t>
        </is>
      </c>
      <c r="D1439" s="31" t="inlineStr">
        <is>
          <t>139030</t>
        </is>
      </c>
      <c r="E1439" s="31" t="inlineStr">
        <is>
          <t>72-23-17</t>
        </is>
      </c>
      <c r="F1439" s="31" t="inlineStr">
        <is>
          <t>N</t>
        </is>
      </c>
      <c r="G1439" s="31" t="inlineStr">
        <is>
          <t>Fan / booster</t>
        </is>
      </c>
      <c r="H1439" s="27" t="n">
        <v>1465</v>
      </c>
      <c r="I1439" s="27" t="n">
        <v>1555</v>
      </c>
      <c r="J1439" s="154">
        <f>I1439/H1439-1</f>
        <v/>
      </c>
      <c r="K1439" s="31" t="inlineStr">
        <is>
          <t>45</t>
        </is>
      </c>
      <c r="L1439" s="31" t="inlineStr">
        <is>
          <t>46</t>
        </is>
      </c>
      <c r="M1439" s="31" t="inlineStr">
        <is>
          <t>S2</t>
        </is>
      </c>
      <c r="N1439" s="31" t="inlineStr">
        <is>
          <t>S4</t>
        </is>
      </c>
      <c r="O1439" s="31" t="inlineStr">
        <is>
          <t>338-011-201-0</t>
        </is>
      </c>
      <c r="P1439" s="31" t="inlineStr">
        <is>
          <t>SR Technics Switzerland</t>
        </is>
      </c>
    </row>
    <row r="1440">
      <c r="B1440" s="31" t="inlineStr">
        <is>
          <t>CFM56-5B</t>
        </is>
      </c>
      <c r="C1440" s="31" t="inlineStr">
        <is>
          <t>2025-2026</t>
        </is>
      </c>
      <c r="D1440" s="31" t="inlineStr">
        <is>
          <t>139035</t>
        </is>
      </c>
      <c r="E1440" s="31" t="inlineStr">
        <is>
          <t>72-23-08</t>
        </is>
      </c>
      <c r="F1440" s="31" t="inlineStr">
        <is>
          <t>I</t>
        </is>
      </c>
      <c r="G1440" s="31" t="inlineStr">
        <is>
          <t>Fan / booster</t>
        </is>
      </c>
      <c r="H1440" s="27" t="n">
        <v>780</v>
      </c>
      <c r="I1440" s="27" t="n">
        <v>830</v>
      </c>
      <c r="J1440" s="154">
        <f>I1440/H1440-1</f>
        <v/>
      </c>
      <c r="K1440" s="31" t="inlineStr">
        <is>
          <t>45</t>
        </is>
      </c>
      <c r="L1440" s="31" t="inlineStr">
        <is>
          <t>47</t>
        </is>
      </c>
      <c r="M1440" s="31" t="inlineStr">
        <is>
          <t>S2</t>
        </is>
      </c>
      <c r="N1440" s="31" t="inlineStr">
        <is>
          <t>S4</t>
        </is>
      </c>
      <c r="O1440" s="31" t="inlineStr">
        <is>
          <t>338-068-007-0</t>
        </is>
      </c>
      <c r="P1440" s="31" t="inlineStr">
        <is>
          <t>SR Technics Switzerland</t>
        </is>
      </c>
    </row>
    <row r="1441">
      <c r="B1441" s="31" t="inlineStr">
        <is>
          <t>CFM56-5B</t>
        </is>
      </c>
      <c r="C1441" s="31" t="inlineStr">
        <is>
          <t>2025-2026</t>
        </is>
      </c>
      <c r="D1441" s="31" t="inlineStr">
        <is>
          <t>139035</t>
        </is>
      </c>
      <c r="E1441" s="31" t="inlineStr">
        <is>
          <t>72-23-08</t>
        </is>
      </c>
      <c r="F1441" s="31" t="inlineStr">
        <is>
          <t>L</t>
        </is>
      </c>
      <c r="G1441" s="31" t="inlineStr">
        <is>
          <t>Fan / booster</t>
        </is>
      </c>
      <c r="H1441" s="27" t="n">
        <v>2970</v>
      </c>
      <c r="I1441" s="27" t="n">
        <v>3150</v>
      </c>
      <c r="J1441" s="154">
        <f>I1441/H1441-1</f>
        <v/>
      </c>
      <c r="K1441" s="31" t="inlineStr">
        <is>
          <t>45</t>
        </is>
      </c>
      <c r="L1441" s="31" t="inlineStr">
        <is>
          <t>47</t>
        </is>
      </c>
      <c r="M1441" s="31" t="inlineStr">
        <is>
          <t>S2</t>
        </is>
      </c>
      <c r="N1441" s="31" t="inlineStr">
        <is>
          <t>S4</t>
        </is>
      </c>
      <c r="O1441" s="31" t="inlineStr">
        <is>
          <t>338-068-007-0</t>
        </is>
      </c>
      <c r="P1441" s="31" t="inlineStr">
        <is>
          <t>SR Technics Switzerland</t>
        </is>
      </c>
    </row>
    <row r="1442">
      <c r="B1442" s="31" t="inlineStr">
        <is>
          <t>CFM56-5B</t>
        </is>
      </c>
      <c r="C1442" s="31" t="inlineStr">
        <is>
          <t>2025-2026</t>
        </is>
      </c>
      <c r="D1442" s="31" t="inlineStr">
        <is>
          <t>139035</t>
        </is>
      </c>
      <c r="E1442" s="31" t="inlineStr">
        <is>
          <t>72-23-08</t>
        </is>
      </c>
      <c r="F1442" s="31" t="inlineStr">
        <is>
          <t>N</t>
        </is>
      </c>
      <c r="G1442" s="31" t="inlineStr">
        <is>
          <t>Fan / booster</t>
        </is>
      </c>
      <c r="H1442" s="27" t="n">
        <v>1040</v>
      </c>
      <c r="I1442" s="27" t="n">
        <v>1105</v>
      </c>
      <c r="J1442" s="154">
        <f>I1442/H1442-1</f>
        <v/>
      </c>
      <c r="K1442" s="31" t="inlineStr">
        <is>
          <t>45</t>
        </is>
      </c>
      <c r="L1442" s="31" t="inlineStr">
        <is>
          <t>47</t>
        </is>
      </c>
      <c r="M1442" s="31" t="inlineStr">
        <is>
          <t>S2</t>
        </is>
      </c>
      <c r="N1442" s="31" t="inlineStr">
        <is>
          <t>S4</t>
        </is>
      </c>
      <c r="O1442" s="31" t="inlineStr">
        <is>
          <t>338-068-007-0</t>
        </is>
      </c>
      <c r="P1442" s="31" t="inlineStr">
        <is>
          <t>SR Technics Switzerland</t>
        </is>
      </c>
    </row>
    <row r="1443">
      <c r="B1443" s="31" t="inlineStr">
        <is>
          <t>CFM56-5B</t>
        </is>
      </c>
      <c r="C1443" s="31" t="inlineStr">
        <is>
          <t>2025-2026</t>
        </is>
      </c>
      <c r="D1443" s="31" t="inlineStr">
        <is>
          <t>139040</t>
        </is>
      </c>
      <c r="E1443" s="31" t="inlineStr">
        <is>
          <t>72-23-07</t>
        </is>
      </c>
      <c r="F1443" s="31" t="inlineStr">
        <is>
          <t>B</t>
        </is>
      </c>
      <c r="G1443" s="31" t="inlineStr">
        <is>
          <t>Fan / booster</t>
        </is>
      </c>
      <c r="H1443" s="27" t="n">
        <v>1295</v>
      </c>
      <c r="I1443" s="27" t="n">
        <v>1375</v>
      </c>
      <c r="J1443" s="154">
        <f>I1443/H1443-1</f>
        <v/>
      </c>
      <c r="K1443" s="31" t="inlineStr">
        <is>
          <t>46</t>
        </is>
      </c>
      <c r="L1443" s="31" t="inlineStr">
        <is>
          <t>48</t>
        </is>
      </c>
      <c r="M1443" s="31" t="inlineStr">
        <is>
          <t>S2</t>
        </is>
      </c>
      <c r="N1443" s="31" t="inlineStr">
        <is>
          <t>S4</t>
        </is>
      </c>
      <c r="O1443" s="31" t="inlineStr">
        <is>
          <t>338-070-102-0</t>
        </is>
      </c>
      <c r="P1443" s="31" t="inlineStr">
        <is>
          <t>SR Technics Switzerland</t>
        </is>
      </c>
    </row>
    <row r="1444">
      <c r="B1444" s="31" t="inlineStr">
        <is>
          <t>CFM56-5B</t>
        </is>
      </c>
      <c r="C1444" s="31" t="inlineStr">
        <is>
          <t>2025-2026</t>
        </is>
      </c>
      <c r="D1444" s="31" t="inlineStr">
        <is>
          <t>139040</t>
        </is>
      </c>
      <c r="E1444" s="31" t="inlineStr">
        <is>
          <t>72-23-07</t>
        </is>
      </c>
      <c r="F1444" s="31" t="inlineStr">
        <is>
          <t>C</t>
        </is>
      </c>
      <c r="G1444" s="31" t="inlineStr">
        <is>
          <t>Fan / booster</t>
        </is>
      </c>
      <c r="H1444" s="27" t="n">
        <v>920</v>
      </c>
      <c r="I1444" s="27" t="n">
        <v>980</v>
      </c>
      <c r="J1444" s="154">
        <f>I1444/H1444-1</f>
        <v/>
      </c>
      <c r="K1444" s="31" t="inlineStr">
        <is>
          <t>46</t>
        </is>
      </c>
      <c r="L1444" s="31" t="inlineStr">
        <is>
          <t>48</t>
        </is>
      </c>
      <c r="M1444" s="31" t="inlineStr">
        <is>
          <t>S2</t>
        </is>
      </c>
      <c r="N1444" s="31" t="inlineStr">
        <is>
          <t>S4</t>
        </is>
      </c>
      <c r="O1444" s="31" t="inlineStr">
        <is>
          <t>338-070-102-0</t>
        </is>
      </c>
      <c r="P1444" s="31" t="inlineStr">
        <is>
          <t>SR Technics Switzerland</t>
        </is>
      </c>
    </row>
    <row r="1445">
      <c r="B1445" s="31" t="inlineStr">
        <is>
          <t>CFM56-5B</t>
        </is>
      </c>
      <c r="C1445" s="31" t="inlineStr">
        <is>
          <t>2025-2026</t>
        </is>
      </c>
      <c r="D1445" s="31" t="inlineStr">
        <is>
          <t>139054</t>
        </is>
      </c>
      <c r="E1445" s="31" t="inlineStr">
        <is>
          <t>72-32-20</t>
        </is>
      </c>
      <c r="F1445" s="31" t="inlineStr">
        <is>
          <t>A</t>
        </is>
      </c>
      <c r="G1445" s="31" t="inlineStr">
        <is>
          <t>Compressor</t>
        </is>
      </c>
      <c r="H1445" s="27" t="n">
        <v>380</v>
      </c>
      <c r="I1445" s="27" t="n">
        <v>400</v>
      </c>
      <c r="J1445" s="154">
        <f>I1445/H1445-1</f>
        <v/>
      </c>
      <c r="K1445" s="31" t="inlineStr">
        <is>
          <t>10</t>
        </is>
      </c>
      <c r="L1445" s="31" t="inlineStr">
        <is>
          <t>9</t>
        </is>
      </c>
      <c r="M1445" s="31" t="inlineStr">
        <is>
          <t>S2</t>
        </is>
      </c>
      <c r="N1445" s="31" t="inlineStr">
        <is>
          <t>S4</t>
        </is>
      </c>
      <c r="O1445" s="31" t="inlineStr">
        <is>
          <t>9992M86G07</t>
        </is>
      </c>
      <c r="P1445" s="31" t="inlineStr">
        <is>
          <t>SR Technics Switzerland</t>
        </is>
      </c>
    </row>
    <row r="1446">
      <c r="B1446" s="31" t="inlineStr">
        <is>
          <t>CFM56-5B</t>
        </is>
      </c>
      <c r="C1446" s="31" t="inlineStr">
        <is>
          <t>2025-2026</t>
        </is>
      </c>
      <c r="D1446" s="31" t="inlineStr">
        <is>
          <t>139055</t>
        </is>
      </c>
      <c r="E1446" s="31" t="inlineStr">
        <is>
          <t>72-21-10</t>
        </is>
      </c>
      <c r="F1446" s="31" t="inlineStr">
        <is>
          <t>A</t>
        </is>
      </c>
      <c r="G1446" s="31" t="inlineStr">
        <is>
          <t>Fan / booster</t>
        </is>
      </c>
      <c r="H1446" s="27" t="n">
        <v>85</v>
      </c>
      <c r="I1446" s="27" t="n">
        <v>90</v>
      </c>
      <c r="J1446" s="154">
        <f>I1446/H1446-1</f>
        <v/>
      </c>
      <c r="K1446" s="31" t="inlineStr">
        <is>
          <t>47</t>
        </is>
      </c>
      <c r="L1446" s="31" t="inlineStr">
        <is>
          <t>49</t>
        </is>
      </c>
      <c r="M1446" s="31" t="inlineStr">
        <is>
          <t>S2</t>
        </is>
      </c>
      <c r="N1446" s="31" t="inlineStr">
        <is>
          <t>S4</t>
        </is>
      </c>
      <c r="O1446" s="31" t="inlineStr">
        <is>
          <t>338-006-102-0</t>
        </is>
      </c>
      <c r="P1446" s="31" t="inlineStr">
        <is>
          <t>SR Technics Switzerland</t>
        </is>
      </c>
    </row>
    <row r="1447">
      <c r="B1447" s="31" t="inlineStr">
        <is>
          <t>CFM56-5B</t>
        </is>
      </c>
      <c r="C1447" s="31" t="inlineStr">
        <is>
          <t>2025-2026</t>
        </is>
      </c>
      <c r="D1447" s="31" t="inlineStr">
        <is>
          <t>139055</t>
        </is>
      </c>
      <c r="E1447" s="31" t="inlineStr">
        <is>
          <t>72-21-10</t>
        </is>
      </c>
      <c r="F1447" s="31" t="inlineStr">
        <is>
          <t>B</t>
        </is>
      </c>
      <c r="G1447" s="31" t="inlineStr">
        <is>
          <t>Fan / booster</t>
        </is>
      </c>
      <c r="H1447" s="27" t="n">
        <v>160</v>
      </c>
      <c r="I1447" s="27" t="n">
        <v>170</v>
      </c>
      <c r="J1447" s="154">
        <f>I1447/H1447-1</f>
        <v/>
      </c>
      <c r="K1447" s="31" t="inlineStr">
        <is>
          <t>47</t>
        </is>
      </c>
      <c r="L1447" s="31" t="inlineStr">
        <is>
          <t>49</t>
        </is>
      </c>
      <c r="M1447" s="31" t="inlineStr">
        <is>
          <t>S2</t>
        </is>
      </c>
      <c r="N1447" s="31" t="inlineStr">
        <is>
          <t>S4</t>
        </is>
      </c>
      <c r="O1447" s="31" t="inlineStr">
        <is>
          <t>338-006-102-0</t>
        </is>
      </c>
      <c r="P1447" s="31" t="inlineStr">
        <is>
          <t>SR Technics Switzerland</t>
        </is>
      </c>
    </row>
    <row r="1448">
      <c r="B1448" s="31" t="inlineStr">
        <is>
          <t>CFM56-5B</t>
        </is>
      </c>
      <c r="C1448" s="31" t="inlineStr">
        <is>
          <t>2025-2026</t>
        </is>
      </c>
      <c r="D1448" s="31" t="inlineStr">
        <is>
          <t>139334</t>
        </is>
      </c>
      <c r="E1448" s="31" t="inlineStr">
        <is>
          <t>72-52-10</t>
        </is>
      </c>
      <c r="F1448" s="31" t="inlineStr">
        <is>
          <t>A</t>
        </is>
      </c>
      <c r="G1448" s="31" t="inlineStr">
        <is>
          <t>HPT / nozzle</t>
        </is>
      </c>
      <c r="H1448" s="27" t="n">
        <v>630</v>
      </c>
      <c r="I1448" s="27" t="n">
        <v>665</v>
      </c>
      <c r="J1448" s="154">
        <f>I1448/H1448-1</f>
        <v/>
      </c>
      <c r="K1448" s="31" t="inlineStr">
        <is>
          <t>10</t>
        </is>
      </c>
      <c r="L1448" s="31" t="inlineStr">
        <is>
          <t>9, 10</t>
        </is>
      </c>
      <c r="M1448" s="31" t="inlineStr">
        <is>
          <t>S2</t>
        </is>
      </c>
      <c r="N1448" s="31" t="inlineStr">
        <is>
          <t>S4</t>
        </is>
      </c>
      <c r="O1448" s="31" t="inlineStr">
        <is>
          <t>1319M17P01</t>
        </is>
      </c>
      <c r="P1448" s="31" t="inlineStr">
        <is>
          <t>SR Technics Switzerland</t>
        </is>
      </c>
    </row>
    <row r="1449">
      <c r="B1449" s="31" t="inlineStr">
        <is>
          <t>CFM56-5B</t>
        </is>
      </c>
      <c r="C1449" s="31" t="inlineStr">
        <is>
          <t>2025-2026</t>
        </is>
      </c>
      <c r="D1449" s="31" t="inlineStr">
        <is>
          <t>139334</t>
        </is>
      </c>
      <c r="E1449" s="31" t="inlineStr">
        <is>
          <t>72-52-10</t>
        </is>
      </c>
      <c r="F1449" s="31" t="inlineStr">
        <is>
          <t>C</t>
        </is>
      </c>
      <c r="G1449" s="31" t="inlineStr">
        <is>
          <t>HPT / nozzle</t>
        </is>
      </c>
      <c r="H1449" s="27" t="n">
        <v>4370</v>
      </c>
      <c r="I1449" s="27" t="n">
        <v>4635</v>
      </c>
      <c r="J1449" s="154">
        <f>I1449/H1449-1</f>
        <v/>
      </c>
      <c r="K1449" s="31" t="inlineStr">
        <is>
          <t>10</t>
        </is>
      </c>
      <c r="L1449" s="31" t="inlineStr">
        <is>
          <t>10</t>
        </is>
      </c>
      <c r="M1449" s="31" t="inlineStr">
        <is>
          <t>S2</t>
        </is>
      </c>
      <c r="N1449" s="31" t="inlineStr">
        <is>
          <t>S4</t>
        </is>
      </c>
      <c r="O1449" s="31" t="inlineStr">
        <is>
          <t>1319M17P01</t>
        </is>
      </c>
      <c r="P1449" s="31" t="inlineStr">
        <is>
          <t>SR Technics Switzerland</t>
        </is>
      </c>
    </row>
    <row r="1450">
      <c r="B1450" s="31" t="inlineStr">
        <is>
          <t>CFM56-5B</t>
        </is>
      </c>
      <c r="C1450" s="31" t="inlineStr">
        <is>
          <t>2025-2026</t>
        </is>
      </c>
      <c r="D1450" s="31" t="inlineStr">
        <is>
          <t>139334</t>
        </is>
      </c>
      <c r="E1450" s="31" t="inlineStr">
        <is>
          <t>72-52-10</t>
        </is>
      </c>
      <c r="F1450" s="31" t="inlineStr">
        <is>
          <t>F</t>
        </is>
      </c>
      <c r="G1450" s="31" t="inlineStr">
        <is>
          <t>HPT / nozzle</t>
        </is>
      </c>
      <c r="H1450" s="27" t="n">
        <v>350</v>
      </c>
      <c r="I1450" s="27" t="n">
        <v>375</v>
      </c>
      <c r="J1450" s="154">
        <f>I1450/H1450-1</f>
        <v/>
      </c>
      <c r="K1450" s="31" t="inlineStr">
        <is>
          <t>10</t>
        </is>
      </c>
      <c r="L1450" s="31" t="inlineStr">
        <is>
          <t>10</t>
        </is>
      </c>
      <c r="M1450" s="31" t="inlineStr">
        <is>
          <t>S2</t>
        </is>
      </c>
      <c r="N1450" s="31" t="inlineStr">
        <is>
          <t>S4</t>
        </is>
      </c>
      <c r="O1450" s="31" t="inlineStr">
        <is>
          <t>1319M17P01</t>
        </is>
      </c>
      <c r="P1450" s="31" t="inlineStr">
        <is>
          <t>SR Technics Switzerland</t>
        </is>
      </c>
    </row>
    <row r="1451">
      <c r="B1451" s="31" t="inlineStr">
        <is>
          <t>CFM56-5B</t>
        </is>
      </c>
      <c r="C1451" s="31" t="inlineStr">
        <is>
          <t>2025-2026</t>
        </is>
      </c>
      <c r="D1451" s="31" t="inlineStr">
        <is>
          <t>139334</t>
        </is>
      </c>
      <c r="E1451" s="31" t="inlineStr">
        <is>
          <t>72-52-10</t>
        </is>
      </c>
      <c r="F1451" s="31" t="inlineStr">
        <is>
          <t>SB00</t>
        </is>
      </c>
      <c r="G1451" s="31" t="inlineStr">
        <is>
          <t>HPT / nozzle</t>
        </is>
      </c>
      <c r="H1451" s="27" t="n">
        <v>460</v>
      </c>
      <c r="I1451" s="27" t="n">
        <v>490</v>
      </c>
      <c r="J1451" s="154">
        <f>I1451/H1451-1</f>
        <v/>
      </c>
      <c r="K1451" s="31" t="inlineStr">
        <is>
          <t>10</t>
        </is>
      </c>
      <c r="L1451" s="31" t="inlineStr">
        <is>
          <t>10</t>
        </is>
      </c>
      <c r="M1451" s="31" t="inlineStr">
        <is>
          <t>S2</t>
        </is>
      </c>
      <c r="N1451" s="31" t="inlineStr">
        <is>
          <t>S4</t>
        </is>
      </c>
      <c r="O1451" s="31" t="inlineStr">
        <is>
          <t>1319M17P01</t>
        </is>
      </c>
      <c r="P1451" s="31" t="inlineStr">
        <is>
          <t>SR Technics Switzerland</t>
        </is>
      </c>
    </row>
    <row r="1452">
      <c r="B1452" s="31" t="inlineStr">
        <is>
          <t>CFM56-5B</t>
        </is>
      </c>
      <c r="C1452" s="31" t="inlineStr">
        <is>
          <t>2025-2026</t>
        </is>
      </c>
      <c r="D1452" s="31" t="inlineStr">
        <is>
          <t>139335</t>
        </is>
      </c>
      <c r="E1452" s="31" t="inlineStr">
        <is>
          <t>72-61-01</t>
        </is>
      </c>
      <c r="F1452" s="31" t="inlineStr">
        <is>
          <t>B</t>
        </is>
      </c>
      <c r="G1452" s="31" t="inlineStr">
        <is>
          <t>Gearbox</t>
        </is>
      </c>
      <c r="H1452" s="27" t="n">
        <v>1280</v>
      </c>
      <c r="I1452" s="27" t="n">
        <v>1360</v>
      </c>
      <c r="J1452" s="154">
        <f>I1452/H1452-1</f>
        <v/>
      </c>
      <c r="K1452" s="31" t="inlineStr">
        <is>
          <t>10</t>
        </is>
      </c>
      <c r="L1452" s="31" t="inlineStr">
        <is>
          <t>10</t>
        </is>
      </c>
      <c r="M1452" s="31" t="inlineStr">
        <is>
          <t>S2</t>
        </is>
      </c>
      <c r="N1452" s="31" t="inlineStr">
        <is>
          <t>S4</t>
        </is>
      </c>
      <c r="O1452" s="31" t="inlineStr">
        <is>
          <t>1360M70G01</t>
        </is>
      </c>
      <c r="P1452" s="31" t="inlineStr">
        <is>
          <t>SR Technics Switzerland</t>
        </is>
      </c>
    </row>
    <row r="1453">
      <c r="B1453" s="31" t="inlineStr">
        <is>
          <t>CFM56-5B</t>
        </is>
      </c>
      <c r="C1453" s="31" t="inlineStr">
        <is>
          <t>2025-2026</t>
        </is>
      </c>
      <c r="D1453" s="31" t="inlineStr">
        <is>
          <t>139335</t>
        </is>
      </c>
      <c r="E1453" s="31" t="inlineStr">
        <is>
          <t>72-61-01</t>
        </is>
      </c>
      <c r="F1453" s="31" t="inlineStr">
        <is>
          <t>C</t>
        </is>
      </c>
      <c r="G1453" s="31" t="inlineStr">
        <is>
          <t>Gearbox</t>
        </is>
      </c>
      <c r="H1453" s="27" t="n">
        <v>980</v>
      </c>
      <c r="I1453" s="27" t="n">
        <v>1040</v>
      </c>
      <c r="J1453" s="154">
        <f>I1453/H1453-1</f>
        <v/>
      </c>
      <c r="K1453" s="31" t="inlineStr">
        <is>
          <t>10</t>
        </is>
      </c>
      <c r="L1453" s="31" t="inlineStr">
        <is>
          <t>10</t>
        </is>
      </c>
      <c r="M1453" s="31" t="inlineStr">
        <is>
          <t>S2</t>
        </is>
      </c>
      <c r="N1453" s="31" t="inlineStr">
        <is>
          <t>S4</t>
        </is>
      </c>
      <c r="O1453" s="31" t="inlineStr">
        <is>
          <t>1360M70G01</t>
        </is>
      </c>
      <c r="P1453" s="31" t="inlineStr">
        <is>
          <t>SR Technics Switzerland</t>
        </is>
      </c>
    </row>
    <row r="1454">
      <c r="B1454" s="31" t="inlineStr">
        <is>
          <t>CFM56-5B</t>
        </is>
      </c>
      <c r="C1454" s="31" t="inlineStr">
        <is>
          <t>2025-2026</t>
        </is>
      </c>
      <c r="D1454" s="31" t="inlineStr">
        <is>
          <t>139335</t>
        </is>
      </c>
      <c r="E1454" s="31" t="inlineStr">
        <is>
          <t>72-61-01</t>
        </is>
      </c>
      <c r="F1454" s="31" t="inlineStr">
        <is>
          <t>H</t>
        </is>
      </c>
      <c r="G1454" s="31" t="inlineStr">
        <is>
          <t>Gearbox</t>
        </is>
      </c>
      <c r="H1454" s="27" t="n">
        <v>3255</v>
      </c>
      <c r="I1454" s="27" t="n">
        <v>3455</v>
      </c>
      <c r="J1454" s="154">
        <f>I1454/H1454-1</f>
        <v/>
      </c>
      <c r="K1454" s="31" t="inlineStr">
        <is>
          <t>10</t>
        </is>
      </c>
      <c r="L1454" s="31" t="inlineStr">
        <is>
          <t>10</t>
        </is>
      </c>
      <c r="M1454" s="31" t="inlineStr">
        <is>
          <t>S2</t>
        </is>
      </c>
      <c r="N1454" s="31" t="inlineStr">
        <is>
          <t>S4</t>
        </is>
      </c>
      <c r="O1454" s="31" t="inlineStr">
        <is>
          <t>1360M70G01</t>
        </is>
      </c>
      <c r="P1454" s="31" t="inlineStr">
        <is>
          <t>SR Technics Switzerland</t>
        </is>
      </c>
    </row>
    <row r="1455">
      <c r="B1455" s="31" t="inlineStr">
        <is>
          <t>CFM56-5B</t>
        </is>
      </c>
      <c r="C1455" s="31" t="inlineStr">
        <is>
          <t>2025-2026</t>
        </is>
      </c>
      <c r="D1455" s="31" t="inlineStr">
        <is>
          <t>139335</t>
        </is>
      </c>
      <c r="E1455" s="31" t="inlineStr">
        <is>
          <t>72-61-01</t>
        </is>
      </c>
      <c r="F1455" s="31" t="inlineStr">
        <is>
          <t>SB01</t>
        </is>
      </c>
      <c r="G1455" s="31" t="inlineStr">
        <is>
          <t>Gearbox</t>
        </is>
      </c>
      <c r="H1455" s="27" t="n">
        <v>985</v>
      </c>
      <c r="I1455" s="27" t="n">
        <v>1045</v>
      </c>
      <c r="J1455" s="154">
        <f>I1455/H1455-1</f>
        <v/>
      </c>
      <c r="K1455" s="31" t="inlineStr">
        <is>
          <t>10</t>
        </is>
      </c>
      <c r="L1455" s="31" t="inlineStr">
        <is>
          <t>10</t>
        </is>
      </c>
      <c r="M1455" s="31" t="inlineStr">
        <is>
          <t>S2</t>
        </is>
      </c>
      <c r="N1455" s="31" t="inlineStr">
        <is>
          <t>S4</t>
        </is>
      </c>
      <c r="O1455" s="31" t="inlineStr">
        <is>
          <t>1360M70G01</t>
        </is>
      </c>
      <c r="P1455" s="31" t="inlineStr">
        <is>
          <t>SR Technics Switzerland</t>
        </is>
      </c>
    </row>
    <row r="1456">
      <c r="B1456" s="31" t="inlineStr">
        <is>
          <t>CFM56-5B</t>
        </is>
      </c>
      <c r="C1456" s="31" t="inlineStr">
        <is>
          <t>2025-2026</t>
        </is>
      </c>
      <c r="D1456" s="31" t="inlineStr">
        <is>
          <t>139336</t>
        </is>
      </c>
      <c r="E1456" s="31" t="inlineStr">
        <is>
          <t>72-61-04</t>
        </is>
      </c>
      <c r="F1456" s="31" t="inlineStr">
        <is>
          <t>B</t>
        </is>
      </c>
      <c r="G1456" s="31" t="inlineStr">
        <is>
          <t>Gearbox</t>
        </is>
      </c>
      <c r="H1456" s="27" t="n">
        <v>1275</v>
      </c>
      <c r="I1456" s="27" t="n">
        <v>1355</v>
      </c>
      <c r="J1456" s="154">
        <f>I1456/H1456-1</f>
        <v/>
      </c>
      <c r="K1456" s="31" t="inlineStr">
        <is>
          <t>10</t>
        </is>
      </c>
      <c r="L1456" s="31" t="inlineStr">
        <is>
          <t>10</t>
        </is>
      </c>
      <c r="M1456" s="31" t="inlineStr">
        <is>
          <t>S2</t>
        </is>
      </c>
      <c r="N1456" s="31" t="inlineStr">
        <is>
          <t>S4</t>
        </is>
      </c>
      <c r="O1456" s="31" t="inlineStr">
        <is>
          <t>1361M13P01</t>
        </is>
      </c>
      <c r="P1456" s="31" t="inlineStr">
        <is>
          <t>SR Technics Switzerland</t>
        </is>
      </c>
    </row>
    <row r="1457">
      <c r="B1457" s="31" t="inlineStr">
        <is>
          <t>CFM56-5B</t>
        </is>
      </c>
      <c r="C1457" s="31" t="inlineStr">
        <is>
          <t>2025-2026</t>
        </is>
      </c>
      <c r="D1457" s="31" t="inlineStr">
        <is>
          <t>139339</t>
        </is>
      </c>
      <c r="E1457" s="31" t="inlineStr">
        <is>
          <t>72-32-06</t>
        </is>
      </c>
      <c r="F1457" s="31" t="inlineStr">
        <is>
          <t>A</t>
        </is>
      </c>
      <c r="G1457" s="31" t="inlineStr">
        <is>
          <t>Compressor</t>
        </is>
      </c>
      <c r="H1457" s="27" t="n">
        <v>840</v>
      </c>
      <c r="I1457" s="27" t="n">
        <v>840</v>
      </c>
      <c r="J1457" s="154">
        <f>I1457/H1457-1</f>
        <v/>
      </c>
      <c r="K1457" s="31" t="inlineStr">
        <is>
          <t>10</t>
        </is>
      </c>
      <c r="L1457" s="31" t="inlineStr">
        <is>
          <t>10</t>
        </is>
      </c>
      <c r="M1457" s="31" t="inlineStr">
        <is>
          <t>S2</t>
        </is>
      </c>
      <c r="N1457" s="31" t="inlineStr">
        <is>
          <t>S4</t>
        </is>
      </c>
      <c r="O1457" s="31" t="inlineStr">
        <is>
          <t>1475M30G03</t>
        </is>
      </c>
      <c r="P1457" s="31" t="inlineStr">
        <is>
          <t>SR Technics Switzerland</t>
        </is>
      </c>
    </row>
    <row r="1458">
      <c r="B1458" s="31" t="inlineStr">
        <is>
          <t>CFM56-5B</t>
        </is>
      </c>
      <c r="C1458" s="31" t="inlineStr">
        <is>
          <t>2025-2026</t>
        </is>
      </c>
      <c r="D1458" s="31" t="inlineStr">
        <is>
          <t>139339</t>
        </is>
      </c>
      <c r="E1458" s="31" t="inlineStr">
        <is>
          <t>72-32-06</t>
        </is>
      </c>
      <c r="F1458" s="31" t="inlineStr">
        <is>
          <t>C</t>
        </is>
      </c>
      <c r="G1458" s="31" t="inlineStr">
        <is>
          <t>Compressor</t>
        </is>
      </c>
      <c r="H1458" s="27" t="n">
        <v>3255</v>
      </c>
      <c r="I1458" s="27" t="n">
        <v>3255</v>
      </c>
      <c r="J1458" s="154">
        <f>I1458/H1458-1</f>
        <v/>
      </c>
      <c r="K1458" s="31" t="inlineStr">
        <is>
          <t>10</t>
        </is>
      </c>
      <c r="L1458" s="31" t="inlineStr">
        <is>
          <t>10</t>
        </is>
      </c>
      <c r="M1458" s="31" t="inlineStr">
        <is>
          <t>S2</t>
        </is>
      </c>
      <c r="N1458" s="31" t="inlineStr">
        <is>
          <t>S4</t>
        </is>
      </c>
      <c r="O1458" s="31" t="inlineStr">
        <is>
          <t>1475M30G03</t>
        </is>
      </c>
      <c r="P1458" s="31" t="inlineStr">
        <is>
          <t>SR Technics Switzerland</t>
        </is>
      </c>
    </row>
    <row r="1459">
      <c r="B1459" s="31" t="inlineStr">
        <is>
          <t>CFM56-5B</t>
        </is>
      </c>
      <c r="C1459" s="31" t="inlineStr">
        <is>
          <t>2025-2026</t>
        </is>
      </c>
      <c r="D1459" s="31" t="inlineStr">
        <is>
          <t>139339</t>
        </is>
      </c>
      <c r="E1459" s="31" t="inlineStr">
        <is>
          <t>72-32-06</t>
        </is>
      </c>
      <c r="F1459" s="31" t="inlineStr">
        <is>
          <t>D</t>
        </is>
      </c>
      <c r="G1459" s="31" t="inlineStr">
        <is>
          <t>Compressor</t>
        </is>
      </c>
      <c r="H1459" s="27" t="n">
        <v>190</v>
      </c>
      <c r="I1459" s="27" t="n">
        <v>190</v>
      </c>
      <c r="J1459" s="154">
        <f>I1459/H1459-1</f>
        <v/>
      </c>
      <c r="K1459" s="31" t="inlineStr">
        <is>
          <t>10</t>
        </is>
      </c>
      <c r="L1459" s="31" t="inlineStr">
        <is>
          <t>10</t>
        </is>
      </c>
      <c r="M1459" s="31" t="inlineStr">
        <is>
          <t>S2</t>
        </is>
      </c>
      <c r="N1459" s="31" t="inlineStr">
        <is>
          <t>S4</t>
        </is>
      </c>
      <c r="O1459" s="31" t="inlineStr">
        <is>
          <t>1475M30G03</t>
        </is>
      </c>
      <c r="P1459" s="31" t="inlineStr">
        <is>
          <t>SR Technics Switzerland</t>
        </is>
      </c>
    </row>
    <row r="1460">
      <c r="B1460" s="31" t="inlineStr">
        <is>
          <t>CFM56-5B</t>
        </is>
      </c>
      <c r="C1460" s="31" t="inlineStr">
        <is>
          <t>2025-2026</t>
        </is>
      </c>
      <c r="D1460" s="31" t="inlineStr">
        <is>
          <t>139339</t>
        </is>
      </c>
      <c r="E1460" s="31" t="inlineStr">
        <is>
          <t>72-32-06</t>
        </is>
      </c>
      <c r="F1460" s="31" t="inlineStr">
        <is>
          <t>E</t>
        </is>
      </c>
      <c r="G1460" s="31" t="inlineStr">
        <is>
          <t>Compressor</t>
        </is>
      </c>
      <c r="H1460" s="27" t="n">
        <v>2965</v>
      </c>
      <c r="I1460" s="27" t="n">
        <v>2965</v>
      </c>
      <c r="J1460" s="154">
        <f>I1460/H1460-1</f>
        <v/>
      </c>
      <c r="K1460" s="31" t="inlineStr">
        <is>
          <t>10</t>
        </is>
      </c>
      <c r="L1460" s="31" t="inlineStr">
        <is>
          <t>10</t>
        </is>
      </c>
      <c r="M1460" s="31" t="inlineStr">
        <is>
          <t>S2</t>
        </is>
      </c>
      <c r="N1460" s="31" t="inlineStr">
        <is>
          <t>S4</t>
        </is>
      </c>
      <c r="O1460" s="31" t="inlineStr">
        <is>
          <t>1475M30G03</t>
        </is>
      </c>
      <c r="P1460" s="31" t="inlineStr">
        <is>
          <t>SR Technics Switzerland</t>
        </is>
      </c>
    </row>
    <row r="1461">
      <c r="B1461" s="31" t="inlineStr">
        <is>
          <t>CFM56-5B</t>
        </is>
      </c>
      <c r="C1461" s="31" t="inlineStr">
        <is>
          <t>2025-2026</t>
        </is>
      </c>
      <c r="D1461" s="31" t="inlineStr">
        <is>
          <t>139339</t>
        </is>
      </c>
      <c r="E1461" s="31" t="inlineStr">
        <is>
          <t>72-32-06</t>
        </is>
      </c>
      <c r="F1461" s="31" t="inlineStr">
        <is>
          <t>G</t>
        </is>
      </c>
      <c r="G1461" s="31" t="inlineStr">
        <is>
          <t>Compressor</t>
        </is>
      </c>
      <c r="H1461" s="27" t="n">
        <v>6180</v>
      </c>
      <c r="I1461" s="27" t="n">
        <v>6180</v>
      </c>
      <c r="J1461" s="154">
        <f>I1461/H1461-1</f>
        <v/>
      </c>
      <c r="K1461" s="31" t="inlineStr">
        <is>
          <t>10</t>
        </is>
      </c>
      <c r="L1461" s="31" t="inlineStr">
        <is>
          <t>10</t>
        </is>
      </c>
      <c r="M1461" s="31" t="inlineStr">
        <is>
          <t>S2</t>
        </is>
      </c>
      <c r="N1461" s="31" t="inlineStr">
        <is>
          <t>S4</t>
        </is>
      </c>
      <c r="O1461" s="31" t="inlineStr">
        <is>
          <t>1475M30G03</t>
        </is>
      </c>
      <c r="P1461" s="31" t="inlineStr">
        <is>
          <t>SR Technics Switzerland</t>
        </is>
      </c>
    </row>
    <row r="1462">
      <c r="B1462" s="31" t="inlineStr">
        <is>
          <t>CFM56-5B</t>
        </is>
      </c>
      <c r="C1462" s="31" t="inlineStr">
        <is>
          <t>2025-2026</t>
        </is>
      </c>
      <c r="D1462" s="31" t="inlineStr">
        <is>
          <t>139339</t>
        </is>
      </c>
      <c r="E1462" s="31" t="inlineStr">
        <is>
          <t>72-32-06</t>
        </is>
      </c>
      <c r="F1462" s="31" t="inlineStr">
        <is>
          <t>SB00</t>
        </is>
      </c>
      <c r="G1462" s="31" t="inlineStr">
        <is>
          <t>Compressor</t>
        </is>
      </c>
      <c r="H1462" s="27" t="n">
        <v>465</v>
      </c>
      <c r="I1462" s="27" t="n">
        <v>465</v>
      </c>
      <c r="J1462" s="154">
        <f>I1462/H1462-1</f>
        <v/>
      </c>
      <c r="K1462" s="31" t="inlineStr">
        <is>
          <t>10</t>
        </is>
      </c>
      <c r="L1462" s="31" t="inlineStr">
        <is>
          <t>10</t>
        </is>
      </c>
      <c r="M1462" s="31" t="inlineStr">
        <is>
          <t>S2</t>
        </is>
      </c>
      <c r="N1462" s="31" t="inlineStr">
        <is>
          <t>S4</t>
        </is>
      </c>
      <c r="O1462" s="31" t="inlineStr">
        <is>
          <t>1475M30G03</t>
        </is>
      </c>
      <c r="P1462" s="31" t="inlineStr">
        <is>
          <t>SR Technics Switzerland</t>
        </is>
      </c>
    </row>
    <row r="1463">
      <c r="B1463" s="31" t="inlineStr">
        <is>
          <t>CFM56-5B</t>
        </is>
      </c>
      <c r="C1463" s="31" t="inlineStr">
        <is>
          <t>2025-2026</t>
        </is>
      </c>
      <c r="D1463" s="31" t="inlineStr">
        <is>
          <t>139341</t>
        </is>
      </c>
      <c r="E1463" s="31" t="inlineStr">
        <is>
          <t>72-52-04</t>
        </is>
      </c>
      <c r="F1463" s="31" t="inlineStr">
        <is>
          <t>B</t>
        </is>
      </c>
      <c r="G1463" s="31" t="inlineStr">
        <is>
          <t>HPT / nozzle</t>
        </is>
      </c>
      <c r="H1463" s="27" t="n">
        <v>455</v>
      </c>
      <c r="I1463" s="27" t="n">
        <v>485</v>
      </c>
      <c r="J1463" s="154">
        <f>I1463/H1463-1</f>
        <v/>
      </c>
      <c r="K1463" s="31" t="inlineStr">
        <is>
          <t>10</t>
        </is>
      </c>
      <c r="L1463" s="31" t="inlineStr">
        <is>
          <t>10</t>
        </is>
      </c>
      <c r="M1463" s="31" t="inlineStr">
        <is>
          <t>S2</t>
        </is>
      </c>
      <c r="N1463" s="31" t="inlineStr">
        <is>
          <t>S4</t>
        </is>
      </c>
      <c r="O1463" s="31" t="inlineStr">
        <is>
          <t>1498M40P03</t>
        </is>
      </c>
      <c r="P1463" s="31" t="inlineStr">
        <is>
          <t>SR Technics Switzerland</t>
        </is>
      </c>
    </row>
    <row r="1464">
      <c r="B1464" s="31" t="inlineStr">
        <is>
          <t>CFM56-5B</t>
        </is>
      </c>
      <c r="C1464" s="31" t="inlineStr">
        <is>
          <t>2025-2026</t>
        </is>
      </c>
      <c r="D1464" s="31" t="inlineStr">
        <is>
          <t>139341</t>
        </is>
      </c>
      <c r="E1464" s="31" t="inlineStr">
        <is>
          <t>72-52-04</t>
        </is>
      </c>
      <c r="F1464" s="31" t="inlineStr">
        <is>
          <t>D</t>
        </is>
      </c>
      <c r="G1464" s="31" t="inlineStr">
        <is>
          <t>HPT / nozzle</t>
        </is>
      </c>
      <c r="H1464" s="27" t="n">
        <v>4315</v>
      </c>
      <c r="I1464" s="27" t="n">
        <v>4575</v>
      </c>
      <c r="J1464" s="154">
        <f>I1464/H1464-1</f>
        <v/>
      </c>
      <c r="K1464" s="31" t="inlineStr">
        <is>
          <t>10</t>
        </is>
      </c>
      <c r="L1464" s="31" t="inlineStr">
        <is>
          <t>10</t>
        </is>
      </c>
      <c r="M1464" s="31" t="inlineStr">
        <is>
          <t>S2</t>
        </is>
      </c>
      <c r="N1464" s="31" t="inlineStr">
        <is>
          <t>S4</t>
        </is>
      </c>
      <c r="O1464" s="31" t="inlineStr">
        <is>
          <t>1498M40P03</t>
        </is>
      </c>
      <c r="P1464" s="31" t="inlineStr">
        <is>
          <t>SR Technics Switzerland</t>
        </is>
      </c>
    </row>
    <row r="1465">
      <c r="B1465" s="31" t="inlineStr">
        <is>
          <t>CFM56-5B</t>
        </is>
      </c>
      <c r="C1465" s="31" t="inlineStr">
        <is>
          <t>2025-2026</t>
        </is>
      </c>
      <c r="D1465" s="31" t="inlineStr">
        <is>
          <t>139341</t>
        </is>
      </c>
      <c r="E1465" s="31" t="inlineStr">
        <is>
          <t>72-52-04</t>
        </is>
      </c>
      <c r="F1465" s="31" t="inlineStr">
        <is>
          <t>E</t>
        </is>
      </c>
      <c r="G1465" s="31" t="inlineStr">
        <is>
          <t>HPT / nozzle</t>
        </is>
      </c>
      <c r="H1465" s="27" t="n">
        <v>3210</v>
      </c>
      <c r="I1465" s="27" t="n">
        <v>3405</v>
      </c>
      <c r="J1465" s="154">
        <f>I1465/H1465-1</f>
        <v/>
      </c>
      <c r="K1465" s="31" t="inlineStr">
        <is>
          <t>10</t>
        </is>
      </c>
      <c r="L1465" s="31" t="inlineStr">
        <is>
          <t>10</t>
        </is>
      </c>
      <c r="M1465" s="31" t="inlineStr">
        <is>
          <t>S2</t>
        </is>
      </c>
      <c r="N1465" s="31" t="inlineStr">
        <is>
          <t>S4</t>
        </is>
      </c>
      <c r="O1465" s="31" t="inlineStr">
        <is>
          <t>1498M40P03</t>
        </is>
      </c>
      <c r="P1465" s="31" t="inlineStr">
        <is>
          <t>SR Technics Switzerland</t>
        </is>
      </c>
    </row>
    <row r="1466">
      <c r="B1466" s="31" t="inlineStr">
        <is>
          <t>CFM56-5B</t>
        </is>
      </c>
      <c r="C1466" s="31" t="inlineStr">
        <is>
          <t>2025-2026</t>
        </is>
      </c>
      <c r="D1466" s="31" t="inlineStr">
        <is>
          <t>139341</t>
        </is>
      </c>
      <c r="E1466" s="31" t="inlineStr">
        <is>
          <t>72-52-04</t>
        </is>
      </c>
      <c r="F1466" s="31" t="inlineStr">
        <is>
          <t>F</t>
        </is>
      </c>
      <c r="G1466" s="31" t="inlineStr">
        <is>
          <t>HPT / nozzle</t>
        </is>
      </c>
      <c r="H1466" s="27" t="n">
        <v>1155</v>
      </c>
      <c r="I1466" s="27" t="n">
        <v>1225</v>
      </c>
      <c r="J1466" s="154">
        <f>I1466/H1466-1</f>
        <v/>
      </c>
      <c r="K1466" s="31" t="inlineStr">
        <is>
          <t>10</t>
        </is>
      </c>
      <c r="L1466" s="31" t="inlineStr">
        <is>
          <t>10</t>
        </is>
      </c>
      <c r="M1466" s="31" t="inlineStr">
        <is>
          <t>S2</t>
        </is>
      </c>
      <c r="N1466" s="31" t="inlineStr">
        <is>
          <t>S4</t>
        </is>
      </c>
      <c r="O1466" s="31" t="inlineStr">
        <is>
          <t>1498M40P03</t>
        </is>
      </c>
      <c r="P1466" s="31" t="inlineStr">
        <is>
          <t>SR Technics Switzerland</t>
        </is>
      </c>
    </row>
    <row r="1467">
      <c r="B1467" s="31" t="inlineStr">
        <is>
          <t>CFM56-5B</t>
        </is>
      </c>
      <c r="C1467" s="31" t="inlineStr">
        <is>
          <t>2025-2026</t>
        </is>
      </c>
      <c r="D1467" s="31" t="inlineStr">
        <is>
          <t>139341</t>
        </is>
      </c>
      <c r="E1467" s="31" t="inlineStr">
        <is>
          <t>72-52-04</t>
        </is>
      </c>
      <c r="F1467" s="31" t="inlineStr">
        <is>
          <t>SB00</t>
        </is>
      </c>
      <c r="G1467" s="31" t="inlineStr">
        <is>
          <t>HPT / nozzle</t>
        </is>
      </c>
      <c r="H1467" s="27" t="n">
        <v>1200</v>
      </c>
      <c r="I1467" s="27" t="n">
        <v>1275</v>
      </c>
      <c r="J1467" s="154">
        <f>I1467/H1467-1</f>
        <v/>
      </c>
      <c r="K1467" s="31" t="inlineStr">
        <is>
          <t>10</t>
        </is>
      </c>
      <c r="L1467" s="31" t="inlineStr">
        <is>
          <t>10</t>
        </is>
      </c>
      <c r="M1467" s="31" t="inlineStr">
        <is>
          <t>S2</t>
        </is>
      </c>
      <c r="N1467" s="31" t="inlineStr">
        <is>
          <t>S4</t>
        </is>
      </c>
      <c r="O1467" s="31" t="inlineStr">
        <is>
          <t>1498M40P03</t>
        </is>
      </c>
      <c r="P1467" s="31" t="inlineStr">
        <is>
          <t>SR Technics Switzerland</t>
        </is>
      </c>
    </row>
    <row r="1468">
      <c r="B1468" s="31" t="inlineStr">
        <is>
          <t>CFM56-5B</t>
        </is>
      </c>
      <c r="C1468" s="31" t="inlineStr">
        <is>
          <t>2025-2026</t>
        </is>
      </c>
      <c r="D1468" s="31" t="inlineStr">
        <is>
          <t>139342</t>
        </is>
      </c>
      <c r="E1468" s="31" t="inlineStr">
        <is>
          <t>72-52-02</t>
        </is>
      </c>
      <c r="F1468" s="31" t="inlineStr">
        <is>
          <t>B</t>
        </is>
      </c>
      <c r="G1468" s="31" t="inlineStr">
        <is>
          <t>HPT / nozzle</t>
        </is>
      </c>
      <c r="H1468" s="27" t="n">
        <v>3335</v>
      </c>
      <c r="I1468" s="27" t="n">
        <v>3540</v>
      </c>
      <c r="J1468" s="154">
        <f>I1468/H1468-1</f>
        <v/>
      </c>
      <c r="K1468" s="31" t="inlineStr">
        <is>
          <t>10</t>
        </is>
      </c>
      <c r="L1468" s="31" t="inlineStr">
        <is>
          <t>10</t>
        </is>
      </c>
      <c r="M1468" s="31" t="inlineStr">
        <is>
          <t>S2</t>
        </is>
      </c>
      <c r="N1468" s="31" t="inlineStr">
        <is>
          <t>S4</t>
        </is>
      </c>
      <c r="O1468" s="31" t="inlineStr">
        <is>
          <t>1498M43P04</t>
        </is>
      </c>
      <c r="P1468" s="31" t="inlineStr">
        <is>
          <t>SR Technics Switzerland</t>
        </is>
      </c>
    </row>
    <row r="1469">
      <c r="B1469" s="31" t="inlineStr">
        <is>
          <t>CFM56-5B</t>
        </is>
      </c>
      <c r="C1469" s="31" t="inlineStr">
        <is>
          <t>2025-2026</t>
        </is>
      </c>
      <c r="D1469" s="31" t="inlineStr">
        <is>
          <t>139342</t>
        </is>
      </c>
      <c r="E1469" s="31" t="inlineStr">
        <is>
          <t>72-52-02</t>
        </is>
      </c>
      <c r="F1469" s="31" t="inlineStr">
        <is>
          <t>D</t>
        </is>
      </c>
      <c r="G1469" s="31" t="inlineStr">
        <is>
          <t>HPT / nozzle</t>
        </is>
      </c>
      <c r="H1469" s="27" t="n">
        <v>3370</v>
      </c>
      <c r="I1469" s="27" t="n">
        <v>3575</v>
      </c>
      <c r="J1469" s="154">
        <f>I1469/H1469-1</f>
        <v/>
      </c>
      <c r="K1469" s="31" t="inlineStr">
        <is>
          <t>10</t>
        </is>
      </c>
      <c r="L1469" s="31" t="inlineStr">
        <is>
          <t>10</t>
        </is>
      </c>
      <c r="M1469" s="31" t="inlineStr">
        <is>
          <t>S2</t>
        </is>
      </c>
      <c r="N1469" s="31" t="inlineStr">
        <is>
          <t>S4</t>
        </is>
      </c>
      <c r="O1469" s="31" t="inlineStr">
        <is>
          <t>1498M43P04</t>
        </is>
      </c>
      <c r="P1469" s="31" t="inlineStr">
        <is>
          <t>SR Technics Switzerland</t>
        </is>
      </c>
    </row>
    <row r="1470">
      <c r="B1470" s="31" t="inlineStr">
        <is>
          <t>CFM56-5B</t>
        </is>
      </c>
      <c r="C1470" s="31" t="inlineStr">
        <is>
          <t>2025-2026</t>
        </is>
      </c>
      <c r="D1470" s="31" t="inlineStr">
        <is>
          <t>139342</t>
        </is>
      </c>
      <c r="E1470" s="31" t="inlineStr">
        <is>
          <t>72-52-02</t>
        </is>
      </c>
      <c r="F1470" s="31" t="inlineStr">
        <is>
          <t>F</t>
        </is>
      </c>
      <c r="G1470" s="31" t="inlineStr">
        <is>
          <t>HPT / nozzle</t>
        </is>
      </c>
      <c r="H1470" s="27" t="n">
        <v>3355</v>
      </c>
      <c r="I1470" s="27" t="n">
        <v>3560</v>
      </c>
      <c r="J1470" s="154">
        <f>I1470/H1470-1</f>
        <v/>
      </c>
      <c r="K1470" s="31" t="inlineStr">
        <is>
          <t>10</t>
        </is>
      </c>
      <c r="L1470" s="31" t="inlineStr">
        <is>
          <t>10</t>
        </is>
      </c>
      <c r="M1470" s="31" t="inlineStr">
        <is>
          <t>S2</t>
        </is>
      </c>
      <c r="N1470" s="31" t="inlineStr">
        <is>
          <t>S4</t>
        </is>
      </c>
      <c r="O1470" s="31" t="inlineStr">
        <is>
          <t>1498M43P04</t>
        </is>
      </c>
      <c r="P1470" s="31" t="inlineStr">
        <is>
          <t>SR Technics Switzerland</t>
        </is>
      </c>
    </row>
    <row r="1471">
      <c r="B1471" s="31" t="inlineStr">
        <is>
          <t>CFM56-5B</t>
        </is>
      </c>
      <c r="C1471" s="31" t="inlineStr">
        <is>
          <t>2025-2026</t>
        </is>
      </c>
      <c r="D1471" s="31" t="inlineStr">
        <is>
          <t>139342</t>
        </is>
      </c>
      <c r="E1471" s="31" t="inlineStr">
        <is>
          <t>72-52-02</t>
        </is>
      </c>
      <c r="F1471" s="31" t="inlineStr">
        <is>
          <t>G</t>
        </is>
      </c>
      <c r="G1471" s="31" t="inlineStr">
        <is>
          <t>HPT / nozzle</t>
        </is>
      </c>
      <c r="H1471" s="27" t="n">
        <v>1045</v>
      </c>
      <c r="I1471" s="27" t="n">
        <v>1110</v>
      </c>
      <c r="J1471" s="154">
        <f>I1471/H1471-1</f>
        <v/>
      </c>
      <c r="K1471" s="31" t="inlineStr">
        <is>
          <t>10</t>
        </is>
      </c>
      <c r="L1471" s="31" t="inlineStr">
        <is>
          <t>10</t>
        </is>
      </c>
      <c r="M1471" s="31" t="inlineStr">
        <is>
          <t>S2</t>
        </is>
      </c>
      <c r="N1471" s="31" t="inlineStr">
        <is>
          <t>S4</t>
        </is>
      </c>
      <c r="O1471" s="31" t="inlineStr">
        <is>
          <t>1498M43P04</t>
        </is>
      </c>
      <c r="P1471" s="31" t="inlineStr">
        <is>
          <t>SR Technics Switzerland</t>
        </is>
      </c>
    </row>
    <row r="1472">
      <c r="B1472" s="31" t="inlineStr">
        <is>
          <t>CFM56-5B</t>
        </is>
      </c>
      <c r="C1472" s="31" t="inlineStr">
        <is>
          <t>2025-2026</t>
        </is>
      </c>
      <c r="D1472" s="31" t="inlineStr">
        <is>
          <t>139342</t>
        </is>
      </c>
      <c r="E1472" s="31" t="inlineStr">
        <is>
          <t>72-52-02</t>
        </is>
      </c>
      <c r="F1472" s="31" t="inlineStr">
        <is>
          <t>I</t>
        </is>
      </c>
      <c r="G1472" s="31" t="inlineStr">
        <is>
          <t>HPT / nozzle</t>
        </is>
      </c>
      <c r="H1472" s="27" t="n">
        <v>895</v>
      </c>
      <c r="I1472" s="27" t="n">
        <v>950</v>
      </c>
      <c r="J1472" s="154">
        <f>I1472/H1472-1</f>
        <v/>
      </c>
      <c r="K1472" s="31" t="inlineStr">
        <is>
          <t>10</t>
        </is>
      </c>
      <c r="L1472" s="31" t="inlineStr">
        <is>
          <t>10</t>
        </is>
      </c>
      <c r="M1472" s="31" t="inlineStr">
        <is>
          <t>S2</t>
        </is>
      </c>
      <c r="N1472" s="31" t="inlineStr">
        <is>
          <t>S4</t>
        </is>
      </c>
      <c r="O1472" s="31" t="inlineStr">
        <is>
          <t>1498M43P04</t>
        </is>
      </c>
      <c r="P1472" s="31" t="inlineStr">
        <is>
          <t>SR Technics Switzerland</t>
        </is>
      </c>
    </row>
    <row r="1473">
      <c r="B1473" s="31" t="inlineStr">
        <is>
          <t>CFM56-5B</t>
        </is>
      </c>
      <c r="C1473" s="31" t="inlineStr">
        <is>
          <t>2025-2026</t>
        </is>
      </c>
      <c r="D1473" s="31" t="inlineStr">
        <is>
          <t>139342</t>
        </is>
      </c>
      <c r="E1473" s="31" t="inlineStr">
        <is>
          <t>72-52-02</t>
        </is>
      </c>
      <c r="F1473" s="31" t="inlineStr">
        <is>
          <t>SB01</t>
        </is>
      </c>
      <c r="G1473" s="31" t="inlineStr">
        <is>
          <t>HPT / nozzle</t>
        </is>
      </c>
      <c r="H1473" s="27" t="n">
        <v>985</v>
      </c>
      <c r="I1473" s="27" t="n">
        <v>1045</v>
      </c>
      <c r="J1473" s="154">
        <f>I1473/H1473-1</f>
        <v/>
      </c>
      <c r="K1473" s="31" t="inlineStr">
        <is>
          <t>10</t>
        </is>
      </c>
      <c r="L1473" s="31" t="inlineStr">
        <is>
          <t>10</t>
        </is>
      </c>
      <c r="M1473" s="31" t="inlineStr">
        <is>
          <t>S2</t>
        </is>
      </c>
      <c r="N1473" s="31" t="inlineStr">
        <is>
          <t>S4</t>
        </is>
      </c>
      <c r="O1473" s="31" t="inlineStr">
        <is>
          <t>1498M43P04</t>
        </is>
      </c>
      <c r="P1473" s="31" t="inlineStr">
        <is>
          <t>SR Technics Switzerland</t>
        </is>
      </c>
    </row>
    <row r="1474">
      <c r="B1474" s="31" t="inlineStr">
        <is>
          <t>CFM56-5B</t>
        </is>
      </c>
      <c r="C1474" s="31" t="inlineStr">
        <is>
          <t>2025-2026</t>
        </is>
      </c>
      <c r="D1474" s="31" t="inlineStr">
        <is>
          <t>139342</t>
        </is>
      </c>
      <c r="E1474" s="31" t="inlineStr">
        <is>
          <t>72-52-02</t>
        </is>
      </c>
      <c r="F1474" s="31" t="inlineStr">
        <is>
          <t>SB03</t>
        </is>
      </c>
      <c r="G1474" s="31" t="inlineStr">
        <is>
          <t>HPT / nozzle</t>
        </is>
      </c>
      <c r="H1474" s="27" t="n">
        <v>495</v>
      </c>
      <c r="I1474" s="27" t="n">
        <v>525</v>
      </c>
      <c r="J1474" s="154">
        <f>I1474/H1474-1</f>
        <v/>
      </c>
      <c r="K1474" s="31" t="inlineStr">
        <is>
          <t>10</t>
        </is>
      </c>
      <c r="L1474" s="31" t="inlineStr">
        <is>
          <t>10</t>
        </is>
      </c>
      <c r="M1474" s="31" t="inlineStr">
        <is>
          <t>S2</t>
        </is>
      </c>
      <c r="N1474" s="31" t="inlineStr">
        <is>
          <t>S4</t>
        </is>
      </c>
      <c r="O1474" s="31" t="inlineStr">
        <is>
          <t>1498M43P04</t>
        </is>
      </c>
      <c r="P1474" s="31" t="inlineStr">
        <is>
          <t>SR Technics Switzerland</t>
        </is>
      </c>
    </row>
    <row r="1475">
      <c r="B1475" s="31" t="inlineStr">
        <is>
          <t>CFM56-5B</t>
        </is>
      </c>
      <c r="C1475" s="31" t="inlineStr">
        <is>
          <t>2025-2026</t>
        </is>
      </c>
      <c r="D1475" s="31" t="inlineStr">
        <is>
          <t>139349</t>
        </is>
      </c>
      <c r="E1475" s="31" t="inlineStr">
        <is>
          <t>72-31-08</t>
        </is>
      </c>
      <c r="F1475" s="31" t="inlineStr">
        <is>
          <t>A</t>
        </is>
      </c>
      <c r="G1475" s="31" t="inlineStr">
        <is>
          <t>Compressor</t>
        </is>
      </c>
      <c r="H1475" s="27" t="n">
        <v>1465</v>
      </c>
      <c r="I1475" s="27" t="n">
        <v>1540</v>
      </c>
      <c r="J1475" s="154">
        <f>I1475/H1475-1</f>
        <v/>
      </c>
      <c r="K1475" s="31" t="inlineStr">
        <is>
          <t>11</t>
        </is>
      </c>
      <c r="L1475" s="31" t="inlineStr">
        <is>
          <t>10</t>
        </is>
      </c>
      <c r="M1475" s="31" t="inlineStr">
        <is>
          <t>S2</t>
        </is>
      </c>
      <c r="N1475" s="31" t="inlineStr">
        <is>
          <t>S4</t>
        </is>
      </c>
      <c r="O1475" s="31" t="inlineStr">
        <is>
          <t>1523M35P01</t>
        </is>
      </c>
      <c r="P1475" s="31" t="inlineStr">
        <is>
          <t>SR Technics Switzerland</t>
        </is>
      </c>
    </row>
    <row r="1476">
      <c r="B1476" s="31" t="inlineStr">
        <is>
          <t>CFM56-5B</t>
        </is>
      </c>
      <c r="C1476" s="31" t="inlineStr">
        <is>
          <t>2025-2026</t>
        </is>
      </c>
      <c r="D1476" s="31" t="inlineStr">
        <is>
          <t>139349</t>
        </is>
      </c>
      <c r="E1476" s="31" t="inlineStr">
        <is>
          <t>72-31-08</t>
        </is>
      </c>
      <c r="F1476" s="31" t="inlineStr">
        <is>
          <t>B</t>
        </is>
      </c>
      <c r="G1476" s="31" t="inlineStr">
        <is>
          <t>Compressor</t>
        </is>
      </c>
      <c r="H1476" s="27" t="n">
        <v>1180</v>
      </c>
      <c r="I1476" s="27" t="n">
        <v>1255</v>
      </c>
      <c r="J1476" s="154">
        <f>I1476/H1476-1</f>
        <v/>
      </c>
      <c r="K1476" s="31" t="inlineStr">
        <is>
          <t>11</t>
        </is>
      </c>
      <c r="L1476" s="31" t="inlineStr">
        <is>
          <t>11</t>
        </is>
      </c>
      <c r="M1476" s="31" t="inlineStr">
        <is>
          <t>S2</t>
        </is>
      </c>
      <c r="N1476" s="31" t="inlineStr">
        <is>
          <t>S4</t>
        </is>
      </c>
      <c r="O1476" s="31" t="inlineStr">
        <is>
          <t>1523M35P01</t>
        </is>
      </c>
      <c r="P1476" s="31" t="inlineStr">
        <is>
          <t>SR Technics Switzerland</t>
        </is>
      </c>
    </row>
    <row r="1477">
      <c r="B1477" s="31" t="inlineStr">
        <is>
          <t>CFM56-5B</t>
        </is>
      </c>
      <c r="C1477" s="31" t="inlineStr">
        <is>
          <t>2025-2026</t>
        </is>
      </c>
      <c r="D1477" s="31" t="inlineStr">
        <is>
          <t>139349</t>
        </is>
      </c>
      <c r="E1477" s="31" t="inlineStr">
        <is>
          <t>72-31-08</t>
        </is>
      </c>
      <c r="F1477" s="31" t="inlineStr">
        <is>
          <t>C</t>
        </is>
      </c>
      <c r="G1477" s="31" t="inlineStr">
        <is>
          <t>Compressor</t>
        </is>
      </c>
      <c r="H1477" s="27" t="n">
        <v>4165</v>
      </c>
      <c r="I1477" s="27" t="n">
        <v>4415</v>
      </c>
      <c r="J1477" s="154">
        <f>I1477/H1477-1</f>
        <v/>
      </c>
      <c r="K1477" s="31" t="inlineStr">
        <is>
          <t>11</t>
        </is>
      </c>
      <c r="L1477" s="31" t="inlineStr">
        <is>
          <t>11</t>
        </is>
      </c>
      <c r="M1477" s="31" t="inlineStr">
        <is>
          <t>S2</t>
        </is>
      </c>
      <c r="N1477" s="31" t="inlineStr">
        <is>
          <t>S4</t>
        </is>
      </c>
      <c r="O1477" s="31" t="inlineStr">
        <is>
          <t>1523M35P01</t>
        </is>
      </c>
      <c r="P1477" s="31" t="inlineStr">
        <is>
          <t>SR Technics Switzerland</t>
        </is>
      </c>
    </row>
    <row r="1478">
      <c r="B1478" s="31" t="inlineStr">
        <is>
          <t>CFM56-5B</t>
        </is>
      </c>
      <c r="C1478" s="31" t="inlineStr">
        <is>
          <t>2025-2026</t>
        </is>
      </c>
      <c r="D1478" s="31" t="inlineStr">
        <is>
          <t>139349</t>
        </is>
      </c>
      <c r="E1478" s="31" t="inlineStr">
        <is>
          <t>72-31-08</t>
        </is>
      </c>
      <c r="F1478" s="31" t="inlineStr">
        <is>
          <t>D</t>
        </is>
      </c>
      <c r="G1478" s="31" t="inlineStr">
        <is>
          <t>Compressor</t>
        </is>
      </c>
      <c r="H1478" s="27" t="n">
        <v>3940</v>
      </c>
      <c r="I1478" s="27" t="n">
        <v>4180</v>
      </c>
      <c r="J1478" s="154">
        <f>I1478/H1478-1</f>
        <v/>
      </c>
      <c r="K1478" s="31" t="inlineStr">
        <is>
          <t>11</t>
        </is>
      </c>
      <c r="L1478" s="31" t="inlineStr">
        <is>
          <t>11</t>
        </is>
      </c>
      <c r="M1478" s="31" t="inlineStr">
        <is>
          <t>S2</t>
        </is>
      </c>
      <c r="N1478" s="31" t="inlineStr">
        <is>
          <t>S4</t>
        </is>
      </c>
      <c r="O1478" s="31" t="inlineStr">
        <is>
          <t>1523M35P01</t>
        </is>
      </c>
      <c r="P1478" s="31" t="inlineStr">
        <is>
          <t>SR Technics Switzerland</t>
        </is>
      </c>
    </row>
    <row r="1479">
      <c r="B1479" s="31" t="inlineStr">
        <is>
          <t>CFM56-5B</t>
        </is>
      </c>
      <c r="C1479" s="31" t="inlineStr">
        <is>
          <t>2025-2026</t>
        </is>
      </c>
      <c r="D1479" s="31" t="inlineStr">
        <is>
          <t>139349</t>
        </is>
      </c>
      <c r="E1479" s="31" t="inlineStr">
        <is>
          <t>72-31-08</t>
        </is>
      </c>
      <c r="F1479" s="31" t="inlineStr">
        <is>
          <t>SB00</t>
        </is>
      </c>
      <c r="G1479" s="31" t="inlineStr">
        <is>
          <t>Compressor</t>
        </is>
      </c>
      <c r="H1479" s="27" t="n">
        <v>670</v>
      </c>
      <c r="I1479" s="27" t="n">
        <v>715</v>
      </c>
      <c r="J1479" s="154">
        <f>I1479/H1479-1</f>
        <v/>
      </c>
      <c r="K1479" s="31" t="inlineStr">
        <is>
          <t>11</t>
        </is>
      </c>
      <c r="L1479" s="31" t="inlineStr">
        <is>
          <t>11</t>
        </is>
      </c>
      <c r="M1479" s="31" t="inlineStr">
        <is>
          <t>S2</t>
        </is>
      </c>
      <c r="N1479" s="31" t="inlineStr">
        <is>
          <t>S4</t>
        </is>
      </c>
      <c r="O1479" s="31" t="inlineStr">
        <is>
          <t>1523M35P01</t>
        </is>
      </c>
      <c r="P1479" s="31" t="inlineStr">
        <is>
          <t>SR Technics Switzerland</t>
        </is>
      </c>
    </row>
    <row r="1480">
      <c r="B1480" s="31" t="inlineStr">
        <is>
          <t>CFM56-5B</t>
        </is>
      </c>
      <c r="C1480" s="31" t="inlineStr">
        <is>
          <t>2025-2026</t>
        </is>
      </c>
      <c r="D1480" s="31" t="inlineStr">
        <is>
          <t>139350</t>
        </is>
      </c>
      <c r="E1480" s="31" t="inlineStr">
        <is>
          <t>72-41-05</t>
        </is>
      </c>
      <c r="F1480" s="31" t="inlineStr">
        <is>
          <t>A</t>
        </is>
      </c>
      <c r="G1480" s="31" t="inlineStr">
        <is>
          <t>Combustor</t>
        </is>
      </c>
      <c r="H1480" s="27" t="n">
        <v>820</v>
      </c>
      <c r="I1480" s="27" t="n">
        <v>865</v>
      </c>
      <c r="J1480" s="154">
        <f>I1480/H1480-1</f>
        <v/>
      </c>
      <c r="K1480" s="31" t="inlineStr">
        <is>
          <t>11</t>
        </is>
      </c>
      <c r="L1480" s="31" t="inlineStr">
        <is>
          <t>11</t>
        </is>
      </c>
      <c r="M1480" s="31" t="inlineStr">
        <is>
          <t>S2</t>
        </is>
      </c>
      <c r="N1480" s="31" t="inlineStr">
        <is>
          <t>S4</t>
        </is>
      </c>
      <c r="O1480" s="31" t="inlineStr">
        <is>
          <t>1523M37P01</t>
        </is>
      </c>
      <c r="P1480" s="31" t="inlineStr">
        <is>
          <t>SR Technics Switzerland</t>
        </is>
      </c>
    </row>
    <row r="1481">
      <c r="B1481" s="31" t="inlineStr">
        <is>
          <t>CFM56-5B</t>
        </is>
      </c>
      <c r="C1481" s="31" t="inlineStr">
        <is>
          <t>2025-2026</t>
        </is>
      </c>
      <c r="D1481" s="31" t="inlineStr">
        <is>
          <t>139350</t>
        </is>
      </c>
      <c r="E1481" s="31" t="inlineStr">
        <is>
          <t>72-41-05</t>
        </is>
      </c>
      <c r="F1481" s="31" t="inlineStr">
        <is>
          <t>B</t>
        </is>
      </c>
      <c r="G1481" s="31" t="inlineStr">
        <is>
          <t>Combustor</t>
        </is>
      </c>
      <c r="H1481" s="27" t="n">
        <v>2060</v>
      </c>
      <c r="I1481" s="27" t="n">
        <v>2185</v>
      </c>
      <c r="J1481" s="154">
        <f>I1481/H1481-1</f>
        <v/>
      </c>
      <c r="K1481" s="31" t="inlineStr">
        <is>
          <t>11</t>
        </is>
      </c>
      <c r="L1481" s="31" t="inlineStr">
        <is>
          <t>11</t>
        </is>
      </c>
      <c r="M1481" s="31" t="inlineStr">
        <is>
          <t>S2</t>
        </is>
      </c>
      <c r="N1481" s="31" t="inlineStr">
        <is>
          <t>S4</t>
        </is>
      </c>
      <c r="O1481" s="31" t="inlineStr">
        <is>
          <t>1523M37P01</t>
        </is>
      </c>
      <c r="P1481" s="31" t="inlineStr">
        <is>
          <t>SR Technics Switzerland</t>
        </is>
      </c>
    </row>
    <row r="1482">
      <c r="B1482" s="31" t="inlineStr">
        <is>
          <t>CFM56-5B</t>
        </is>
      </c>
      <c r="C1482" s="31" t="inlineStr">
        <is>
          <t>2025-2026</t>
        </is>
      </c>
      <c r="D1482" s="31" t="inlineStr">
        <is>
          <t>139350</t>
        </is>
      </c>
      <c r="E1482" s="31" t="inlineStr">
        <is>
          <t>72-41-05</t>
        </is>
      </c>
      <c r="F1482" s="31" t="inlineStr">
        <is>
          <t>SB01</t>
        </is>
      </c>
      <c r="G1482" s="31" t="inlineStr">
        <is>
          <t>Combustor</t>
        </is>
      </c>
      <c r="H1482" s="27" t="n">
        <v>900</v>
      </c>
      <c r="I1482" s="27" t="n">
        <v>955</v>
      </c>
      <c r="J1482" s="154">
        <f>I1482/H1482-1</f>
        <v/>
      </c>
      <c r="K1482" s="31" t="inlineStr">
        <is>
          <t>11</t>
        </is>
      </c>
      <c r="L1482" s="31" t="inlineStr">
        <is>
          <t>11</t>
        </is>
      </c>
      <c r="M1482" s="31" t="inlineStr">
        <is>
          <t>S2</t>
        </is>
      </c>
      <c r="N1482" s="31" t="inlineStr">
        <is>
          <t>S4</t>
        </is>
      </c>
      <c r="O1482" s="31" t="inlineStr">
        <is>
          <t>1523M37P01</t>
        </is>
      </c>
      <c r="P1482" s="31" t="inlineStr">
        <is>
          <t>SR Technics Switzerland</t>
        </is>
      </c>
    </row>
    <row r="1483">
      <c r="B1483" s="31" t="inlineStr">
        <is>
          <t>CFM56-5B</t>
        </is>
      </c>
      <c r="C1483" s="31" t="inlineStr">
        <is>
          <t>2025-2026</t>
        </is>
      </c>
      <c r="D1483" s="31" t="inlineStr">
        <is>
          <t>139353</t>
        </is>
      </c>
      <c r="E1483" s="31" t="inlineStr">
        <is>
          <t>72-51-11</t>
        </is>
      </c>
      <c r="F1483" s="31" t="inlineStr">
        <is>
          <t>B</t>
        </is>
      </c>
      <c r="G1483" s="31" t="inlineStr">
        <is>
          <t>HPT / nozzle</t>
        </is>
      </c>
      <c r="H1483" s="27" t="n">
        <v>4185</v>
      </c>
      <c r="I1483" s="27" t="n">
        <v>4440</v>
      </c>
      <c r="J1483" s="154">
        <f>I1483/H1483-1</f>
        <v/>
      </c>
      <c r="K1483" s="31" t="inlineStr">
        <is>
          <t>11</t>
        </is>
      </c>
      <c r="L1483" s="31" t="inlineStr">
        <is>
          <t>11</t>
        </is>
      </c>
      <c r="M1483" s="31" t="inlineStr">
        <is>
          <t>S2</t>
        </is>
      </c>
      <c r="N1483" s="31" t="inlineStr">
        <is>
          <t>S4</t>
        </is>
      </c>
      <c r="O1483" s="31" t="inlineStr">
        <is>
          <t>1523M43P01</t>
        </is>
      </c>
      <c r="P1483" s="31" t="inlineStr">
        <is>
          <t>SR Technics Switzerland</t>
        </is>
      </c>
    </row>
    <row r="1484">
      <c r="B1484" s="31" t="inlineStr">
        <is>
          <t>CFM56-5B</t>
        </is>
      </c>
      <c r="C1484" s="31" t="inlineStr">
        <is>
          <t>2025-2026</t>
        </is>
      </c>
      <c r="D1484" s="31" t="inlineStr">
        <is>
          <t>139354</t>
        </is>
      </c>
      <c r="E1484" s="31" t="inlineStr">
        <is>
          <t>72-53-04</t>
        </is>
      </c>
      <c r="F1484" s="31" t="inlineStr">
        <is>
          <t>D</t>
        </is>
      </c>
      <c r="G1484" s="31" t="inlineStr">
        <is>
          <t>HPT / nozzle</t>
        </is>
      </c>
      <c r="H1484" s="27" t="n">
        <v>515</v>
      </c>
      <c r="I1484" s="27" t="n">
        <v>565</v>
      </c>
      <c r="J1484" s="154">
        <f>I1484/H1484-1</f>
        <v/>
      </c>
      <c r="K1484" s="31" t="inlineStr">
        <is>
          <t>11</t>
        </is>
      </c>
      <c r="L1484" s="31" t="inlineStr">
        <is>
          <t>11</t>
        </is>
      </c>
      <c r="M1484" s="31" t="inlineStr">
        <is>
          <t>S2</t>
        </is>
      </c>
      <c r="N1484" s="31" t="inlineStr">
        <is>
          <t>S4</t>
        </is>
      </c>
      <c r="O1484" s="31" t="inlineStr">
        <is>
          <t>1523M59G01</t>
        </is>
      </c>
      <c r="P1484" s="31" t="inlineStr">
        <is>
          <t>SRTAS</t>
        </is>
      </c>
    </row>
    <row r="1485">
      <c r="B1485" s="31" t="inlineStr">
        <is>
          <t>CFM56-5B</t>
        </is>
      </c>
      <c r="C1485" s="31" t="inlineStr">
        <is>
          <t>2025-2026</t>
        </is>
      </c>
      <c r="D1485" s="31" t="inlineStr">
        <is>
          <t>139354</t>
        </is>
      </c>
      <c r="E1485" s="31" t="inlineStr">
        <is>
          <t>72-53-04</t>
        </is>
      </c>
      <c r="F1485" s="31" t="inlineStr">
        <is>
          <t>F</t>
        </is>
      </c>
      <c r="G1485" s="31" t="inlineStr">
        <is>
          <t>HPT / nozzle</t>
        </is>
      </c>
      <c r="H1485" s="27" t="n">
        <v>870</v>
      </c>
      <c r="I1485" s="27" t="n">
        <v>935</v>
      </c>
      <c r="J1485" s="154">
        <f>I1485/H1485-1</f>
        <v/>
      </c>
      <c r="K1485" s="31" t="inlineStr">
        <is>
          <t>11</t>
        </is>
      </c>
      <c r="L1485" s="31" t="inlineStr">
        <is>
          <t>11</t>
        </is>
      </c>
      <c r="M1485" s="31" t="inlineStr">
        <is>
          <t>S2</t>
        </is>
      </c>
      <c r="N1485" s="31" t="inlineStr">
        <is>
          <t>S4</t>
        </is>
      </c>
      <c r="O1485" s="31" t="inlineStr">
        <is>
          <t>1523M59G01</t>
        </is>
      </c>
      <c r="P1485" s="31" t="inlineStr">
        <is>
          <t>SRTAS</t>
        </is>
      </c>
    </row>
    <row r="1486">
      <c r="B1486" s="31" t="inlineStr">
        <is>
          <t>CFM56-5B</t>
        </is>
      </c>
      <c r="C1486" s="31" t="inlineStr">
        <is>
          <t>2025-2026</t>
        </is>
      </c>
      <c r="D1486" s="31" t="inlineStr">
        <is>
          <t>139354</t>
        </is>
      </c>
      <c r="E1486" s="31" t="inlineStr">
        <is>
          <t>72-53-04</t>
        </is>
      </c>
      <c r="F1486" s="31" t="inlineStr">
        <is>
          <t>I</t>
        </is>
      </c>
      <c r="G1486" s="31" t="inlineStr">
        <is>
          <t>HPT / nozzle</t>
        </is>
      </c>
      <c r="H1486" s="27" t="n">
        <v>1015</v>
      </c>
      <c r="I1486" s="27" t="n">
        <v>1090</v>
      </c>
      <c r="J1486" s="154">
        <f>I1486/H1486-1</f>
        <v/>
      </c>
      <c r="K1486" s="31" t="inlineStr">
        <is>
          <t>11</t>
        </is>
      </c>
      <c r="L1486" s="31" t="inlineStr">
        <is>
          <t>11</t>
        </is>
      </c>
      <c r="M1486" s="31" t="inlineStr">
        <is>
          <t>S2</t>
        </is>
      </c>
      <c r="N1486" s="31" t="inlineStr">
        <is>
          <t>S4</t>
        </is>
      </c>
      <c r="O1486" s="31" t="inlineStr">
        <is>
          <t>1523M59G01</t>
        </is>
      </c>
      <c r="P1486" s="31" t="inlineStr">
        <is>
          <t>SRTAS</t>
        </is>
      </c>
    </row>
    <row r="1487">
      <c r="B1487" s="31" t="inlineStr">
        <is>
          <t>CFM56-5B</t>
        </is>
      </c>
      <c r="C1487" s="31" t="inlineStr">
        <is>
          <t>2025-2026</t>
        </is>
      </c>
      <c r="D1487" s="31" t="inlineStr">
        <is>
          <t>139360</t>
        </is>
      </c>
      <c r="E1487" s="31" t="inlineStr">
        <is>
          <t>72-32-03</t>
        </is>
      </c>
      <c r="F1487" s="31" t="inlineStr">
        <is>
          <t>A</t>
        </is>
      </c>
      <c r="G1487" s="31" t="inlineStr">
        <is>
          <t>Compressor</t>
        </is>
      </c>
      <c r="H1487" s="27" t="n">
        <v>215</v>
      </c>
      <c r="I1487" s="27" t="n">
        <v>235</v>
      </c>
      <c r="J1487" s="154">
        <f>I1487/H1487-1</f>
        <v/>
      </c>
      <c r="K1487" s="31" t="inlineStr">
        <is>
          <t>47</t>
        </is>
      </c>
      <c r="L1487" s="31" t="inlineStr">
        <is>
          <t>49</t>
        </is>
      </c>
      <c r="M1487" s="31" t="inlineStr">
        <is>
          <t>S2</t>
        </is>
      </c>
      <c r="N1487" s="31" t="inlineStr">
        <is>
          <t>S4</t>
        </is>
      </c>
      <c r="O1487" s="31" t="inlineStr">
        <is>
          <t>1559M14G05</t>
        </is>
      </c>
      <c r="P1487" s="31" t="inlineStr">
        <is>
          <t>SRTAS</t>
        </is>
      </c>
    </row>
    <row r="1488">
      <c r="B1488" s="31" t="inlineStr">
        <is>
          <t>CFM56-5B</t>
        </is>
      </c>
      <c r="C1488" s="31" t="inlineStr">
        <is>
          <t>2025-2026</t>
        </is>
      </c>
      <c r="D1488" s="31" t="inlineStr">
        <is>
          <t>139360</t>
        </is>
      </c>
      <c r="E1488" s="31" t="inlineStr">
        <is>
          <t>72-32-03</t>
        </is>
      </c>
      <c r="F1488" s="31" t="inlineStr">
        <is>
          <t>B</t>
        </is>
      </c>
      <c r="G1488" s="31" t="inlineStr">
        <is>
          <t>Compressor</t>
        </is>
      </c>
      <c r="H1488" s="27" t="n">
        <v>535</v>
      </c>
      <c r="I1488" s="27" t="n">
        <v>575</v>
      </c>
      <c r="J1488" s="154">
        <f>I1488/H1488-1</f>
        <v/>
      </c>
      <c r="K1488" s="31" t="inlineStr">
        <is>
          <t>47</t>
        </is>
      </c>
      <c r="L1488" s="31" t="inlineStr">
        <is>
          <t>49</t>
        </is>
      </c>
      <c r="M1488" s="31" t="inlineStr">
        <is>
          <t>S2</t>
        </is>
      </c>
      <c r="N1488" s="31" t="inlineStr">
        <is>
          <t>S4</t>
        </is>
      </c>
      <c r="O1488" s="31" t="inlineStr">
        <is>
          <t>1559M14G05</t>
        </is>
      </c>
      <c r="P1488" s="31" t="inlineStr">
        <is>
          <t>SRTAS</t>
        </is>
      </c>
    </row>
    <row r="1489">
      <c r="B1489" s="31" t="inlineStr">
        <is>
          <t>CFM56-5B</t>
        </is>
      </c>
      <c r="C1489" s="31" t="inlineStr">
        <is>
          <t>2025-2026</t>
        </is>
      </c>
      <c r="D1489" s="31" t="inlineStr">
        <is>
          <t>139360</t>
        </is>
      </c>
      <c r="E1489" s="31" t="inlineStr">
        <is>
          <t>72-32-03</t>
        </is>
      </c>
      <c r="F1489" s="31" t="inlineStr">
        <is>
          <t>G</t>
        </is>
      </c>
      <c r="G1489" s="31" t="inlineStr">
        <is>
          <t>Compressor</t>
        </is>
      </c>
      <c r="H1489" s="27" t="n">
        <v>175</v>
      </c>
      <c r="I1489" s="27" t="n">
        <v>190</v>
      </c>
      <c r="J1489" s="154">
        <f>I1489/H1489-1</f>
        <v/>
      </c>
      <c r="K1489" s="31" t="inlineStr">
        <is>
          <t>47</t>
        </is>
      </c>
      <c r="L1489" s="31" t="inlineStr">
        <is>
          <t>49</t>
        </is>
      </c>
      <c r="M1489" s="31" t="inlineStr">
        <is>
          <t>S2</t>
        </is>
      </c>
      <c r="N1489" s="31" t="inlineStr">
        <is>
          <t>S4</t>
        </is>
      </c>
      <c r="O1489" s="31" t="inlineStr">
        <is>
          <t>1559M14G05</t>
        </is>
      </c>
      <c r="P1489" s="31" t="inlineStr">
        <is>
          <t>SRTAS</t>
        </is>
      </c>
    </row>
    <row r="1490">
      <c r="B1490" s="31" t="inlineStr">
        <is>
          <t>CFM56-5B</t>
        </is>
      </c>
      <c r="C1490" s="31" t="inlineStr">
        <is>
          <t>2025-2026</t>
        </is>
      </c>
      <c r="D1490" s="31" t="inlineStr">
        <is>
          <t>139360</t>
        </is>
      </c>
      <c r="E1490" s="31" t="inlineStr">
        <is>
          <t>72-32-03</t>
        </is>
      </c>
      <c r="F1490" s="31" t="inlineStr">
        <is>
          <t>H</t>
        </is>
      </c>
      <c r="G1490" s="31" t="inlineStr">
        <is>
          <t>Compressor</t>
        </is>
      </c>
      <c r="H1490" s="27" t="n">
        <v>920</v>
      </c>
      <c r="I1490" s="27" t="n">
        <v>985</v>
      </c>
      <c r="J1490" s="154">
        <f>I1490/H1490-1</f>
        <v/>
      </c>
      <c r="K1490" s="31" t="inlineStr">
        <is>
          <t>47</t>
        </is>
      </c>
      <c r="L1490" s="31" t="inlineStr">
        <is>
          <t>49</t>
        </is>
      </c>
      <c r="M1490" s="31" t="inlineStr">
        <is>
          <t>S2</t>
        </is>
      </c>
      <c r="N1490" s="31" t="inlineStr">
        <is>
          <t>S4</t>
        </is>
      </c>
      <c r="O1490" s="31" t="inlineStr">
        <is>
          <t>1559M14G05</t>
        </is>
      </c>
      <c r="P1490" s="31" t="inlineStr">
        <is>
          <t>SRTAS</t>
        </is>
      </c>
    </row>
    <row r="1491">
      <c r="B1491" s="31" t="inlineStr">
        <is>
          <t>CFM56-5B</t>
        </is>
      </c>
      <c r="C1491" s="31" t="inlineStr">
        <is>
          <t>2025-2026</t>
        </is>
      </c>
      <c r="D1491" s="31" t="inlineStr">
        <is>
          <t>139360</t>
        </is>
      </c>
      <c r="E1491" s="31" t="inlineStr">
        <is>
          <t>72-32-03</t>
        </is>
      </c>
      <c r="F1491" s="31" t="inlineStr">
        <is>
          <t>I</t>
        </is>
      </c>
      <c r="G1491" s="31" t="inlineStr">
        <is>
          <t>Compressor</t>
        </is>
      </c>
      <c r="H1491" s="27" t="n">
        <v>555</v>
      </c>
      <c r="I1491" s="27" t="n">
        <v>595</v>
      </c>
      <c r="J1491" s="154">
        <f>I1491/H1491-1</f>
        <v/>
      </c>
      <c r="K1491" s="31" t="inlineStr">
        <is>
          <t>48</t>
        </is>
      </c>
      <c r="L1491" s="31" t="inlineStr">
        <is>
          <t>49</t>
        </is>
      </c>
      <c r="M1491" s="31" t="inlineStr">
        <is>
          <t>S2</t>
        </is>
      </c>
      <c r="N1491" s="31" t="inlineStr">
        <is>
          <t>S4</t>
        </is>
      </c>
      <c r="O1491" s="31" t="inlineStr">
        <is>
          <t>1559M14G05</t>
        </is>
      </c>
      <c r="P1491" s="31" t="inlineStr">
        <is>
          <t>SRTAS</t>
        </is>
      </c>
    </row>
    <row r="1492">
      <c r="B1492" s="31" t="inlineStr">
        <is>
          <t>CFM56-5B</t>
        </is>
      </c>
      <c r="C1492" s="31" t="inlineStr">
        <is>
          <t>2025-2026</t>
        </is>
      </c>
      <c r="D1492" s="31" t="inlineStr">
        <is>
          <t>139360</t>
        </is>
      </c>
      <c r="E1492" s="31" t="inlineStr">
        <is>
          <t>72-32-03</t>
        </is>
      </c>
      <c r="F1492" s="31" t="inlineStr">
        <is>
          <t>N</t>
        </is>
      </c>
      <c r="G1492" s="31" t="inlineStr">
        <is>
          <t>Compressor</t>
        </is>
      </c>
      <c r="H1492" s="27" t="n">
        <v>100</v>
      </c>
      <c r="I1492" s="27" t="n">
        <v>110</v>
      </c>
      <c r="J1492" s="154">
        <f>I1492/H1492-1</f>
        <v/>
      </c>
      <c r="K1492" s="31" t="inlineStr">
        <is>
          <t>48</t>
        </is>
      </c>
      <c r="L1492" s="31" t="inlineStr">
        <is>
          <t>49</t>
        </is>
      </c>
      <c r="M1492" s="31" t="inlineStr">
        <is>
          <t>S2</t>
        </is>
      </c>
      <c r="N1492" s="31" t="inlineStr">
        <is>
          <t>S4</t>
        </is>
      </c>
      <c r="O1492" s="31" t="inlineStr">
        <is>
          <t>1559M14G05</t>
        </is>
      </c>
      <c r="P1492" s="31" t="inlineStr">
        <is>
          <t>SRTAS</t>
        </is>
      </c>
    </row>
    <row r="1493">
      <c r="B1493" s="31" t="inlineStr">
        <is>
          <t>CFM56-5B</t>
        </is>
      </c>
      <c r="C1493" s="31" t="inlineStr">
        <is>
          <t>2025-2026</t>
        </is>
      </c>
      <c r="D1493" s="31" t="inlineStr">
        <is>
          <t>139360</t>
        </is>
      </c>
      <c r="E1493" s="31" t="inlineStr">
        <is>
          <t>72-32-03</t>
        </is>
      </c>
      <c r="F1493" s="31" t="inlineStr">
        <is>
          <t>O</t>
        </is>
      </c>
      <c r="G1493" s="31" t="inlineStr">
        <is>
          <t>Compressor</t>
        </is>
      </c>
      <c r="H1493" s="27" t="n">
        <v>955</v>
      </c>
      <c r="I1493" s="27" t="n">
        <v>1025</v>
      </c>
      <c r="J1493" s="154">
        <f>I1493/H1493-1</f>
        <v/>
      </c>
      <c r="K1493" s="31" t="inlineStr">
        <is>
          <t>48</t>
        </is>
      </c>
      <c r="L1493" s="31" t="inlineStr">
        <is>
          <t>49</t>
        </is>
      </c>
      <c r="M1493" s="31" t="inlineStr">
        <is>
          <t>S2</t>
        </is>
      </c>
      <c r="N1493" s="31" t="inlineStr">
        <is>
          <t>S4</t>
        </is>
      </c>
      <c r="O1493" s="31" t="inlineStr">
        <is>
          <t>1559M14G05</t>
        </is>
      </c>
      <c r="P1493" s="31" t="inlineStr">
        <is>
          <t>SRTAS</t>
        </is>
      </c>
    </row>
    <row r="1494">
      <c r="B1494" s="31" t="inlineStr">
        <is>
          <t>CFM56-5B</t>
        </is>
      </c>
      <c r="C1494" s="31" t="inlineStr">
        <is>
          <t>2025-2026</t>
        </is>
      </c>
      <c r="D1494" s="31" t="inlineStr">
        <is>
          <t>139381</t>
        </is>
      </c>
      <c r="E1494" s="31" t="inlineStr">
        <is>
          <t>72-22-14</t>
        </is>
      </c>
      <c r="F1494" s="31" t="inlineStr">
        <is>
          <t>A</t>
        </is>
      </c>
      <c r="G1494" s="31" t="inlineStr">
        <is>
          <t>Fan / booster</t>
        </is>
      </c>
      <c r="H1494" s="27" t="n">
        <v>595</v>
      </c>
      <c r="I1494" s="27" t="n">
        <v>625</v>
      </c>
      <c r="J1494" s="154">
        <f>I1494/H1494-1</f>
        <v/>
      </c>
      <c r="K1494" s="31" t="inlineStr">
        <is>
          <t>11</t>
        </is>
      </c>
      <c r="L1494" s="31" t="inlineStr">
        <is>
          <t>11</t>
        </is>
      </c>
      <c r="M1494" s="31" t="inlineStr">
        <is>
          <t>S2</t>
        </is>
      </c>
      <c r="N1494" s="31" t="inlineStr">
        <is>
          <t>S4</t>
        </is>
      </c>
      <c r="O1494" s="31" t="inlineStr">
        <is>
          <t>301-475-207-6</t>
        </is>
      </c>
      <c r="P1494" s="31" t="inlineStr">
        <is>
          <t>SR Technics Switzerland</t>
        </is>
      </c>
    </row>
    <row r="1495">
      <c r="B1495" s="31" t="inlineStr">
        <is>
          <t>CFM56-5B</t>
        </is>
      </c>
      <c r="C1495" s="31" t="inlineStr">
        <is>
          <t>2025-2026</t>
        </is>
      </c>
      <c r="D1495" s="31" t="inlineStr">
        <is>
          <t>139381</t>
        </is>
      </c>
      <c r="E1495" s="31" t="inlineStr">
        <is>
          <t>72-22-14</t>
        </is>
      </c>
      <c r="F1495" s="31" t="inlineStr">
        <is>
          <t>B</t>
        </is>
      </c>
      <c r="G1495" s="31" t="inlineStr">
        <is>
          <t>Fan / booster</t>
        </is>
      </c>
      <c r="H1495" s="27" t="n">
        <v>4425</v>
      </c>
      <c r="I1495" s="27" t="n">
        <v>4695</v>
      </c>
      <c r="J1495" s="154">
        <f>I1495/H1495-1</f>
        <v/>
      </c>
      <c r="K1495" s="31" t="inlineStr">
        <is>
          <t>11</t>
        </is>
      </c>
      <c r="L1495" s="31" t="inlineStr">
        <is>
          <t>11</t>
        </is>
      </c>
      <c r="M1495" s="31" t="inlineStr">
        <is>
          <t>S2</t>
        </is>
      </c>
      <c r="N1495" s="31" t="inlineStr">
        <is>
          <t>S4</t>
        </is>
      </c>
      <c r="O1495" s="31" t="inlineStr">
        <is>
          <t>301-475-207-6</t>
        </is>
      </c>
      <c r="P1495" s="31" t="inlineStr">
        <is>
          <t>SR Technics Switzerland</t>
        </is>
      </c>
    </row>
    <row r="1496">
      <c r="B1496" s="31" t="inlineStr">
        <is>
          <t>CFM56-5B</t>
        </is>
      </c>
      <c r="C1496" s="31" t="inlineStr">
        <is>
          <t>2025-2026</t>
        </is>
      </c>
      <c r="D1496" s="31" t="inlineStr">
        <is>
          <t>139381</t>
        </is>
      </c>
      <c r="E1496" s="31" t="inlineStr">
        <is>
          <t>72-22-14</t>
        </is>
      </c>
      <c r="F1496" s="31" t="inlineStr">
        <is>
          <t>C</t>
        </is>
      </c>
      <c r="G1496" s="31" t="inlineStr">
        <is>
          <t>Fan / booster</t>
        </is>
      </c>
      <c r="H1496" s="27" t="n">
        <v>845</v>
      </c>
      <c r="I1496" s="27" t="n">
        <v>900</v>
      </c>
      <c r="J1496" s="154">
        <f>I1496/H1496-1</f>
        <v/>
      </c>
      <c r="K1496" s="31" t="inlineStr">
        <is>
          <t>11</t>
        </is>
      </c>
      <c r="L1496" s="31" t="inlineStr">
        <is>
          <t>11</t>
        </is>
      </c>
      <c r="M1496" s="31" t="inlineStr">
        <is>
          <t>S2</t>
        </is>
      </c>
      <c r="N1496" s="31" t="inlineStr">
        <is>
          <t>S4</t>
        </is>
      </c>
      <c r="O1496" s="31" t="inlineStr">
        <is>
          <t>301-475-207-6</t>
        </is>
      </c>
      <c r="P1496" s="31" t="inlineStr">
        <is>
          <t>SR Technics Switzerland</t>
        </is>
      </c>
    </row>
    <row r="1497">
      <c r="B1497" s="31" t="inlineStr">
        <is>
          <t>CFM56-5B</t>
        </is>
      </c>
      <c r="C1497" s="31" t="inlineStr">
        <is>
          <t>2025-2026</t>
        </is>
      </c>
      <c r="D1497" s="31" t="inlineStr">
        <is>
          <t>139382</t>
        </is>
      </c>
      <c r="E1497" s="31" t="inlineStr">
        <is>
          <t>72-22-03</t>
        </is>
      </c>
      <c r="F1497" s="31" t="inlineStr">
        <is>
          <t>B</t>
        </is>
      </c>
      <c r="G1497" s="31" t="inlineStr">
        <is>
          <t>Fan / booster</t>
        </is>
      </c>
      <c r="H1497" s="27" t="n">
        <v>595</v>
      </c>
      <c r="I1497" s="27" t="n">
        <v>635</v>
      </c>
      <c r="J1497" s="154">
        <f>I1497/H1497-1</f>
        <v/>
      </c>
      <c r="K1497" s="31" t="inlineStr">
        <is>
          <t>11</t>
        </is>
      </c>
      <c r="L1497" s="31" t="inlineStr">
        <is>
          <t>11</t>
        </is>
      </c>
      <c r="M1497" s="31" t="inlineStr">
        <is>
          <t>S2</t>
        </is>
      </c>
      <c r="N1497" s="31" t="inlineStr">
        <is>
          <t>S4</t>
        </is>
      </c>
      <c r="O1497" s="31" t="inlineStr">
        <is>
          <t>301-539-211-0</t>
        </is>
      </c>
      <c r="P1497" s="31" t="inlineStr">
        <is>
          <t>SR Technics Switzerland</t>
        </is>
      </c>
    </row>
    <row r="1498">
      <c r="B1498" s="31" t="inlineStr">
        <is>
          <t>CFM56-5B</t>
        </is>
      </c>
      <c r="C1498" s="31" t="inlineStr">
        <is>
          <t>2025-2026</t>
        </is>
      </c>
      <c r="D1498" s="31" t="inlineStr">
        <is>
          <t>139388</t>
        </is>
      </c>
      <c r="E1498" s="31" t="inlineStr">
        <is>
          <t>72-63-01</t>
        </is>
      </c>
      <c r="F1498" s="31" t="inlineStr">
        <is>
          <t>A</t>
        </is>
      </c>
      <c r="G1498" s="31" t="inlineStr">
        <is>
          <t>Gearbox</t>
        </is>
      </c>
      <c r="H1498" s="27" t="n">
        <v>1355</v>
      </c>
      <c r="I1498" s="27" t="n">
        <v>1425</v>
      </c>
      <c r="J1498" s="154">
        <f>I1498/H1498-1</f>
        <v/>
      </c>
      <c r="K1498" s="31" t="inlineStr">
        <is>
          <t>11</t>
        </is>
      </c>
      <c r="L1498" s="31" t="inlineStr">
        <is>
          <t>11</t>
        </is>
      </c>
      <c r="M1498" s="31" t="inlineStr">
        <is>
          <t>S2</t>
        </is>
      </c>
      <c r="N1498" s="31" t="inlineStr">
        <is>
          <t>S4</t>
        </is>
      </c>
      <c r="O1498" s="31" t="inlineStr">
        <is>
          <t>305-135-904-0</t>
        </is>
      </c>
      <c r="P1498" s="31" t="inlineStr">
        <is>
          <t>SR Technics Switzerland</t>
        </is>
      </c>
    </row>
    <row r="1499">
      <c r="B1499" s="31" t="inlineStr">
        <is>
          <t>CFM56-5B</t>
        </is>
      </c>
      <c r="C1499" s="31" t="inlineStr">
        <is>
          <t>2025-2026</t>
        </is>
      </c>
      <c r="D1499" s="31" t="inlineStr">
        <is>
          <t>139388</t>
        </is>
      </c>
      <c r="E1499" s="31" t="inlineStr">
        <is>
          <t>72-63-01</t>
        </is>
      </c>
      <c r="F1499" s="31" t="inlineStr">
        <is>
          <t>C</t>
        </is>
      </c>
      <c r="G1499" s="31" t="inlineStr">
        <is>
          <t>Gearbox</t>
        </is>
      </c>
      <c r="H1499" s="27" t="n">
        <v>1085</v>
      </c>
      <c r="I1499" s="27" t="n">
        <v>1155</v>
      </c>
      <c r="J1499" s="154">
        <f>I1499/H1499-1</f>
        <v/>
      </c>
      <c r="K1499" s="31" t="inlineStr">
        <is>
          <t>11</t>
        </is>
      </c>
      <c r="L1499" s="31" t="inlineStr">
        <is>
          <t>11</t>
        </is>
      </c>
      <c r="M1499" s="31" t="inlineStr">
        <is>
          <t>S2</t>
        </is>
      </c>
      <c r="N1499" s="31" t="inlineStr">
        <is>
          <t>S4</t>
        </is>
      </c>
      <c r="O1499" s="31" t="inlineStr">
        <is>
          <t>305-135-904-0</t>
        </is>
      </c>
      <c r="P1499" s="31" t="inlineStr">
        <is>
          <t>SR Technics Switzerland</t>
        </is>
      </c>
    </row>
    <row r="1500">
      <c r="B1500" s="31" t="inlineStr">
        <is>
          <t>CFM56-5B</t>
        </is>
      </c>
      <c r="C1500" s="31" t="inlineStr">
        <is>
          <t>2025-2026</t>
        </is>
      </c>
      <c r="D1500" s="31" t="inlineStr">
        <is>
          <t>139388</t>
        </is>
      </c>
      <c r="E1500" s="31" t="inlineStr">
        <is>
          <t>72-63-01</t>
        </is>
      </c>
      <c r="F1500" s="31" t="inlineStr">
        <is>
          <t>D</t>
        </is>
      </c>
      <c r="G1500" s="31" t="inlineStr">
        <is>
          <t>Gearbox</t>
        </is>
      </c>
      <c r="H1500" s="27" t="n">
        <v>945</v>
      </c>
      <c r="I1500" s="27" t="n">
        <v>1005</v>
      </c>
      <c r="J1500" s="154">
        <f>I1500/H1500-1</f>
        <v/>
      </c>
      <c r="K1500" s="31" t="inlineStr">
        <is>
          <t>11</t>
        </is>
      </c>
      <c r="L1500" s="31" t="inlineStr">
        <is>
          <t>11</t>
        </is>
      </c>
      <c r="M1500" s="31" t="inlineStr">
        <is>
          <t>S2</t>
        </is>
      </c>
      <c r="N1500" s="31" t="inlineStr">
        <is>
          <t>S4</t>
        </is>
      </c>
      <c r="O1500" s="31" t="inlineStr">
        <is>
          <t>305-135-904-0</t>
        </is>
      </c>
      <c r="P1500" s="31" t="inlineStr">
        <is>
          <t>SR Technics Switzerland</t>
        </is>
      </c>
    </row>
    <row r="1501">
      <c r="B1501" s="31" t="inlineStr">
        <is>
          <t>CFM56-5B</t>
        </is>
      </c>
      <c r="C1501" s="31" t="inlineStr">
        <is>
          <t>2025-2026</t>
        </is>
      </c>
      <c r="D1501" s="31" t="inlineStr">
        <is>
          <t>139388</t>
        </is>
      </c>
      <c r="E1501" s="31" t="inlineStr">
        <is>
          <t>72-63-01</t>
        </is>
      </c>
      <c r="F1501" s="31" t="inlineStr">
        <is>
          <t>F</t>
        </is>
      </c>
      <c r="G1501" s="31" t="inlineStr">
        <is>
          <t>Gearbox</t>
        </is>
      </c>
      <c r="H1501" s="27" t="n">
        <v>930</v>
      </c>
      <c r="I1501" s="27" t="n">
        <v>990</v>
      </c>
      <c r="J1501" s="154">
        <f>I1501/H1501-1</f>
        <v/>
      </c>
      <c r="K1501" s="31" t="inlineStr">
        <is>
          <t>12</t>
        </is>
      </c>
      <c r="L1501" s="31" t="inlineStr">
        <is>
          <t>11</t>
        </is>
      </c>
      <c r="M1501" s="31" t="inlineStr">
        <is>
          <t>S2</t>
        </is>
      </c>
      <c r="N1501" s="31" t="inlineStr">
        <is>
          <t>S4</t>
        </is>
      </c>
      <c r="O1501" s="31" t="inlineStr">
        <is>
          <t>305-135-904-0</t>
        </is>
      </c>
      <c r="P1501" s="31" t="inlineStr">
        <is>
          <t>SR Technics Switzerland</t>
        </is>
      </c>
    </row>
    <row r="1502">
      <c r="B1502" s="31" t="inlineStr">
        <is>
          <t>CFM56-5B</t>
        </is>
      </c>
      <c r="C1502" s="31" t="inlineStr">
        <is>
          <t>2025-2026</t>
        </is>
      </c>
      <c r="D1502" s="31" t="inlineStr">
        <is>
          <t>139388</t>
        </is>
      </c>
      <c r="E1502" s="31" t="inlineStr">
        <is>
          <t>72-63-01</t>
        </is>
      </c>
      <c r="F1502" s="31" t="inlineStr">
        <is>
          <t>G</t>
        </is>
      </c>
      <c r="G1502" s="31" t="inlineStr">
        <is>
          <t>Gearbox</t>
        </is>
      </c>
      <c r="H1502" s="27" t="n">
        <v>3135</v>
      </c>
      <c r="I1502" s="27" t="n">
        <v>3325</v>
      </c>
      <c r="J1502" s="154">
        <f>I1502/H1502-1</f>
        <v/>
      </c>
      <c r="K1502" s="31" t="inlineStr">
        <is>
          <t>12</t>
        </is>
      </c>
      <c r="L1502" s="31" t="inlineStr">
        <is>
          <t>11</t>
        </is>
      </c>
      <c r="M1502" s="31" t="inlineStr">
        <is>
          <t>S2</t>
        </is>
      </c>
      <c r="N1502" s="31" t="inlineStr">
        <is>
          <t>S4</t>
        </is>
      </c>
      <c r="O1502" s="31" t="inlineStr">
        <is>
          <t>305-135-904-0</t>
        </is>
      </c>
      <c r="P1502" s="31" t="inlineStr">
        <is>
          <t>SR Technics Switzerland</t>
        </is>
      </c>
    </row>
    <row r="1503">
      <c r="B1503" s="31" t="inlineStr">
        <is>
          <t>CFM56-5B</t>
        </is>
      </c>
      <c r="C1503" s="31" t="inlineStr">
        <is>
          <t>2025-2026</t>
        </is>
      </c>
      <c r="D1503" s="31" t="inlineStr">
        <is>
          <t>139388</t>
        </is>
      </c>
      <c r="E1503" s="31" t="inlineStr">
        <is>
          <t>72-63-01</t>
        </is>
      </c>
      <c r="F1503" s="31" t="inlineStr">
        <is>
          <t>H</t>
        </is>
      </c>
      <c r="G1503" s="31" t="inlineStr">
        <is>
          <t>Gearbox</t>
        </is>
      </c>
      <c r="H1503" s="27" t="n">
        <v>1590</v>
      </c>
      <c r="I1503" s="27" t="n">
        <v>1690</v>
      </c>
      <c r="J1503" s="154">
        <f>I1503/H1503-1</f>
        <v/>
      </c>
      <c r="K1503" s="31" t="inlineStr">
        <is>
          <t>12</t>
        </is>
      </c>
      <c r="L1503" s="31" t="inlineStr">
        <is>
          <t>11</t>
        </is>
      </c>
      <c r="M1503" s="31" t="inlineStr">
        <is>
          <t>S2</t>
        </is>
      </c>
      <c r="N1503" s="31" t="inlineStr">
        <is>
          <t>S4</t>
        </is>
      </c>
      <c r="O1503" s="31" t="inlineStr">
        <is>
          <t>305-135-904-0</t>
        </is>
      </c>
      <c r="P1503" s="31" t="inlineStr">
        <is>
          <t>SR Technics Switzerland</t>
        </is>
      </c>
    </row>
    <row r="1504">
      <c r="B1504" s="31" t="inlineStr">
        <is>
          <t>CFM56-5B</t>
        </is>
      </c>
      <c r="C1504" s="31" t="inlineStr">
        <is>
          <t>2025-2026</t>
        </is>
      </c>
      <c r="D1504" s="31" t="inlineStr">
        <is>
          <t>139388</t>
        </is>
      </c>
      <c r="E1504" s="31" t="inlineStr">
        <is>
          <t>72-63-01</t>
        </is>
      </c>
      <c r="F1504" s="31" t="inlineStr">
        <is>
          <t>I</t>
        </is>
      </c>
      <c r="G1504" s="31" t="inlineStr">
        <is>
          <t>Gearbox</t>
        </is>
      </c>
      <c r="H1504" s="27" t="n">
        <v>500</v>
      </c>
      <c r="I1504" s="27" t="n">
        <v>530</v>
      </c>
      <c r="J1504" s="154">
        <f>I1504/H1504-1</f>
        <v/>
      </c>
      <c r="K1504" s="31" t="inlineStr">
        <is>
          <t>12</t>
        </is>
      </c>
      <c r="L1504" s="31" t="inlineStr">
        <is>
          <t>11</t>
        </is>
      </c>
      <c r="M1504" s="31" t="inlineStr">
        <is>
          <t>S2</t>
        </is>
      </c>
      <c r="N1504" s="31" t="inlineStr">
        <is>
          <t>S4</t>
        </is>
      </c>
      <c r="O1504" s="31" t="inlineStr">
        <is>
          <t>305-135-904-0</t>
        </is>
      </c>
      <c r="P1504" s="31" t="inlineStr">
        <is>
          <t>SR Technics Switzerland</t>
        </is>
      </c>
    </row>
    <row r="1505">
      <c r="B1505" s="31" t="inlineStr">
        <is>
          <t>CFM56-5B</t>
        </is>
      </c>
      <c r="C1505" s="31" t="inlineStr">
        <is>
          <t>2025-2026</t>
        </is>
      </c>
      <c r="D1505" s="31" t="inlineStr">
        <is>
          <t>139388</t>
        </is>
      </c>
      <c r="E1505" s="31" t="inlineStr">
        <is>
          <t>72-63-01</t>
        </is>
      </c>
      <c r="F1505" s="31" t="inlineStr">
        <is>
          <t>N</t>
        </is>
      </c>
      <c r="G1505" s="31" t="inlineStr">
        <is>
          <t>Gearbox</t>
        </is>
      </c>
      <c r="H1505" s="27" t="n">
        <v>9915</v>
      </c>
      <c r="I1505" s="27" t="n">
        <v>10510</v>
      </c>
      <c r="J1505" s="154">
        <f>I1505/H1505-1</f>
        <v/>
      </c>
      <c r="K1505" s="31" t="inlineStr">
        <is>
          <t>12</t>
        </is>
      </c>
      <c r="L1505" s="31" t="inlineStr">
        <is>
          <t>12</t>
        </is>
      </c>
      <c r="M1505" s="31" t="inlineStr">
        <is>
          <t>S2</t>
        </is>
      </c>
      <c r="N1505" s="31" t="inlineStr">
        <is>
          <t>S4</t>
        </is>
      </c>
      <c r="O1505" s="31" t="inlineStr">
        <is>
          <t>305-135-904-0</t>
        </is>
      </c>
      <c r="P1505" s="31" t="inlineStr">
        <is>
          <t>SR Technics Switzerland</t>
        </is>
      </c>
    </row>
    <row r="1506">
      <c r="B1506" s="31" t="inlineStr">
        <is>
          <t>CFM56-5B</t>
        </is>
      </c>
      <c r="C1506" s="31" t="inlineStr">
        <is>
          <t>2025-2026</t>
        </is>
      </c>
      <c r="D1506" s="31" t="inlineStr">
        <is>
          <t>139388</t>
        </is>
      </c>
      <c r="E1506" s="31" t="inlineStr">
        <is>
          <t>72-63-01</t>
        </is>
      </c>
      <c r="F1506" s="31" t="inlineStr">
        <is>
          <t>O</t>
        </is>
      </c>
      <c r="G1506" s="31" t="inlineStr">
        <is>
          <t>Gearbox</t>
        </is>
      </c>
      <c r="H1506" s="27" t="n">
        <v>560</v>
      </c>
      <c r="I1506" s="27" t="n">
        <v>595</v>
      </c>
      <c r="J1506" s="154">
        <f>I1506/H1506-1</f>
        <v/>
      </c>
      <c r="K1506" s="31" t="inlineStr">
        <is>
          <t>12</t>
        </is>
      </c>
      <c r="L1506" s="31" t="inlineStr">
        <is>
          <t>12</t>
        </is>
      </c>
      <c r="M1506" s="31" t="inlineStr">
        <is>
          <t>S2</t>
        </is>
      </c>
      <c r="N1506" s="31" t="inlineStr">
        <is>
          <t>S4</t>
        </is>
      </c>
      <c r="O1506" s="31" t="inlineStr">
        <is>
          <t>305-135-904-0</t>
        </is>
      </c>
      <c r="P1506" s="31" t="inlineStr">
        <is>
          <t>SR Technics Switzerland</t>
        </is>
      </c>
    </row>
    <row r="1507">
      <c r="B1507" s="31" t="inlineStr">
        <is>
          <t>CFM56-5B</t>
        </is>
      </c>
      <c r="C1507" s="31" t="inlineStr">
        <is>
          <t>2025-2026</t>
        </is>
      </c>
      <c r="D1507" s="31" t="inlineStr">
        <is>
          <t>139388</t>
        </is>
      </c>
      <c r="E1507" s="31" t="inlineStr">
        <is>
          <t>72-63-01</t>
        </is>
      </c>
      <c r="F1507" s="31" t="inlineStr">
        <is>
          <t>P</t>
        </is>
      </c>
      <c r="G1507" s="31" t="inlineStr">
        <is>
          <t>Gearbox</t>
        </is>
      </c>
      <c r="H1507" s="27" t="n">
        <v>365</v>
      </c>
      <c r="I1507" s="27" t="n">
        <v>390</v>
      </c>
      <c r="J1507" s="154">
        <f>I1507/H1507-1</f>
        <v/>
      </c>
      <c r="K1507" s="31" t="inlineStr">
        <is>
          <t>12</t>
        </is>
      </c>
      <c r="L1507" s="31" t="inlineStr">
        <is>
          <t>12</t>
        </is>
      </c>
      <c r="M1507" s="31" t="inlineStr">
        <is>
          <t>S2</t>
        </is>
      </c>
      <c r="N1507" s="31" t="inlineStr">
        <is>
          <t>S4</t>
        </is>
      </c>
      <c r="O1507" s="31" t="inlineStr">
        <is>
          <t>305-135-904-0</t>
        </is>
      </c>
      <c r="P1507" s="31" t="inlineStr">
        <is>
          <t>SR Technics Switzerland</t>
        </is>
      </c>
    </row>
    <row r="1508">
      <c r="B1508" s="31" t="inlineStr">
        <is>
          <t>CFM56-5B</t>
        </is>
      </c>
      <c r="C1508" s="31" t="inlineStr">
        <is>
          <t>2025-2026</t>
        </is>
      </c>
      <c r="D1508" s="31" t="inlineStr">
        <is>
          <t>139389</t>
        </is>
      </c>
      <c r="E1508" s="31" t="inlineStr">
        <is>
          <t>72-62-01</t>
        </is>
      </c>
      <c r="F1508" s="31" t="inlineStr">
        <is>
          <t>A</t>
        </is>
      </c>
      <c r="G1508" s="31" t="inlineStr">
        <is>
          <t>Gearbox</t>
        </is>
      </c>
      <c r="H1508" s="27" t="n">
        <v>1115</v>
      </c>
      <c r="I1508" s="27" t="n">
        <v>1175</v>
      </c>
      <c r="J1508" s="154">
        <f>I1508/H1508-1</f>
        <v/>
      </c>
      <c r="K1508" s="31" t="inlineStr">
        <is>
          <t>12</t>
        </is>
      </c>
      <c r="L1508" s="31" t="inlineStr">
        <is>
          <t>12</t>
        </is>
      </c>
      <c r="M1508" s="31" t="inlineStr">
        <is>
          <t>S2</t>
        </is>
      </c>
      <c r="N1508" s="31" t="inlineStr">
        <is>
          <t>S4</t>
        </is>
      </c>
      <c r="O1508" s="31" t="inlineStr">
        <is>
          <t>305-136-503-0</t>
        </is>
      </c>
      <c r="P1508" s="31" t="inlineStr">
        <is>
          <t>SR Technics Switzerland</t>
        </is>
      </c>
    </row>
    <row r="1509">
      <c r="B1509" s="31" t="inlineStr">
        <is>
          <t>CFM56-5B</t>
        </is>
      </c>
      <c r="C1509" s="31" t="inlineStr">
        <is>
          <t>2025-2026</t>
        </is>
      </c>
      <c r="D1509" s="31" t="inlineStr">
        <is>
          <t>139389</t>
        </is>
      </c>
      <c r="E1509" s="31" t="inlineStr">
        <is>
          <t>72-62-01</t>
        </is>
      </c>
      <c r="F1509" s="31" t="inlineStr">
        <is>
          <t>AB</t>
        </is>
      </c>
      <c r="G1509" s="31" t="inlineStr">
        <is>
          <t>Gearbox</t>
        </is>
      </c>
      <c r="H1509" s="27" t="n">
        <v>2140</v>
      </c>
      <c r="I1509" s="27" t="n">
        <v>2270</v>
      </c>
      <c r="J1509" s="154">
        <f>I1509/H1509-1</f>
        <v/>
      </c>
      <c r="K1509" s="31" t="inlineStr">
        <is>
          <t>12</t>
        </is>
      </c>
      <c r="L1509" s="31" t="inlineStr">
        <is>
          <t>12</t>
        </is>
      </c>
      <c r="M1509" s="31" t="inlineStr">
        <is>
          <t>S2</t>
        </is>
      </c>
      <c r="N1509" s="31" t="inlineStr">
        <is>
          <t>S4</t>
        </is>
      </c>
      <c r="O1509" s="31" t="inlineStr">
        <is>
          <t>305-136-503-0</t>
        </is>
      </c>
      <c r="P1509" s="31" t="inlineStr">
        <is>
          <t>SR Technics Switzerland</t>
        </is>
      </c>
    </row>
    <row r="1510">
      <c r="B1510" s="31" t="inlineStr">
        <is>
          <t>CFM56-5B</t>
        </is>
      </c>
      <c r="C1510" s="31" t="inlineStr">
        <is>
          <t>2025-2026</t>
        </is>
      </c>
      <c r="D1510" s="31" t="inlineStr">
        <is>
          <t>139389</t>
        </is>
      </c>
      <c r="E1510" s="31" t="inlineStr">
        <is>
          <t>72-62-01</t>
        </is>
      </c>
      <c r="F1510" s="31" t="inlineStr">
        <is>
          <t>B</t>
        </is>
      </c>
      <c r="G1510" s="31" t="inlineStr">
        <is>
          <t>Gearbox</t>
        </is>
      </c>
      <c r="H1510" s="27" t="n">
        <v>810</v>
      </c>
      <c r="I1510" s="27" t="n">
        <v>860</v>
      </c>
      <c r="J1510" s="154">
        <f>I1510/H1510-1</f>
        <v/>
      </c>
      <c r="K1510" s="31" t="inlineStr">
        <is>
          <t>12</t>
        </is>
      </c>
      <c r="L1510" s="31" t="inlineStr">
        <is>
          <t>12</t>
        </is>
      </c>
      <c r="M1510" s="31" t="inlineStr">
        <is>
          <t>S2</t>
        </is>
      </c>
      <c r="N1510" s="31" t="inlineStr">
        <is>
          <t>S4</t>
        </is>
      </c>
      <c r="O1510" s="31" t="inlineStr">
        <is>
          <t>305-136-503-0</t>
        </is>
      </c>
      <c r="P1510" s="31" t="inlineStr">
        <is>
          <t>SR Technics Switzerland</t>
        </is>
      </c>
    </row>
    <row r="1511">
      <c r="B1511" s="31" t="inlineStr">
        <is>
          <t>CFM56-5B</t>
        </is>
      </c>
      <c r="C1511" s="31" t="inlineStr">
        <is>
          <t>2025-2026</t>
        </is>
      </c>
      <c r="D1511" s="31" t="inlineStr">
        <is>
          <t>139389</t>
        </is>
      </c>
      <c r="E1511" s="31" t="inlineStr">
        <is>
          <t>72-62-01</t>
        </is>
      </c>
      <c r="F1511" s="31" t="inlineStr">
        <is>
          <t>C</t>
        </is>
      </c>
      <c r="G1511" s="31" t="inlineStr">
        <is>
          <t>Gearbox</t>
        </is>
      </c>
      <c r="H1511" s="27" t="n">
        <v>910</v>
      </c>
      <c r="I1511" s="27" t="n">
        <v>965</v>
      </c>
      <c r="J1511" s="154">
        <f>I1511/H1511-1</f>
        <v/>
      </c>
      <c r="K1511" s="31" t="inlineStr">
        <is>
          <t>12</t>
        </is>
      </c>
      <c r="L1511" s="31" t="inlineStr">
        <is>
          <t>12</t>
        </is>
      </c>
      <c r="M1511" s="31" t="inlineStr">
        <is>
          <t>S2</t>
        </is>
      </c>
      <c r="N1511" s="31" t="inlineStr">
        <is>
          <t>S4</t>
        </is>
      </c>
      <c r="O1511" s="31" t="inlineStr">
        <is>
          <t>305-136-503-0</t>
        </is>
      </c>
      <c r="P1511" s="31" t="inlineStr">
        <is>
          <t>SR Technics Switzerland</t>
        </is>
      </c>
    </row>
    <row r="1512">
      <c r="B1512" s="31" t="inlineStr">
        <is>
          <t>CFM56-5B</t>
        </is>
      </c>
      <c r="C1512" s="31" t="inlineStr">
        <is>
          <t>2025-2026</t>
        </is>
      </c>
      <c r="D1512" s="31" t="inlineStr">
        <is>
          <t>139389</t>
        </is>
      </c>
      <c r="E1512" s="31" t="inlineStr">
        <is>
          <t>72-62-01</t>
        </is>
      </c>
      <c r="F1512" s="31" t="inlineStr">
        <is>
          <t>D</t>
        </is>
      </c>
      <c r="G1512" s="31" t="inlineStr">
        <is>
          <t>Gearbox</t>
        </is>
      </c>
      <c r="H1512" s="27" t="n">
        <v>910</v>
      </c>
      <c r="I1512" s="27" t="n">
        <v>965</v>
      </c>
      <c r="J1512" s="154">
        <f>I1512/H1512-1</f>
        <v/>
      </c>
      <c r="K1512" s="31" t="inlineStr">
        <is>
          <t>12</t>
        </is>
      </c>
      <c r="L1512" s="31" t="inlineStr">
        <is>
          <t>12</t>
        </is>
      </c>
      <c r="M1512" s="31" t="inlineStr">
        <is>
          <t>S2</t>
        </is>
      </c>
      <c r="N1512" s="31" t="inlineStr">
        <is>
          <t>S4</t>
        </is>
      </c>
      <c r="O1512" s="31" t="inlineStr">
        <is>
          <t>305-136-503-0</t>
        </is>
      </c>
      <c r="P1512" s="31" t="inlineStr">
        <is>
          <t>SR Technics Switzerland</t>
        </is>
      </c>
    </row>
    <row r="1513">
      <c r="B1513" s="31" t="inlineStr">
        <is>
          <t>CFM56-5B</t>
        </is>
      </c>
      <c r="C1513" s="31" t="inlineStr">
        <is>
          <t>2025-2026</t>
        </is>
      </c>
      <c r="D1513" s="31" t="inlineStr">
        <is>
          <t>139389</t>
        </is>
      </c>
      <c r="E1513" s="31" t="inlineStr">
        <is>
          <t>72-62-01</t>
        </is>
      </c>
      <c r="F1513" s="31" t="inlineStr">
        <is>
          <t>E</t>
        </is>
      </c>
      <c r="G1513" s="31" t="inlineStr">
        <is>
          <t>Gearbox</t>
        </is>
      </c>
      <c r="H1513" s="27" t="n">
        <v>910</v>
      </c>
      <c r="I1513" s="27" t="n">
        <v>965</v>
      </c>
      <c r="J1513" s="154">
        <f>I1513/H1513-1</f>
        <v/>
      </c>
      <c r="K1513" s="31" t="inlineStr">
        <is>
          <t>12</t>
        </is>
      </c>
      <c r="L1513" s="31" t="inlineStr">
        <is>
          <t>12</t>
        </is>
      </c>
      <c r="M1513" s="31" t="inlineStr">
        <is>
          <t>S2</t>
        </is>
      </c>
      <c r="N1513" s="31" t="inlineStr">
        <is>
          <t>S4</t>
        </is>
      </c>
      <c r="O1513" s="31" t="inlineStr">
        <is>
          <t>305-136-503-0</t>
        </is>
      </c>
      <c r="P1513" s="31" t="inlineStr">
        <is>
          <t>SR Technics Switzerland</t>
        </is>
      </c>
    </row>
    <row r="1514">
      <c r="B1514" s="31" t="inlineStr">
        <is>
          <t>CFM56-5B</t>
        </is>
      </c>
      <c r="C1514" s="31" t="inlineStr">
        <is>
          <t>2025-2026</t>
        </is>
      </c>
      <c r="D1514" s="31" t="inlineStr">
        <is>
          <t>139389</t>
        </is>
      </c>
      <c r="E1514" s="31" t="inlineStr">
        <is>
          <t>72-62-01</t>
        </is>
      </c>
      <c r="F1514" s="31" t="inlineStr">
        <is>
          <t>F</t>
        </is>
      </c>
      <c r="G1514" s="31" t="inlineStr">
        <is>
          <t>Gearbox</t>
        </is>
      </c>
      <c r="H1514" s="27" t="n">
        <v>910</v>
      </c>
      <c r="I1514" s="27" t="n">
        <v>965</v>
      </c>
      <c r="J1514" s="154">
        <f>I1514/H1514-1</f>
        <v/>
      </c>
      <c r="K1514" s="31" t="inlineStr">
        <is>
          <t>12</t>
        </is>
      </c>
      <c r="L1514" s="31" t="inlineStr">
        <is>
          <t>12</t>
        </is>
      </c>
      <c r="M1514" s="31" t="inlineStr">
        <is>
          <t>S2</t>
        </is>
      </c>
      <c r="N1514" s="31" t="inlineStr">
        <is>
          <t>S4</t>
        </is>
      </c>
      <c r="O1514" s="31" t="inlineStr">
        <is>
          <t>305-136-503-0</t>
        </is>
      </c>
      <c r="P1514" s="31" t="inlineStr">
        <is>
          <t>SR Technics Switzerland</t>
        </is>
      </c>
    </row>
    <row r="1515">
      <c r="B1515" s="31" t="inlineStr">
        <is>
          <t>CFM56-5B</t>
        </is>
      </c>
      <c r="C1515" s="31" t="inlineStr">
        <is>
          <t>2025-2026</t>
        </is>
      </c>
      <c r="D1515" s="31" t="inlineStr">
        <is>
          <t>139389</t>
        </is>
      </c>
      <c r="E1515" s="31" t="inlineStr">
        <is>
          <t>72-62-01</t>
        </is>
      </c>
      <c r="F1515" s="31" t="inlineStr">
        <is>
          <t>I</t>
        </is>
      </c>
      <c r="G1515" s="31" t="inlineStr">
        <is>
          <t>Gearbox</t>
        </is>
      </c>
      <c r="H1515" s="27" t="n">
        <v>2365</v>
      </c>
      <c r="I1515" s="27" t="n">
        <v>2510</v>
      </c>
      <c r="J1515" s="154">
        <f>I1515/H1515-1</f>
        <v/>
      </c>
      <c r="K1515" s="31" t="inlineStr">
        <is>
          <t>12</t>
        </is>
      </c>
      <c r="L1515" s="31" t="inlineStr">
        <is>
          <t>12</t>
        </is>
      </c>
      <c r="M1515" s="31" t="inlineStr">
        <is>
          <t>S2</t>
        </is>
      </c>
      <c r="N1515" s="31" t="inlineStr">
        <is>
          <t>S4</t>
        </is>
      </c>
      <c r="O1515" s="31" t="inlineStr">
        <is>
          <t>305-136-503-0</t>
        </is>
      </c>
      <c r="P1515" s="31" t="inlineStr">
        <is>
          <t>SR Technics Switzerland</t>
        </is>
      </c>
    </row>
    <row r="1516">
      <c r="B1516" s="31" t="inlineStr">
        <is>
          <t>CFM56-5B</t>
        </is>
      </c>
      <c r="C1516" s="31" t="inlineStr">
        <is>
          <t>2025-2026</t>
        </is>
      </c>
      <c r="D1516" s="31" t="inlineStr">
        <is>
          <t>139389</t>
        </is>
      </c>
      <c r="E1516" s="31" t="inlineStr">
        <is>
          <t>72-62-01</t>
        </is>
      </c>
      <c r="F1516" s="31" t="inlineStr">
        <is>
          <t>K</t>
        </is>
      </c>
      <c r="G1516" s="31" t="inlineStr">
        <is>
          <t>Gearbox</t>
        </is>
      </c>
      <c r="H1516" s="27" t="n">
        <v>840</v>
      </c>
      <c r="I1516" s="27" t="n">
        <v>895</v>
      </c>
      <c r="J1516" s="154">
        <f>I1516/H1516-1</f>
        <v/>
      </c>
      <c r="K1516" s="31" t="inlineStr">
        <is>
          <t>12</t>
        </is>
      </c>
      <c r="L1516" s="31" t="inlineStr">
        <is>
          <t>12</t>
        </is>
      </c>
      <c r="M1516" s="31" t="inlineStr">
        <is>
          <t>S2</t>
        </is>
      </c>
      <c r="N1516" s="31" t="inlineStr">
        <is>
          <t>S4</t>
        </is>
      </c>
      <c r="O1516" s="31" t="inlineStr">
        <is>
          <t>305-136-503-0</t>
        </is>
      </c>
      <c r="P1516" s="31" t="inlineStr">
        <is>
          <t>SR Technics Switzerland</t>
        </is>
      </c>
    </row>
    <row r="1517">
      <c r="B1517" s="31" t="inlineStr">
        <is>
          <t>CFM56-5B</t>
        </is>
      </c>
      <c r="C1517" s="31" t="inlineStr">
        <is>
          <t>2025-2026</t>
        </is>
      </c>
      <c r="D1517" s="31" t="inlineStr">
        <is>
          <t>139389</t>
        </is>
      </c>
      <c r="E1517" s="31" t="inlineStr">
        <is>
          <t>72-62-01</t>
        </is>
      </c>
      <c r="F1517" s="31" t="inlineStr">
        <is>
          <t>L</t>
        </is>
      </c>
      <c r="G1517" s="31" t="inlineStr">
        <is>
          <t>Gearbox</t>
        </is>
      </c>
      <c r="H1517" s="27" t="n">
        <v>1195</v>
      </c>
      <c r="I1517" s="27" t="n">
        <v>1270</v>
      </c>
      <c r="J1517" s="154">
        <f>I1517/H1517-1</f>
        <v/>
      </c>
      <c r="K1517" s="31" t="inlineStr">
        <is>
          <t>12</t>
        </is>
      </c>
      <c r="L1517" s="31" t="inlineStr">
        <is>
          <t>12</t>
        </is>
      </c>
      <c r="M1517" s="31" t="inlineStr">
        <is>
          <t>S2</t>
        </is>
      </c>
      <c r="N1517" s="31" t="inlineStr">
        <is>
          <t>S4</t>
        </is>
      </c>
      <c r="O1517" s="31" t="inlineStr">
        <is>
          <t>305-136-503-0</t>
        </is>
      </c>
      <c r="P1517" s="31" t="inlineStr">
        <is>
          <t>SR Technics Switzerland</t>
        </is>
      </c>
    </row>
    <row r="1518">
      <c r="B1518" s="31" t="inlineStr">
        <is>
          <t>CFM56-5B</t>
        </is>
      </c>
      <c r="C1518" s="31" t="inlineStr">
        <is>
          <t>2025-2026</t>
        </is>
      </c>
      <c r="D1518" s="31" t="inlineStr">
        <is>
          <t>139389</t>
        </is>
      </c>
      <c r="E1518" s="31" t="inlineStr">
        <is>
          <t>72-62-01</t>
        </is>
      </c>
      <c r="F1518" s="31" t="inlineStr">
        <is>
          <t>N</t>
        </is>
      </c>
      <c r="G1518" s="31" t="inlineStr">
        <is>
          <t>Gearbox</t>
        </is>
      </c>
      <c r="H1518" s="27" t="n">
        <v>1745</v>
      </c>
      <c r="I1518" s="27" t="n">
        <v>1850</v>
      </c>
      <c r="J1518" s="154">
        <f>I1518/H1518-1</f>
        <v/>
      </c>
      <c r="K1518" s="31" t="inlineStr">
        <is>
          <t>12</t>
        </is>
      </c>
      <c r="L1518" s="31" t="inlineStr">
        <is>
          <t>12</t>
        </is>
      </c>
      <c r="M1518" s="31" t="inlineStr">
        <is>
          <t>S2</t>
        </is>
      </c>
      <c r="N1518" s="31" t="inlineStr">
        <is>
          <t>S4</t>
        </is>
      </c>
      <c r="O1518" s="31" t="inlineStr">
        <is>
          <t>305-136-503-0</t>
        </is>
      </c>
      <c r="P1518" s="31" t="inlineStr">
        <is>
          <t>SR Technics Switzerland</t>
        </is>
      </c>
    </row>
    <row r="1519">
      <c r="B1519" s="31" t="inlineStr">
        <is>
          <t>CFM56-5B</t>
        </is>
      </c>
      <c r="C1519" s="31" t="inlineStr">
        <is>
          <t>2025-2026</t>
        </is>
      </c>
      <c r="D1519" s="31" t="inlineStr">
        <is>
          <t>139389</t>
        </is>
      </c>
      <c r="E1519" s="31" t="inlineStr">
        <is>
          <t>72-62-01</t>
        </is>
      </c>
      <c r="F1519" s="31" t="inlineStr">
        <is>
          <t>R</t>
        </is>
      </c>
      <c r="G1519" s="31" t="inlineStr">
        <is>
          <t>Gearbox</t>
        </is>
      </c>
      <c r="H1519" s="27" t="n">
        <v>2140</v>
      </c>
      <c r="I1519" s="27" t="n">
        <v>2270</v>
      </c>
      <c r="J1519" s="154">
        <f>I1519/H1519-1</f>
        <v/>
      </c>
      <c r="K1519" s="31" t="inlineStr">
        <is>
          <t>12</t>
        </is>
      </c>
      <c r="L1519" s="31" t="inlineStr">
        <is>
          <t>12</t>
        </is>
      </c>
      <c r="M1519" s="31" t="inlineStr">
        <is>
          <t>S2</t>
        </is>
      </c>
      <c r="N1519" s="31" t="inlineStr">
        <is>
          <t>S4</t>
        </is>
      </c>
      <c r="O1519" s="31" t="inlineStr">
        <is>
          <t>305-136-503-0</t>
        </is>
      </c>
      <c r="P1519" s="31" t="inlineStr">
        <is>
          <t>SR Technics Switzerland</t>
        </is>
      </c>
    </row>
    <row r="1520">
      <c r="B1520" s="31" t="inlineStr">
        <is>
          <t>CFM56-5B</t>
        </is>
      </c>
      <c r="C1520" s="31" t="inlineStr">
        <is>
          <t>2025-2026</t>
        </is>
      </c>
      <c r="D1520" s="31" t="inlineStr">
        <is>
          <t>139389</t>
        </is>
      </c>
      <c r="E1520" s="31" t="inlineStr">
        <is>
          <t>72-62-01</t>
        </is>
      </c>
      <c r="F1520" s="31" t="inlineStr">
        <is>
          <t>S</t>
        </is>
      </c>
      <c r="G1520" s="31" t="inlineStr">
        <is>
          <t>Gearbox</t>
        </is>
      </c>
      <c r="H1520" s="27" t="n">
        <v>2365</v>
      </c>
      <c r="I1520" s="27" t="n">
        <v>2510</v>
      </c>
      <c r="J1520" s="154">
        <f>I1520/H1520-1</f>
        <v/>
      </c>
      <c r="K1520" s="31" t="inlineStr">
        <is>
          <t>12</t>
        </is>
      </c>
      <c r="L1520" s="31" t="inlineStr">
        <is>
          <t>12</t>
        </is>
      </c>
      <c r="M1520" s="31" t="inlineStr">
        <is>
          <t>S2</t>
        </is>
      </c>
      <c r="N1520" s="31" t="inlineStr">
        <is>
          <t>S4</t>
        </is>
      </c>
      <c r="O1520" s="31" t="inlineStr">
        <is>
          <t>305-136-503-0</t>
        </is>
      </c>
      <c r="P1520" s="31" t="inlineStr">
        <is>
          <t>SR Technics Switzerland</t>
        </is>
      </c>
    </row>
    <row r="1521">
      <c r="B1521" s="31" t="inlineStr">
        <is>
          <t>CFM56-5B</t>
        </is>
      </c>
      <c r="C1521" s="31" t="inlineStr">
        <is>
          <t>2025-2026</t>
        </is>
      </c>
      <c r="D1521" s="31" t="inlineStr">
        <is>
          <t>139389</t>
        </is>
      </c>
      <c r="E1521" s="31" t="inlineStr">
        <is>
          <t>72-62-01</t>
        </is>
      </c>
      <c r="F1521" s="31" t="inlineStr">
        <is>
          <t>SB00</t>
        </is>
      </c>
      <c r="G1521" s="31" t="inlineStr">
        <is>
          <t>Gearbox</t>
        </is>
      </c>
      <c r="H1521" s="27" t="n">
        <v>290</v>
      </c>
      <c r="I1521" s="27" t="n">
        <v>310</v>
      </c>
      <c r="J1521" s="154">
        <f>I1521/H1521-1</f>
        <v/>
      </c>
      <c r="K1521" s="31" t="inlineStr">
        <is>
          <t>12</t>
        </is>
      </c>
      <c r="L1521" s="31" t="inlineStr">
        <is>
          <t>12</t>
        </is>
      </c>
      <c r="M1521" s="31" t="inlineStr">
        <is>
          <t>S2</t>
        </is>
      </c>
      <c r="N1521" s="31" t="inlineStr">
        <is>
          <t>S4</t>
        </is>
      </c>
      <c r="O1521" s="31" t="inlineStr">
        <is>
          <t>305-136-503-0</t>
        </is>
      </c>
      <c r="P1521" s="31" t="inlineStr">
        <is>
          <t>SR Technics Switzerland</t>
        </is>
      </c>
    </row>
    <row r="1522">
      <c r="B1522" s="31" t="inlineStr">
        <is>
          <t>CFM56-5B</t>
        </is>
      </c>
      <c r="C1522" s="31" t="inlineStr">
        <is>
          <t>2025-2026</t>
        </is>
      </c>
      <c r="D1522" s="31" t="inlineStr">
        <is>
          <t>139390</t>
        </is>
      </c>
      <c r="E1522" s="31" t="inlineStr">
        <is>
          <t>72-62-02</t>
        </is>
      </c>
      <c r="F1522" s="31" t="inlineStr">
        <is>
          <t>SB00</t>
        </is>
      </c>
      <c r="G1522" s="31" t="inlineStr">
        <is>
          <t>Gearbox</t>
        </is>
      </c>
      <c r="H1522" s="27" t="n">
        <v>495</v>
      </c>
      <c r="I1522" s="27" t="n">
        <v>525</v>
      </c>
      <c r="J1522" s="154">
        <f>I1522/H1522-1</f>
        <v/>
      </c>
      <c r="K1522" s="31" t="inlineStr">
        <is>
          <t>48</t>
        </is>
      </c>
      <c r="L1522" s="31" t="inlineStr">
        <is>
          <t>50</t>
        </is>
      </c>
      <c r="M1522" s="31" t="inlineStr">
        <is>
          <t>S2</t>
        </is>
      </c>
      <c r="N1522" s="31" t="inlineStr">
        <is>
          <t>S4</t>
        </is>
      </c>
      <c r="O1522" s="31" t="inlineStr">
        <is>
          <t>305-136-605-0</t>
        </is>
      </c>
      <c r="P1522" s="31" t="inlineStr">
        <is>
          <t>SR Technics Switzerland</t>
        </is>
      </c>
    </row>
    <row r="1523">
      <c r="B1523" s="31" t="inlineStr">
        <is>
          <t>CFM56-5B</t>
        </is>
      </c>
      <c r="C1523" s="31" t="inlineStr">
        <is>
          <t>2025-2026</t>
        </is>
      </c>
      <c r="D1523" s="31" t="inlineStr">
        <is>
          <t>139401</t>
        </is>
      </c>
      <c r="E1523" s="31" t="inlineStr">
        <is>
          <t>72-63-02</t>
        </is>
      </c>
      <c r="F1523" s="31" t="inlineStr">
        <is>
          <t>B</t>
        </is>
      </c>
      <c r="G1523" s="31" t="inlineStr">
        <is>
          <t>Gearbox</t>
        </is>
      </c>
      <c r="H1523" s="27" t="n">
        <v>830</v>
      </c>
      <c r="I1523" s="27" t="n">
        <v>880</v>
      </c>
      <c r="J1523" s="154">
        <f>I1523/H1523-1</f>
        <v/>
      </c>
      <c r="K1523" s="31" t="inlineStr">
        <is>
          <t>49</t>
        </is>
      </c>
      <c r="L1523" s="31" t="inlineStr">
        <is>
          <t>50</t>
        </is>
      </c>
      <c r="M1523" s="31" t="inlineStr">
        <is>
          <t>S2</t>
        </is>
      </c>
      <c r="N1523" s="31" t="inlineStr">
        <is>
          <t>S4</t>
        </is>
      </c>
      <c r="O1523" s="31" t="inlineStr">
        <is>
          <t>305-138-805-0</t>
        </is>
      </c>
      <c r="P1523" s="31" t="inlineStr">
        <is>
          <t>SR Technics Switzerland</t>
        </is>
      </c>
    </row>
    <row r="1524">
      <c r="B1524" s="31" t="inlineStr">
        <is>
          <t>CFM56-5B</t>
        </is>
      </c>
      <c r="C1524" s="31" t="inlineStr">
        <is>
          <t>2025-2026</t>
        </is>
      </c>
      <c r="D1524" s="31" t="inlineStr">
        <is>
          <t>139401</t>
        </is>
      </c>
      <c r="E1524" s="31" t="inlineStr">
        <is>
          <t>72-63-02</t>
        </is>
      </c>
      <c r="F1524" s="31" t="inlineStr">
        <is>
          <t>E</t>
        </is>
      </c>
      <c r="G1524" s="31" t="inlineStr">
        <is>
          <t>Gearbox</t>
        </is>
      </c>
      <c r="H1524" s="27" t="n">
        <v>535</v>
      </c>
      <c r="I1524" s="27" t="n">
        <v>570</v>
      </c>
      <c r="J1524" s="154">
        <f>I1524/H1524-1</f>
        <v/>
      </c>
      <c r="K1524" s="31" t="inlineStr">
        <is>
          <t>49</t>
        </is>
      </c>
      <c r="L1524" s="31" t="inlineStr">
        <is>
          <t>50</t>
        </is>
      </c>
      <c r="M1524" s="31" t="inlineStr">
        <is>
          <t>S2</t>
        </is>
      </c>
      <c r="N1524" s="31" t="inlineStr">
        <is>
          <t>S4</t>
        </is>
      </c>
      <c r="O1524" s="31" t="inlineStr">
        <is>
          <t>305-138-805-0</t>
        </is>
      </c>
      <c r="P1524" s="31" t="inlineStr">
        <is>
          <t>SR Technics Switzerland</t>
        </is>
      </c>
    </row>
    <row r="1525">
      <c r="B1525" s="31" t="inlineStr">
        <is>
          <t>CFM56-5B</t>
        </is>
      </c>
      <c r="C1525" s="31" t="inlineStr">
        <is>
          <t>2025-2026</t>
        </is>
      </c>
      <c r="D1525" s="31" t="inlineStr">
        <is>
          <t>139422</t>
        </is>
      </c>
      <c r="E1525" s="31" t="inlineStr">
        <is>
          <t>72-62-04</t>
        </is>
      </c>
      <c r="F1525" s="31" t="inlineStr">
        <is>
          <t>B</t>
        </is>
      </c>
      <c r="G1525" s="31" t="inlineStr">
        <is>
          <t>Gearbox</t>
        </is>
      </c>
      <c r="H1525" s="27" t="n">
        <v>1570</v>
      </c>
      <c r="I1525" s="27" t="n">
        <v>1570</v>
      </c>
      <c r="J1525" s="154">
        <f>I1525/H1525-1</f>
        <v/>
      </c>
      <c r="K1525" s="31" t="inlineStr">
        <is>
          <t>12</t>
        </is>
      </c>
      <c r="L1525" s="31" t="inlineStr">
        <is>
          <t>12</t>
        </is>
      </c>
      <c r="M1525" s="31" t="inlineStr">
        <is>
          <t>S2</t>
        </is>
      </c>
      <c r="N1525" s="31" t="inlineStr">
        <is>
          <t>S4</t>
        </is>
      </c>
      <c r="O1525" s="31" t="inlineStr">
        <is>
          <t>305-148-801-0</t>
        </is>
      </c>
      <c r="P1525" s="31" t="inlineStr">
        <is>
          <t>SR Technics Switzerland</t>
        </is>
      </c>
    </row>
    <row r="1526">
      <c r="B1526" s="31" t="inlineStr">
        <is>
          <t>CFM56-5B</t>
        </is>
      </c>
      <c r="C1526" s="31" t="inlineStr">
        <is>
          <t>2025-2026</t>
        </is>
      </c>
      <c r="D1526" s="31" t="inlineStr">
        <is>
          <t>139422</t>
        </is>
      </c>
      <c r="E1526" s="31" t="inlineStr">
        <is>
          <t>72-62-04</t>
        </is>
      </c>
      <c r="F1526" s="31" t="inlineStr">
        <is>
          <t>C</t>
        </is>
      </c>
      <c r="G1526" s="31" t="inlineStr">
        <is>
          <t>Gearbox</t>
        </is>
      </c>
      <c r="H1526" s="27" t="n">
        <v>635</v>
      </c>
      <c r="I1526" s="27" t="n">
        <v>675</v>
      </c>
      <c r="J1526" s="154">
        <f>I1526/H1526-1</f>
        <v/>
      </c>
      <c r="K1526" s="31" t="inlineStr">
        <is>
          <t>12</t>
        </is>
      </c>
      <c r="L1526" s="31" t="inlineStr">
        <is>
          <t>12</t>
        </is>
      </c>
      <c r="M1526" s="31" t="inlineStr">
        <is>
          <t>S2</t>
        </is>
      </c>
      <c r="N1526" s="31" t="inlineStr">
        <is>
          <t>S4</t>
        </is>
      </c>
      <c r="O1526" s="31" t="inlineStr">
        <is>
          <t>305-148-801-0</t>
        </is>
      </c>
      <c r="P1526" s="31" t="inlineStr">
        <is>
          <t>SR Technics Switzerland</t>
        </is>
      </c>
    </row>
    <row r="1527">
      <c r="B1527" s="31" t="inlineStr">
        <is>
          <t>CFM56-5B</t>
        </is>
      </c>
      <c r="C1527" s="31" t="inlineStr">
        <is>
          <t>2025-2026</t>
        </is>
      </c>
      <c r="D1527" s="31" t="inlineStr">
        <is>
          <t>139422</t>
        </is>
      </c>
      <c r="E1527" s="31" t="inlineStr">
        <is>
          <t>72-62-04</t>
        </is>
      </c>
      <c r="F1527" s="31" t="inlineStr">
        <is>
          <t>D</t>
        </is>
      </c>
      <c r="G1527" s="31" t="inlineStr">
        <is>
          <t>Gearbox</t>
        </is>
      </c>
      <c r="H1527" s="27" t="n">
        <v>670</v>
      </c>
      <c r="I1527" s="27" t="n">
        <v>715</v>
      </c>
      <c r="J1527" s="154">
        <f>I1527/H1527-1</f>
        <v/>
      </c>
      <c r="K1527" s="31" t="inlineStr">
        <is>
          <t>12</t>
        </is>
      </c>
      <c r="L1527" s="31" t="inlineStr">
        <is>
          <t>12</t>
        </is>
      </c>
      <c r="M1527" s="31" t="inlineStr">
        <is>
          <t>S2</t>
        </is>
      </c>
      <c r="N1527" s="31" t="inlineStr">
        <is>
          <t>S4</t>
        </is>
      </c>
      <c r="O1527" s="31" t="inlineStr">
        <is>
          <t>305-148-801-0</t>
        </is>
      </c>
      <c r="P1527" s="31" t="inlineStr">
        <is>
          <t>SR Technics Switzerland</t>
        </is>
      </c>
    </row>
    <row r="1528">
      <c r="B1528" s="31" t="inlineStr">
        <is>
          <t>CFM56-5B</t>
        </is>
      </c>
      <c r="C1528" s="31" t="inlineStr">
        <is>
          <t>2025-2026</t>
        </is>
      </c>
      <c r="D1528" s="31" t="inlineStr">
        <is>
          <t>139422</t>
        </is>
      </c>
      <c r="E1528" s="31" t="inlineStr">
        <is>
          <t>72-62-04</t>
        </is>
      </c>
      <c r="F1528" s="31" t="inlineStr">
        <is>
          <t>E</t>
        </is>
      </c>
      <c r="G1528" s="31" t="inlineStr">
        <is>
          <t>Gearbox</t>
        </is>
      </c>
      <c r="H1528" s="27" t="n">
        <v>725</v>
      </c>
      <c r="I1528" s="27" t="n">
        <v>770</v>
      </c>
      <c r="J1528" s="154">
        <f>I1528/H1528-1</f>
        <v/>
      </c>
      <c r="K1528" s="31" t="inlineStr">
        <is>
          <t>12</t>
        </is>
      </c>
      <c r="L1528" s="31" t="inlineStr">
        <is>
          <t>12</t>
        </is>
      </c>
      <c r="M1528" s="31" t="inlineStr">
        <is>
          <t>S2</t>
        </is>
      </c>
      <c r="N1528" s="31" t="inlineStr">
        <is>
          <t>S4</t>
        </is>
      </c>
      <c r="O1528" s="31" t="inlineStr">
        <is>
          <t>305-148-801-0</t>
        </is>
      </c>
      <c r="P1528" s="31" t="inlineStr">
        <is>
          <t>SR Technics Switzerland</t>
        </is>
      </c>
    </row>
    <row r="1529">
      <c r="B1529" s="31" t="inlineStr">
        <is>
          <t>CFM56-5B</t>
        </is>
      </c>
      <c r="C1529" s="31" t="inlineStr">
        <is>
          <t>2025-2026</t>
        </is>
      </c>
      <c r="D1529" s="31" t="inlineStr">
        <is>
          <t>139422</t>
        </is>
      </c>
      <c r="E1529" s="31" t="inlineStr">
        <is>
          <t>72-62-04</t>
        </is>
      </c>
      <c r="F1529" s="31" t="inlineStr">
        <is>
          <t>F</t>
        </is>
      </c>
      <c r="G1529" s="31" t="inlineStr">
        <is>
          <t>Gearbox</t>
        </is>
      </c>
      <c r="H1529" s="27" t="n">
        <v>640</v>
      </c>
      <c r="I1529" s="27" t="n">
        <v>680</v>
      </c>
      <c r="J1529" s="154">
        <f>I1529/H1529-1</f>
        <v/>
      </c>
      <c r="K1529" s="31" t="inlineStr">
        <is>
          <t>12</t>
        </is>
      </c>
      <c r="L1529" s="31" t="inlineStr">
        <is>
          <t>12</t>
        </is>
      </c>
      <c r="M1529" s="31" t="inlineStr">
        <is>
          <t>S2</t>
        </is>
      </c>
      <c r="N1529" s="31" t="inlineStr">
        <is>
          <t>S4</t>
        </is>
      </c>
      <c r="O1529" s="31" t="inlineStr">
        <is>
          <t>305-148-801-0</t>
        </is>
      </c>
      <c r="P1529" s="31" t="inlineStr">
        <is>
          <t>SR Technics Switzerland</t>
        </is>
      </c>
    </row>
    <row r="1530">
      <c r="B1530" s="31" t="inlineStr">
        <is>
          <t>CFM56-5B</t>
        </is>
      </c>
      <c r="C1530" s="31" t="inlineStr">
        <is>
          <t>2025-2026</t>
        </is>
      </c>
      <c r="D1530" s="31" t="inlineStr">
        <is>
          <t>139422</t>
        </is>
      </c>
      <c r="E1530" s="31" t="inlineStr">
        <is>
          <t>72-62-04</t>
        </is>
      </c>
      <c r="F1530" s="31" t="inlineStr">
        <is>
          <t>H</t>
        </is>
      </c>
      <c r="G1530" s="31" t="inlineStr">
        <is>
          <t>Gearbox</t>
        </is>
      </c>
      <c r="H1530" s="27" t="n">
        <v>810</v>
      </c>
      <c r="I1530" s="27" t="n">
        <v>860</v>
      </c>
      <c r="J1530" s="154">
        <f>I1530/H1530-1</f>
        <v/>
      </c>
      <c r="K1530" s="31" t="inlineStr">
        <is>
          <t>12</t>
        </is>
      </c>
      <c r="L1530" s="31" t="inlineStr">
        <is>
          <t>12</t>
        </is>
      </c>
      <c r="M1530" s="31" t="inlineStr">
        <is>
          <t>S2</t>
        </is>
      </c>
      <c r="N1530" s="31" t="inlineStr">
        <is>
          <t>S4</t>
        </is>
      </c>
      <c r="O1530" s="31" t="inlineStr">
        <is>
          <t>305-148-801-0</t>
        </is>
      </c>
      <c r="P1530" s="31" t="inlineStr">
        <is>
          <t>SR Technics Switzerland</t>
        </is>
      </c>
    </row>
    <row r="1531">
      <c r="B1531" s="31" t="inlineStr">
        <is>
          <t>CFM56-5B</t>
        </is>
      </c>
      <c r="C1531" s="31" t="inlineStr">
        <is>
          <t>2025-2026</t>
        </is>
      </c>
      <c r="D1531" s="31" t="inlineStr">
        <is>
          <t>139423</t>
        </is>
      </c>
      <c r="E1531" s="31" t="inlineStr">
        <is>
          <t>72-63-03</t>
        </is>
      </c>
      <c r="F1531" s="31" t="inlineStr">
        <is>
          <t>E</t>
        </is>
      </c>
      <c r="G1531" s="31" t="inlineStr">
        <is>
          <t>Gearbox</t>
        </is>
      </c>
      <c r="H1531" s="27" t="n">
        <v>810</v>
      </c>
      <c r="I1531" s="27" t="n">
        <v>860</v>
      </c>
      <c r="J1531" s="154">
        <f>I1531/H1531-1</f>
        <v/>
      </c>
      <c r="K1531" s="31" t="inlineStr">
        <is>
          <t>49</t>
        </is>
      </c>
      <c r="L1531" s="31" t="inlineStr">
        <is>
          <t>51</t>
        </is>
      </c>
      <c r="M1531" s="31" t="inlineStr">
        <is>
          <t>S2</t>
        </is>
      </c>
      <c r="N1531" s="31" t="inlineStr">
        <is>
          <t>S4</t>
        </is>
      </c>
      <c r="O1531" s="31" t="inlineStr">
        <is>
          <t>305-137-101-0</t>
        </is>
      </c>
      <c r="P1531" s="31" t="inlineStr">
        <is>
          <t>SR Technics Switzerland</t>
        </is>
      </c>
    </row>
    <row r="1532">
      <c r="B1532" s="31" t="inlineStr">
        <is>
          <t>CFM56-5B</t>
        </is>
      </c>
      <c r="C1532" s="31" t="inlineStr">
        <is>
          <t>2025-2026</t>
        </is>
      </c>
      <c r="D1532" s="31" t="inlineStr">
        <is>
          <t>139424</t>
        </is>
      </c>
      <c r="E1532" s="31" t="inlineStr">
        <is>
          <t>72-63-25</t>
        </is>
      </c>
      <c r="F1532" s="31" t="inlineStr">
        <is>
          <t>A</t>
        </is>
      </c>
      <c r="G1532" s="31" t="inlineStr">
        <is>
          <t>Gearbox</t>
        </is>
      </c>
      <c r="H1532" s="27" t="n">
        <v>365</v>
      </c>
      <c r="I1532" s="27" t="n">
        <v>385</v>
      </c>
      <c r="J1532" s="154">
        <f>I1532/H1532-1</f>
        <v/>
      </c>
      <c r="K1532" s="31" t="inlineStr">
        <is>
          <t>50</t>
        </is>
      </c>
      <c r="L1532" s="31" t="inlineStr">
        <is>
          <t>52</t>
        </is>
      </c>
      <c r="M1532" s="31" t="inlineStr">
        <is>
          <t>S2</t>
        </is>
      </c>
      <c r="N1532" s="31" t="inlineStr">
        <is>
          <t>S4</t>
        </is>
      </c>
      <c r="O1532" s="31" t="inlineStr">
        <is>
          <t>305-140-501-0</t>
        </is>
      </c>
      <c r="P1532" s="31" t="inlineStr">
        <is>
          <t>SR Technics Switzerland</t>
        </is>
      </c>
    </row>
    <row r="1533">
      <c r="B1533" s="31" t="inlineStr">
        <is>
          <t>CFM56-5B</t>
        </is>
      </c>
      <c r="C1533" s="31" t="inlineStr">
        <is>
          <t>2025-2026</t>
        </is>
      </c>
      <c r="D1533" s="31" t="inlineStr">
        <is>
          <t>139424</t>
        </is>
      </c>
      <c r="E1533" s="31" t="inlineStr">
        <is>
          <t>72-63-25</t>
        </is>
      </c>
      <c r="F1533" s="31" t="inlineStr">
        <is>
          <t>B</t>
        </is>
      </c>
      <c r="G1533" s="31" t="inlineStr">
        <is>
          <t>Gearbox</t>
        </is>
      </c>
      <c r="H1533" s="27" t="n">
        <v>310</v>
      </c>
      <c r="I1533" s="27" t="n">
        <v>330</v>
      </c>
      <c r="J1533" s="154">
        <f>I1533/H1533-1</f>
        <v/>
      </c>
      <c r="K1533" s="31" t="inlineStr">
        <is>
          <t>50</t>
        </is>
      </c>
      <c r="L1533" s="31" t="inlineStr">
        <is>
          <t>52</t>
        </is>
      </c>
      <c r="M1533" s="31" t="inlineStr">
        <is>
          <t>S2</t>
        </is>
      </c>
      <c r="N1533" s="31" t="inlineStr">
        <is>
          <t>S4</t>
        </is>
      </c>
      <c r="O1533" s="31" t="inlineStr">
        <is>
          <t>305-140-501-0</t>
        </is>
      </c>
      <c r="P1533" s="31" t="inlineStr">
        <is>
          <t>SR Technics Switzerland</t>
        </is>
      </c>
    </row>
    <row r="1534">
      <c r="B1534" s="31" t="inlineStr">
        <is>
          <t>CFM56-5B</t>
        </is>
      </c>
      <c r="C1534" s="31" t="inlineStr">
        <is>
          <t>2025-2026</t>
        </is>
      </c>
      <c r="D1534" s="31" t="inlineStr">
        <is>
          <t>139429</t>
        </is>
      </c>
      <c r="E1534" s="31" t="inlineStr">
        <is>
          <t>72-22-05</t>
        </is>
      </c>
      <c r="F1534" s="31" t="inlineStr">
        <is>
          <t>A</t>
        </is>
      </c>
      <c r="G1534" s="31" t="inlineStr">
        <is>
          <t>Fan / booster</t>
        </is>
      </c>
      <c r="H1534" s="27" t="n">
        <v>380</v>
      </c>
      <c r="I1534" s="27" t="n">
        <v>400</v>
      </c>
      <c r="J1534" s="154">
        <f>I1534/H1534-1</f>
        <v/>
      </c>
      <c r="K1534" s="31" t="inlineStr">
        <is>
          <t>12</t>
        </is>
      </c>
      <c r="L1534" s="31" t="inlineStr">
        <is>
          <t>12</t>
        </is>
      </c>
      <c r="M1534" s="31" t="inlineStr">
        <is>
          <t>S2</t>
        </is>
      </c>
      <c r="N1534" s="31" t="inlineStr">
        <is>
          <t>S4</t>
        </is>
      </c>
      <c r="O1534" s="31" t="inlineStr">
        <is>
          <t>305-396-303-0</t>
        </is>
      </c>
      <c r="P1534" s="31" t="inlineStr">
        <is>
          <t>SR Technics Switzerland</t>
        </is>
      </c>
    </row>
    <row r="1535">
      <c r="B1535" s="31" t="inlineStr">
        <is>
          <t>CFM56-5B</t>
        </is>
      </c>
      <c r="C1535" s="31" t="inlineStr">
        <is>
          <t>2025-2026</t>
        </is>
      </c>
      <c r="D1535" s="31" t="inlineStr">
        <is>
          <t>139430</t>
        </is>
      </c>
      <c r="E1535" s="31" t="inlineStr">
        <is>
          <t>72-55-10</t>
        </is>
      </c>
      <c r="F1535" s="31" t="inlineStr">
        <is>
          <t>A</t>
        </is>
      </c>
      <c r="G1535" s="31" t="inlineStr">
        <is>
          <t>LPT</t>
        </is>
      </c>
      <c r="H1535" s="27" t="n">
        <v>740</v>
      </c>
      <c r="I1535" s="27" t="n">
        <v>780</v>
      </c>
      <c r="J1535" s="154">
        <f>I1535/H1535-1</f>
        <v/>
      </c>
      <c r="K1535" s="31" t="inlineStr">
        <is>
          <t>12</t>
        </is>
      </c>
      <c r="L1535" s="31" t="inlineStr">
        <is>
          <t>12</t>
        </is>
      </c>
      <c r="M1535" s="31" t="inlineStr">
        <is>
          <t>S2</t>
        </is>
      </c>
      <c r="N1535" s="31" t="inlineStr">
        <is>
          <t>S4</t>
        </is>
      </c>
      <c r="O1535" s="31" t="inlineStr">
        <is>
          <t>305-408-301-0</t>
        </is>
      </c>
      <c r="P1535" s="31" t="inlineStr">
        <is>
          <t>SR Technics Switzerland</t>
        </is>
      </c>
    </row>
    <row r="1536">
      <c r="B1536" s="31" t="inlineStr">
        <is>
          <t>CFM56-5B</t>
        </is>
      </c>
      <c r="C1536" s="31" t="inlineStr">
        <is>
          <t>2025-2026</t>
        </is>
      </c>
      <c r="D1536" s="31" t="inlineStr">
        <is>
          <t>139430</t>
        </is>
      </c>
      <c r="E1536" s="31" t="inlineStr">
        <is>
          <t>72-55-10</t>
        </is>
      </c>
      <c r="F1536" s="31" t="inlineStr">
        <is>
          <t>B</t>
        </is>
      </c>
      <c r="G1536" s="31" t="inlineStr">
        <is>
          <t>LPT</t>
        </is>
      </c>
      <c r="H1536" s="27" t="n">
        <v>980</v>
      </c>
      <c r="I1536" s="27" t="n">
        <v>1040</v>
      </c>
      <c r="J1536" s="154">
        <f>I1536/H1536-1</f>
        <v/>
      </c>
      <c r="K1536" s="31" t="inlineStr">
        <is>
          <t>12</t>
        </is>
      </c>
      <c r="L1536" s="31" t="inlineStr">
        <is>
          <t>12</t>
        </is>
      </c>
      <c r="M1536" s="31" t="inlineStr">
        <is>
          <t>S2</t>
        </is>
      </c>
      <c r="N1536" s="31" t="inlineStr">
        <is>
          <t>S4</t>
        </is>
      </c>
      <c r="O1536" s="31" t="inlineStr">
        <is>
          <t>305-408-301-0</t>
        </is>
      </c>
      <c r="P1536" s="31" t="inlineStr">
        <is>
          <t>SR Technics Switzerland</t>
        </is>
      </c>
    </row>
    <row r="1537">
      <c r="B1537" s="31" t="inlineStr">
        <is>
          <t>CFM56-5B</t>
        </is>
      </c>
      <c r="C1537" s="31" t="inlineStr">
        <is>
          <t>2025-2026</t>
        </is>
      </c>
      <c r="D1537" s="31" t="inlineStr">
        <is>
          <t>139430</t>
        </is>
      </c>
      <c r="E1537" s="31" t="inlineStr">
        <is>
          <t>72-55-10</t>
        </is>
      </c>
      <c r="F1537" s="31" t="inlineStr">
        <is>
          <t>C</t>
        </is>
      </c>
      <c r="G1537" s="31" t="inlineStr">
        <is>
          <t>LPT</t>
        </is>
      </c>
      <c r="H1537" s="27" t="n">
        <v>3115</v>
      </c>
      <c r="I1537" s="27" t="n">
        <v>3305</v>
      </c>
      <c r="J1537" s="154">
        <f>I1537/H1537-1</f>
        <v/>
      </c>
      <c r="K1537" s="31" t="inlineStr">
        <is>
          <t>12</t>
        </is>
      </c>
      <c r="L1537" s="31" t="inlineStr">
        <is>
          <t>12</t>
        </is>
      </c>
      <c r="M1537" s="31" t="inlineStr">
        <is>
          <t>S2</t>
        </is>
      </c>
      <c r="N1537" s="31" t="inlineStr">
        <is>
          <t>S4</t>
        </is>
      </c>
      <c r="O1537" s="31" t="inlineStr">
        <is>
          <t>305-408-301-0</t>
        </is>
      </c>
      <c r="P1537" s="31" t="inlineStr">
        <is>
          <t>SR Technics Switzerland</t>
        </is>
      </c>
    </row>
    <row r="1538">
      <c r="B1538" s="31" t="inlineStr">
        <is>
          <t>CFM56-5B</t>
        </is>
      </c>
      <c r="C1538" s="31" t="inlineStr">
        <is>
          <t>2025-2026</t>
        </is>
      </c>
      <c r="D1538" s="31" t="inlineStr">
        <is>
          <t>139430</t>
        </is>
      </c>
      <c r="E1538" s="31" t="inlineStr">
        <is>
          <t>72-55-10</t>
        </is>
      </c>
      <c r="F1538" s="31" t="inlineStr">
        <is>
          <t>D</t>
        </is>
      </c>
      <c r="G1538" s="31" t="inlineStr">
        <is>
          <t>LPT</t>
        </is>
      </c>
      <c r="H1538" s="27" t="n">
        <v>4695</v>
      </c>
      <c r="I1538" s="27" t="n">
        <v>4980</v>
      </c>
      <c r="J1538" s="154">
        <f>I1538/H1538-1</f>
        <v/>
      </c>
      <c r="K1538" s="31" t="inlineStr">
        <is>
          <t>12</t>
        </is>
      </c>
      <c r="L1538" s="31" t="inlineStr">
        <is>
          <t>12</t>
        </is>
      </c>
      <c r="M1538" s="31" t="inlineStr">
        <is>
          <t>S2</t>
        </is>
      </c>
      <c r="N1538" s="31" t="inlineStr">
        <is>
          <t>S4</t>
        </is>
      </c>
      <c r="O1538" s="31" t="inlineStr">
        <is>
          <t>305-408-301-0</t>
        </is>
      </c>
      <c r="P1538" s="31" t="inlineStr">
        <is>
          <t>SR Technics Switzerland</t>
        </is>
      </c>
    </row>
    <row r="1539">
      <c r="B1539" s="31" t="inlineStr">
        <is>
          <t>CFM56-5B</t>
        </is>
      </c>
      <c r="C1539" s="31" t="inlineStr">
        <is>
          <t>2025-2026</t>
        </is>
      </c>
      <c r="D1539" s="31" t="inlineStr">
        <is>
          <t>139430</t>
        </is>
      </c>
      <c r="E1539" s="31" t="inlineStr">
        <is>
          <t>72-55-10</t>
        </is>
      </c>
      <c r="F1539" s="31" t="inlineStr">
        <is>
          <t>I</t>
        </is>
      </c>
      <c r="G1539" s="31" t="inlineStr">
        <is>
          <t>LPT</t>
        </is>
      </c>
      <c r="H1539" s="27" t="n">
        <v>1080</v>
      </c>
      <c r="I1539" s="27" t="n">
        <v>1145</v>
      </c>
      <c r="J1539" s="154">
        <f>I1539/H1539-1</f>
        <v/>
      </c>
      <c r="K1539" s="31" t="inlineStr">
        <is>
          <t>12</t>
        </is>
      </c>
      <c r="L1539" s="31" t="inlineStr">
        <is>
          <t>12</t>
        </is>
      </c>
      <c r="M1539" s="31" t="inlineStr">
        <is>
          <t>S2</t>
        </is>
      </c>
      <c r="N1539" s="31" t="inlineStr">
        <is>
          <t>S4</t>
        </is>
      </c>
      <c r="O1539" s="31" t="inlineStr">
        <is>
          <t>305-408-301-0</t>
        </is>
      </c>
      <c r="P1539" s="31" t="inlineStr">
        <is>
          <t>SR Technics Switzerland</t>
        </is>
      </c>
    </row>
    <row r="1540">
      <c r="B1540" s="31" t="inlineStr">
        <is>
          <t>CFM56-5B</t>
        </is>
      </c>
      <c r="C1540" s="31" t="inlineStr">
        <is>
          <t>2025-2026</t>
        </is>
      </c>
      <c r="D1540" s="31" t="inlineStr">
        <is>
          <t>139432</t>
        </is>
      </c>
      <c r="E1540" s="31" t="inlineStr">
        <is>
          <t>72-54-03</t>
        </is>
      </c>
      <c r="F1540" s="31" t="inlineStr">
        <is>
          <t>A</t>
        </is>
      </c>
      <c r="G1540" s="31" t="inlineStr">
        <is>
          <t>LPT</t>
        </is>
      </c>
      <c r="H1540" s="27" t="n">
        <v>1180</v>
      </c>
      <c r="I1540" s="27" t="n">
        <v>1240</v>
      </c>
      <c r="J1540" s="154">
        <f>I1540/H1540-1</f>
        <v/>
      </c>
      <c r="K1540" s="31" t="inlineStr">
        <is>
          <t>12</t>
        </is>
      </c>
      <c r="L1540" s="31" t="inlineStr">
        <is>
          <t>12</t>
        </is>
      </c>
      <c r="M1540" s="31" t="inlineStr">
        <is>
          <t>S2</t>
        </is>
      </c>
      <c r="N1540" s="31" t="inlineStr">
        <is>
          <t>S4</t>
        </is>
      </c>
      <c r="O1540" s="31" t="inlineStr">
        <is>
          <t>336-001-804-0</t>
        </is>
      </c>
      <c r="P1540" s="31" t="inlineStr">
        <is>
          <t>SR Technics Switzerland</t>
        </is>
      </c>
    </row>
    <row r="1541">
      <c r="B1541" s="31" t="inlineStr">
        <is>
          <t>CFM56-5B</t>
        </is>
      </c>
      <c r="C1541" s="31" t="inlineStr">
        <is>
          <t>2025-2026</t>
        </is>
      </c>
      <c r="D1541" s="31" t="inlineStr">
        <is>
          <t>139432</t>
        </is>
      </c>
      <c r="E1541" s="31" t="inlineStr">
        <is>
          <t>72-54-03</t>
        </is>
      </c>
      <c r="F1541" s="31" t="inlineStr">
        <is>
          <t>B</t>
        </is>
      </c>
      <c r="G1541" s="31" t="inlineStr">
        <is>
          <t>LPT</t>
        </is>
      </c>
      <c r="H1541" s="27" t="n">
        <v>3190</v>
      </c>
      <c r="I1541" s="27" t="n">
        <v>3385</v>
      </c>
      <c r="J1541" s="154">
        <f>I1541/H1541-1</f>
        <v/>
      </c>
      <c r="K1541" s="31" t="inlineStr">
        <is>
          <t>12</t>
        </is>
      </c>
      <c r="L1541" s="31" t="inlineStr">
        <is>
          <t>12</t>
        </is>
      </c>
      <c r="M1541" s="31" t="inlineStr">
        <is>
          <t>S2</t>
        </is>
      </c>
      <c r="N1541" s="31" t="inlineStr">
        <is>
          <t>S4</t>
        </is>
      </c>
      <c r="O1541" s="31" t="inlineStr">
        <is>
          <t>336-001-804-0</t>
        </is>
      </c>
      <c r="P1541" s="31" t="inlineStr">
        <is>
          <t>SR Technics Switzerland</t>
        </is>
      </c>
    </row>
    <row r="1542">
      <c r="B1542" s="31" t="inlineStr">
        <is>
          <t>CFM56-5B</t>
        </is>
      </c>
      <c r="C1542" s="31" t="inlineStr">
        <is>
          <t>2025-2026</t>
        </is>
      </c>
      <c r="D1542" s="31" t="inlineStr">
        <is>
          <t>139432</t>
        </is>
      </c>
      <c r="E1542" s="31" t="inlineStr">
        <is>
          <t>72-54-03</t>
        </is>
      </c>
      <c r="F1542" s="31" t="inlineStr">
        <is>
          <t>D</t>
        </is>
      </c>
      <c r="G1542" s="31" t="inlineStr">
        <is>
          <t>LPT</t>
        </is>
      </c>
      <c r="H1542" s="27" t="n">
        <v>1695</v>
      </c>
      <c r="I1542" s="27" t="n">
        <v>1800</v>
      </c>
      <c r="J1542" s="154">
        <f>I1542/H1542-1</f>
        <v/>
      </c>
      <c r="K1542" s="31" t="inlineStr">
        <is>
          <t>12</t>
        </is>
      </c>
      <c r="L1542" s="31" t="inlineStr">
        <is>
          <t>12</t>
        </is>
      </c>
      <c r="M1542" s="31" t="inlineStr">
        <is>
          <t>S2</t>
        </is>
      </c>
      <c r="N1542" s="31" t="inlineStr">
        <is>
          <t>S4</t>
        </is>
      </c>
      <c r="O1542" s="31" t="inlineStr">
        <is>
          <t>336-001-804-0</t>
        </is>
      </c>
      <c r="P1542" s="31" t="inlineStr">
        <is>
          <t>SR Technics Switzerland</t>
        </is>
      </c>
    </row>
    <row r="1543">
      <c r="B1543" s="31" t="inlineStr">
        <is>
          <t>CFM56-5B</t>
        </is>
      </c>
      <c r="C1543" s="31" t="inlineStr">
        <is>
          <t>2025-2026</t>
        </is>
      </c>
      <c r="D1543" s="31" t="inlineStr">
        <is>
          <t>139432</t>
        </is>
      </c>
      <c r="E1543" s="31" t="inlineStr">
        <is>
          <t>72-54-03</t>
        </is>
      </c>
      <c r="F1543" s="31" t="inlineStr">
        <is>
          <t>F</t>
        </is>
      </c>
      <c r="G1543" s="31" t="inlineStr">
        <is>
          <t>LPT</t>
        </is>
      </c>
      <c r="H1543" s="27" t="n">
        <v>4100</v>
      </c>
      <c r="I1543" s="27" t="n">
        <v>4350</v>
      </c>
      <c r="J1543" s="154">
        <f>I1543/H1543-1</f>
        <v/>
      </c>
      <c r="K1543" s="31" t="inlineStr">
        <is>
          <t>12</t>
        </is>
      </c>
      <c r="L1543" s="31" t="inlineStr">
        <is>
          <t>12</t>
        </is>
      </c>
      <c r="M1543" s="31" t="inlineStr">
        <is>
          <t>S2</t>
        </is>
      </c>
      <c r="N1543" s="31" t="inlineStr">
        <is>
          <t>S4</t>
        </is>
      </c>
      <c r="O1543" s="31" t="inlineStr">
        <is>
          <t>336-001-804-0</t>
        </is>
      </c>
      <c r="P1543" s="31" t="inlineStr">
        <is>
          <t>SR Technics Switzerland</t>
        </is>
      </c>
    </row>
    <row r="1544">
      <c r="B1544" s="31" t="inlineStr">
        <is>
          <t>CFM56-5B</t>
        </is>
      </c>
      <c r="C1544" s="31" t="inlineStr">
        <is>
          <t>2025-2026</t>
        </is>
      </c>
      <c r="D1544" s="31" t="inlineStr">
        <is>
          <t>139432</t>
        </is>
      </c>
      <c r="E1544" s="31" t="inlineStr">
        <is>
          <t>72-54-03</t>
        </is>
      </c>
      <c r="F1544" s="31" t="inlineStr">
        <is>
          <t>G</t>
        </is>
      </c>
      <c r="G1544" s="31" t="inlineStr">
        <is>
          <t>LPT</t>
        </is>
      </c>
      <c r="H1544" s="27" t="n">
        <v>5345</v>
      </c>
      <c r="I1544" s="27" t="n">
        <v>5670</v>
      </c>
      <c r="J1544" s="154">
        <f>I1544/H1544-1</f>
        <v/>
      </c>
      <c r="K1544" s="31" t="inlineStr">
        <is>
          <t>12</t>
        </is>
      </c>
      <c r="L1544" s="31" t="inlineStr">
        <is>
          <t>12</t>
        </is>
      </c>
      <c r="M1544" s="31" t="inlineStr">
        <is>
          <t>S2</t>
        </is>
      </c>
      <c r="N1544" s="31" t="inlineStr">
        <is>
          <t>S4</t>
        </is>
      </c>
      <c r="O1544" s="31" t="inlineStr">
        <is>
          <t>336-001-804-0</t>
        </is>
      </c>
      <c r="P1544" s="31" t="inlineStr">
        <is>
          <t>SR Technics Switzerland</t>
        </is>
      </c>
    </row>
    <row r="1545">
      <c r="B1545" s="31" t="inlineStr">
        <is>
          <t>CFM56-5B</t>
        </is>
      </c>
      <c r="C1545" s="31" t="inlineStr">
        <is>
          <t>2025-2026</t>
        </is>
      </c>
      <c r="D1545" s="31" t="inlineStr">
        <is>
          <t>139432</t>
        </is>
      </c>
      <c r="E1545" s="31" t="inlineStr">
        <is>
          <t>72-54-03</t>
        </is>
      </c>
      <c r="F1545" s="31" t="inlineStr">
        <is>
          <t>J</t>
        </is>
      </c>
      <c r="G1545" s="31" t="inlineStr">
        <is>
          <t>LPT</t>
        </is>
      </c>
      <c r="H1545" s="27" t="n">
        <v>1955</v>
      </c>
      <c r="I1545" s="27" t="n">
        <v>2075</v>
      </c>
      <c r="J1545" s="154">
        <f>I1545/H1545-1</f>
        <v/>
      </c>
      <c r="K1545" s="31" t="inlineStr">
        <is>
          <t>12</t>
        </is>
      </c>
      <c r="L1545" s="31" t="inlineStr">
        <is>
          <t>12</t>
        </is>
      </c>
      <c r="M1545" s="31" t="inlineStr">
        <is>
          <t>S2</t>
        </is>
      </c>
      <c r="N1545" s="31" t="inlineStr">
        <is>
          <t>S4</t>
        </is>
      </c>
      <c r="O1545" s="31" t="inlineStr">
        <is>
          <t>336-001-804-0</t>
        </is>
      </c>
      <c r="P1545" s="31" t="inlineStr">
        <is>
          <t>SR Technics Switzerland</t>
        </is>
      </c>
    </row>
    <row r="1546">
      <c r="B1546" s="31" t="inlineStr">
        <is>
          <t>CFM56-5B</t>
        </is>
      </c>
      <c r="C1546" s="31" t="inlineStr">
        <is>
          <t>2025-2026</t>
        </is>
      </c>
      <c r="D1546" s="31" t="inlineStr">
        <is>
          <t>139432</t>
        </is>
      </c>
      <c r="E1546" s="31" t="inlineStr">
        <is>
          <t>72-54-03</t>
        </is>
      </c>
      <c r="F1546" s="31" t="inlineStr">
        <is>
          <t>K</t>
        </is>
      </c>
      <c r="G1546" s="31" t="inlineStr">
        <is>
          <t>LPT</t>
        </is>
      </c>
      <c r="H1546" s="27" t="n">
        <v>1955</v>
      </c>
      <c r="I1546" s="27" t="n">
        <v>2075</v>
      </c>
      <c r="J1546" s="154">
        <f>I1546/H1546-1</f>
        <v/>
      </c>
      <c r="K1546" s="31" t="inlineStr">
        <is>
          <t>12</t>
        </is>
      </c>
      <c r="L1546" s="31" t="inlineStr">
        <is>
          <t>12</t>
        </is>
      </c>
      <c r="M1546" s="31" t="inlineStr">
        <is>
          <t>S2</t>
        </is>
      </c>
      <c r="N1546" s="31" t="inlineStr">
        <is>
          <t>S4</t>
        </is>
      </c>
      <c r="O1546" s="31" t="inlineStr">
        <is>
          <t>336-001-804-0</t>
        </is>
      </c>
      <c r="P1546" s="31" t="inlineStr">
        <is>
          <t>SR Technics Switzerland</t>
        </is>
      </c>
    </row>
    <row r="1547">
      <c r="B1547" s="31" t="inlineStr">
        <is>
          <t>CFM56-5B</t>
        </is>
      </c>
      <c r="C1547" s="31" t="inlineStr">
        <is>
          <t>2025-2026</t>
        </is>
      </c>
      <c r="D1547" s="31" t="inlineStr">
        <is>
          <t>139432</t>
        </is>
      </c>
      <c r="E1547" s="31" t="inlineStr">
        <is>
          <t>72-54-03</t>
        </is>
      </c>
      <c r="F1547" s="31" t="inlineStr">
        <is>
          <t>L</t>
        </is>
      </c>
      <c r="G1547" s="31" t="inlineStr">
        <is>
          <t>LPT</t>
        </is>
      </c>
      <c r="H1547" s="27" t="n">
        <v>1955</v>
      </c>
      <c r="I1547" s="27" t="n">
        <v>2075</v>
      </c>
      <c r="J1547" s="154">
        <f>I1547/H1547-1</f>
        <v/>
      </c>
      <c r="K1547" s="31" t="inlineStr">
        <is>
          <t>12</t>
        </is>
      </c>
      <c r="L1547" s="31" t="inlineStr">
        <is>
          <t>12</t>
        </is>
      </c>
      <c r="M1547" s="31" t="inlineStr">
        <is>
          <t>S2</t>
        </is>
      </c>
      <c r="N1547" s="31" t="inlineStr">
        <is>
          <t>S4</t>
        </is>
      </c>
      <c r="O1547" s="31" t="inlineStr">
        <is>
          <t>336-001-804-0</t>
        </is>
      </c>
      <c r="P1547" s="31" t="inlineStr">
        <is>
          <t>SR Technics Switzerland</t>
        </is>
      </c>
    </row>
    <row r="1548">
      <c r="B1548" s="31" t="inlineStr">
        <is>
          <t>CFM56-5B</t>
        </is>
      </c>
      <c r="C1548" s="31" t="inlineStr">
        <is>
          <t>2025-2026</t>
        </is>
      </c>
      <c r="D1548" s="31" t="inlineStr">
        <is>
          <t>139432</t>
        </is>
      </c>
      <c r="E1548" s="31" t="inlineStr">
        <is>
          <t>72-54-03</t>
        </is>
      </c>
      <c r="F1548" s="31" t="inlineStr">
        <is>
          <t>M</t>
        </is>
      </c>
      <c r="G1548" s="31" t="inlineStr">
        <is>
          <t>LPT</t>
        </is>
      </c>
      <c r="H1548" s="27" t="n">
        <v>1955</v>
      </c>
      <c r="I1548" s="27" t="n">
        <v>2075</v>
      </c>
      <c r="J1548" s="154">
        <f>I1548/H1548-1</f>
        <v/>
      </c>
      <c r="K1548" s="31" t="inlineStr">
        <is>
          <t>13</t>
        </is>
      </c>
      <c r="L1548" s="31" t="inlineStr">
        <is>
          <t>12</t>
        </is>
      </c>
      <c r="M1548" s="31" t="inlineStr">
        <is>
          <t>S2</t>
        </is>
      </c>
      <c r="N1548" s="31" t="inlineStr">
        <is>
          <t>S4</t>
        </is>
      </c>
      <c r="O1548" s="31" t="inlineStr">
        <is>
          <t>336-001-804-0</t>
        </is>
      </c>
      <c r="P1548" s="31" t="inlineStr">
        <is>
          <t>SR Technics Switzerland</t>
        </is>
      </c>
    </row>
    <row r="1549">
      <c r="B1549" s="31" t="inlineStr">
        <is>
          <t>CFM56-5B</t>
        </is>
      </c>
      <c r="C1549" s="31" t="inlineStr">
        <is>
          <t>2025-2026</t>
        </is>
      </c>
      <c r="D1549" s="31" t="inlineStr">
        <is>
          <t>139432</t>
        </is>
      </c>
      <c r="E1549" s="31" t="inlineStr">
        <is>
          <t>72-54-03</t>
        </is>
      </c>
      <c r="F1549" s="31" t="inlineStr">
        <is>
          <t>O</t>
        </is>
      </c>
      <c r="G1549" s="31" t="inlineStr">
        <is>
          <t>LPT</t>
        </is>
      </c>
      <c r="H1549" s="27" t="n">
        <v>8420</v>
      </c>
      <c r="I1549" s="27" t="n">
        <v>8930</v>
      </c>
      <c r="J1549" s="154">
        <f>I1549/H1549-1</f>
        <v/>
      </c>
      <c r="K1549" s="31" t="inlineStr">
        <is>
          <t>13</t>
        </is>
      </c>
      <c r="L1549" s="31" t="inlineStr">
        <is>
          <t>12</t>
        </is>
      </c>
      <c r="M1549" s="31" t="inlineStr">
        <is>
          <t>S2</t>
        </is>
      </c>
      <c r="N1549" s="31" t="inlineStr">
        <is>
          <t>S4</t>
        </is>
      </c>
      <c r="O1549" s="31" t="inlineStr">
        <is>
          <t>336-001-804-0</t>
        </is>
      </c>
      <c r="P1549" s="31" t="inlineStr">
        <is>
          <t>SR Technics Switzerland</t>
        </is>
      </c>
    </row>
    <row r="1550">
      <c r="B1550" s="31" t="inlineStr">
        <is>
          <t>CFM56-5B</t>
        </is>
      </c>
      <c r="C1550" s="31" t="inlineStr">
        <is>
          <t>2025-2026</t>
        </is>
      </c>
      <c r="D1550" s="31" t="inlineStr">
        <is>
          <t>139432</t>
        </is>
      </c>
      <c r="E1550" s="31" t="inlineStr">
        <is>
          <t>72-54-03</t>
        </is>
      </c>
      <c r="F1550" s="31" t="inlineStr">
        <is>
          <t>P</t>
        </is>
      </c>
      <c r="G1550" s="31" t="inlineStr">
        <is>
          <t>LPT</t>
        </is>
      </c>
      <c r="H1550" s="27" t="n">
        <v>8420</v>
      </c>
      <c r="I1550" s="27" t="n">
        <v>8930</v>
      </c>
      <c r="J1550" s="154">
        <f>I1550/H1550-1</f>
        <v/>
      </c>
      <c r="K1550" s="31" t="inlineStr">
        <is>
          <t>13</t>
        </is>
      </c>
      <c r="L1550" s="31" t="inlineStr">
        <is>
          <t>12</t>
        </is>
      </c>
      <c r="M1550" s="31" t="inlineStr">
        <is>
          <t>S2</t>
        </is>
      </c>
      <c r="N1550" s="31" t="inlineStr">
        <is>
          <t>S4</t>
        </is>
      </c>
      <c r="O1550" s="31" t="inlineStr">
        <is>
          <t>336-001-804-0</t>
        </is>
      </c>
      <c r="P1550" s="31" t="inlineStr">
        <is>
          <t>SR Technics Switzerland</t>
        </is>
      </c>
    </row>
    <row r="1551">
      <c r="B1551" s="31" t="inlineStr">
        <is>
          <t>CFM56-5B</t>
        </is>
      </c>
      <c r="C1551" s="31" t="inlineStr">
        <is>
          <t>2025-2026</t>
        </is>
      </c>
      <c r="D1551" s="31" t="inlineStr">
        <is>
          <t>139432</t>
        </is>
      </c>
      <c r="E1551" s="31" t="inlineStr">
        <is>
          <t>72-54-03</t>
        </is>
      </c>
      <c r="F1551" s="31" t="inlineStr">
        <is>
          <t>Q</t>
        </is>
      </c>
      <c r="G1551" s="31" t="inlineStr">
        <is>
          <t>LPT</t>
        </is>
      </c>
      <c r="H1551" s="27" t="n">
        <v>8420</v>
      </c>
      <c r="I1551" s="27" t="n">
        <v>8930</v>
      </c>
      <c r="J1551" s="154">
        <f>I1551/H1551-1</f>
        <v/>
      </c>
      <c r="K1551" s="31" t="inlineStr">
        <is>
          <t>13</t>
        </is>
      </c>
      <c r="L1551" s="31" t="inlineStr">
        <is>
          <t>13</t>
        </is>
      </c>
      <c r="M1551" s="31" t="inlineStr">
        <is>
          <t>S2</t>
        </is>
      </c>
      <c r="N1551" s="31" t="inlineStr">
        <is>
          <t>S4</t>
        </is>
      </c>
      <c r="O1551" s="31" t="inlineStr">
        <is>
          <t>336-001-804-0</t>
        </is>
      </c>
      <c r="P1551" s="31" t="inlineStr">
        <is>
          <t>SR Technics Switzerland</t>
        </is>
      </c>
    </row>
    <row r="1552">
      <c r="B1552" s="31" t="inlineStr">
        <is>
          <t>CFM56-5B</t>
        </is>
      </c>
      <c r="C1552" s="31" t="inlineStr">
        <is>
          <t>2025-2026</t>
        </is>
      </c>
      <c r="D1552" s="31" t="inlineStr">
        <is>
          <t>139432</t>
        </is>
      </c>
      <c r="E1552" s="31" t="inlineStr">
        <is>
          <t>72-54-03</t>
        </is>
      </c>
      <c r="F1552" s="31" t="inlineStr">
        <is>
          <t>R</t>
        </is>
      </c>
      <c r="G1552" s="31" t="inlineStr">
        <is>
          <t>LPT</t>
        </is>
      </c>
      <c r="H1552" s="27" t="n">
        <v>8420</v>
      </c>
      <c r="I1552" s="27" t="n">
        <v>8930</v>
      </c>
      <c r="J1552" s="154">
        <f>I1552/H1552-1</f>
        <v/>
      </c>
      <c r="K1552" s="31" t="inlineStr">
        <is>
          <t>13</t>
        </is>
      </c>
      <c r="L1552" s="31" t="inlineStr">
        <is>
          <t>13</t>
        </is>
      </c>
      <c r="M1552" s="31" t="inlineStr">
        <is>
          <t>S2</t>
        </is>
      </c>
      <c r="N1552" s="31" t="inlineStr">
        <is>
          <t>S4</t>
        </is>
      </c>
      <c r="O1552" s="31" t="inlineStr">
        <is>
          <t>336-001-804-0</t>
        </is>
      </c>
      <c r="P1552" s="31" t="inlineStr">
        <is>
          <t>SR Technics Switzerland</t>
        </is>
      </c>
    </row>
    <row r="1553">
      <c r="B1553" s="31" t="inlineStr">
        <is>
          <t>CFM56-5B</t>
        </is>
      </c>
      <c r="C1553" s="31" t="inlineStr">
        <is>
          <t>2025-2026</t>
        </is>
      </c>
      <c r="D1553" s="31" t="inlineStr">
        <is>
          <t>139432</t>
        </is>
      </c>
      <c r="E1553" s="31" t="inlineStr">
        <is>
          <t>72-54-03</t>
        </is>
      </c>
      <c r="F1553" s="31" t="inlineStr">
        <is>
          <t>SB00</t>
        </is>
      </c>
      <c r="G1553" s="31" t="inlineStr">
        <is>
          <t>LPT</t>
        </is>
      </c>
      <c r="H1553" s="27" t="n">
        <v>475</v>
      </c>
      <c r="I1553" s="27" t="n">
        <v>505</v>
      </c>
      <c r="J1553" s="154">
        <f>I1553/H1553-1</f>
        <v/>
      </c>
      <c r="K1553" s="31" t="inlineStr">
        <is>
          <t>13</t>
        </is>
      </c>
      <c r="L1553" s="31" t="inlineStr">
        <is>
          <t>13</t>
        </is>
      </c>
      <c r="M1553" s="31" t="inlineStr">
        <is>
          <t>S2</t>
        </is>
      </c>
      <c r="N1553" s="31" t="inlineStr">
        <is>
          <t>S4</t>
        </is>
      </c>
      <c r="O1553" s="31" t="inlineStr">
        <is>
          <t>336-001-804-0</t>
        </is>
      </c>
      <c r="P1553" s="31" t="inlineStr">
        <is>
          <t>SR Technics Switzerland</t>
        </is>
      </c>
    </row>
    <row r="1554">
      <c r="B1554" s="31" t="inlineStr">
        <is>
          <t>CFM56-5B</t>
        </is>
      </c>
      <c r="C1554" s="31" t="inlineStr">
        <is>
          <t>2025-2026</t>
        </is>
      </c>
      <c r="D1554" s="31" t="inlineStr">
        <is>
          <t>139432</t>
        </is>
      </c>
      <c r="E1554" s="31" t="inlineStr">
        <is>
          <t>72-54-03</t>
        </is>
      </c>
      <c r="F1554" s="31" t="inlineStr">
        <is>
          <t>SB01</t>
        </is>
      </c>
      <c r="G1554" s="31" t="inlineStr">
        <is>
          <t>LPT</t>
        </is>
      </c>
      <c r="H1554" s="27" t="n">
        <v>475</v>
      </c>
      <c r="I1554" s="27" t="n">
        <v>505</v>
      </c>
      <c r="J1554" s="154">
        <f>I1554/H1554-1</f>
        <v/>
      </c>
      <c r="K1554" s="31" t="inlineStr">
        <is>
          <t>13</t>
        </is>
      </c>
      <c r="L1554" s="31" t="inlineStr">
        <is>
          <t>13</t>
        </is>
      </c>
      <c r="M1554" s="31" t="inlineStr">
        <is>
          <t>S2</t>
        </is>
      </c>
      <c r="N1554" s="31" t="inlineStr">
        <is>
          <t>S4</t>
        </is>
      </c>
      <c r="O1554" s="31" t="inlineStr">
        <is>
          <t>336-001-804-0</t>
        </is>
      </c>
      <c r="P1554" s="31" t="inlineStr">
        <is>
          <t>SR Technics Switzerland</t>
        </is>
      </c>
    </row>
    <row r="1555">
      <c r="B1555" s="31" t="inlineStr">
        <is>
          <t>CFM56-5B</t>
        </is>
      </c>
      <c r="C1555" s="31" t="inlineStr">
        <is>
          <t>2025-2026</t>
        </is>
      </c>
      <c r="D1555" s="31" t="inlineStr">
        <is>
          <t>139432</t>
        </is>
      </c>
      <c r="E1555" s="31" t="inlineStr">
        <is>
          <t>72-54-03</t>
        </is>
      </c>
      <c r="F1555" s="31" t="inlineStr">
        <is>
          <t>SB02</t>
        </is>
      </c>
      <c r="G1555" s="31" t="inlineStr">
        <is>
          <t>LPT</t>
        </is>
      </c>
      <c r="H1555" s="27" t="n">
        <v>475</v>
      </c>
      <c r="I1555" s="27" t="n">
        <v>505</v>
      </c>
      <c r="J1555" s="154">
        <f>I1555/H1555-1</f>
        <v/>
      </c>
      <c r="K1555" s="31" t="inlineStr">
        <is>
          <t>13</t>
        </is>
      </c>
      <c r="L1555" s="31" t="inlineStr">
        <is>
          <t>13</t>
        </is>
      </c>
      <c r="M1555" s="31" t="inlineStr">
        <is>
          <t>S2</t>
        </is>
      </c>
      <c r="N1555" s="31" t="inlineStr">
        <is>
          <t>S4</t>
        </is>
      </c>
      <c r="O1555" s="31" t="inlineStr">
        <is>
          <t>336-001-804-0</t>
        </is>
      </c>
      <c r="P1555" s="31" t="inlineStr">
        <is>
          <t>SR Technics Switzerland</t>
        </is>
      </c>
    </row>
    <row r="1556">
      <c r="B1556" s="31" t="inlineStr">
        <is>
          <t>CFM56-5B</t>
        </is>
      </c>
      <c r="C1556" s="31" t="inlineStr">
        <is>
          <t>2025-2026</t>
        </is>
      </c>
      <c r="D1556" s="31" t="inlineStr">
        <is>
          <t>139432</t>
        </is>
      </c>
      <c r="E1556" s="31" t="inlineStr">
        <is>
          <t>72-54-03</t>
        </is>
      </c>
      <c r="F1556" s="31" t="inlineStr">
        <is>
          <t>SB03</t>
        </is>
      </c>
      <c r="G1556" s="31" t="inlineStr">
        <is>
          <t>LPT</t>
        </is>
      </c>
      <c r="H1556" s="27" t="n">
        <v>475</v>
      </c>
      <c r="I1556" s="27" t="n">
        <v>505</v>
      </c>
      <c r="J1556" s="154">
        <f>I1556/H1556-1</f>
        <v/>
      </c>
      <c r="K1556" s="31" t="inlineStr">
        <is>
          <t>13</t>
        </is>
      </c>
      <c r="L1556" s="31" t="inlineStr">
        <is>
          <t>13</t>
        </is>
      </c>
      <c r="M1556" s="31" t="inlineStr">
        <is>
          <t>S2</t>
        </is>
      </c>
      <c r="N1556" s="31" t="inlineStr">
        <is>
          <t>S4</t>
        </is>
      </c>
      <c r="O1556" s="31" t="inlineStr">
        <is>
          <t>336-001-804-0</t>
        </is>
      </c>
      <c r="P1556" s="31" t="inlineStr">
        <is>
          <t>SR Technics Switzerland</t>
        </is>
      </c>
    </row>
    <row r="1557">
      <c r="B1557" s="31" t="inlineStr">
        <is>
          <t>CFM56-5B</t>
        </is>
      </c>
      <c r="C1557" s="31" t="inlineStr">
        <is>
          <t>2025-2026</t>
        </is>
      </c>
      <c r="D1557" s="31" t="inlineStr">
        <is>
          <t>139432</t>
        </is>
      </c>
      <c r="E1557" s="31" t="inlineStr">
        <is>
          <t>72-54-03</t>
        </is>
      </c>
      <c r="F1557" s="31" t="inlineStr">
        <is>
          <t>SB04</t>
        </is>
      </c>
      <c r="G1557" s="31" t="inlineStr">
        <is>
          <t>LPT</t>
        </is>
      </c>
      <c r="H1557" s="27" t="n">
        <v>135</v>
      </c>
      <c r="I1557" s="27" t="n">
        <v>145</v>
      </c>
      <c r="J1557" s="154">
        <f>I1557/H1557-1</f>
        <v/>
      </c>
      <c r="K1557" s="31" t="inlineStr">
        <is>
          <t>13</t>
        </is>
      </c>
      <c r="L1557" s="31" t="inlineStr">
        <is>
          <t>13</t>
        </is>
      </c>
      <c r="M1557" s="31" t="inlineStr">
        <is>
          <t>S2</t>
        </is>
      </c>
      <c r="N1557" s="31" t="inlineStr">
        <is>
          <t>S4</t>
        </is>
      </c>
      <c r="O1557" s="31" t="inlineStr">
        <is>
          <t>336-001-804-0</t>
        </is>
      </c>
      <c r="P1557" s="31" t="inlineStr">
        <is>
          <t>SR Technics Switzerland</t>
        </is>
      </c>
    </row>
    <row r="1558">
      <c r="B1558" s="31" t="inlineStr">
        <is>
          <t>CFM56-5B</t>
        </is>
      </c>
      <c r="C1558" s="31" t="inlineStr">
        <is>
          <t>2025-2026</t>
        </is>
      </c>
      <c r="D1558" s="31" t="inlineStr">
        <is>
          <t>139440</t>
        </is>
      </c>
      <c r="E1558" s="31" t="inlineStr">
        <is>
          <t>72-54-06</t>
        </is>
      </c>
      <c r="F1558" s="31" t="inlineStr">
        <is>
          <t>A</t>
        </is>
      </c>
      <c r="G1558" s="31" t="inlineStr">
        <is>
          <t>LPT</t>
        </is>
      </c>
      <c r="H1558" s="27" t="n">
        <v>595</v>
      </c>
      <c r="I1558" s="27" t="n">
        <v>625</v>
      </c>
      <c r="J1558" s="154">
        <f>I1558/H1558-1</f>
        <v/>
      </c>
      <c r="K1558" s="31" t="inlineStr">
        <is>
          <t>50</t>
        </is>
      </c>
      <c r="L1558" s="31" t="inlineStr">
        <is>
          <t>52</t>
        </is>
      </c>
      <c r="M1558" s="31" t="inlineStr">
        <is>
          <t>S2</t>
        </is>
      </c>
      <c r="N1558" s="31" t="inlineStr">
        <is>
          <t>S4</t>
        </is>
      </c>
      <c r="O1558" s="31" t="inlineStr">
        <is>
          <t>336-002-203-0</t>
        </is>
      </c>
      <c r="P1558" s="31" t="inlineStr">
        <is>
          <t>SR Technics Switzerland</t>
        </is>
      </c>
    </row>
    <row r="1559">
      <c r="B1559" s="31" t="inlineStr">
        <is>
          <t>CFM56-5B</t>
        </is>
      </c>
      <c r="C1559" s="31" t="inlineStr">
        <is>
          <t>2025-2026</t>
        </is>
      </c>
      <c r="D1559" s="31" t="inlineStr">
        <is>
          <t>139440</t>
        </is>
      </c>
      <c r="E1559" s="31" t="inlineStr">
        <is>
          <t>72-54-06</t>
        </is>
      </c>
      <c r="F1559" s="31" t="inlineStr">
        <is>
          <t>AN</t>
        </is>
      </c>
      <c r="G1559" s="31" t="inlineStr">
        <is>
          <t>LPT</t>
        </is>
      </c>
      <c r="H1559" s="27" t="n">
        <v>260</v>
      </c>
      <c r="I1559" s="27" t="n">
        <v>280</v>
      </c>
      <c r="J1559" s="154">
        <f>I1559/H1559-1</f>
        <v/>
      </c>
      <c r="K1559" s="31" t="inlineStr">
        <is>
          <t>50</t>
        </is>
      </c>
      <c r="L1559" s="31" t="inlineStr">
        <is>
          <t>52</t>
        </is>
      </c>
      <c r="M1559" s="31" t="inlineStr">
        <is>
          <t>S2</t>
        </is>
      </c>
      <c r="N1559" s="31" t="inlineStr">
        <is>
          <t>S4</t>
        </is>
      </c>
      <c r="O1559" s="31" t="inlineStr">
        <is>
          <t>336-002-203-0</t>
        </is>
      </c>
      <c r="P1559" s="31" t="inlineStr">
        <is>
          <t>SR Technics Switzerland</t>
        </is>
      </c>
    </row>
    <row r="1560">
      <c r="B1560" s="31" t="inlineStr">
        <is>
          <t>CFM56-5B</t>
        </is>
      </c>
      <c r="C1560" s="31" t="inlineStr">
        <is>
          <t>2025-2026</t>
        </is>
      </c>
      <c r="D1560" s="31" t="inlineStr">
        <is>
          <t>139440</t>
        </is>
      </c>
      <c r="E1560" s="31" t="inlineStr">
        <is>
          <t>72-54-06</t>
        </is>
      </c>
      <c r="F1560" s="31" t="inlineStr">
        <is>
          <t>C</t>
        </is>
      </c>
      <c r="G1560" s="31" t="inlineStr">
        <is>
          <t>LPT</t>
        </is>
      </c>
      <c r="H1560" s="27" t="n">
        <v>3285</v>
      </c>
      <c r="I1560" s="27" t="n">
        <v>3485</v>
      </c>
      <c r="J1560" s="154">
        <f>I1560/H1560-1</f>
        <v/>
      </c>
      <c r="K1560" s="31" t="inlineStr">
        <is>
          <t>50</t>
        </is>
      </c>
      <c r="L1560" s="31" t="inlineStr">
        <is>
          <t>52</t>
        </is>
      </c>
      <c r="M1560" s="31" t="inlineStr">
        <is>
          <t>S2</t>
        </is>
      </c>
      <c r="N1560" s="31" t="inlineStr">
        <is>
          <t>S4</t>
        </is>
      </c>
      <c r="O1560" s="31" t="inlineStr">
        <is>
          <t>336-002-203-0</t>
        </is>
      </c>
      <c r="P1560" s="31" t="inlineStr">
        <is>
          <t>SR Technics Switzerland</t>
        </is>
      </c>
    </row>
    <row r="1561">
      <c r="B1561" s="31" t="inlineStr">
        <is>
          <t>CFM56-5B</t>
        </is>
      </c>
      <c r="C1561" s="31" t="inlineStr">
        <is>
          <t>2025-2026</t>
        </is>
      </c>
      <c r="D1561" s="31" t="inlineStr">
        <is>
          <t>139440</t>
        </is>
      </c>
      <c r="E1561" s="31" t="inlineStr">
        <is>
          <t>72-54-06</t>
        </is>
      </c>
      <c r="F1561" s="31" t="inlineStr">
        <is>
          <t>D</t>
        </is>
      </c>
      <c r="G1561" s="31" t="inlineStr">
        <is>
          <t>LPT</t>
        </is>
      </c>
      <c r="H1561" s="27" t="n">
        <v>2860</v>
      </c>
      <c r="I1561" s="27" t="n">
        <v>3035</v>
      </c>
      <c r="J1561" s="154">
        <f>I1561/H1561-1</f>
        <v/>
      </c>
      <c r="K1561" s="31" t="inlineStr">
        <is>
          <t>50</t>
        </is>
      </c>
      <c r="L1561" s="31" t="inlineStr">
        <is>
          <t>52</t>
        </is>
      </c>
      <c r="M1561" s="31" t="inlineStr">
        <is>
          <t>S2</t>
        </is>
      </c>
      <c r="N1561" s="31" t="inlineStr">
        <is>
          <t>S4</t>
        </is>
      </c>
      <c r="O1561" s="31" t="inlineStr">
        <is>
          <t>336-002-203-0</t>
        </is>
      </c>
      <c r="P1561" s="31" t="inlineStr">
        <is>
          <t>SR Technics Switzerland</t>
        </is>
      </c>
    </row>
    <row r="1562">
      <c r="B1562" s="31" t="inlineStr">
        <is>
          <t>CFM56-5B</t>
        </is>
      </c>
      <c r="C1562" s="31" t="inlineStr">
        <is>
          <t>2025-2026</t>
        </is>
      </c>
      <c r="D1562" s="31" t="inlineStr">
        <is>
          <t>139440</t>
        </is>
      </c>
      <c r="E1562" s="31" t="inlineStr">
        <is>
          <t>72-54-06</t>
        </is>
      </c>
      <c r="F1562" s="31" t="inlineStr">
        <is>
          <t>E</t>
        </is>
      </c>
      <c r="G1562" s="31" t="inlineStr">
        <is>
          <t>LPT</t>
        </is>
      </c>
      <c r="H1562" s="27" t="n">
        <v>1045</v>
      </c>
      <c r="I1562" s="27" t="n">
        <v>1110</v>
      </c>
      <c r="J1562" s="154">
        <f>I1562/H1562-1</f>
        <v/>
      </c>
      <c r="K1562" s="31" t="inlineStr">
        <is>
          <t>50</t>
        </is>
      </c>
      <c r="L1562" s="31" t="inlineStr">
        <is>
          <t>52</t>
        </is>
      </c>
      <c r="M1562" s="31" t="inlineStr">
        <is>
          <t>S2</t>
        </is>
      </c>
      <c r="N1562" s="31" t="inlineStr">
        <is>
          <t>S4</t>
        </is>
      </c>
      <c r="O1562" s="31" t="inlineStr">
        <is>
          <t>336-002-203-0</t>
        </is>
      </c>
      <c r="P1562" s="31" t="inlineStr">
        <is>
          <t>SR Technics Switzerland</t>
        </is>
      </c>
    </row>
    <row r="1563">
      <c r="B1563" s="31" t="inlineStr">
        <is>
          <t>CFM56-5B</t>
        </is>
      </c>
      <c r="C1563" s="31" t="inlineStr">
        <is>
          <t>2025-2026</t>
        </is>
      </c>
      <c r="D1563" s="31" t="inlineStr">
        <is>
          <t>139443</t>
        </is>
      </c>
      <c r="E1563" s="31" t="inlineStr">
        <is>
          <t>72-54-17</t>
        </is>
      </c>
      <c r="F1563" s="31" t="inlineStr">
        <is>
          <t>A</t>
        </is>
      </c>
      <c r="G1563" s="31" t="inlineStr">
        <is>
          <t>LPT</t>
        </is>
      </c>
      <c r="H1563" s="27" t="n">
        <v>880</v>
      </c>
      <c r="I1563" s="27" t="n">
        <v>925</v>
      </c>
      <c r="J1563" s="154">
        <f>I1563/H1563-1</f>
        <v/>
      </c>
      <c r="K1563" s="31" t="inlineStr">
        <is>
          <t>13</t>
        </is>
      </c>
      <c r="L1563" s="31" t="inlineStr">
        <is>
          <t>13</t>
        </is>
      </c>
      <c r="M1563" s="31" t="inlineStr">
        <is>
          <t>S2</t>
        </is>
      </c>
      <c r="N1563" s="31" t="inlineStr">
        <is>
          <t>S4</t>
        </is>
      </c>
      <c r="O1563" s="31" t="inlineStr">
        <is>
          <t>336-013-101-0</t>
        </is>
      </c>
      <c r="P1563" s="31" t="inlineStr">
        <is>
          <t>SR Technics Switzerland</t>
        </is>
      </c>
    </row>
    <row r="1564">
      <c r="B1564" s="31" t="inlineStr">
        <is>
          <t>CFM56-5B</t>
        </is>
      </c>
      <c r="C1564" s="31" t="inlineStr">
        <is>
          <t>2025-2026</t>
        </is>
      </c>
      <c r="D1564" s="31" t="inlineStr">
        <is>
          <t>139443</t>
        </is>
      </c>
      <c r="E1564" s="31" t="inlineStr">
        <is>
          <t>72-54-17</t>
        </is>
      </c>
      <c r="F1564" s="31" t="inlineStr">
        <is>
          <t>B</t>
        </is>
      </c>
      <c r="G1564" s="31" t="inlineStr">
        <is>
          <t>LPT</t>
        </is>
      </c>
      <c r="H1564" s="27" t="n">
        <v>2665</v>
      </c>
      <c r="I1564" s="27" t="n">
        <v>2825</v>
      </c>
      <c r="J1564" s="154">
        <f>I1564/H1564-1</f>
        <v/>
      </c>
      <c r="K1564" s="31" t="inlineStr">
        <is>
          <t>13</t>
        </is>
      </c>
      <c r="L1564" s="31" t="inlineStr">
        <is>
          <t>13</t>
        </is>
      </c>
      <c r="M1564" s="31" t="inlineStr">
        <is>
          <t>S2</t>
        </is>
      </c>
      <c r="N1564" s="31" t="inlineStr">
        <is>
          <t>S4</t>
        </is>
      </c>
      <c r="O1564" s="31" t="inlineStr">
        <is>
          <t>336-013-101-0</t>
        </is>
      </c>
      <c r="P1564" s="31" t="inlineStr">
        <is>
          <t>SR Technics Switzerland</t>
        </is>
      </c>
    </row>
    <row r="1565">
      <c r="B1565" s="31" t="inlineStr">
        <is>
          <t>CFM56-5B</t>
        </is>
      </c>
      <c r="C1565" s="31" t="inlineStr">
        <is>
          <t>2025-2026</t>
        </is>
      </c>
      <c r="D1565" s="31" t="inlineStr">
        <is>
          <t>139443</t>
        </is>
      </c>
      <c r="E1565" s="31" t="inlineStr">
        <is>
          <t>72-54-17</t>
        </is>
      </c>
      <c r="F1565" s="31" t="inlineStr">
        <is>
          <t>C</t>
        </is>
      </c>
      <c r="G1565" s="31" t="inlineStr">
        <is>
          <t>LPT</t>
        </is>
      </c>
      <c r="H1565" s="27" t="n">
        <v>2675</v>
      </c>
      <c r="I1565" s="27" t="n">
        <v>2840</v>
      </c>
      <c r="J1565" s="154">
        <f>I1565/H1565-1</f>
        <v/>
      </c>
      <c r="K1565" s="31" t="inlineStr">
        <is>
          <t>13</t>
        </is>
      </c>
      <c r="L1565" s="31" t="inlineStr">
        <is>
          <t>13</t>
        </is>
      </c>
      <c r="M1565" s="31" t="inlineStr">
        <is>
          <t>S2</t>
        </is>
      </c>
      <c r="N1565" s="31" t="inlineStr">
        <is>
          <t>S4</t>
        </is>
      </c>
      <c r="O1565" s="31" t="inlineStr">
        <is>
          <t>336-013-101-0</t>
        </is>
      </c>
      <c r="P1565" s="31" t="inlineStr">
        <is>
          <t>SR Technics Switzerland</t>
        </is>
      </c>
    </row>
    <row r="1566">
      <c r="B1566" s="31" t="inlineStr">
        <is>
          <t>CFM56-5B</t>
        </is>
      </c>
      <c r="C1566" s="31" t="inlineStr">
        <is>
          <t>2025-2026</t>
        </is>
      </c>
      <c r="D1566" s="31" t="inlineStr">
        <is>
          <t>139448</t>
        </is>
      </c>
      <c r="E1566" s="31" t="inlineStr">
        <is>
          <t>72-54-01</t>
        </is>
      </c>
      <c r="F1566" s="31" t="inlineStr">
        <is>
          <t>C</t>
        </is>
      </c>
      <c r="G1566" s="31" t="inlineStr">
        <is>
          <t>LPT</t>
        </is>
      </c>
      <c r="H1566" s="27" t="n">
        <v>145</v>
      </c>
      <c r="I1566" s="27" t="n">
        <v>160</v>
      </c>
      <c r="J1566" s="154">
        <f>I1566/H1566-1</f>
        <v/>
      </c>
      <c r="K1566" s="31" t="inlineStr">
        <is>
          <t>50</t>
        </is>
      </c>
      <c r="L1566" s="31" t="inlineStr">
        <is>
          <t>52</t>
        </is>
      </c>
      <c r="M1566" s="31" t="inlineStr">
        <is>
          <t>S2</t>
        </is>
      </c>
      <c r="N1566" s="31" t="inlineStr">
        <is>
          <t>S4</t>
        </is>
      </c>
      <c r="O1566" s="31" t="inlineStr">
        <is>
          <t>338-000-405-0</t>
        </is>
      </c>
      <c r="P1566" s="31" t="inlineStr">
        <is>
          <t>SRTAS</t>
        </is>
      </c>
    </row>
    <row r="1567">
      <c r="B1567" s="31" t="inlineStr">
        <is>
          <t>CFM56-5B</t>
        </is>
      </c>
      <c r="C1567" s="31" t="inlineStr">
        <is>
          <t>2025-2026</t>
        </is>
      </c>
      <c r="D1567" s="31" t="inlineStr">
        <is>
          <t>139485</t>
        </is>
      </c>
      <c r="E1567" s="31" t="inlineStr">
        <is>
          <t>72-09-02</t>
        </is>
      </c>
      <c r="F1567" s="31" t="inlineStr">
        <is>
          <t>A</t>
        </is>
      </c>
      <c r="G1567" s="31" t="inlineStr">
        <is>
          <t>Other / assembly</t>
        </is>
      </c>
      <c r="H1567" s="27" t="n">
        <v>460</v>
      </c>
      <c r="I1567" s="27" t="n">
        <v>485</v>
      </c>
      <c r="J1567" s="154">
        <f>I1567/H1567-1</f>
        <v/>
      </c>
      <c r="K1567" s="31" t="inlineStr">
        <is>
          <t>51</t>
        </is>
      </c>
      <c r="L1567" s="31" t="inlineStr">
        <is>
          <t>53</t>
        </is>
      </c>
      <c r="M1567" s="31" t="inlineStr">
        <is>
          <t>S2</t>
        </is>
      </c>
      <c r="N1567" s="31" t="inlineStr">
        <is>
          <t>S4</t>
        </is>
      </c>
      <c r="O1567" s="31" t="inlineStr">
        <is>
          <t>1585M80G01</t>
        </is>
      </c>
      <c r="P1567" s="31" t="inlineStr">
        <is>
          <t>SR Technics Switzerland</t>
        </is>
      </c>
    </row>
    <row r="1568">
      <c r="B1568" s="31" t="inlineStr">
        <is>
          <t>CFM56-5B</t>
        </is>
      </c>
      <c r="C1568" s="31" t="inlineStr">
        <is>
          <t>2025-2026</t>
        </is>
      </c>
      <c r="D1568" s="31" t="inlineStr">
        <is>
          <t>139488</t>
        </is>
      </c>
      <c r="E1568" s="31" t="inlineStr">
        <is>
          <t>72-23-30</t>
        </is>
      </c>
      <c r="F1568" s="31" t="inlineStr">
        <is>
          <t>A</t>
        </is>
      </c>
      <c r="G1568" s="31" t="inlineStr">
        <is>
          <t>Fan / booster</t>
        </is>
      </c>
      <c r="H1568" s="27" t="n">
        <v>5195</v>
      </c>
      <c r="I1568" s="27" t="n">
        <v>5455</v>
      </c>
      <c r="J1568" s="154">
        <f>I1568/H1568-1</f>
        <v/>
      </c>
      <c r="K1568" s="31" t="inlineStr">
        <is>
          <t>13</t>
        </is>
      </c>
      <c r="L1568" s="31" t="inlineStr">
        <is>
          <t>13</t>
        </is>
      </c>
      <c r="M1568" s="31" t="inlineStr">
        <is>
          <t>S2</t>
        </is>
      </c>
      <c r="N1568" s="31" t="inlineStr">
        <is>
          <t>S4</t>
        </is>
      </c>
      <c r="O1568" s="31" t="inlineStr">
        <is>
          <t>2423M30G01</t>
        </is>
      </c>
      <c r="P1568" s="31" t="inlineStr">
        <is>
          <t>SR Technics Switzerland</t>
        </is>
      </c>
    </row>
    <row r="1569">
      <c r="B1569" s="31" t="inlineStr">
        <is>
          <t>CFM56-5B</t>
        </is>
      </c>
      <c r="C1569" s="31" t="inlineStr">
        <is>
          <t>2025-2026</t>
        </is>
      </c>
      <c r="D1569" s="31" t="inlineStr">
        <is>
          <t>139488</t>
        </is>
      </c>
      <c r="E1569" s="31" t="inlineStr">
        <is>
          <t>72-23-30</t>
        </is>
      </c>
      <c r="F1569" s="31" t="inlineStr">
        <is>
          <t>C</t>
        </is>
      </c>
      <c r="G1569" s="31" t="inlineStr">
        <is>
          <t>Fan / booster</t>
        </is>
      </c>
      <c r="H1569" s="27" t="n">
        <v>870</v>
      </c>
      <c r="I1569" s="27" t="n">
        <v>925</v>
      </c>
      <c r="J1569" s="154">
        <f>I1569/H1569-1</f>
        <v/>
      </c>
      <c r="K1569" s="31" t="inlineStr">
        <is>
          <t>13</t>
        </is>
      </c>
      <c r="L1569" s="31" t="inlineStr">
        <is>
          <t>13</t>
        </is>
      </c>
      <c r="M1569" s="31" t="inlineStr">
        <is>
          <t>S2</t>
        </is>
      </c>
      <c r="N1569" s="31" t="inlineStr">
        <is>
          <t>S4</t>
        </is>
      </c>
      <c r="O1569" s="31" t="inlineStr">
        <is>
          <t>2423M30G01</t>
        </is>
      </c>
      <c r="P1569" s="31" t="inlineStr">
        <is>
          <t>SR Technics Switzerland</t>
        </is>
      </c>
    </row>
    <row r="1570">
      <c r="B1570" s="31" t="inlineStr">
        <is>
          <t>CFM56-5B</t>
        </is>
      </c>
      <c r="C1570" s="31" t="inlineStr">
        <is>
          <t>2025-2026</t>
        </is>
      </c>
      <c r="D1570" s="31" t="inlineStr">
        <is>
          <t>139488</t>
        </is>
      </c>
      <c r="E1570" s="31" t="inlineStr">
        <is>
          <t>72-23-30</t>
        </is>
      </c>
      <c r="F1570" s="31" t="inlineStr">
        <is>
          <t>E</t>
        </is>
      </c>
      <c r="G1570" s="31" t="inlineStr">
        <is>
          <t>Fan / booster</t>
        </is>
      </c>
      <c r="H1570" s="27" t="n">
        <v>685</v>
      </c>
      <c r="I1570" s="27" t="n">
        <v>730</v>
      </c>
      <c r="J1570" s="154">
        <f>I1570/H1570-1</f>
        <v/>
      </c>
      <c r="K1570" s="31" t="inlineStr">
        <is>
          <t>13</t>
        </is>
      </c>
      <c r="L1570" s="31" t="inlineStr">
        <is>
          <t>13</t>
        </is>
      </c>
      <c r="M1570" s="31" t="inlineStr">
        <is>
          <t>S2</t>
        </is>
      </c>
      <c r="N1570" s="31" t="inlineStr">
        <is>
          <t>S4</t>
        </is>
      </c>
      <c r="O1570" s="31" t="inlineStr">
        <is>
          <t>2423M30G01</t>
        </is>
      </c>
      <c r="P1570" s="31" t="inlineStr">
        <is>
          <t>SR Technics Switzerland</t>
        </is>
      </c>
    </row>
    <row r="1571">
      <c r="B1571" s="31" t="inlineStr">
        <is>
          <t>CFM56-5B</t>
        </is>
      </c>
      <c r="C1571" s="31" t="inlineStr">
        <is>
          <t>2025-2026</t>
        </is>
      </c>
      <c r="D1571" s="31" t="inlineStr">
        <is>
          <t>139488</t>
        </is>
      </c>
      <c r="E1571" s="31" t="inlineStr">
        <is>
          <t>72-23-30</t>
        </is>
      </c>
      <c r="F1571" s="31" t="inlineStr">
        <is>
          <t>I</t>
        </is>
      </c>
      <c r="G1571" s="31" t="inlineStr">
        <is>
          <t>Fan / booster</t>
        </is>
      </c>
      <c r="H1571" s="27" t="n">
        <v>1070</v>
      </c>
      <c r="I1571" s="27" t="n">
        <v>1135</v>
      </c>
      <c r="J1571" s="154">
        <f>I1571/H1571-1</f>
        <v/>
      </c>
      <c r="K1571" s="31" t="inlineStr">
        <is>
          <t>13</t>
        </is>
      </c>
      <c r="L1571" s="31" t="inlineStr">
        <is>
          <t>13</t>
        </is>
      </c>
      <c r="M1571" s="31" t="inlineStr">
        <is>
          <t>S2</t>
        </is>
      </c>
      <c r="N1571" s="31" t="inlineStr">
        <is>
          <t>S4</t>
        </is>
      </c>
      <c r="O1571" s="31" t="inlineStr">
        <is>
          <t>2423M30G01</t>
        </is>
      </c>
      <c r="P1571" s="31" t="inlineStr">
        <is>
          <t>SR Technics Switzerland</t>
        </is>
      </c>
    </row>
    <row r="1572">
      <c r="B1572" s="31" t="inlineStr">
        <is>
          <t>CFM56-5B</t>
        </is>
      </c>
      <c r="C1572" s="31" t="inlineStr">
        <is>
          <t>2025-2026</t>
        </is>
      </c>
      <c r="D1572" s="31" t="inlineStr">
        <is>
          <t>139488</t>
        </is>
      </c>
      <c r="E1572" s="31" t="inlineStr">
        <is>
          <t>72-23-30</t>
        </is>
      </c>
      <c r="F1572" s="31" t="inlineStr">
        <is>
          <t>K</t>
        </is>
      </c>
      <c r="G1572" s="31" t="inlineStr">
        <is>
          <t>Fan / booster</t>
        </is>
      </c>
      <c r="H1572" s="27" t="n">
        <v>745</v>
      </c>
      <c r="I1572" s="27" t="n">
        <v>790</v>
      </c>
      <c r="J1572" s="154">
        <f>I1572/H1572-1</f>
        <v/>
      </c>
      <c r="K1572" s="31" t="inlineStr">
        <is>
          <t>13</t>
        </is>
      </c>
      <c r="L1572" s="31" t="inlineStr">
        <is>
          <t>13</t>
        </is>
      </c>
      <c r="M1572" s="31" t="inlineStr">
        <is>
          <t>S2</t>
        </is>
      </c>
      <c r="N1572" s="31" t="inlineStr">
        <is>
          <t>S4</t>
        </is>
      </c>
      <c r="O1572" s="31" t="inlineStr">
        <is>
          <t>2423M30G01</t>
        </is>
      </c>
      <c r="P1572" s="31" t="inlineStr">
        <is>
          <t>SR Technics Switzerland</t>
        </is>
      </c>
    </row>
    <row r="1573">
      <c r="B1573" s="31" t="inlineStr">
        <is>
          <t>CFM56-5B</t>
        </is>
      </c>
      <c r="C1573" s="31" t="inlineStr">
        <is>
          <t>2025-2026</t>
        </is>
      </c>
      <c r="D1573" s="31" t="inlineStr">
        <is>
          <t>139488</t>
        </is>
      </c>
      <c r="E1573" s="31" t="inlineStr">
        <is>
          <t>72-23-30</t>
        </is>
      </c>
      <c r="F1573" s="31" t="inlineStr">
        <is>
          <t>L</t>
        </is>
      </c>
      <c r="G1573" s="31" t="inlineStr">
        <is>
          <t>Fan / booster</t>
        </is>
      </c>
      <c r="H1573" s="27" t="n">
        <v>5115</v>
      </c>
      <c r="I1573" s="27" t="n">
        <v>5425</v>
      </c>
      <c r="J1573" s="154">
        <f>I1573/H1573-1</f>
        <v/>
      </c>
      <c r="K1573" s="31" t="inlineStr">
        <is>
          <t>13</t>
        </is>
      </c>
      <c r="L1573" s="31" t="inlineStr">
        <is>
          <t>13</t>
        </is>
      </c>
      <c r="M1573" s="31" t="inlineStr">
        <is>
          <t>S2</t>
        </is>
      </c>
      <c r="N1573" s="31" t="inlineStr">
        <is>
          <t>S4</t>
        </is>
      </c>
      <c r="O1573" s="31" t="inlineStr">
        <is>
          <t>2423M30G01</t>
        </is>
      </c>
      <c r="P1573" s="31" t="inlineStr">
        <is>
          <t>SR Technics Switzerland</t>
        </is>
      </c>
    </row>
    <row r="1574">
      <c r="B1574" s="31" t="inlineStr">
        <is>
          <t>CFM56-5B</t>
        </is>
      </c>
      <c r="C1574" s="31" t="inlineStr">
        <is>
          <t>2025-2026</t>
        </is>
      </c>
      <c r="D1574" s="31" t="inlineStr">
        <is>
          <t>139488</t>
        </is>
      </c>
      <c r="E1574" s="31" t="inlineStr">
        <is>
          <t>72-23-30</t>
        </is>
      </c>
      <c r="F1574" s="31" t="inlineStr">
        <is>
          <t>M</t>
        </is>
      </c>
      <c r="G1574" s="31" t="inlineStr">
        <is>
          <t>Fan / booster</t>
        </is>
      </c>
      <c r="H1574" s="27" t="n">
        <v>3240</v>
      </c>
      <c r="I1574" s="27" t="n">
        <v>3435</v>
      </c>
      <c r="J1574" s="154">
        <f>I1574/H1574-1</f>
        <v/>
      </c>
      <c r="K1574" s="31" t="inlineStr">
        <is>
          <t>13</t>
        </is>
      </c>
      <c r="L1574" s="31" t="inlineStr">
        <is>
          <t>13</t>
        </is>
      </c>
      <c r="M1574" s="31" t="inlineStr">
        <is>
          <t>S2</t>
        </is>
      </c>
      <c r="N1574" s="31" t="inlineStr">
        <is>
          <t>S4</t>
        </is>
      </c>
      <c r="O1574" s="31" t="inlineStr">
        <is>
          <t>2423M30G01</t>
        </is>
      </c>
      <c r="P1574" s="31" t="inlineStr">
        <is>
          <t>SR Technics Switzerland</t>
        </is>
      </c>
    </row>
    <row r="1575">
      <c r="B1575" s="31" t="inlineStr">
        <is>
          <t>CFM56-5B</t>
        </is>
      </c>
      <c r="C1575" s="31" t="inlineStr">
        <is>
          <t>2025-2026</t>
        </is>
      </c>
      <c r="D1575" s="31" t="inlineStr">
        <is>
          <t>139488</t>
        </is>
      </c>
      <c r="E1575" s="31" t="inlineStr">
        <is>
          <t>72-23-30</t>
        </is>
      </c>
      <c r="F1575" s="31" t="inlineStr">
        <is>
          <t>O</t>
        </is>
      </c>
      <c r="G1575" s="31" t="inlineStr">
        <is>
          <t>Fan / booster</t>
        </is>
      </c>
      <c r="H1575" s="27" t="n">
        <v>4710</v>
      </c>
      <c r="I1575" s="27" t="n">
        <v>4995</v>
      </c>
      <c r="J1575" s="154">
        <f>I1575/H1575-1</f>
        <v/>
      </c>
      <c r="K1575" s="31" t="inlineStr">
        <is>
          <t>13</t>
        </is>
      </c>
      <c r="L1575" s="31" t="inlineStr">
        <is>
          <t>13</t>
        </is>
      </c>
      <c r="M1575" s="31" t="inlineStr">
        <is>
          <t>S2</t>
        </is>
      </c>
      <c r="N1575" s="31" t="inlineStr">
        <is>
          <t>S4</t>
        </is>
      </c>
      <c r="O1575" s="31" t="inlineStr">
        <is>
          <t>2423M30G01</t>
        </is>
      </c>
      <c r="P1575" s="31" t="inlineStr">
        <is>
          <t>SR Technics Switzerland</t>
        </is>
      </c>
    </row>
    <row r="1576">
      <c r="B1576" s="31" t="inlineStr">
        <is>
          <t>CFM56-5B</t>
        </is>
      </c>
      <c r="C1576" s="31" t="inlineStr">
        <is>
          <t>2025-2026</t>
        </is>
      </c>
      <c r="D1576" s="31" t="inlineStr">
        <is>
          <t>139488</t>
        </is>
      </c>
      <c r="E1576" s="31" t="inlineStr">
        <is>
          <t>72-23-30</t>
        </is>
      </c>
      <c r="F1576" s="31" t="inlineStr">
        <is>
          <t>P</t>
        </is>
      </c>
      <c r="G1576" s="31" t="inlineStr">
        <is>
          <t>Fan / booster</t>
        </is>
      </c>
      <c r="H1576" s="27" t="n">
        <v>1325</v>
      </c>
      <c r="I1576" s="27" t="n">
        <v>1405</v>
      </c>
      <c r="J1576" s="154">
        <f>I1576/H1576-1</f>
        <v/>
      </c>
      <c r="K1576" s="31" t="inlineStr">
        <is>
          <t>13</t>
        </is>
      </c>
      <c r="L1576" s="31" t="inlineStr">
        <is>
          <t>13</t>
        </is>
      </c>
      <c r="M1576" s="31" t="inlineStr">
        <is>
          <t>S2</t>
        </is>
      </c>
      <c r="N1576" s="31" t="inlineStr">
        <is>
          <t>S4</t>
        </is>
      </c>
      <c r="O1576" s="31" t="inlineStr">
        <is>
          <t>2423M30G01</t>
        </is>
      </c>
      <c r="P1576" s="31" t="inlineStr">
        <is>
          <t>SR Technics Switzerland</t>
        </is>
      </c>
    </row>
    <row r="1577">
      <c r="B1577" s="31" t="inlineStr">
        <is>
          <t>CFM56-5B</t>
        </is>
      </c>
      <c r="C1577" s="31" t="inlineStr">
        <is>
          <t>2025-2026</t>
        </is>
      </c>
      <c r="D1577" s="31" t="inlineStr">
        <is>
          <t>139488</t>
        </is>
      </c>
      <c r="E1577" s="31" t="inlineStr">
        <is>
          <t>72-23-30</t>
        </is>
      </c>
      <c r="F1577" s="31" t="inlineStr">
        <is>
          <t>Q</t>
        </is>
      </c>
      <c r="G1577" s="31" t="inlineStr">
        <is>
          <t>Fan / booster</t>
        </is>
      </c>
      <c r="H1577" s="27" t="n">
        <v>3420</v>
      </c>
      <c r="I1577" s="27" t="n">
        <v>3630</v>
      </c>
      <c r="J1577" s="154">
        <f>I1577/H1577-1</f>
        <v/>
      </c>
      <c r="K1577" s="31" t="inlineStr">
        <is>
          <t>13</t>
        </is>
      </c>
      <c r="L1577" s="31" t="inlineStr">
        <is>
          <t>13</t>
        </is>
      </c>
      <c r="M1577" s="31" t="inlineStr">
        <is>
          <t>S2</t>
        </is>
      </c>
      <c r="N1577" s="31" t="inlineStr">
        <is>
          <t>S4</t>
        </is>
      </c>
      <c r="O1577" s="31" t="inlineStr">
        <is>
          <t>2423M30G01</t>
        </is>
      </c>
      <c r="P1577" s="31" t="inlineStr">
        <is>
          <t>SR Technics Switzerland</t>
        </is>
      </c>
    </row>
    <row r="1578">
      <c r="B1578" s="31" t="inlineStr">
        <is>
          <t>CFM56-5B</t>
        </is>
      </c>
      <c r="C1578" s="31" t="inlineStr">
        <is>
          <t>2025-2026</t>
        </is>
      </c>
      <c r="D1578" s="31" t="inlineStr">
        <is>
          <t>139488</t>
        </is>
      </c>
      <c r="E1578" s="31" t="inlineStr">
        <is>
          <t>72-23-30</t>
        </is>
      </c>
      <c r="F1578" s="31" t="inlineStr">
        <is>
          <t>R</t>
        </is>
      </c>
      <c r="G1578" s="31" t="inlineStr">
        <is>
          <t>Fan / booster</t>
        </is>
      </c>
      <c r="H1578" s="27" t="n">
        <v>1470</v>
      </c>
      <c r="I1578" s="27" t="n">
        <v>1560</v>
      </c>
      <c r="J1578" s="154">
        <f>I1578/H1578-1</f>
        <v/>
      </c>
      <c r="K1578" s="31" t="inlineStr">
        <is>
          <t>13</t>
        </is>
      </c>
      <c r="L1578" s="31" t="inlineStr">
        <is>
          <t>13</t>
        </is>
      </c>
      <c r="M1578" s="31" t="inlineStr">
        <is>
          <t>S2</t>
        </is>
      </c>
      <c r="N1578" s="31" t="inlineStr">
        <is>
          <t>S4</t>
        </is>
      </c>
      <c r="O1578" s="31" t="inlineStr">
        <is>
          <t>2423M30G01</t>
        </is>
      </c>
      <c r="P1578" s="31" t="inlineStr">
        <is>
          <t>SR Technics Switzerland</t>
        </is>
      </c>
    </row>
    <row r="1579">
      <c r="B1579" s="31" t="inlineStr">
        <is>
          <t>CFM56-5B</t>
        </is>
      </c>
      <c r="C1579" s="31" t="inlineStr">
        <is>
          <t>2025-2026</t>
        </is>
      </c>
      <c r="D1579" s="31" t="inlineStr">
        <is>
          <t>139488</t>
        </is>
      </c>
      <c r="E1579" s="31" t="inlineStr">
        <is>
          <t>72-23-30</t>
        </is>
      </c>
      <c r="F1579" s="31" t="inlineStr">
        <is>
          <t>S</t>
        </is>
      </c>
      <c r="G1579" s="31" t="inlineStr">
        <is>
          <t>Fan / booster</t>
        </is>
      </c>
      <c r="H1579" s="27" t="n">
        <v>2675</v>
      </c>
      <c r="I1579" s="27" t="n">
        <v>2840</v>
      </c>
      <c r="J1579" s="154">
        <f>I1579/H1579-1</f>
        <v/>
      </c>
      <c r="K1579" s="31" t="inlineStr">
        <is>
          <t>13</t>
        </is>
      </c>
      <c r="L1579" s="31" t="inlineStr">
        <is>
          <t>13</t>
        </is>
      </c>
      <c r="M1579" s="31" t="inlineStr">
        <is>
          <t>S2</t>
        </is>
      </c>
      <c r="N1579" s="31" t="inlineStr">
        <is>
          <t>S4</t>
        </is>
      </c>
      <c r="O1579" s="31" t="inlineStr">
        <is>
          <t>2423M30G01</t>
        </is>
      </c>
      <c r="P1579" s="31" t="inlineStr">
        <is>
          <t>SR Technics Switzerland</t>
        </is>
      </c>
    </row>
    <row r="1580">
      <c r="B1580" s="31" t="inlineStr">
        <is>
          <t>CFM56-5B</t>
        </is>
      </c>
      <c r="C1580" s="31" t="inlineStr">
        <is>
          <t>2025-2026</t>
        </is>
      </c>
      <c r="D1580" s="31" t="inlineStr">
        <is>
          <t>139488</t>
        </is>
      </c>
      <c r="E1580" s="31" t="inlineStr">
        <is>
          <t>72-23-30</t>
        </is>
      </c>
      <c r="F1580" s="31" t="inlineStr">
        <is>
          <t>SB00</t>
        </is>
      </c>
      <c r="G1580" s="31" t="inlineStr">
        <is>
          <t>Fan / booster</t>
        </is>
      </c>
      <c r="H1580" s="27" t="n">
        <v>490</v>
      </c>
      <c r="I1580" s="27" t="n">
        <v>520</v>
      </c>
      <c r="J1580" s="154">
        <f>I1580/H1580-1</f>
        <v/>
      </c>
      <c r="K1580" s="31" t="inlineStr">
        <is>
          <t>13</t>
        </is>
      </c>
      <c r="L1580" s="31" t="inlineStr">
        <is>
          <t>13</t>
        </is>
      </c>
      <c r="M1580" s="31" t="inlineStr">
        <is>
          <t>S2</t>
        </is>
      </c>
      <c r="N1580" s="31" t="inlineStr">
        <is>
          <t>S4</t>
        </is>
      </c>
      <c r="O1580" s="31" t="inlineStr">
        <is>
          <t>2423M30G01</t>
        </is>
      </c>
      <c r="P1580" s="31" t="inlineStr">
        <is>
          <t>SR Technics Switzerland</t>
        </is>
      </c>
    </row>
    <row r="1581">
      <c r="B1581" s="31" t="inlineStr">
        <is>
          <t>CFM56-5B</t>
        </is>
      </c>
      <c r="C1581" s="31" t="inlineStr">
        <is>
          <t>2025-2026</t>
        </is>
      </c>
      <c r="D1581" s="31" t="inlineStr">
        <is>
          <t>139488</t>
        </is>
      </c>
      <c r="E1581" s="31" t="inlineStr">
        <is>
          <t>72-23-30</t>
        </is>
      </c>
      <c r="F1581" s="31" t="inlineStr">
        <is>
          <t>SB01</t>
        </is>
      </c>
      <c r="G1581" s="31" t="inlineStr">
        <is>
          <t>Fan / booster</t>
        </is>
      </c>
      <c r="H1581" s="27" t="n">
        <v>3550</v>
      </c>
      <c r="I1581" s="27" t="n">
        <v>3765</v>
      </c>
      <c r="J1581" s="154">
        <f>I1581/H1581-1</f>
        <v/>
      </c>
      <c r="K1581" s="31" t="inlineStr">
        <is>
          <t>13</t>
        </is>
      </c>
      <c r="L1581" s="31" t="inlineStr">
        <is>
          <t>13</t>
        </is>
      </c>
      <c r="M1581" s="31" t="inlineStr">
        <is>
          <t>S2</t>
        </is>
      </c>
      <c r="N1581" s="31" t="inlineStr">
        <is>
          <t>S4</t>
        </is>
      </c>
      <c r="O1581" s="31" t="inlineStr">
        <is>
          <t>2423M30G01</t>
        </is>
      </c>
      <c r="P1581" s="31" t="inlineStr">
        <is>
          <t>SR Technics Switzerland</t>
        </is>
      </c>
    </row>
    <row r="1582">
      <c r="B1582" s="31" t="inlineStr">
        <is>
          <t>CFM56-5B</t>
        </is>
      </c>
      <c r="C1582" s="31" t="inlineStr">
        <is>
          <t>2025-2026</t>
        </is>
      </c>
      <c r="D1582" s="31" t="inlineStr">
        <is>
          <t>139488</t>
        </is>
      </c>
      <c r="E1582" s="31" t="inlineStr">
        <is>
          <t>72-23-30</t>
        </is>
      </c>
      <c r="F1582" s="31" t="inlineStr">
        <is>
          <t>T</t>
        </is>
      </c>
      <c r="G1582" s="31" t="inlineStr">
        <is>
          <t>Fan / booster</t>
        </is>
      </c>
      <c r="H1582" s="27" t="n">
        <v>1170</v>
      </c>
      <c r="I1582" s="27" t="n">
        <v>1245</v>
      </c>
      <c r="J1582" s="154">
        <f>I1582/H1582-1</f>
        <v/>
      </c>
      <c r="K1582" s="31" t="inlineStr">
        <is>
          <t>13</t>
        </is>
      </c>
      <c r="L1582" s="31" t="inlineStr">
        <is>
          <t>13</t>
        </is>
      </c>
      <c r="M1582" s="31" t="inlineStr">
        <is>
          <t>S2</t>
        </is>
      </c>
      <c r="N1582" s="31" t="inlineStr">
        <is>
          <t>S4</t>
        </is>
      </c>
      <c r="O1582" s="31" t="inlineStr">
        <is>
          <t>2423M30G01</t>
        </is>
      </c>
      <c r="P1582" s="31" t="inlineStr">
        <is>
          <t>SR Technics Switzerland</t>
        </is>
      </c>
    </row>
    <row r="1583">
      <c r="B1583" s="31" t="inlineStr">
        <is>
          <t>CFM56-5B</t>
        </is>
      </c>
      <c r="C1583" s="31" t="inlineStr">
        <is>
          <t>2025-2026</t>
        </is>
      </c>
      <c r="D1583" s="31" t="inlineStr">
        <is>
          <t>139488</t>
        </is>
      </c>
      <c r="E1583" s="31" t="inlineStr">
        <is>
          <t>72-23-30</t>
        </is>
      </c>
      <c r="F1583" s="31" t="inlineStr">
        <is>
          <t>U</t>
        </is>
      </c>
      <c r="G1583" s="31" t="inlineStr">
        <is>
          <t>Fan / booster</t>
        </is>
      </c>
      <c r="H1583" s="27" t="n">
        <v>2650</v>
      </c>
      <c r="I1583" s="27" t="n">
        <v>2810</v>
      </c>
      <c r="J1583" s="154">
        <f>I1583/H1583-1</f>
        <v/>
      </c>
      <c r="K1583" s="31" t="inlineStr">
        <is>
          <t>13</t>
        </is>
      </c>
      <c r="L1583" s="31" t="inlineStr">
        <is>
          <t>13</t>
        </is>
      </c>
      <c r="M1583" s="31" t="inlineStr">
        <is>
          <t>S2</t>
        </is>
      </c>
      <c r="N1583" s="31" t="inlineStr">
        <is>
          <t>S4</t>
        </is>
      </c>
      <c r="O1583" s="31" t="inlineStr">
        <is>
          <t>2423M30G01</t>
        </is>
      </c>
      <c r="P1583" s="31" t="inlineStr">
        <is>
          <t>SR Technics Switzerland</t>
        </is>
      </c>
    </row>
    <row r="1584">
      <c r="B1584" s="31" t="inlineStr">
        <is>
          <t>CFM56-5B</t>
        </is>
      </c>
      <c r="C1584" s="31" t="inlineStr">
        <is>
          <t>2025-2026</t>
        </is>
      </c>
      <c r="D1584" s="31" t="inlineStr">
        <is>
          <t>139488</t>
        </is>
      </c>
      <c r="E1584" s="31" t="inlineStr">
        <is>
          <t>72-23-30</t>
        </is>
      </c>
      <c r="F1584" s="31" t="inlineStr">
        <is>
          <t>V</t>
        </is>
      </c>
      <c r="G1584" s="31" t="inlineStr">
        <is>
          <t>Fan / booster</t>
        </is>
      </c>
      <c r="H1584" s="27" t="n">
        <v>800</v>
      </c>
      <c r="I1584" s="27" t="n">
        <v>850</v>
      </c>
      <c r="J1584" s="154">
        <f>I1584/H1584-1</f>
        <v/>
      </c>
      <c r="K1584" s="31" t="inlineStr">
        <is>
          <t>13</t>
        </is>
      </c>
      <c r="L1584" s="31" t="inlineStr">
        <is>
          <t>13</t>
        </is>
      </c>
      <c r="M1584" s="31" t="inlineStr">
        <is>
          <t>S2</t>
        </is>
      </c>
      <c r="N1584" s="31" t="inlineStr">
        <is>
          <t>S4</t>
        </is>
      </c>
      <c r="O1584" s="31" t="inlineStr">
        <is>
          <t>2423M30G01</t>
        </is>
      </c>
      <c r="P1584" s="31" t="inlineStr">
        <is>
          <t>SR Technics Switzerland</t>
        </is>
      </c>
    </row>
    <row r="1585">
      <c r="B1585" s="31" t="inlineStr">
        <is>
          <t>CFM56-5B</t>
        </is>
      </c>
      <c r="C1585" s="31" t="inlineStr">
        <is>
          <t>2025-2026</t>
        </is>
      </c>
      <c r="D1585" s="31" t="inlineStr">
        <is>
          <t>139488</t>
        </is>
      </c>
      <c r="E1585" s="31" t="inlineStr">
        <is>
          <t>72-23-30</t>
        </is>
      </c>
      <c r="F1585" s="31" t="inlineStr">
        <is>
          <t>W</t>
        </is>
      </c>
      <c r="G1585" s="31" t="inlineStr">
        <is>
          <t>Fan / booster</t>
        </is>
      </c>
      <c r="H1585" s="27" t="n">
        <v>1600</v>
      </c>
      <c r="I1585" s="27" t="n">
        <v>1700</v>
      </c>
      <c r="J1585" s="154">
        <f>I1585/H1585-1</f>
        <v/>
      </c>
      <c r="K1585" s="31" t="inlineStr">
        <is>
          <t>13</t>
        </is>
      </c>
      <c r="L1585" s="31" t="inlineStr">
        <is>
          <t>13</t>
        </is>
      </c>
      <c r="M1585" s="31" t="inlineStr">
        <is>
          <t>S2</t>
        </is>
      </c>
      <c r="N1585" s="31" t="inlineStr">
        <is>
          <t>S4</t>
        </is>
      </c>
      <c r="O1585" s="31" t="inlineStr">
        <is>
          <t>2423M30G01</t>
        </is>
      </c>
      <c r="P1585" s="31" t="inlineStr">
        <is>
          <t>SR Technics Switzerland</t>
        </is>
      </c>
    </row>
    <row r="1586">
      <c r="B1586" s="31" t="inlineStr">
        <is>
          <t>CFM56-5B</t>
        </is>
      </c>
      <c r="C1586" s="31" t="inlineStr">
        <is>
          <t>2025-2026</t>
        </is>
      </c>
      <c r="D1586" s="31" t="inlineStr">
        <is>
          <t>139490</t>
        </is>
      </c>
      <c r="E1586" s="31" t="inlineStr">
        <is>
          <t>72-54-02</t>
        </is>
      </c>
      <c r="F1586" s="31" t="inlineStr">
        <is>
          <t>C</t>
        </is>
      </c>
      <c r="G1586" s="31" t="inlineStr">
        <is>
          <t>LPT</t>
        </is>
      </c>
      <c r="H1586" s="27" t="n">
        <v>295</v>
      </c>
      <c r="I1586" s="27" t="n">
        <v>330</v>
      </c>
      <c r="J1586" s="154">
        <f>I1586/H1586-1</f>
        <v/>
      </c>
      <c r="K1586" s="31" t="inlineStr">
        <is>
          <t>51</t>
        </is>
      </c>
      <c r="L1586" s="31" t="inlineStr">
        <is>
          <t>53</t>
        </is>
      </c>
      <c r="M1586" s="31" t="inlineStr">
        <is>
          <t>S2</t>
        </is>
      </c>
      <c r="N1586" s="31" t="inlineStr">
        <is>
          <t>S4</t>
        </is>
      </c>
      <c r="O1586" s="31" t="inlineStr">
        <is>
          <t>338-075-801-0</t>
        </is>
      </c>
      <c r="P1586" s="31" t="inlineStr">
        <is>
          <t>SRTAS</t>
        </is>
      </c>
    </row>
    <row r="1587">
      <c r="B1587" s="31" t="inlineStr">
        <is>
          <t>CFM56-5B</t>
        </is>
      </c>
      <c r="C1587" s="31" t="inlineStr">
        <is>
          <t>2025-2026</t>
        </is>
      </c>
      <c r="D1587" s="31" t="inlineStr">
        <is>
          <t>139490</t>
        </is>
      </c>
      <c r="E1587" s="31" t="inlineStr">
        <is>
          <t>72-54-02</t>
        </is>
      </c>
      <c r="F1587" s="31" t="inlineStr">
        <is>
          <t>D</t>
        </is>
      </c>
      <c r="G1587" s="31" t="inlineStr">
        <is>
          <t>LPT</t>
        </is>
      </c>
      <c r="H1587" s="27" t="n">
        <v>305</v>
      </c>
      <c r="I1587" s="27" t="n">
        <v>330</v>
      </c>
      <c r="J1587" s="154">
        <f>I1587/H1587-1</f>
        <v/>
      </c>
      <c r="K1587" s="31" t="inlineStr">
        <is>
          <t>51, 52</t>
        </is>
      </c>
      <c r="L1587" s="31" t="inlineStr">
        <is>
          <t>53, 54</t>
        </is>
      </c>
      <c r="M1587" s="31" t="inlineStr">
        <is>
          <t>S2</t>
        </is>
      </c>
      <c r="N1587" s="31" t="inlineStr">
        <is>
          <t>S4</t>
        </is>
      </c>
      <c r="O1587" s="31" t="inlineStr">
        <is>
          <t>338-075-801-0</t>
        </is>
      </c>
      <c r="P1587" s="31" t="inlineStr">
        <is>
          <t>SRTAS</t>
        </is>
      </c>
    </row>
    <row r="1588">
      <c r="B1588" s="31" t="inlineStr">
        <is>
          <t>CFM56-5B</t>
        </is>
      </c>
      <c r="C1588" s="31" t="inlineStr">
        <is>
          <t>2025-2026</t>
        </is>
      </c>
      <c r="D1588" s="31" t="inlineStr">
        <is>
          <t>139515</t>
        </is>
      </c>
      <c r="E1588" s="31" t="inlineStr">
        <is>
          <t>72-61-02</t>
        </is>
      </c>
      <c r="F1588" s="31" t="inlineStr">
        <is>
          <t>B</t>
        </is>
      </c>
      <c r="G1588" s="31" t="inlineStr">
        <is>
          <t>Gearbox</t>
        </is>
      </c>
      <c r="H1588" s="27" t="n">
        <v>3040</v>
      </c>
      <c r="I1588" s="27" t="n">
        <v>3225</v>
      </c>
      <c r="J1588" s="154">
        <f>I1588/H1588-1</f>
        <v/>
      </c>
      <c r="K1588" s="31" t="inlineStr">
        <is>
          <t>13</t>
        </is>
      </c>
      <c r="L1588" s="31" t="inlineStr">
        <is>
          <t>13</t>
        </is>
      </c>
      <c r="M1588" s="31" t="inlineStr">
        <is>
          <t>S2</t>
        </is>
      </c>
      <c r="N1588" s="31" t="inlineStr">
        <is>
          <t>S4</t>
        </is>
      </c>
      <c r="O1588" s="31" t="inlineStr">
        <is>
          <t>9542M67P01</t>
        </is>
      </c>
      <c r="P1588" s="31" t="inlineStr">
        <is>
          <t>SR Technics Switzerland</t>
        </is>
      </c>
    </row>
    <row r="1589">
      <c r="B1589" s="31" t="inlineStr">
        <is>
          <t>CFM56-5B</t>
        </is>
      </c>
      <c r="C1589" s="31" t="inlineStr">
        <is>
          <t>2025-2026</t>
        </is>
      </c>
      <c r="D1589" s="31" t="inlineStr">
        <is>
          <t>139515</t>
        </is>
      </c>
      <c r="E1589" s="31" t="inlineStr">
        <is>
          <t>72-61-02</t>
        </is>
      </c>
      <c r="F1589" s="31" t="inlineStr">
        <is>
          <t>C</t>
        </is>
      </c>
      <c r="G1589" s="31" t="inlineStr">
        <is>
          <t>Gearbox</t>
        </is>
      </c>
      <c r="H1589" s="27" t="n">
        <v>3040</v>
      </c>
      <c r="I1589" s="27" t="n">
        <v>3225</v>
      </c>
      <c r="J1589" s="154">
        <f>I1589/H1589-1</f>
        <v/>
      </c>
      <c r="K1589" s="31" t="inlineStr">
        <is>
          <t>13</t>
        </is>
      </c>
      <c r="L1589" s="31" t="inlineStr">
        <is>
          <t>13</t>
        </is>
      </c>
      <c r="M1589" s="31" t="inlineStr">
        <is>
          <t>S2</t>
        </is>
      </c>
      <c r="N1589" s="31" t="inlineStr">
        <is>
          <t>S4</t>
        </is>
      </c>
      <c r="O1589" s="31" t="inlineStr">
        <is>
          <t>9542M67P01</t>
        </is>
      </c>
      <c r="P1589" s="31" t="inlineStr">
        <is>
          <t>SR Technics Switzerland</t>
        </is>
      </c>
    </row>
    <row r="1590">
      <c r="B1590" s="31" t="inlineStr">
        <is>
          <t>CFM56-5B</t>
        </is>
      </c>
      <c r="C1590" s="31" t="inlineStr">
        <is>
          <t>2025-2026</t>
        </is>
      </c>
      <c r="D1590" s="31" t="inlineStr">
        <is>
          <t>139515</t>
        </is>
      </c>
      <c r="E1590" s="31" t="inlineStr">
        <is>
          <t>72-61-02</t>
        </is>
      </c>
      <c r="F1590" s="31" t="inlineStr">
        <is>
          <t>D</t>
        </is>
      </c>
      <c r="G1590" s="31" t="inlineStr">
        <is>
          <t>Gearbox</t>
        </is>
      </c>
      <c r="H1590" s="27" t="n">
        <v>3040</v>
      </c>
      <c r="I1590" s="27" t="n">
        <v>3225</v>
      </c>
      <c r="J1590" s="154">
        <f>I1590/H1590-1</f>
        <v/>
      </c>
      <c r="K1590" s="31" t="inlineStr">
        <is>
          <t>13</t>
        </is>
      </c>
      <c r="L1590" s="31" t="inlineStr">
        <is>
          <t>13</t>
        </is>
      </c>
      <c r="M1590" s="31" t="inlineStr">
        <is>
          <t>S2</t>
        </is>
      </c>
      <c r="N1590" s="31" t="inlineStr">
        <is>
          <t>S4</t>
        </is>
      </c>
      <c r="O1590" s="31" t="inlineStr">
        <is>
          <t>9542M67P01</t>
        </is>
      </c>
      <c r="P1590" s="31" t="inlineStr">
        <is>
          <t>SR Technics Switzerland</t>
        </is>
      </c>
    </row>
    <row r="1591">
      <c r="B1591" s="31" t="inlineStr">
        <is>
          <t>CFM56-5B</t>
        </is>
      </c>
      <c r="C1591" s="31" t="inlineStr">
        <is>
          <t>2025-2026</t>
        </is>
      </c>
      <c r="D1591" s="31" t="inlineStr">
        <is>
          <t>139515</t>
        </is>
      </c>
      <c r="E1591" s="31" t="inlineStr">
        <is>
          <t>72-61-02</t>
        </is>
      </c>
      <c r="F1591" s="31" t="inlineStr">
        <is>
          <t>E</t>
        </is>
      </c>
      <c r="G1591" s="31" t="inlineStr">
        <is>
          <t>Gearbox</t>
        </is>
      </c>
      <c r="H1591" s="27" t="n">
        <v>3040</v>
      </c>
      <c r="I1591" s="27" t="n">
        <v>3225</v>
      </c>
      <c r="J1591" s="154">
        <f>I1591/H1591-1</f>
        <v/>
      </c>
      <c r="K1591" s="31" t="inlineStr">
        <is>
          <t>13</t>
        </is>
      </c>
      <c r="L1591" s="31" t="inlineStr">
        <is>
          <t>13</t>
        </is>
      </c>
      <c r="M1591" s="31" t="inlineStr">
        <is>
          <t>S2</t>
        </is>
      </c>
      <c r="N1591" s="31" t="inlineStr">
        <is>
          <t>S4</t>
        </is>
      </c>
      <c r="O1591" s="31" t="inlineStr">
        <is>
          <t>9542M67P01</t>
        </is>
      </c>
      <c r="P1591" s="31" t="inlineStr">
        <is>
          <t>SR Technics Switzerland</t>
        </is>
      </c>
    </row>
    <row r="1592">
      <c r="B1592" s="31" t="inlineStr">
        <is>
          <t>CFM56-5B</t>
        </is>
      </c>
      <c r="C1592" s="31" t="inlineStr">
        <is>
          <t>2025-2026</t>
        </is>
      </c>
      <c r="D1592" s="31" t="inlineStr">
        <is>
          <t>139515</t>
        </is>
      </c>
      <c r="E1592" s="31" t="inlineStr">
        <is>
          <t>72-61-02</t>
        </is>
      </c>
      <c r="F1592" s="31" t="inlineStr">
        <is>
          <t>F</t>
        </is>
      </c>
      <c r="G1592" s="31" t="inlineStr">
        <is>
          <t>Gearbox</t>
        </is>
      </c>
      <c r="H1592" s="27" t="n">
        <v>1085</v>
      </c>
      <c r="I1592" s="27" t="n">
        <v>1155</v>
      </c>
      <c r="J1592" s="154">
        <f>I1592/H1592-1</f>
        <v/>
      </c>
      <c r="K1592" s="31" t="inlineStr">
        <is>
          <t>13</t>
        </is>
      </c>
      <c r="L1592" s="31" t="inlineStr">
        <is>
          <t>13</t>
        </is>
      </c>
      <c r="M1592" s="31" t="inlineStr">
        <is>
          <t>S2</t>
        </is>
      </c>
      <c r="N1592" s="31" t="inlineStr">
        <is>
          <t>S4</t>
        </is>
      </c>
      <c r="O1592" s="31" t="inlineStr">
        <is>
          <t>9542M67P01</t>
        </is>
      </c>
      <c r="P1592" s="31" t="inlineStr">
        <is>
          <t>SR Technics Switzerland</t>
        </is>
      </c>
    </row>
    <row r="1593">
      <c r="B1593" s="31" t="inlineStr">
        <is>
          <t>CFM56-5B</t>
        </is>
      </c>
      <c r="C1593" s="31" t="inlineStr">
        <is>
          <t>2025-2026</t>
        </is>
      </c>
      <c r="D1593" s="31" t="inlineStr">
        <is>
          <t>139517</t>
        </is>
      </c>
      <c r="E1593" s="31" t="inlineStr">
        <is>
          <t>72-61-03</t>
        </is>
      </c>
      <c r="F1593" s="31" t="inlineStr">
        <is>
          <t>B</t>
        </is>
      </c>
      <c r="G1593" s="31" t="inlineStr">
        <is>
          <t>Gearbox</t>
        </is>
      </c>
      <c r="H1593" s="27" t="n">
        <v>1305</v>
      </c>
      <c r="I1593" s="27" t="n">
        <v>1385</v>
      </c>
      <c r="J1593" s="154">
        <f>I1593/H1593-1</f>
        <v/>
      </c>
      <c r="K1593" s="31" t="inlineStr">
        <is>
          <t>13</t>
        </is>
      </c>
      <c r="L1593" s="31" t="inlineStr">
        <is>
          <t>13</t>
        </is>
      </c>
      <c r="M1593" s="31" t="inlineStr">
        <is>
          <t>S2</t>
        </is>
      </c>
      <c r="N1593" s="31" t="inlineStr">
        <is>
          <t>S4</t>
        </is>
      </c>
      <c r="O1593" s="31" t="inlineStr">
        <is>
          <t>9972M31G03</t>
        </is>
      </c>
      <c r="P1593" s="31" t="inlineStr">
        <is>
          <t>SR Technics Switzerland</t>
        </is>
      </c>
    </row>
    <row r="1594">
      <c r="B1594" s="31" t="inlineStr">
        <is>
          <t>CFM56-5B</t>
        </is>
      </c>
      <c r="C1594" s="31" t="inlineStr">
        <is>
          <t>2025-2026</t>
        </is>
      </c>
      <c r="D1594" s="31" t="inlineStr">
        <is>
          <t>139520</t>
        </is>
      </c>
      <c r="E1594" s="31" t="inlineStr">
        <is>
          <t>72-61-07</t>
        </is>
      </c>
      <c r="F1594" s="31" t="inlineStr">
        <is>
          <t>B</t>
        </is>
      </c>
      <c r="G1594" s="31" t="inlineStr">
        <is>
          <t>Gearbox</t>
        </is>
      </c>
      <c r="H1594" s="27" t="n">
        <v>1120</v>
      </c>
      <c r="I1594" s="27" t="n">
        <v>1190</v>
      </c>
      <c r="J1594" s="154">
        <f>I1594/H1594-1</f>
        <v/>
      </c>
      <c r="K1594" s="31" t="inlineStr">
        <is>
          <t>13</t>
        </is>
      </c>
      <c r="L1594" s="31" t="inlineStr">
        <is>
          <t>13</t>
        </is>
      </c>
      <c r="M1594" s="31" t="inlineStr">
        <is>
          <t>S2</t>
        </is>
      </c>
      <c r="N1594" s="31" t="inlineStr">
        <is>
          <t>S4</t>
        </is>
      </c>
      <c r="O1594" s="31" t="inlineStr">
        <is>
          <t>9972M49G02</t>
        </is>
      </c>
      <c r="P1594" s="31" t="inlineStr">
        <is>
          <t>SR Technics Switzerland</t>
        </is>
      </c>
    </row>
    <row r="1595">
      <c r="B1595" s="31" t="inlineStr">
        <is>
          <t>CFM56-5B</t>
        </is>
      </c>
      <c r="C1595" s="31" t="inlineStr">
        <is>
          <t>2025-2026</t>
        </is>
      </c>
      <c r="D1595" s="31" t="inlineStr">
        <is>
          <t>139530</t>
        </is>
      </c>
      <c r="E1595" s="31" t="inlineStr">
        <is>
          <t>71-21-08</t>
        </is>
      </c>
      <c r="F1595" s="31" t="inlineStr">
        <is>
          <t>A</t>
        </is>
      </c>
      <c r="G1595" s="31" t="inlineStr">
        <is>
          <t>Other / assembly</t>
        </is>
      </c>
      <c r="H1595" s="27" t="n">
        <v>1445</v>
      </c>
      <c r="I1595" s="27" t="n">
        <v>1520</v>
      </c>
      <c r="J1595" s="154">
        <f>I1595/H1595-1</f>
        <v/>
      </c>
      <c r="K1595" s="31" t="inlineStr">
        <is>
          <t>13</t>
        </is>
      </c>
      <c r="L1595" s="31" t="inlineStr">
        <is>
          <t>13</t>
        </is>
      </c>
      <c r="M1595" s="31" t="inlineStr">
        <is>
          <t>S2</t>
        </is>
      </c>
      <c r="N1595" s="31" t="inlineStr">
        <is>
          <t>S4</t>
        </is>
      </c>
      <c r="O1595" s="31" t="inlineStr">
        <is>
          <t>238-0210-505</t>
        </is>
      </c>
      <c r="P1595" s="31" t="inlineStr">
        <is>
          <t>SR Technics Switzerland</t>
        </is>
      </c>
    </row>
    <row r="1596">
      <c r="B1596" s="31" t="inlineStr">
        <is>
          <t>CFM56-5B</t>
        </is>
      </c>
      <c r="C1596" s="31" t="inlineStr">
        <is>
          <t>2025-2026</t>
        </is>
      </c>
      <c r="D1596" s="31" t="inlineStr">
        <is>
          <t>139530</t>
        </is>
      </c>
      <c r="E1596" s="31" t="inlineStr">
        <is>
          <t>71-21-08</t>
        </is>
      </c>
      <c r="F1596" s="31" t="inlineStr">
        <is>
          <t>D</t>
        </is>
      </c>
      <c r="G1596" s="31" t="inlineStr">
        <is>
          <t>Other / assembly</t>
        </is>
      </c>
      <c r="H1596" s="27" t="n">
        <v>1470</v>
      </c>
      <c r="I1596" s="27" t="n">
        <v>1560</v>
      </c>
      <c r="J1596" s="154">
        <f>I1596/H1596-1</f>
        <v/>
      </c>
      <c r="K1596" s="31" t="inlineStr">
        <is>
          <t>14</t>
        </is>
      </c>
      <c r="L1596" s="31" t="inlineStr">
        <is>
          <t>13</t>
        </is>
      </c>
      <c r="M1596" s="31" t="inlineStr">
        <is>
          <t>S2</t>
        </is>
      </c>
      <c r="N1596" s="31" t="inlineStr">
        <is>
          <t>S4</t>
        </is>
      </c>
      <c r="O1596" s="31" t="inlineStr">
        <is>
          <t>238-0210-505</t>
        </is>
      </c>
      <c r="P1596" s="31" t="inlineStr">
        <is>
          <t>SR Technics Switzerland</t>
        </is>
      </c>
    </row>
    <row r="1597">
      <c r="B1597" s="31" t="inlineStr">
        <is>
          <t>CFM56-5B</t>
        </is>
      </c>
      <c r="C1597" s="31" t="inlineStr">
        <is>
          <t>2025-2026</t>
        </is>
      </c>
      <c r="D1597" s="31" t="inlineStr">
        <is>
          <t>139530</t>
        </is>
      </c>
      <c r="E1597" s="31" t="inlineStr">
        <is>
          <t>71-21-08</t>
        </is>
      </c>
      <c r="F1597" s="31" t="inlineStr">
        <is>
          <t>E</t>
        </is>
      </c>
      <c r="G1597" s="31" t="inlineStr">
        <is>
          <t>Other / assembly</t>
        </is>
      </c>
      <c r="H1597" s="27" t="n">
        <v>805</v>
      </c>
      <c r="I1597" s="27" t="n">
        <v>855</v>
      </c>
      <c r="J1597" s="154">
        <f>I1597/H1597-1</f>
        <v/>
      </c>
      <c r="K1597" s="31" t="inlineStr">
        <is>
          <t>14</t>
        </is>
      </c>
      <c r="L1597" s="31" t="inlineStr">
        <is>
          <t>14</t>
        </is>
      </c>
      <c r="M1597" s="31" t="inlineStr">
        <is>
          <t>S2</t>
        </is>
      </c>
      <c r="N1597" s="31" t="inlineStr">
        <is>
          <t>S4</t>
        </is>
      </c>
      <c r="O1597" s="31" t="inlineStr">
        <is>
          <t>238-0210-505</t>
        </is>
      </c>
      <c r="P1597" s="31" t="inlineStr">
        <is>
          <t>SR Technics Switzerland</t>
        </is>
      </c>
    </row>
    <row r="1598">
      <c r="B1598" s="31" t="inlineStr">
        <is>
          <t>CFM56-5B</t>
        </is>
      </c>
      <c r="C1598" s="31" t="inlineStr">
        <is>
          <t>2025-2026</t>
        </is>
      </c>
      <c r="D1598" s="31" t="inlineStr">
        <is>
          <t>139530</t>
        </is>
      </c>
      <c r="E1598" s="31" t="inlineStr">
        <is>
          <t>71-21-08</t>
        </is>
      </c>
      <c r="F1598" s="31" t="inlineStr">
        <is>
          <t>F</t>
        </is>
      </c>
      <c r="G1598" s="31" t="inlineStr">
        <is>
          <t>Other / assembly</t>
        </is>
      </c>
      <c r="H1598" s="27" t="n">
        <v>160</v>
      </c>
      <c r="I1598" s="27" t="n">
        <v>170</v>
      </c>
      <c r="J1598" s="154">
        <f>I1598/H1598-1</f>
        <v/>
      </c>
      <c r="K1598" s="31" t="inlineStr">
        <is>
          <t>14</t>
        </is>
      </c>
      <c r="L1598" s="31" t="inlineStr">
        <is>
          <t>14</t>
        </is>
      </c>
      <c r="M1598" s="31" t="inlineStr">
        <is>
          <t>S2</t>
        </is>
      </c>
      <c r="N1598" s="31" t="inlineStr">
        <is>
          <t>S4</t>
        </is>
      </c>
      <c r="O1598" s="31" t="inlineStr">
        <is>
          <t>238-0210-505</t>
        </is>
      </c>
      <c r="P1598" s="31" t="inlineStr">
        <is>
          <t>SR Technics Switzerland</t>
        </is>
      </c>
    </row>
    <row r="1599">
      <c r="B1599" s="31" t="inlineStr">
        <is>
          <t>CFM56-5B</t>
        </is>
      </c>
      <c r="C1599" s="31" t="inlineStr">
        <is>
          <t>2025-2026</t>
        </is>
      </c>
      <c r="D1599" s="31" t="inlineStr">
        <is>
          <t>139531</t>
        </is>
      </c>
      <c r="E1599" s="31" t="inlineStr">
        <is>
          <t>71-21-08</t>
        </is>
      </c>
      <c r="F1599" s="31" t="inlineStr">
        <is>
          <t>A</t>
        </is>
      </c>
      <c r="G1599" s="31" t="inlineStr">
        <is>
          <t>Other / assembly</t>
        </is>
      </c>
      <c r="H1599" s="27" t="n">
        <v>1210</v>
      </c>
      <c r="I1599" s="27" t="n">
        <v>1275</v>
      </c>
      <c r="J1599" s="154">
        <f>I1599/H1599-1</f>
        <v/>
      </c>
      <c r="K1599" s="31" t="inlineStr">
        <is>
          <t>14</t>
        </is>
      </c>
      <c r="L1599" s="31" t="inlineStr">
        <is>
          <t>14</t>
        </is>
      </c>
      <c r="M1599" s="31" t="inlineStr">
        <is>
          <t>S2</t>
        </is>
      </c>
      <c r="N1599" s="31" t="inlineStr">
        <is>
          <t>S4</t>
        </is>
      </c>
      <c r="O1599" s="31" t="inlineStr">
        <is>
          <t>642-2002-503</t>
        </is>
      </c>
      <c r="P1599" s="31" t="inlineStr">
        <is>
          <t>SR Technics Switzerland</t>
        </is>
      </c>
    </row>
    <row r="1600">
      <c r="B1600" s="31" t="inlineStr">
        <is>
          <t>CFM56-5B</t>
        </is>
      </c>
      <c r="C1600" s="31" t="inlineStr">
        <is>
          <t>2025-2026</t>
        </is>
      </c>
      <c r="D1600" s="31" t="inlineStr">
        <is>
          <t>139531</t>
        </is>
      </c>
      <c r="E1600" s="31" t="inlineStr">
        <is>
          <t>71-21-08</t>
        </is>
      </c>
      <c r="F1600" s="31" t="inlineStr">
        <is>
          <t>O</t>
        </is>
      </c>
      <c r="G1600" s="31" t="inlineStr">
        <is>
          <t>Other / assembly</t>
        </is>
      </c>
      <c r="H1600" s="27" t="n">
        <v>805</v>
      </c>
      <c r="I1600" s="27" t="n">
        <v>855</v>
      </c>
      <c r="J1600" s="154">
        <f>I1600/H1600-1</f>
        <v/>
      </c>
      <c r="K1600" s="31" t="inlineStr">
        <is>
          <t>14</t>
        </is>
      </c>
      <c r="L1600" s="31" t="inlineStr">
        <is>
          <t>14</t>
        </is>
      </c>
      <c r="M1600" s="31" t="inlineStr">
        <is>
          <t>S2</t>
        </is>
      </c>
      <c r="N1600" s="31" t="inlineStr">
        <is>
          <t>S4</t>
        </is>
      </c>
      <c r="O1600" s="31" t="inlineStr">
        <is>
          <t>642-2002-503</t>
        </is>
      </c>
      <c r="P1600" s="31" t="inlineStr">
        <is>
          <t>SR Technics Switzerland</t>
        </is>
      </c>
    </row>
    <row r="1601">
      <c r="B1601" s="31" t="inlineStr">
        <is>
          <t>CFM56-5B</t>
        </is>
      </c>
      <c r="C1601" s="31" t="inlineStr">
        <is>
          <t>2025-2026</t>
        </is>
      </c>
      <c r="D1601" s="31" t="inlineStr">
        <is>
          <t>139531</t>
        </is>
      </c>
      <c r="E1601" s="31" t="inlineStr">
        <is>
          <t>71-21-08</t>
        </is>
      </c>
      <c r="F1601" s="31" t="inlineStr">
        <is>
          <t>Q</t>
        </is>
      </c>
      <c r="G1601" s="31" t="inlineStr">
        <is>
          <t>Other / assembly</t>
        </is>
      </c>
      <c r="H1601" s="27" t="n">
        <v>2000</v>
      </c>
      <c r="I1601" s="27" t="n">
        <v>2120</v>
      </c>
      <c r="J1601" s="154">
        <f>I1601/H1601-1</f>
        <v/>
      </c>
      <c r="K1601" s="31" t="inlineStr">
        <is>
          <t>14</t>
        </is>
      </c>
      <c r="L1601" s="31" t="inlineStr">
        <is>
          <t>14</t>
        </is>
      </c>
      <c r="M1601" s="31" t="inlineStr">
        <is>
          <t>S2</t>
        </is>
      </c>
      <c r="N1601" s="31" t="inlineStr">
        <is>
          <t>S4</t>
        </is>
      </c>
      <c r="O1601" s="31" t="inlineStr">
        <is>
          <t>642-2002-503</t>
        </is>
      </c>
      <c r="P1601" s="31" t="inlineStr">
        <is>
          <t>SR Technics Switzerland</t>
        </is>
      </c>
    </row>
    <row r="1602">
      <c r="B1602" s="31" t="inlineStr">
        <is>
          <t>CFM56-5B</t>
        </is>
      </c>
      <c r="C1602" s="31" t="inlineStr">
        <is>
          <t>2025-2026</t>
        </is>
      </c>
      <c r="D1602" s="31" t="inlineStr">
        <is>
          <t>139532</t>
        </is>
      </c>
      <c r="E1602" s="31" t="inlineStr">
        <is>
          <t>71-21-08</t>
        </is>
      </c>
      <c r="F1602" s="31" t="inlineStr">
        <is>
          <t>A</t>
        </is>
      </c>
      <c r="G1602" s="31" t="inlineStr">
        <is>
          <t>Other / assembly</t>
        </is>
      </c>
      <c r="H1602" s="27" t="n">
        <v>1250</v>
      </c>
      <c r="I1602" s="27" t="n">
        <v>1315</v>
      </c>
      <c r="J1602" s="154">
        <f>I1602/H1602-1</f>
        <v/>
      </c>
      <c r="K1602" s="31" t="inlineStr">
        <is>
          <t>14</t>
        </is>
      </c>
      <c r="L1602" s="31" t="inlineStr">
        <is>
          <t>14</t>
        </is>
      </c>
      <c r="M1602" s="31" t="inlineStr">
        <is>
          <t>S2</t>
        </is>
      </c>
      <c r="N1602" s="31" t="inlineStr">
        <is>
          <t>S4</t>
        </is>
      </c>
      <c r="O1602" s="31" t="inlineStr">
        <is>
          <t>642-2006-501</t>
        </is>
      </c>
      <c r="P1602" s="31" t="inlineStr">
        <is>
          <t>SR Technics Switzerland</t>
        </is>
      </c>
    </row>
    <row r="1603">
      <c r="B1603" s="31" t="inlineStr">
        <is>
          <t>CFM56-5B</t>
        </is>
      </c>
      <c r="C1603" s="31" t="inlineStr">
        <is>
          <t>2025-2026</t>
        </is>
      </c>
      <c r="D1603" s="31" t="inlineStr">
        <is>
          <t>139532</t>
        </is>
      </c>
      <c r="E1603" s="31" t="inlineStr">
        <is>
          <t>71-21-08</t>
        </is>
      </c>
      <c r="F1603" s="31" t="inlineStr">
        <is>
          <t>B</t>
        </is>
      </c>
      <c r="G1603" s="31" t="inlineStr">
        <is>
          <t>Other / assembly</t>
        </is>
      </c>
      <c r="H1603" s="27" t="n">
        <v>530</v>
      </c>
      <c r="I1603" s="27" t="n">
        <v>565</v>
      </c>
      <c r="J1603" s="154">
        <f>I1603/H1603-1</f>
        <v/>
      </c>
      <c r="K1603" s="31" t="inlineStr">
        <is>
          <t>14</t>
        </is>
      </c>
      <c r="L1603" s="31" t="inlineStr">
        <is>
          <t>14</t>
        </is>
      </c>
      <c r="M1603" s="31" t="inlineStr">
        <is>
          <t>S2</t>
        </is>
      </c>
      <c r="N1603" s="31" t="inlineStr">
        <is>
          <t>S4</t>
        </is>
      </c>
      <c r="O1603" s="31" t="inlineStr">
        <is>
          <t>642-2006-501</t>
        </is>
      </c>
      <c r="P1603" s="31" t="inlineStr">
        <is>
          <t>SR Technics Switzerland</t>
        </is>
      </c>
    </row>
    <row r="1604">
      <c r="B1604" s="31" t="inlineStr">
        <is>
          <t>CFM56-5B</t>
        </is>
      </c>
      <c r="C1604" s="31" t="inlineStr">
        <is>
          <t>2025-2026</t>
        </is>
      </c>
      <c r="D1604" s="31" t="inlineStr">
        <is>
          <t>139532</t>
        </is>
      </c>
      <c r="E1604" s="31" t="inlineStr">
        <is>
          <t>71-21-08</t>
        </is>
      </c>
      <c r="F1604" s="31" t="inlineStr">
        <is>
          <t>F</t>
        </is>
      </c>
      <c r="G1604" s="31" t="inlineStr">
        <is>
          <t>Other / assembly</t>
        </is>
      </c>
      <c r="H1604" s="27" t="n">
        <v>365</v>
      </c>
      <c r="I1604" s="27" t="n">
        <v>390</v>
      </c>
      <c r="J1604" s="154">
        <f>I1604/H1604-1</f>
        <v/>
      </c>
      <c r="K1604" s="31" t="inlineStr">
        <is>
          <t>14</t>
        </is>
      </c>
      <c r="L1604" s="31" t="inlineStr">
        <is>
          <t>14</t>
        </is>
      </c>
      <c r="M1604" s="31" t="inlineStr">
        <is>
          <t>S2</t>
        </is>
      </c>
      <c r="N1604" s="31" t="inlineStr">
        <is>
          <t>S4</t>
        </is>
      </c>
      <c r="O1604" s="31" t="inlineStr">
        <is>
          <t>642-2006-501</t>
        </is>
      </c>
      <c r="P1604" s="31" t="inlineStr">
        <is>
          <t>SR Technics Switzerland</t>
        </is>
      </c>
    </row>
    <row r="1605">
      <c r="B1605" s="31" t="inlineStr">
        <is>
          <t>CFM56-5B</t>
        </is>
      </c>
      <c r="C1605" s="31" t="inlineStr">
        <is>
          <t>2025-2026</t>
        </is>
      </c>
      <c r="D1605" s="31" t="inlineStr">
        <is>
          <t>139532</t>
        </is>
      </c>
      <c r="E1605" s="31" t="inlineStr">
        <is>
          <t>71-21-08</t>
        </is>
      </c>
      <c r="F1605" s="31" t="inlineStr">
        <is>
          <t>K</t>
        </is>
      </c>
      <c r="G1605" s="31" t="inlineStr">
        <is>
          <t>Other / assembly</t>
        </is>
      </c>
      <c r="H1605" s="27" t="n">
        <v>1140</v>
      </c>
      <c r="I1605" s="27" t="n">
        <v>1210</v>
      </c>
      <c r="J1605" s="154">
        <f>I1605/H1605-1</f>
        <v/>
      </c>
      <c r="K1605" s="31" t="inlineStr">
        <is>
          <t>14</t>
        </is>
      </c>
      <c r="L1605" s="31" t="inlineStr">
        <is>
          <t>14</t>
        </is>
      </c>
      <c r="M1605" s="31" t="inlineStr">
        <is>
          <t>S2</t>
        </is>
      </c>
      <c r="N1605" s="31" t="inlineStr">
        <is>
          <t>S4</t>
        </is>
      </c>
      <c r="O1605" s="31" t="inlineStr">
        <is>
          <t>642-2006-501</t>
        </is>
      </c>
      <c r="P1605" s="31" t="inlineStr">
        <is>
          <t>SR Technics Switzerland</t>
        </is>
      </c>
    </row>
    <row r="1606">
      <c r="B1606" s="31" t="inlineStr">
        <is>
          <t>CFM56-5B</t>
        </is>
      </c>
      <c r="C1606" s="31" t="inlineStr">
        <is>
          <t>2025-2026</t>
        </is>
      </c>
      <c r="D1606" s="31" t="inlineStr">
        <is>
          <t>139532</t>
        </is>
      </c>
      <c r="E1606" s="31" t="inlineStr">
        <is>
          <t>71-21-08</t>
        </is>
      </c>
      <c r="F1606" s="31" t="inlineStr">
        <is>
          <t>L</t>
        </is>
      </c>
      <c r="G1606" s="31" t="inlineStr">
        <is>
          <t>Other / assembly</t>
        </is>
      </c>
      <c r="H1606" s="27" t="n">
        <v>1835</v>
      </c>
      <c r="I1606" s="27" t="n">
        <v>1950</v>
      </c>
      <c r="J1606" s="154">
        <f>I1606/H1606-1</f>
        <v/>
      </c>
      <c r="K1606" s="31" t="inlineStr">
        <is>
          <t>14</t>
        </is>
      </c>
      <c r="L1606" s="31" t="inlineStr">
        <is>
          <t>14</t>
        </is>
      </c>
      <c r="M1606" s="31" t="inlineStr">
        <is>
          <t>S2</t>
        </is>
      </c>
      <c r="N1606" s="31" t="inlineStr">
        <is>
          <t>S4</t>
        </is>
      </c>
      <c r="O1606" s="31" t="inlineStr">
        <is>
          <t>642-2006-501</t>
        </is>
      </c>
      <c r="P1606" s="31" t="inlineStr">
        <is>
          <t>SR Technics Switzerland</t>
        </is>
      </c>
    </row>
    <row r="1607">
      <c r="B1607" s="31" t="inlineStr">
        <is>
          <t>CFM56-5B</t>
        </is>
      </c>
      <c r="C1607" s="31" t="inlineStr">
        <is>
          <t>2025-2026</t>
        </is>
      </c>
      <c r="D1607" s="31" t="inlineStr">
        <is>
          <t>139532</t>
        </is>
      </c>
      <c r="E1607" s="31" t="inlineStr">
        <is>
          <t>71-21-08</t>
        </is>
      </c>
      <c r="F1607" s="31" t="inlineStr">
        <is>
          <t>N</t>
        </is>
      </c>
      <c r="G1607" s="31" t="inlineStr">
        <is>
          <t>Other / assembly</t>
        </is>
      </c>
      <c r="H1607" s="27" t="n">
        <v>790</v>
      </c>
      <c r="I1607" s="27" t="n">
        <v>840</v>
      </c>
      <c r="J1607" s="154">
        <f>I1607/H1607-1</f>
        <v/>
      </c>
      <c r="K1607" s="31" t="inlineStr">
        <is>
          <t>14</t>
        </is>
      </c>
      <c r="L1607" s="31" t="inlineStr">
        <is>
          <t>14</t>
        </is>
      </c>
      <c r="M1607" s="31" t="inlineStr">
        <is>
          <t>S2</t>
        </is>
      </c>
      <c r="N1607" s="31" t="inlineStr">
        <is>
          <t>S4</t>
        </is>
      </c>
      <c r="O1607" s="31" t="inlineStr">
        <is>
          <t>642-2006-501</t>
        </is>
      </c>
      <c r="P1607" s="31" t="inlineStr">
        <is>
          <t>SR Technics Switzerland</t>
        </is>
      </c>
    </row>
    <row r="1608">
      <c r="B1608" s="31" t="inlineStr">
        <is>
          <t>CFM56-5B</t>
        </is>
      </c>
      <c r="C1608" s="31" t="inlineStr">
        <is>
          <t>2025-2026</t>
        </is>
      </c>
      <c r="D1608" s="31" t="inlineStr">
        <is>
          <t>139532</t>
        </is>
      </c>
      <c r="E1608" s="31" t="inlineStr">
        <is>
          <t>71-21-08</t>
        </is>
      </c>
      <c r="F1608" s="31" t="inlineStr">
        <is>
          <t>SB00</t>
        </is>
      </c>
      <c r="G1608" s="31" t="inlineStr">
        <is>
          <t>Other / assembly</t>
        </is>
      </c>
      <c r="H1608" s="27" t="n">
        <v>1345</v>
      </c>
      <c r="I1608" s="27" t="n">
        <v>1430</v>
      </c>
      <c r="J1608" s="154">
        <f>I1608/H1608-1</f>
        <v/>
      </c>
      <c r="K1608" s="31" t="inlineStr">
        <is>
          <t>14</t>
        </is>
      </c>
      <c r="L1608" s="31" t="inlineStr">
        <is>
          <t>14</t>
        </is>
      </c>
      <c r="M1608" s="31" t="inlineStr">
        <is>
          <t>S2</t>
        </is>
      </c>
      <c r="N1608" s="31" t="inlineStr">
        <is>
          <t>S4</t>
        </is>
      </c>
      <c r="O1608" s="31" t="inlineStr">
        <is>
          <t>642-2006-501</t>
        </is>
      </c>
      <c r="P1608" s="31" t="inlineStr">
        <is>
          <t>SR Technics Switzerland</t>
        </is>
      </c>
    </row>
    <row r="1609">
      <c r="B1609" s="31" t="inlineStr">
        <is>
          <t>CFM56-5B</t>
        </is>
      </c>
      <c r="C1609" s="31" t="inlineStr">
        <is>
          <t>2025-2026</t>
        </is>
      </c>
      <c r="D1609" s="31" t="inlineStr">
        <is>
          <t>139533</t>
        </is>
      </c>
      <c r="E1609" s="31" t="inlineStr">
        <is>
          <t>71-21-08</t>
        </is>
      </c>
      <c r="F1609" s="31" t="inlineStr">
        <is>
          <t>F</t>
        </is>
      </c>
      <c r="G1609" s="31" t="inlineStr">
        <is>
          <t>Other / assembly</t>
        </is>
      </c>
      <c r="H1609" s="27" t="n">
        <v>80</v>
      </c>
      <c r="I1609" s="27" t="n">
        <v>85</v>
      </c>
      <c r="J1609" s="154">
        <f>I1609/H1609-1</f>
        <v/>
      </c>
      <c r="K1609" s="31" t="inlineStr">
        <is>
          <t>52</t>
        </is>
      </c>
      <c r="L1609" s="31" t="inlineStr">
        <is>
          <t>54</t>
        </is>
      </c>
      <c r="M1609" s="31" t="inlineStr">
        <is>
          <t>S2</t>
        </is>
      </c>
      <c r="N1609" s="31" t="inlineStr">
        <is>
          <t>S4</t>
        </is>
      </c>
      <c r="O1609" s="31" t="inlineStr">
        <is>
          <t>238-0207-503</t>
        </is>
      </c>
      <c r="P1609" s="31" t="inlineStr">
        <is>
          <t>SR Technics Switzerland</t>
        </is>
      </c>
    </row>
    <row r="1610">
      <c r="B1610" s="31" t="inlineStr">
        <is>
          <t>CFM56-5B</t>
        </is>
      </c>
      <c r="C1610" s="31" t="inlineStr">
        <is>
          <t>2025-2026</t>
        </is>
      </c>
      <c r="D1610" s="31" t="inlineStr">
        <is>
          <t>139533</t>
        </is>
      </c>
      <c r="E1610" s="31" t="inlineStr">
        <is>
          <t>71-21-08</t>
        </is>
      </c>
      <c r="F1610" s="31" t="inlineStr">
        <is>
          <t>G</t>
        </is>
      </c>
      <c r="G1610" s="31" t="inlineStr">
        <is>
          <t>Other / assembly</t>
        </is>
      </c>
      <c r="H1610" s="27" t="n">
        <v>1205</v>
      </c>
      <c r="I1610" s="27" t="n">
        <v>1280</v>
      </c>
      <c r="J1610" s="154">
        <f>I1610/H1610-1</f>
        <v/>
      </c>
      <c r="K1610" s="31" t="inlineStr">
        <is>
          <t>52</t>
        </is>
      </c>
      <c r="L1610" s="31" t="inlineStr">
        <is>
          <t>54</t>
        </is>
      </c>
      <c r="M1610" s="31" t="inlineStr">
        <is>
          <t>S2</t>
        </is>
      </c>
      <c r="N1610" s="31" t="inlineStr">
        <is>
          <t>S4</t>
        </is>
      </c>
      <c r="O1610" s="31" t="inlineStr">
        <is>
          <t>238-0207-503</t>
        </is>
      </c>
      <c r="P1610" s="31" t="inlineStr">
        <is>
          <t>SR Technics Switzerland</t>
        </is>
      </c>
    </row>
    <row r="1611">
      <c r="B1611" s="31" t="inlineStr">
        <is>
          <t>CFM56-5B</t>
        </is>
      </c>
      <c r="C1611" s="31" t="inlineStr">
        <is>
          <t>2025-2026</t>
        </is>
      </c>
      <c r="D1611" s="31" t="inlineStr">
        <is>
          <t>139533</t>
        </is>
      </c>
      <c r="E1611" s="31" t="inlineStr">
        <is>
          <t>71-21-08</t>
        </is>
      </c>
      <c r="F1611" s="31" t="inlineStr">
        <is>
          <t>P</t>
        </is>
      </c>
      <c r="G1611" s="31" t="inlineStr">
        <is>
          <t>Other / assembly</t>
        </is>
      </c>
      <c r="H1611" s="27" t="n">
        <v>495</v>
      </c>
      <c r="I1611" s="27" t="n">
        <v>525</v>
      </c>
      <c r="J1611" s="154">
        <f>I1611/H1611-1</f>
        <v/>
      </c>
      <c r="K1611" s="31" t="inlineStr">
        <is>
          <t>52</t>
        </is>
      </c>
      <c r="L1611" s="31" t="inlineStr">
        <is>
          <t>54</t>
        </is>
      </c>
      <c r="M1611" s="31" t="inlineStr">
        <is>
          <t>S2</t>
        </is>
      </c>
      <c r="N1611" s="31" t="inlineStr">
        <is>
          <t>S4</t>
        </is>
      </c>
      <c r="O1611" s="31" t="inlineStr">
        <is>
          <t>238-0207-503</t>
        </is>
      </c>
      <c r="P1611" s="31" t="inlineStr">
        <is>
          <t>SR Technics Switzerland</t>
        </is>
      </c>
    </row>
    <row r="1612">
      <c r="B1612" s="31" t="inlineStr">
        <is>
          <t>CFM56-5B</t>
        </is>
      </c>
      <c r="C1612" s="31" t="inlineStr">
        <is>
          <t>2025-2026</t>
        </is>
      </c>
      <c r="D1612" s="31" t="inlineStr">
        <is>
          <t>139535</t>
        </is>
      </c>
      <c r="E1612" s="31" t="inlineStr">
        <is>
          <t>71-22-07</t>
        </is>
      </c>
      <c r="F1612" s="31" t="inlineStr">
        <is>
          <t>A</t>
        </is>
      </c>
      <c r="G1612" s="31" t="inlineStr">
        <is>
          <t>Other / assembly</t>
        </is>
      </c>
      <c r="H1612" s="27" t="n">
        <v>1325</v>
      </c>
      <c r="I1612" s="27" t="n">
        <v>1395</v>
      </c>
      <c r="J1612" s="154">
        <f>I1612/H1612-1</f>
        <v/>
      </c>
      <c r="K1612" s="31" t="inlineStr">
        <is>
          <t>14</t>
        </is>
      </c>
      <c r="L1612" s="31" t="inlineStr">
        <is>
          <t>14</t>
        </is>
      </c>
      <c r="M1612" s="31" t="inlineStr">
        <is>
          <t>S2</t>
        </is>
      </c>
      <c r="N1612" s="31" t="inlineStr">
        <is>
          <t>S4</t>
        </is>
      </c>
      <c r="O1612" s="31" t="inlineStr">
        <is>
          <t>238-0234-505</t>
        </is>
      </c>
      <c r="P1612" s="31" t="inlineStr">
        <is>
          <t>SR Technics Switzerland</t>
        </is>
      </c>
    </row>
    <row r="1613">
      <c r="B1613" s="31" t="inlineStr">
        <is>
          <t>CFM56-5B</t>
        </is>
      </c>
      <c r="C1613" s="31" t="inlineStr">
        <is>
          <t>2025-2026</t>
        </is>
      </c>
      <c r="D1613" s="31" t="inlineStr">
        <is>
          <t>139535</t>
        </is>
      </c>
      <c r="E1613" s="31" t="inlineStr">
        <is>
          <t>71-22-07</t>
        </is>
      </c>
      <c r="F1613" s="31" t="inlineStr">
        <is>
          <t>C</t>
        </is>
      </c>
      <c r="G1613" s="31" t="inlineStr">
        <is>
          <t>Other / assembly</t>
        </is>
      </c>
      <c r="H1613" s="27" t="n">
        <v>1195</v>
      </c>
      <c r="I1613" s="27" t="n">
        <v>1270</v>
      </c>
      <c r="J1613" s="154">
        <f>I1613/H1613-1</f>
        <v/>
      </c>
      <c r="K1613" s="31" t="inlineStr">
        <is>
          <t>14</t>
        </is>
      </c>
      <c r="L1613" s="31" t="inlineStr">
        <is>
          <t>14</t>
        </is>
      </c>
      <c r="M1613" s="31" t="inlineStr">
        <is>
          <t>S2</t>
        </is>
      </c>
      <c r="N1613" s="31" t="inlineStr">
        <is>
          <t>S4</t>
        </is>
      </c>
      <c r="O1613" s="31" t="inlineStr">
        <is>
          <t>238-0234-505</t>
        </is>
      </c>
      <c r="P1613" s="31" t="inlineStr">
        <is>
          <t>SR Technics Switzerland</t>
        </is>
      </c>
    </row>
    <row r="1614">
      <c r="B1614" s="31" t="inlineStr">
        <is>
          <t>CFM56-5B</t>
        </is>
      </c>
      <c r="C1614" s="31" t="inlineStr">
        <is>
          <t>2025-2026</t>
        </is>
      </c>
      <c r="D1614" s="31" t="inlineStr">
        <is>
          <t>139535</t>
        </is>
      </c>
      <c r="E1614" s="31" t="inlineStr">
        <is>
          <t>71-22-07</t>
        </is>
      </c>
      <c r="F1614" s="31" t="inlineStr">
        <is>
          <t>D</t>
        </is>
      </c>
      <c r="G1614" s="31" t="inlineStr">
        <is>
          <t>Other / assembly</t>
        </is>
      </c>
      <c r="H1614" s="27" t="n">
        <v>685</v>
      </c>
      <c r="I1614" s="27" t="n">
        <v>730</v>
      </c>
      <c r="J1614" s="154">
        <f>I1614/H1614-1</f>
        <v/>
      </c>
      <c r="K1614" s="31" t="inlineStr">
        <is>
          <t>14</t>
        </is>
      </c>
      <c r="L1614" s="31" t="inlineStr">
        <is>
          <t>14</t>
        </is>
      </c>
      <c r="M1614" s="31" t="inlineStr">
        <is>
          <t>S2</t>
        </is>
      </c>
      <c r="N1614" s="31" t="inlineStr">
        <is>
          <t>S4</t>
        </is>
      </c>
      <c r="O1614" s="31" t="inlineStr">
        <is>
          <t>238-0234-505</t>
        </is>
      </c>
      <c r="P1614" s="31" t="inlineStr">
        <is>
          <t>SR Technics Switzerland</t>
        </is>
      </c>
    </row>
    <row r="1615">
      <c r="B1615" s="31" t="inlineStr">
        <is>
          <t>CFM56-5B</t>
        </is>
      </c>
      <c r="C1615" s="31" t="inlineStr">
        <is>
          <t>2025-2026</t>
        </is>
      </c>
      <c r="D1615" s="31" t="inlineStr">
        <is>
          <t>139535</t>
        </is>
      </c>
      <c r="E1615" s="31" t="inlineStr">
        <is>
          <t>71-22-07</t>
        </is>
      </c>
      <c r="F1615" s="31" t="inlineStr">
        <is>
          <t>F</t>
        </is>
      </c>
      <c r="G1615" s="31" t="inlineStr">
        <is>
          <t>Other / assembly</t>
        </is>
      </c>
      <c r="H1615" s="27" t="n">
        <v>390</v>
      </c>
      <c r="I1615" s="27" t="n">
        <v>415</v>
      </c>
      <c r="J1615" s="154">
        <f>I1615/H1615-1</f>
        <v/>
      </c>
      <c r="K1615" s="31" t="inlineStr">
        <is>
          <t>14</t>
        </is>
      </c>
      <c r="L1615" s="31" t="inlineStr">
        <is>
          <t>14</t>
        </is>
      </c>
      <c r="M1615" s="31" t="inlineStr">
        <is>
          <t>S2</t>
        </is>
      </c>
      <c r="N1615" s="31" t="inlineStr">
        <is>
          <t>S4</t>
        </is>
      </c>
      <c r="O1615" s="31" t="inlineStr">
        <is>
          <t>238-0234-505</t>
        </is>
      </c>
      <c r="P1615" s="31" t="inlineStr">
        <is>
          <t>SR Technics Switzerland</t>
        </is>
      </c>
    </row>
    <row r="1616">
      <c r="B1616" s="31" t="inlineStr">
        <is>
          <t>CFM56-5B</t>
        </is>
      </c>
      <c r="C1616" s="31" t="inlineStr">
        <is>
          <t>2025-2026</t>
        </is>
      </c>
      <c r="D1616" s="31" t="inlineStr">
        <is>
          <t>139535</t>
        </is>
      </c>
      <c r="E1616" s="31" t="inlineStr">
        <is>
          <t>71-22-07</t>
        </is>
      </c>
      <c r="F1616" s="31" t="inlineStr">
        <is>
          <t>G</t>
        </is>
      </c>
      <c r="G1616" s="31" t="inlineStr">
        <is>
          <t>Other / assembly</t>
        </is>
      </c>
      <c r="H1616" s="27" t="n">
        <v>365</v>
      </c>
      <c r="I1616" s="27" t="n">
        <v>390</v>
      </c>
      <c r="J1616" s="154">
        <f>I1616/H1616-1</f>
        <v/>
      </c>
      <c r="K1616" s="31" t="inlineStr">
        <is>
          <t>14</t>
        </is>
      </c>
      <c r="L1616" s="31" t="inlineStr">
        <is>
          <t>14</t>
        </is>
      </c>
      <c r="M1616" s="31" t="inlineStr">
        <is>
          <t>S2</t>
        </is>
      </c>
      <c r="N1616" s="31" t="inlineStr">
        <is>
          <t>S4</t>
        </is>
      </c>
      <c r="O1616" s="31" t="inlineStr">
        <is>
          <t>238-0234-505</t>
        </is>
      </c>
      <c r="P1616" s="31" t="inlineStr">
        <is>
          <t>SR Technics Switzerland</t>
        </is>
      </c>
    </row>
    <row r="1617">
      <c r="B1617" s="31" t="inlineStr">
        <is>
          <t>CFM56-5B</t>
        </is>
      </c>
      <c r="C1617" s="31" t="inlineStr">
        <is>
          <t>2025-2026</t>
        </is>
      </c>
      <c r="D1617" s="31" t="inlineStr">
        <is>
          <t>139535</t>
        </is>
      </c>
      <c r="E1617" s="31" t="inlineStr">
        <is>
          <t>71-22-07</t>
        </is>
      </c>
      <c r="F1617" s="31" t="inlineStr">
        <is>
          <t>SB00</t>
        </is>
      </c>
      <c r="G1617" s="31" t="inlineStr">
        <is>
          <t>Other / assembly</t>
        </is>
      </c>
      <c r="H1617" s="27" t="n">
        <v>1285</v>
      </c>
      <c r="I1617" s="27" t="n">
        <v>1365</v>
      </c>
      <c r="J1617" s="154">
        <f>I1617/H1617-1</f>
        <v/>
      </c>
      <c r="K1617" s="31" t="inlineStr">
        <is>
          <t>14</t>
        </is>
      </c>
      <c r="L1617" s="31" t="inlineStr">
        <is>
          <t>14</t>
        </is>
      </c>
      <c r="M1617" s="31" t="inlineStr">
        <is>
          <t>S2</t>
        </is>
      </c>
      <c r="N1617" s="31" t="inlineStr">
        <is>
          <t>S4</t>
        </is>
      </c>
      <c r="O1617" s="31" t="inlineStr">
        <is>
          <t>238-0234-505</t>
        </is>
      </c>
      <c r="P1617" s="31" t="inlineStr">
        <is>
          <t>SR Technics Switzerland</t>
        </is>
      </c>
    </row>
    <row r="1618">
      <c r="B1618" s="31" t="inlineStr">
        <is>
          <t>CFM56-5B</t>
        </is>
      </c>
      <c r="C1618" s="31" t="inlineStr">
        <is>
          <t>2025-2026</t>
        </is>
      </c>
      <c r="D1618" s="31" t="inlineStr">
        <is>
          <t>139536</t>
        </is>
      </c>
      <c r="E1618" s="31" t="inlineStr">
        <is>
          <t>71-22-07</t>
        </is>
      </c>
      <c r="F1618" s="31" t="inlineStr">
        <is>
          <t>A</t>
        </is>
      </c>
      <c r="G1618" s="31" t="inlineStr">
        <is>
          <t>Other / assembly</t>
        </is>
      </c>
      <c r="H1618" s="27" t="n">
        <v>1210</v>
      </c>
      <c r="I1618" s="27" t="n">
        <v>1275</v>
      </c>
      <c r="J1618" s="154">
        <f>I1618/H1618-1</f>
        <v/>
      </c>
      <c r="K1618" s="31" t="inlineStr">
        <is>
          <t>14</t>
        </is>
      </c>
      <c r="L1618" s="31" t="inlineStr">
        <is>
          <t>14</t>
        </is>
      </c>
      <c r="M1618" s="31" t="inlineStr">
        <is>
          <t>S2</t>
        </is>
      </c>
      <c r="N1618" s="31" t="inlineStr">
        <is>
          <t>S4</t>
        </is>
      </c>
      <c r="O1618" s="31" t="inlineStr">
        <is>
          <t>238-0231-505</t>
        </is>
      </c>
      <c r="P1618" s="31" t="inlineStr">
        <is>
          <t>SR Technics Switzerland</t>
        </is>
      </c>
    </row>
    <row r="1619">
      <c r="B1619" s="31" t="inlineStr">
        <is>
          <t>CFM56-5B</t>
        </is>
      </c>
      <c r="C1619" s="31" t="inlineStr">
        <is>
          <t>2025-2026</t>
        </is>
      </c>
      <c r="D1619" s="31" t="inlineStr">
        <is>
          <t>139536</t>
        </is>
      </c>
      <c r="E1619" s="31" t="inlineStr">
        <is>
          <t>71-22-07</t>
        </is>
      </c>
      <c r="F1619" s="31" t="inlineStr">
        <is>
          <t>B</t>
        </is>
      </c>
      <c r="G1619" s="31" t="inlineStr">
        <is>
          <t>Other / assembly</t>
        </is>
      </c>
      <c r="H1619" s="27" t="n">
        <v>1875</v>
      </c>
      <c r="I1619" s="27" t="n">
        <v>1990</v>
      </c>
      <c r="J1619" s="154">
        <f>I1619/H1619-1</f>
        <v/>
      </c>
      <c r="K1619" s="31" t="inlineStr">
        <is>
          <t>14</t>
        </is>
      </c>
      <c r="L1619" s="31" t="inlineStr">
        <is>
          <t>14</t>
        </is>
      </c>
      <c r="M1619" s="31" t="inlineStr">
        <is>
          <t>S2</t>
        </is>
      </c>
      <c r="N1619" s="31" t="inlineStr">
        <is>
          <t>S4</t>
        </is>
      </c>
      <c r="O1619" s="31" t="inlineStr">
        <is>
          <t>238-0231-505</t>
        </is>
      </c>
      <c r="P1619" s="31" t="inlineStr">
        <is>
          <t>SR Technics Switzerland</t>
        </is>
      </c>
    </row>
    <row r="1620">
      <c r="B1620" s="31" t="inlineStr">
        <is>
          <t>CFM56-5B</t>
        </is>
      </c>
      <c r="C1620" s="31" t="inlineStr">
        <is>
          <t>2025-2026</t>
        </is>
      </c>
      <c r="D1620" s="31" t="inlineStr">
        <is>
          <t>139536</t>
        </is>
      </c>
      <c r="E1620" s="31" t="inlineStr">
        <is>
          <t>71-22-07</t>
        </is>
      </c>
      <c r="F1620" s="31" t="inlineStr">
        <is>
          <t>C</t>
        </is>
      </c>
      <c r="G1620" s="31" t="inlineStr">
        <is>
          <t>Other / assembly</t>
        </is>
      </c>
      <c r="H1620" s="27" t="n">
        <v>3865</v>
      </c>
      <c r="I1620" s="27" t="n">
        <v>4100</v>
      </c>
      <c r="J1620" s="154">
        <f>I1620/H1620-1</f>
        <v/>
      </c>
      <c r="K1620" s="31" t="inlineStr">
        <is>
          <t>14</t>
        </is>
      </c>
      <c r="L1620" s="31" t="inlineStr">
        <is>
          <t>14</t>
        </is>
      </c>
      <c r="M1620" s="31" t="inlineStr">
        <is>
          <t>S2</t>
        </is>
      </c>
      <c r="N1620" s="31" t="inlineStr">
        <is>
          <t>S4</t>
        </is>
      </c>
      <c r="O1620" s="31" t="inlineStr">
        <is>
          <t>238-0231-505</t>
        </is>
      </c>
      <c r="P1620" s="31" t="inlineStr">
        <is>
          <t>SR Technics Switzerland</t>
        </is>
      </c>
    </row>
    <row r="1621">
      <c r="B1621" s="31" t="inlineStr">
        <is>
          <t>CFM56-5B</t>
        </is>
      </c>
      <c r="C1621" s="31" t="inlineStr">
        <is>
          <t>2025-2026</t>
        </is>
      </c>
      <c r="D1621" s="31" t="inlineStr">
        <is>
          <t>139536</t>
        </is>
      </c>
      <c r="E1621" s="31" t="inlineStr">
        <is>
          <t>71-22-07</t>
        </is>
      </c>
      <c r="F1621" s="31" t="inlineStr">
        <is>
          <t>D</t>
        </is>
      </c>
      <c r="G1621" s="31" t="inlineStr">
        <is>
          <t>Other / assembly</t>
        </is>
      </c>
      <c r="H1621" s="27" t="n">
        <v>5195</v>
      </c>
      <c r="I1621" s="27" t="n">
        <v>5510</v>
      </c>
      <c r="J1621" s="154">
        <f>I1621/H1621-1</f>
        <v/>
      </c>
      <c r="K1621" s="31" t="inlineStr">
        <is>
          <t>14</t>
        </is>
      </c>
      <c r="L1621" s="31" t="inlineStr">
        <is>
          <t>14</t>
        </is>
      </c>
      <c r="M1621" s="31" t="inlineStr">
        <is>
          <t>S2</t>
        </is>
      </c>
      <c r="N1621" s="31" t="inlineStr">
        <is>
          <t>S4</t>
        </is>
      </c>
      <c r="O1621" s="31" t="inlineStr">
        <is>
          <t>238-0231-505</t>
        </is>
      </c>
      <c r="P1621" s="31" t="inlineStr">
        <is>
          <t>SR Technics Switzerland</t>
        </is>
      </c>
    </row>
    <row r="1622">
      <c r="B1622" s="31" t="inlineStr">
        <is>
          <t>CFM56-5B</t>
        </is>
      </c>
      <c r="C1622" s="31" t="inlineStr">
        <is>
          <t>2025-2026</t>
        </is>
      </c>
      <c r="D1622" s="31" t="inlineStr">
        <is>
          <t>139536</t>
        </is>
      </c>
      <c r="E1622" s="31" t="inlineStr">
        <is>
          <t>71-22-07</t>
        </is>
      </c>
      <c r="F1622" s="31" t="inlineStr">
        <is>
          <t>E</t>
        </is>
      </c>
      <c r="G1622" s="31" t="inlineStr">
        <is>
          <t>Other / assembly</t>
        </is>
      </c>
      <c r="H1622" s="27" t="n">
        <v>685</v>
      </c>
      <c r="I1622" s="27" t="n">
        <v>730</v>
      </c>
      <c r="J1622" s="154">
        <f>I1622/H1622-1</f>
        <v/>
      </c>
      <c r="K1622" s="31" t="inlineStr">
        <is>
          <t>14</t>
        </is>
      </c>
      <c r="L1622" s="31" t="inlineStr">
        <is>
          <t>14</t>
        </is>
      </c>
      <c r="M1622" s="31" t="inlineStr">
        <is>
          <t>S2</t>
        </is>
      </c>
      <c r="N1622" s="31" t="inlineStr">
        <is>
          <t>S4</t>
        </is>
      </c>
      <c r="O1622" s="31" t="inlineStr">
        <is>
          <t>238-0231-505</t>
        </is>
      </c>
      <c r="P1622" s="31" t="inlineStr">
        <is>
          <t>SR Technics Switzerland</t>
        </is>
      </c>
    </row>
    <row r="1623">
      <c r="B1623" s="31" t="inlineStr">
        <is>
          <t>CFM56-5B</t>
        </is>
      </c>
      <c r="C1623" s="31" t="inlineStr">
        <is>
          <t>2025-2026</t>
        </is>
      </c>
      <c r="D1623" s="31" t="inlineStr">
        <is>
          <t>139536</t>
        </is>
      </c>
      <c r="E1623" s="31" t="inlineStr">
        <is>
          <t>71-22-07</t>
        </is>
      </c>
      <c r="F1623" s="31" t="inlineStr">
        <is>
          <t>G</t>
        </is>
      </c>
      <c r="G1623" s="31" t="inlineStr">
        <is>
          <t>Other / assembly</t>
        </is>
      </c>
      <c r="H1623" s="27" t="n">
        <v>350</v>
      </c>
      <c r="I1623" s="27" t="n">
        <v>375</v>
      </c>
      <c r="J1623" s="154">
        <f>I1623/H1623-1</f>
        <v/>
      </c>
      <c r="K1623" s="31" t="inlineStr">
        <is>
          <t>14</t>
        </is>
      </c>
      <c r="L1623" s="31" t="inlineStr">
        <is>
          <t>14</t>
        </is>
      </c>
      <c r="M1623" s="31" t="inlineStr">
        <is>
          <t>S2</t>
        </is>
      </c>
      <c r="N1623" s="31" t="inlineStr">
        <is>
          <t>S4</t>
        </is>
      </c>
      <c r="O1623" s="31" t="inlineStr">
        <is>
          <t>238-0231-505</t>
        </is>
      </c>
      <c r="P1623" s="31" t="inlineStr">
        <is>
          <t>SR Technics Switzerland</t>
        </is>
      </c>
    </row>
    <row r="1624">
      <c r="B1624" s="31" t="inlineStr">
        <is>
          <t>CFM56-5B</t>
        </is>
      </c>
      <c r="C1624" s="31" t="inlineStr">
        <is>
          <t>2025-2026</t>
        </is>
      </c>
      <c r="D1624" s="31" t="inlineStr">
        <is>
          <t>139536</t>
        </is>
      </c>
      <c r="E1624" s="31" t="inlineStr">
        <is>
          <t>71-22-07</t>
        </is>
      </c>
      <c r="F1624" s="31" t="inlineStr">
        <is>
          <t>SB00</t>
        </is>
      </c>
      <c r="G1624" s="31" t="inlineStr">
        <is>
          <t>Other / assembly</t>
        </is>
      </c>
      <c r="H1624" s="27" t="n">
        <v>1285</v>
      </c>
      <c r="I1624" s="27" t="n">
        <v>1365</v>
      </c>
      <c r="J1624" s="154">
        <f>I1624/H1624-1</f>
        <v/>
      </c>
      <c r="K1624" s="31" t="inlineStr">
        <is>
          <t>14</t>
        </is>
      </c>
      <c r="L1624" s="31" t="inlineStr">
        <is>
          <t>14</t>
        </is>
      </c>
      <c r="M1624" s="31" t="inlineStr">
        <is>
          <t>S2</t>
        </is>
      </c>
      <c r="N1624" s="31" t="inlineStr">
        <is>
          <t>S4</t>
        </is>
      </c>
      <c r="O1624" s="31" t="inlineStr">
        <is>
          <t>238-0231-505</t>
        </is>
      </c>
      <c r="P1624" s="31" t="inlineStr">
        <is>
          <t>SR Technics Switzerland</t>
        </is>
      </c>
    </row>
    <row r="1625">
      <c r="B1625" s="31" t="inlineStr">
        <is>
          <t>CFM56-5B</t>
        </is>
      </c>
      <c r="C1625" s="31" t="inlineStr">
        <is>
          <t>2025-2026</t>
        </is>
      </c>
      <c r="D1625" s="31" t="inlineStr">
        <is>
          <t>139541</t>
        </is>
      </c>
      <c r="E1625" s="31" t="inlineStr">
        <is>
          <t>72-31-06</t>
        </is>
      </c>
      <c r="F1625" s="31" t="inlineStr">
        <is>
          <t>E</t>
        </is>
      </c>
      <c r="G1625" s="31" t="inlineStr">
        <is>
          <t>Compressor</t>
        </is>
      </c>
      <c r="H1625" s="27" t="n">
        <v>7520</v>
      </c>
      <c r="I1625" s="27" t="n">
        <v>7975</v>
      </c>
      <c r="J1625" s="154">
        <f>I1625/H1625-1</f>
        <v/>
      </c>
      <c r="K1625" s="31" t="inlineStr">
        <is>
          <t>14</t>
        </is>
      </c>
      <c r="L1625" s="31" t="inlineStr">
        <is>
          <t>14</t>
        </is>
      </c>
      <c r="M1625" s="31" t="inlineStr">
        <is>
          <t>S2</t>
        </is>
      </c>
      <c r="N1625" s="31" t="inlineStr">
        <is>
          <t>S4</t>
        </is>
      </c>
      <c r="O1625" s="31" t="inlineStr">
        <is>
          <t>1588M89G02</t>
        </is>
      </c>
      <c r="P1625" s="31" t="inlineStr">
        <is>
          <t>SR Technics Switzerland</t>
        </is>
      </c>
    </row>
    <row r="1626">
      <c r="B1626" s="31" t="inlineStr">
        <is>
          <t>CFM56-5B</t>
        </is>
      </c>
      <c r="C1626" s="31" t="inlineStr">
        <is>
          <t>2025-2026</t>
        </is>
      </c>
      <c r="D1626" s="31" t="inlineStr">
        <is>
          <t>139541</t>
        </is>
      </c>
      <c r="E1626" s="31" t="inlineStr">
        <is>
          <t>72-31-06</t>
        </is>
      </c>
      <c r="F1626" s="31" t="inlineStr">
        <is>
          <t>F</t>
        </is>
      </c>
      <c r="G1626" s="31" t="inlineStr">
        <is>
          <t>Compressor</t>
        </is>
      </c>
      <c r="H1626" s="27" t="n">
        <v>185</v>
      </c>
      <c r="I1626" s="27" t="n">
        <v>200</v>
      </c>
      <c r="J1626" s="154">
        <f>I1626/H1626-1</f>
        <v/>
      </c>
      <c r="K1626" s="31" t="inlineStr">
        <is>
          <t>14</t>
        </is>
      </c>
      <c r="L1626" s="31" t="inlineStr">
        <is>
          <t>14</t>
        </is>
      </c>
      <c r="M1626" s="31" t="inlineStr">
        <is>
          <t>S2</t>
        </is>
      </c>
      <c r="N1626" s="31" t="inlineStr">
        <is>
          <t>S4</t>
        </is>
      </c>
      <c r="O1626" s="31" t="inlineStr">
        <is>
          <t>1588M89G02</t>
        </is>
      </c>
      <c r="P1626" s="31" t="inlineStr">
        <is>
          <t>SR Technics Switzerland</t>
        </is>
      </c>
    </row>
    <row r="1627">
      <c r="B1627" s="31" t="inlineStr">
        <is>
          <t>CFM56-5B</t>
        </is>
      </c>
      <c r="C1627" s="31" t="inlineStr">
        <is>
          <t>2025-2026</t>
        </is>
      </c>
      <c r="D1627" s="31" t="inlineStr">
        <is>
          <t>139541</t>
        </is>
      </c>
      <c r="E1627" s="31" t="inlineStr">
        <is>
          <t>72-31-06</t>
        </is>
      </c>
      <c r="F1627" s="31" t="inlineStr">
        <is>
          <t>G</t>
        </is>
      </c>
      <c r="G1627" s="31" t="inlineStr">
        <is>
          <t>Compressor</t>
        </is>
      </c>
      <c r="H1627" s="27" t="n">
        <v>4115</v>
      </c>
      <c r="I1627" s="27" t="n">
        <v>4365</v>
      </c>
      <c r="J1627" s="154">
        <f>I1627/H1627-1</f>
        <v/>
      </c>
      <c r="K1627" s="31" t="inlineStr">
        <is>
          <t>14</t>
        </is>
      </c>
      <c r="L1627" s="31" t="inlineStr">
        <is>
          <t>14</t>
        </is>
      </c>
      <c r="M1627" s="31" t="inlineStr">
        <is>
          <t>S2</t>
        </is>
      </c>
      <c r="N1627" s="31" t="inlineStr">
        <is>
          <t>S4</t>
        </is>
      </c>
      <c r="O1627" s="31" t="inlineStr">
        <is>
          <t>1588M89G02</t>
        </is>
      </c>
      <c r="P1627" s="31" t="inlineStr">
        <is>
          <t>SR Technics Switzerland</t>
        </is>
      </c>
    </row>
    <row r="1628">
      <c r="B1628" s="31" t="inlineStr">
        <is>
          <t>CFM56-5B</t>
        </is>
      </c>
      <c r="C1628" s="31" t="inlineStr">
        <is>
          <t>2025-2026</t>
        </is>
      </c>
      <c r="D1628" s="31" t="inlineStr">
        <is>
          <t>139541</t>
        </is>
      </c>
      <c r="E1628" s="31" t="inlineStr">
        <is>
          <t>72-31-06</t>
        </is>
      </c>
      <c r="F1628" s="31" t="inlineStr">
        <is>
          <t>H</t>
        </is>
      </c>
      <c r="G1628" s="31" t="inlineStr">
        <is>
          <t>Compressor</t>
        </is>
      </c>
      <c r="H1628" s="27" t="n">
        <v>1925</v>
      </c>
      <c r="I1628" s="27" t="n">
        <v>2045</v>
      </c>
      <c r="J1628" s="154">
        <f>I1628/H1628-1</f>
        <v/>
      </c>
      <c r="K1628" s="31" t="inlineStr">
        <is>
          <t>14</t>
        </is>
      </c>
      <c r="L1628" s="31" t="inlineStr">
        <is>
          <t>14</t>
        </is>
      </c>
      <c r="M1628" s="31" t="inlineStr">
        <is>
          <t>S2</t>
        </is>
      </c>
      <c r="N1628" s="31" t="inlineStr">
        <is>
          <t>S4</t>
        </is>
      </c>
      <c r="O1628" s="31" t="inlineStr">
        <is>
          <t>1588M89G02</t>
        </is>
      </c>
      <c r="P1628" s="31" t="inlineStr">
        <is>
          <t>SR Technics Switzerland</t>
        </is>
      </c>
    </row>
    <row r="1629">
      <c r="B1629" s="31" t="inlineStr">
        <is>
          <t>CFM56-5B</t>
        </is>
      </c>
      <c r="C1629" s="31" t="inlineStr">
        <is>
          <t>2025-2026</t>
        </is>
      </c>
      <c r="D1629" s="31" t="inlineStr">
        <is>
          <t>139541</t>
        </is>
      </c>
      <c r="E1629" s="31" t="inlineStr">
        <is>
          <t>72-31-06</t>
        </is>
      </c>
      <c r="F1629" s="31" t="inlineStr">
        <is>
          <t>I</t>
        </is>
      </c>
      <c r="G1629" s="31" t="inlineStr">
        <is>
          <t>Compressor</t>
        </is>
      </c>
      <c r="H1629" s="27" t="n">
        <v>5475</v>
      </c>
      <c r="I1629" s="27" t="n">
        <v>5805</v>
      </c>
      <c r="J1629" s="154">
        <f>I1629/H1629-1</f>
        <v/>
      </c>
      <c r="K1629" s="31" t="inlineStr">
        <is>
          <t>14</t>
        </is>
      </c>
      <c r="L1629" s="31" t="inlineStr">
        <is>
          <t>14</t>
        </is>
      </c>
      <c r="M1629" s="31" t="inlineStr">
        <is>
          <t>S2</t>
        </is>
      </c>
      <c r="N1629" s="31" t="inlineStr">
        <is>
          <t>S4</t>
        </is>
      </c>
      <c r="O1629" s="31" t="inlineStr">
        <is>
          <t>1588M89G02</t>
        </is>
      </c>
      <c r="P1629" s="31" t="inlineStr">
        <is>
          <t>SR Technics Switzerland</t>
        </is>
      </c>
    </row>
    <row r="1630">
      <c r="B1630" s="31" t="inlineStr">
        <is>
          <t>CFM56-5B</t>
        </is>
      </c>
      <c r="C1630" s="31" t="inlineStr">
        <is>
          <t>2025-2026</t>
        </is>
      </c>
      <c r="D1630" s="31" t="inlineStr">
        <is>
          <t>139541</t>
        </is>
      </c>
      <c r="E1630" s="31" t="inlineStr">
        <is>
          <t>72-31-06</t>
        </is>
      </c>
      <c r="F1630" s="31" t="inlineStr">
        <is>
          <t>SB00</t>
        </is>
      </c>
      <c r="G1630" s="31" t="inlineStr">
        <is>
          <t>Compressor</t>
        </is>
      </c>
      <c r="H1630" s="27" t="n">
        <v>1850</v>
      </c>
      <c r="I1630" s="27" t="n">
        <v>1965</v>
      </c>
      <c r="J1630" s="154">
        <f>I1630/H1630-1</f>
        <v/>
      </c>
      <c r="K1630" s="31" t="inlineStr">
        <is>
          <t>14</t>
        </is>
      </c>
      <c r="L1630" s="31" t="inlineStr">
        <is>
          <t>14</t>
        </is>
      </c>
      <c r="M1630" s="31" t="inlineStr">
        <is>
          <t>S2</t>
        </is>
      </c>
      <c r="N1630" s="31" t="inlineStr">
        <is>
          <t>S4</t>
        </is>
      </c>
      <c r="O1630" s="31" t="inlineStr">
        <is>
          <t>1588M89G02</t>
        </is>
      </c>
      <c r="P1630" s="31" t="inlineStr">
        <is>
          <t>SR Technics Switzerland</t>
        </is>
      </c>
    </row>
    <row r="1631">
      <c r="B1631" s="31" t="inlineStr">
        <is>
          <t>CFM56-5B</t>
        </is>
      </c>
      <c r="C1631" s="31" t="inlineStr">
        <is>
          <t>2025-2026</t>
        </is>
      </c>
      <c r="D1631" s="31" t="inlineStr">
        <is>
          <t>139550</t>
        </is>
      </c>
      <c r="E1631" s="31" t="inlineStr">
        <is>
          <t>72-21-02</t>
        </is>
      </c>
      <c r="F1631" s="31" t="inlineStr">
        <is>
          <t>A</t>
        </is>
      </c>
      <c r="G1631" s="31" t="inlineStr">
        <is>
          <t>Fan / booster</t>
        </is>
      </c>
      <c r="H1631" s="27" t="n">
        <v>45</v>
      </c>
      <c r="I1631" s="27" t="n">
        <v>50</v>
      </c>
      <c r="J1631" s="154">
        <f>I1631/H1631-1</f>
        <v/>
      </c>
      <c r="K1631" s="31" t="inlineStr">
        <is>
          <t>52</t>
        </is>
      </c>
      <c r="L1631" s="31" t="inlineStr">
        <is>
          <t>54</t>
        </is>
      </c>
      <c r="M1631" s="31" t="inlineStr">
        <is>
          <t>S2</t>
        </is>
      </c>
      <c r="N1631" s="31" t="inlineStr">
        <is>
          <t>S4</t>
        </is>
      </c>
      <c r="O1631" s="31" t="inlineStr">
        <is>
          <t>335-191-202-0</t>
        </is>
      </c>
      <c r="P1631" s="31" t="inlineStr">
        <is>
          <t>SR Technics Switzerland</t>
        </is>
      </c>
    </row>
    <row r="1632">
      <c r="B1632" s="31" t="inlineStr">
        <is>
          <t>CFM56-5B</t>
        </is>
      </c>
      <c r="C1632" s="31" t="inlineStr">
        <is>
          <t>2025-2026</t>
        </is>
      </c>
      <c r="D1632" s="31" t="inlineStr">
        <is>
          <t>139550</t>
        </is>
      </c>
      <c r="E1632" s="31" t="inlineStr">
        <is>
          <t>72-21-02</t>
        </is>
      </c>
      <c r="F1632" s="31" t="inlineStr">
        <is>
          <t>E</t>
        </is>
      </c>
      <c r="G1632" s="31" t="inlineStr">
        <is>
          <t>Fan / booster</t>
        </is>
      </c>
      <c r="H1632" s="27" t="n">
        <v>45</v>
      </c>
      <c r="I1632" s="27" t="n">
        <v>50</v>
      </c>
      <c r="J1632" s="154">
        <f>I1632/H1632-1</f>
        <v/>
      </c>
      <c r="K1632" s="31" t="inlineStr">
        <is>
          <t>52</t>
        </is>
      </c>
      <c r="L1632" s="31" t="inlineStr">
        <is>
          <t>54</t>
        </is>
      </c>
      <c r="M1632" s="31" t="inlineStr">
        <is>
          <t>S2</t>
        </is>
      </c>
      <c r="N1632" s="31" t="inlineStr">
        <is>
          <t>S4</t>
        </is>
      </c>
      <c r="O1632" s="31" t="inlineStr">
        <is>
          <t>335-191-202-0</t>
        </is>
      </c>
      <c r="P1632" s="31" t="inlineStr">
        <is>
          <t>SR Technics Switzerland</t>
        </is>
      </c>
    </row>
    <row r="1633">
      <c r="B1633" s="31" t="inlineStr">
        <is>
          <t>CFM56-5B</t>
        </is>
      </c>
      <c r="C1633" s="31" t="inlineStr">
        <is>
          <t>2025-2026</t>
        </is>
      </c>
      <c r="D1633" s="31" t="inlineStr">
        <is>
          <t>139576</t>
        </is>
      </c>
      <c r="E1633" s="31" t="inlineStr">
        <is>
          <t>72-23-04</t>
        </is>
      </c>
      <c r="F1633" s="31" t="inlineStr">
        <is>
          <t>A</t>
        </is>
      </c>
      <c r="G1633" s="31" t="inlineStr">
        <is>
          <t>Fan / booster</t>
        </is>
      </c>
      <c r="H1633" s="27" t="n">
        <v>890</v>
      </c>
      <c r="I1633" s="27" t="n">
        <v>935</v>
      </c>
      <c r="J1633" s="154">
        <f>I1633/H1633-1</f>
        <v/>
      </c>
      <c r="K1633" s="31" t="inlineStr">
        <is>
          <t>14</t>
        </is>
      </c>
      <c r="L1633" s="31" t="inlineStr">
        <is>
          <t>14</t>
        </is>
      </c>
      <c r="M1633" s="31" t="inlineStr">
        <is>
          <t>S2</t>
        </is>
      </c>
      <c r="N1633" s="31" t="inlineStr">
        <is>
          <t>S4</t>
        </is>
      </c>
      <c r="O1633" s="31" t="inlineStr">
        <is>
          <t>2423M70G01</t>
        </is>
      </c>
      <c r="P1633" s="31" t="inlineStr">
        <is>
          <t>SR Technics Switzerland</t>
        </is>
      </c>
    </row>
    <row r="1634">
      <c r="B1634" s="31" t="inlineStr">
        <is>
          <t>CFM56-5B</t>
        </is>
      </c>
      <c r="C1634" s="31" t="inlineStr">
        <is>
          <t>2025-2026</t>
        </is>
      </c>
      <c r="D1634" s="31" t="inlineStr">
        <is>
          <t>139576</t>
        </is>
      </c>
      <c r="E1634" s="31" t="inlineStr">
        <is>
          <t>72-23-04</t>
        </is>
      </c>
      <c r="F1634" s="31" t="inlineStr">
        <is>
          <t>B</t>
        </is>
      </c>
      <c r="G1634" s="31" t="inlineStr">
        <is>
          <t>Fan / booster</t>
        </is>
      </c>
      <c r="H1634" s="27" t="n">
        <v>870</v>
      </c>
      <c r="I1634" s="27" t="n">
        <v>925</v>
      </c>
      <c r="J1634" s="154">
        <f>I1634/H1634-1</f>
        <v/>
      </c>
      <c r="K1634" s="31" t="inlineStr">
        <is>
          <t>14</t>
        </is>
      </c>
      <c r="L1634" s="31" t="inlineStr">
        <is>
          <t>14</t>
        </is>
      </c>
      <c r="M1634" s="31" t="inlineStr">
        <is>
          <t>S2</t>
        </is>
      </c>
      <c r="N1634" s="31" t="inlineStr">
        <is>
          <t>S4</t>
        </is>
      </c>
      <c r="O1634" s="31" t="inlineStr">
        <is>
          <t>2423M70G01</t>
        </is>
      </c>
      <c r="P1634" s="31" t="inlineStr">
        <is>
          <t>SR Technics Switzerland</t>
        </is>
      </c>
    </row>
    <row r="1635">
      <c r="B1635" s="31" t="inlineStr">
        <is>
          <t>CFM56-5B</t>
        </is>
      </c>
      <c r="C1635" s="31" t="inlineStr">
        <is>
          <t>2025-2026</t>
        </is>
      </c>
      <c r="D1635" s="31" t="inlineStr">
        <is>
          <t>139576</t>
        </is>
      </c>
      <c r="E1635" s="31" t="inlineStr">
        <is>
          <t>72-23-04</t>
        </is>
      </c>
      <c r="F1635" s="31" t="inlineStr">
        <is>
          <t>C</t>
        </is>
      </c>
      <c r="G1635" s="31" t="inlineStr">
        <is>
          <t>Fan / booster</t>
        </is>
      </c>
      <c r="H1635" s="27" t="n">
        <v>860</v>
      </c>
      <c r="I1635" s="27" t="n">
        <v>915</v>
      </c>
      <c r="J1635" s="154">
        <f>I1635/H1635-1</f>
        <v/>
      </c>
      <c r="K1635" s="31" t="inlineStr">
        <is>
          <t>14</t>
        </is>
      </c>
      <c r="L1635" s="31" t="inlineStr">
        <is>
          <t>14</t>
        </is>
      </c>
      <c r="M1635" s="31" t="inlineStr">
        <is>
          <t>S2</t>
        </is>
      </c>
      <c r="N1635" s="31" t="inlineStr">
        <is>
          <t>S4</t>
        </is>
      </c>
      <c r="O1635" s="31" t="inlineStr">
        <is>
          <t>2423M70G01</t>
        </is>
      </c>
      <c r="P1635" s="31" t="inlineStr">
        <is>
          <t>SR Technics Switzerland</t>
        </is>
      </c>
    </row>
    <row r="1636">
      <c r="B1636" s="31" t="inlineStr">
        <is>
          <t>CFM56-5B</t>
        </is>
      </c>
      <c r="C1636" s="31" t="inlineStr">
        <is>
          <t>2025-2026</t>
        </is>
      </c>
      <c r="D1636" s="31" t="inlineStr">
        <is>
          <t>139576</t>
        </is>
      </c>
      <c r="E1636" s="31" t="inlineStr">
        <is>
          <t>72-23-04</t>
        </is>
      </c>
      <c r="F1636" s="31" t="inlineStr">
        <is>
          <t>E</t>
        </is>
      </c>
      <c r="G1636" s="31" t="inlineStr">
        <is>
          <t>Fan / booster</t>
        </is>
      </c>
      <c r="H1636" s="27" t="n">
        <v>675</v>
      </c>
      <c r="I1636" s="27" t="n">
        <v>720</v>
      </c>
      <c r="J1636" s="154">
        <f>I1636/H1636-1</f>
        <v/>
      </c>
      <c r="K1636" s="31" t="inlineStr">
        <is>
          <t>14</t>
        </is>
      </c>
      <c r="L1636" s="31" t="inlineStr">
        <is>
          <t>14</t>
        </is>
      </c>
      <c r="M1636" s="31" t="inlineStr">
        <is>
          <t>S2</t>
        </is>
      </c>
      <c r="N1636" s="31" t="inlineStr">
        <is>
          <t>S4</t>
        </is>
      </c>
      <c r="O1636" s="31" t="inlineStr">
        <is>
          <t>2423M70G01</t>
        </is>
      </c>
      <c r="P1636" s="31" t="inlineStr">
        <is>
          <t>SR Technics Switzerland</t>
        </is>
      </c>
    </row>
    <row r="1637">
      <c r="B1637" s="31" t="inlineStr">
        <is>
          <t>CFM56-5B</t>
        </is>
      </c>
      <c r="C1637" s="31" t="inlineStr">
        <is>
          <t>2025-2026</t>
        </is>
      </c>
      <c r="D1637" s="31" t="inlineStr">
        <is>
          <t>139576</t>
        </is>
      </c>
      <c r="E1637" s="31" t="inlineStr">
        <is>
          <t>72-23-04</t>
        </is>
      </c>
      <c r="F1637" s="31" t="inlineStr">
        <is>
          <t>P</t>
        </is>
      </c>
      <c r="G1637" s="31" t="inlineStr">
        <is>
          <t>Fan / booster</t>
        </is>
      </c>
      <c r="H1637" s="27" t="n">
        <v>1385</v>
      </c>
      <c r="I1637" s="27" t="n">
        <v>1470</v>
      </c>
      <c r="J1637" s="154">
        <f>I1637/H1637-1</f>
        <v/>
      </c>
      <c r="K1637" s="31" t="inlineStr">
        <is>
          <t>14</t>
        </is>
      </c>
      <c r="L1637" s="31" t="inlineStr">
        <is>
          <t>14</t>
        </is>
      </c>
      <c r="M1637" s="31" t="inlineStr">
        <is>
          <t>S2</t>
        </is>
      </c>
      <c r="N1637" s="31" t="inlineStr">
        <is>
          <t>S4</t>
        </is>
      </c>
      <c r="O1637" s="31" t="inlineStr">
        <is>
          <t>2423M70G01</t>
        </is>
      </c>
      <c r="P1637" s="31" t="inlineStr">
        <is>
          <t>SR Technics Switzerland</t>
        </is>
      </c>
    </row>
    <row r="1638">
      <c r="B1638" s="31" t="inlineStr">
        <is>
          <t>CFM56-5B</t>
        </is>
      </c>
      <c r="C1638" s="31" t="inlineStr">
        <is>
          <t>2025-2026</t>
        </is>
      </c>
      <c r="D1638" s="31" t="inlineStr">
        <is>
          <t>139966</t>
        </is>
      </c>
      <c r="E1638" s="31" t="inlineStr">
        <is>
          <t>72-23-01</t>
        </is>
      </c>
      <c r="F1638" s="31" t="inlineStr">
        <is>
          <t>A</t>
        </is>
      </c>
      <c r="G1638" s="31" t="inlineStr">
        <is>
          <t>Fan / booster</t>
        </is>
      </c>
      <c r="H1638" s="27" t="n">
        <v>3700</v>
      </c>
      <c r="I1638" s="27" t="n">
        <v>3885</v>
      </c>
      <c r="J1638" s="154">
        <f>I1638/H1638-1</f>
        <v/>
      </c>
      <c r="K1638" s="31" t="inlineStr">
        <is>
          <t>14</t>
        </is>
      </c>
      <c r="L1638" s="31" t="inlineStr">
        <is>
          <t>15</t>
        </is>
      </c>
      <c r="M1638" s="31" t="inlineStr">
        <is>
          <t>S2</t>
        </is>
      </c>
      <c r="N1638" s="31" t="inlineStr">
        <is>
          <t>S4</t>
        </is>
      </c>
      <c r="O1638" s="31" t="inlineStr">
        <is>
          <t>338-077-904-0</t>
        </is>
      </c>
      <c r="P1638" s="31" t="inlineStr">
        <is>
          <t>SR Technics Switzerland</t>
        </is>
      </c>
    </row>
    <row r="1639">
      <c r="B1639" s="31" t="inlineStr">
        <is>
          <t>CFM56-5B</t>
        </is>
      </c>
      <c r="C1639" s="31" t="inlineStr">
        <is>
          <t>2025-2026</t>
        </is>
      </c>
      <c r="D1639" s="31" t="inlineStr">
        <is>
          <t>139966</t>
        </is>
      </c>
      <c r="E1639" s="31" t="inlineStr">
        <is>
          <t>72-23-01</t>
        </is>
      </c>
      <c r="F1639" s="31" t="inlineStr">
        <is>
          <t>AG</t>
        </is>
      </c>
      <c r="G1639" s="31" t="inlineStr">
        <is>
          <t>Fan / booster</t>
        </is>
      </c>
      <c r="H1639" s="27" t="n">
        <v>840</v>
      </c>
      <c r="I1639" s="27" t="n">
        <v>895</v>
      </c>
      <c r="J1639" s="154">
        <f>I1639/H1639-1</f>
        <v/>
      </c>
      <c r="K1639" s="31" t="inlineStr">
        <is>
          <t>15</t>
        </is>
      </c>
      <c r="L1639" s="31" t="inlineStr">
        <is>
          <t>15</t>
        </is>
      </c>
      <c r="M1639" s="31" t="inlineStr">
        <is>
          <t>S2</t>
        </is>
      </c>
      <c r="N1639" s="31" t="inlineStr">
        <is>
          <t>S4</t>
        </is>
      </c>
      <c r="O1639" s="31" t="inlineStr">
        <is>
          <t>338-077-904-0</t>
        </is>
      </c>
      <c r="P1639" s="31" t="inlineStr">
        <is>
          <t>SR Technics Switzerland</t>
        </is>
      </c>
    </row>
    <row r="1640">
      <c r="B1640" s="31" t="inlineStr">
        <is>
          <t>CFM56-5B</t>
        </is>
      </c>
      <c r="C1640" s="31" t="inlineStr">
        <is>
          <t>2025-2026</t>
        </is>
      </c>
      <c r="D1640" s="31" t="inlineStr">
        <is>
          <t>139966</t>
        </is>
      </c>
      <c r="E1640" s="31" t="inlineStr">
        <is>
          <t>72-23-01</t>
        </is>
      </c>
      <c r="F1640" s="31" t="inlineStr">
        <is>
          <t>AH</t>
        </is>
      </c>
      <c r="G1640" s="31" t="inlineStr">
        <is>
          <t>Fan / booster</t>
        </is>
      </c>
      <c r="H1640" s="27" t="n">
        <v>2015</v>
      </c>
      <c r="I1640" s="27" t="n">
        <v>2140</v>
      </c>
      <c r="J1640" s="154">
        <f>I1640/H1640-1</f>
        <v/>
      </c>
      <c r="K1640" s="31" t="inlineStr">
        <is>
          <t>15</t>
        </is>
      </c>
      <c r="L1640" s="31" t="inlineStr">
        <is>
          <t>15</t>
        </is>
      </c>
      <c r="M1640" s="31" t="inlineStr">
        <is>
          <t>S2</t>
        </is>
      </c>
      <c r="N1640" s="31" t="inlineStr">
        <is>
          <t>S4</t>
        </is>
      </c>
      <c r="O1640" s="31" t="inlineStr">
        <is>
          <t>338-077-904-0</t>
        </is>
      </c>
      <c r="P1640" s="31" t="inlineStr">
        <is>
          <t>SR Technics Switzerland</t>
        </is>
      </c>
    </row>
    <row r="1641">
      <c r="B1641" s="31" t="inlineStr">
        <is>
          <t>CFM56-5B</t>
        </is>
      </c>
      <c r="C1641" s="31" t="inlineStr">
        <is>
          <t>2025-2026</t>
        </is>
      </c>
      <c r="D1641" s="31" t="inlineStr">
        <is>
          <t>139966</t>
        </is>
      </c>
      <c r="E1641" s="31" t="inlineStr">
        <is>
          <t>72-23-01</t>
        </is>
      </c>
      <c r="F1641" s="31" t="inlineStr">
        <is>
          <t>AL</t>
        </is>
      </c>
      <c r="G1641" s="31" t="inlineStr">
        <is>
          <t>Fan / booster</t>
        </is>
      </c>
      <c r="H1641" s="27" t="n">
        <v>375</v>
      </c>
      <c r="I1641" s="27" t="n">
        <v>400</v>
      </c>
      <c r="J1641" s="154">
        <f>I1641/H1641-1</f>
        <v/>
      </c>
      <c r="K1641" s="31" t="inlineStr">
        <is>
          <t>15</t>
        </is>
      </c>
      <c r="L1641" s="31" t="inlineStr">
        <is>
          <t>15</t>
        </is>
      </c>
      <c r="M1641" s="31" t="inlineStr">
        <is>
          <t>S2</t>
        </is>
      </c>
      <c r="N1641" s="31" t="inlineStr">
        <is>
          <t>S4</t>
        </is>
      </c>
      <c r="O1641" s="31" t="inlineStr">
        <is>
          <t>338-077-904-0</t>
        </is>
      </c>
      <c r="P1641" s="31" t="inlineStr">
        <is>
          <t>SR Technics Switzerland</t>
        </is>
      </c>
    </row>
    <row r="1642">
      <c r="B1642" s="31" t="inlineStr">
        <is>
          <t>CFM56-5B</t>
        </is>
      </c>
      <c r="C1642" s="31" t="inlineStr">
        <is>
          <t>2025-2026</t>
        </is>
      </c>
      <c r="D1642" s="31" t="inlineStr">
        <is>
          <t>139966</t>
        </is>
      </c>
      <c r="E1642" s="31" t="inlineStr">
        <is>
          <t>72-23-01</t>
        </is>
      </c>
      <c r="F1642" s="31" t="inlineStr">
        <is>
          <t>AM</t>
        </is>
      </c>
      <c r="G1642" s="31" t="inlineStr">
        <is>
          <t>Fan / booster</t>
        </is>
      </c>
      <c r="H1642" s="27" t="n">
        <v>555</v>
      </c>
      <c r="I1642" s="27" t="n">
        <v>590</v>
      </c>
      <c r="J1642" s="154">
        <f>I1642/H1642-1</f>
        <v/>
      </c>
      <c r="K1642" s="31" t="inlineStr">
        <is>
          <t>15</t>
        </is>
      </c>
      <c r="L1642" s="31" t="inlineStr">
        <is>
          <t>15</t>
        </is>
      </c>
      <c r="M1642" s="31" t="inlineStr">
        <is>
          <t>S2</t>
        </is>
      </c>
      <c r="N1642" s="31" t="inlineStr">
        <is>
          <t>S4</t>
        </is>
      </c>
      <c r="O1642" s="31" t="inlineStr">
        <is>
          <t>338-077-904-0</t>
        </is>
      </c>
      <c r="P1642" s="31" t="inlineStr">
        <is>
          <t>SR Technics Switzerland</t>
        </is>
      </c>
    </row>
    <row r="1643">
      <c r="B1643" s="31" t="inlineStr">
        <is>
          <t>CFM56-5B</t>
        </is>
      </c>
      <c r="C1643" s="31" t="inlineStr">
        <is>
          <t>2025-2026</t>
        </is>
      </c>
      <c r="D1643" s="31" t="inlineStr">
        <is>
          <t>139966</t>
        </is>
      </c>
      <c r="E1643" s="31" t="inlineStr">
        <is>
          <t>72-23-01</t>
        </is>
      </c>
      <c r="F1643" s="31" t="inlineStr">
        <is>
          <t>AN</t>
        </is>
      </c>
      <c r="G1643" s="31" t="inlineStr">
        <is>
          <t>Fan / booster</t>
        </is>
      </c>
      <c r="H1643" s="27" t="n">
        <v>375</v>
      </c>
      <c r="I1643" s="27" t="n">
        <v>400</v>
      </c>
      <c r="J1643" s="154">
        <f>I1643/H1643-1</f>
        <v/>
      </c>
      <c r="K1643" s="31" t="inlineStr">
        <is>
          <t>15</t>
        </is>
      </c>
      <c r="L1643" s="31" t="inlineStr">
        <is>
          <t>15</t>
        </is>
      </c>
      <c r="M1643" s="31" t="inlineStr">
        <is>
          <t>S2</t>
        </is>
      </c>
      <c r="N1643" s="31" t="inlineStr">
        <is>
          <t>S4</t>
        </is>
      </c>
      <c r="O1643" s="31" t="inlineStr">
        <is>
          <t>338-077-904-0</t>
        </is>
      </c>
      <c r="P1643" s="31" t="inlineStr">
        <is>
          <t>SR Technics Switzerland</t>
        </is>
      </c>
    </row>
    <row r="1644">
      <c r="B1644" s="31" t="inlineStr">
        <is>
          <t>CFM56-5B</t>
        </is>
      </c>
      <c r="C1644" s="31" t="inlineStr">
        <is>
          <t>2025-2026</t>
        </is>
      </c>
      <c r="D1644" s="31" t="inlineStr">
        <is>
          <t>139966</t>
        </is>
      </c>
      <c r="E1644" s="31" t="inlineStr">
        <is>
          <t>72-23-01</t>
        </is>
      </c>
      <c r="F1644" s="31" t="inlineStr">
        <is>
          <t>C</t>
        </is>
      </c>
      <c r="G1644" s="31" t="inlineStr">
        <is>
          <t>Fan / booster</t>
        </is>
      </c>
      <c r="H1644" s="27" t="n">
        <v>1205</v>
      </c>
      <c r="I1644" s="27" t="n">
        <v>1280</v>
      </c>
      <c r="J1644" s="154">
        <f>I1644/H1644-1</f>
        <v/>
      </c>
      <c r="K1644" s="31" t="inlineStr">
        <is>
          <t>15</t>
        </is>
      </c>
      <c r="L1644" s="31" t="inlineStr">
        <is>
          <t>15</t>
        </is>
      </c>
      <c r="M1644" s="31" t="inlineStr">
        <is>
          <t>S2</t>
        </is>
      </c>
      <c r="N1644" s="31" t="inlineStr">
        <is>
          <t>S4</t>
        </is>
      </c>
      <c r="O1644" s="31" t="inlineStr">
        <is>
          <t>338-077-904-0</t>
        </is>
      </c>
      <c r="P1644" s="31" t="inlineStr">
        <is>
          <t>SR Technics Switzerland</t>
        </is>
      </c>
    </row>
    <row r="1645">
      <c r="B1645" s="31" t="inlineStr">
        <is>
          <t>CFM56-5B</t>
        </is>
      </c>
      <c r="C1645" s="31" t="inlineStr">
        <is>
          <t>2025-2026</t>
        </is>
      </c>
      <c r="D1645" s="31" t="inlineStr">
        <is>
          <t>139966</t>
        </is>
      </c>
      <c r="E1645" s="31" t="inlineStr">
        <is>
          <t>72-23-01</t>
        </is>
      </c>
      <c r="F1645" s="31" t="inlineStr">
        <is>
          <t>D</t>
        </is>
      </c>
      <c r="G1645" s="31" t="inlineStr">
        <is>
          <t>Fan / booster</t>
        </is>
      </c>
      <c r="H1645" s="27" t="n">
        <v>700</v>
      </c>
      <c r="I1645" s="27" t="n">
        <v>745</v>
      </c>
      <c r="J1645" s="154">
        <f>I1645/H1645-1</f>
        <v/>
      </c>
      <c r="K1645" s="31" t="inlineStr">
        <is>
          <t>15</t>
        </is>
      </c>
      <c r="L1645" s="31" t="inlineStr">
        <is>
          <t>15</t>
        </is>
      </c>
      <c r="M1645" s="31" t="inlineStr">
        <is>
          <t>S2</t>
        </is>
      </c>
      <c r="N1645" s="31" t="inlineStr">
        <is>
          <t>S4</t>
        </is>
      </c>
      <c r="O1645" s="31" t="inlineStr">
        <is>
          <t>338-077-904-0</t>
        </is>
      </c>
      <c r="P1645" s="31" t="inlineStr">
        <is>
          <t>SR Technics Switzerland</t>
        </is>
      </c>
    </row>
    <row r="1646">
      <c r="B1646" s="31" t="inlineStr">
        <is>
          <t>CFM56-5B</t>
        </is>
      </c>
      <c r="C1646" s="31" t="inlineStr">
        <is>
          <t>2025-2026</t>
        </is>
      </c>
      <c r="D1646" s="31" t="inlineStr">
        <is>
          <t>139966</t>
        </is>
      </c>
      <c r="E1646" s="31" t="inlineStr">
        <is>
          <t>72-23-01</t>
        </is>
      </c>
      <c r="F1646" s="31" t="inlineStr">
        <is>
          <t>SB01</t>
        </is>
      </c>
      <c r="G1646" s="31" t="inlineStr">
        <is>
          <t>Fan / booster</t>
        </is>
      </c>
      <c r="H1646" s="27" t="n">
        <v>685</v>
      </c>
      <c r="I1646" s="27" t="n">
        <v>730</v>
      </c>
      <c r="J1646" s="154">
        <f>I1646/H1646-1</f>
        <v/>
      </c>
      <c r="K1646" s="31" t="inlineStr">
        <is>
          <t>15</t>
        </is>
      </c>
      <c r="L1646" s="31" t="inlineStr">
        <is>
          <t>15</t>
        </is>
      </c>
      <c r="M1646" s="31" t="inlineStr">
        <is>
          <t>S2</t>
        </is>
      </c>
      <c r="N1646" s="31" t="inlineStr">
        <is>
          <t>S4</t>
        </is>
      </c>
      <c r="O1646" s="31" t="inlineStr">
        <is>
          <t>338-077-904-0</t>
        </is>
      </c>
      <c r="P1646" s="31" t="inlineStr">
        <is>
          <t>SR Technics Switzerland</t>
        </is>
      </c>
    </row>
    <row r="1647">
      <c r="B1647" s="31" t="inlineStr">
        <is>
          <t>CFM56-5B</t>
        </is>
      </c>
      <c r="C1647" s="31" t="inlineStr">
        <is>
          <t>2025-2026</t>
        </is>
      </c>
      <c r="D1647" s="31" t="inlineStr">
        <is>
          <t>139966</t>
        </is>
      </c>
      <c r="E1647" s="31" t="inlineStr">
        <is>
          <t>72-23-01</t>
        </is>
      </c>
      <c r="F1647" s="31" t="inlineStr">
        <is>
          <t>SB02</t>
        </is>
      </c>
      <c r="G1647" s="31" t="inlineStr">
        <is>
          <t>Fan / booster</t>
        </is>
      </c>
      <c r="H1647" s="27" t="n">
        <v>1080</v>
      </c>
      <c r="I1647" s="27" t="n">
        <v>1145</v>
      </c>
      <c r="J1647" s="154">
        <f>I1647/H1647-1</f>
        <v/>
      </c>
      <c r="K1647" s="31" t="inlineStr">
        <is>
          <t>15</t>
        </is>
      </c>
      <c r="L1647" s="31" t="inlineStr">
        <is>
          <t>15</t>
        </is>
      </c>
      <c r="M1647" s="31" t="inlineStr">
        <is>
          <t>S2</t>
        </is>
      </c>
      <c r="N1647" s="31" t="inlineStr">
        <is>
          <t>S4</t>
        </is>
      </c>
      <c r="O1647" s="31" t="inlineStr">
        <is>
          <t>338-077-904-0</t>
        </is>
      </c>
      <c r="P1647" s="31" t="inlineStr">
        <is>
          <t>SR Technics Switzerland</t>
        </is>
      </c>
    </row>
    <row r="1648">
      <c r="B1648" s="31" t="inlineStr">
        <is>
          <t>CFM56-5B</t>
        </is>
      </c>
      <c r="C1648" s="31" t="inlineStr">
        <is>
          <t>2025-2026</t>
        </is>
      </c>
      <c r="D1648" s="31" t="inlineStr">
        <is>
          <t>139996</t>
        </is>
      </c>
      <c r="E1648" s="31" t="inlineStr">
        <is>
          <t>72-21-05</t>
        </is>
      </c>
      <c r="F1648" s="31" t="inlineStr">
        <is>
          <t>A</t>
        </is>
      </c>
      <c r="G1648" s="31" t="inlineStr">
        <is>
          <t>Fan / booster</t>
        </is>
      </c>
      <c r="H1648" s="27" t="n">
        <v>630</v>
      </c>
      <c r="I1648" s="27" t="n">
        <v>665</v>
      </c>
      <c r="J1648" s="154">
        <f>I1648/H1648-1</f>
        <v/>
      </c>
      <c r="K1648" s="31" t="inlineStr">
        <is>
          <t>15</t>
        </is>
      </c>
      <c r="L1648" s="31" t="inlineStr">
        <is>
          <t>15</t>
        </is>
      </c>
      <c r="M1648" s="31" t="inlineStr">
        <is>
          <t>S2</t>
        </is>
      </c>
      <c r="N1648" s="31" t="inlineStr">
        <is>
          <t>S4</t>
        </is>
      </c>
      <c r="O1648" s="31" t="inlineStr">
        <is>
          <t>2406M74G01</t>
        </is>
      </c>
      <c r="P1648" s="31" t="inlineStr">
        <is>
          <t>SR Technics Switzerland</t>
        </is>
      </c>
    </row>
    <row r="1649">
      <c r="B1649" s="31" t="inlineStr">
        <is>
          <t>CFM56-5B</t>
        </is>
      </c>
      <c r="C1649" s="31" t="inlineStr">
        <is>
          <t>2025-2026</t>
        </is>
      </c>
      <c r="D1649" s="31" t="inlineStr">
        <is>
          <t>139996</t>
        </is>
      </c>
      <c r="E1649" s="31" t="inlineStr">
        <is>
          <t>72-21-05</t>
        </is>
      </c>
      <c r="F1649" s="31" t="inlineStr">
        <is>
          <t>AC</t>
        </is>
      </c>
      <c r="G1649" s="31" t="inlineStr">
        <is>
          <t>Fan / booster</t>
        </is>
      </c>
      <c r="H1649" s="27" t="n">
        <v>2070</v>
      </c>
      <c r="I1649" s="27" t="n">
        <v>2195</v>
      </c>
      <c r="J1649" s="154">
        <f>I1649/H1649-1</f>
        <v/>
      </c>
      <c r="K1649" s="31" t="inlineStr">
        <is>
          <t>15</t>
        </is>
      </c>
      <c r="L1649" s="31" t="inlineStr">
        <is>
          <t>15</t>
        </is>
      </c>
      <c r="M1649" s="31" t="inlineStr">
        <is>
          <t>S2</t>
        </is>
      </c>
      <c r="N1649" s="31" t="inlineStr">
        <is>
          <t>S4</t>
        </is>
      </c>
      <c r="O1649" s="31" t="inlineStr">
        <is>
          <t>2406M74G01</t>
        </is>
      </c>
      <c r="P1649" s="31" t="inlineStr">
        <is>
          <t>SR Technics Switzerland</t>
        </is>
      </c>
    </row>
    <row r="1650">
      <c r="B1650" s="31" t="inlineStr">
        <is>
          <t>CFM56-5B</t>
        </is>
      </c>
      <c r="C1650" s="31" t="inlineStr">
        <is>
          <t>2025-2026</t>
        </is>
      </c>
      <c r="D1650" s="31" t="inlineStr">
        <is>
          <t>139996</t>
        </is>
      </c>
      <c r="E1650" s="31" t="inlineStr">
        <is>
          <t>72-21-05</t>
        </is>
      </c>
      <c r="F1650" s="31" t="inlineStr">
        <is>
          <t>AF</t>
        </is>
      </c>
      <c r="G1650" s="31" t="inlineStr">
        <is>
          <t>Fan / booster</t>
        </is>
      </c>
      <c r="H1650" s="27" t="n">
        <v>1350</v>
      </c>
      <c r="I1650" s="27" t="n">
        <v>1435</v>
      </c>
      <c r="J1650" s="154">
        <f>I1650/H1650-1</f>
        <v/>
      </c>
      <c r="K1650" s="31" t="inlineStr">
        <is>
          <t>15</t>
        </is>
      </c>
      <c r="L1650" s="31" t="inlineStr">
        <is>
          <t>15</t>
        </is>
      </c>
      <c r="M1650" s="31" t="inlineStr">
        <is>
          <t>S2</t>
        </is>
      </c>
      <c r="N1650" s="31" t="inlineStr">
        <is>
          <t>S4</t>
        </is>
      </c>
      <c r="O1650" s="31" t="inlineStr">
        <is>
          <t>2406M74G01</t>
        </is>
      </c>
      <c r="P1650" s="31" t="inlineStr">
        <is>
          <t>SR Technics Switzerland</t>
        </is>
      </c>
    </row>
    <row r="1651">
      <c r="B1651" s="31" t="inlineStr">
        <is>
          <t>CFM56-5B</t>
        </is>
      </c>
      <c r="C1651" s="31" t="inlineStr">
        <is>
          <t>2025-2026</t>
        </is>
      </c>
      <c r="D1651" s="31" t="inlineStr">
        <is>
          <t>139996</t>
        </is>
      </c>
      <c r="E1651" s="31" t="inlineStr">
        <is>
          <t>72-21-05</t>
        </is>
      </c>
      <c r="F1651" s="31" t="inlineStr">
        <is>
          <t>AI</t>
        </is>
      </c>
      <c r="G1651" s="31" t="inlineStr">
        <is>
          <t>Fan / booster</t>
        </is>
      </c>
      <c r="H1651" s="27" t="n">
        <v>635</v>
      </c>
      <c r="I1651" s="27" t="n">
        <v>675</v>
      </c>
      <c r="J1651" s="154">
        <f>I1651/H1651-1</f>
        <v/>
      </c>
      <c r="K1651" s="31" t="inlineStr">
        <is>
          <t>15</t>
        </is>
      </c>
      <c r="L1651" s="31" t="inlineStr">
        <is>
          <t>15</t>
        </is>
      </c>
      <c r="M1651" s="31" t="inlineStr">
        <is>
          <t>S2</t>
        </is>
      </c>
      <c r="N1651" s="31" t="inlineStr">
        <is>
          <t>S4</t>
        </is>
      </c>
      <c r="O1651" s="31" t="inlineStr">
        <is>
          <t>2406M74G01</t>
        </is>
      </c>
      <c r="P1651" s="31" t="inlineStr">
        <is>
          <t>SR Technics Switzerland</t>
        </is>
      </c>
    </row>
    <row r="1652">
      <c r="B1652" s="31" t="inlineStr">
        <is>
          <t>CFM56-5B</t>
        </is>
      </c>
      <c r="C1652" s="31" t="inlineStr">
        <is>
          <t>2025-2026</t>
        </is>
      </c>
      <c r="D1652" s="31" t="inlineStr">
        <is>
          <t>139996</t>
        </is>
      </c>
      <c r="E1652" s="31" t="inlineStr">
        <is>
          <t>72-21-05</t>
        </is>
      </c>
      <c r="F1652" s="31" t="inlineStr">
        <is>
          <t>W</t>
        </is>
      </c>
      <c r="G1652" s="31" t="inlineStr">
        <is>
          <t>Fan / booster</t>
        </is>
      </c>
      <c r="H1652" s="27" t="n">
        <v>1215</v>
      </c>
      <c r="I1652" s="27" t="n">
        <v>1290</v>
      </c>
      <c r="J1652" s="154">
        <f>I1652/H1652-1</f>
        <v/>
      </c>
      <c r="K1652" s="31" t="inlineStr">
        <is>
          <t>15</t>
        </is>
      </c>
      <c r="L1652" s="31" t="inlineStr">
        <is>
          <t>15</t>
        </is>
      </c>
      <c r="M1652" s="31" t="inlineStr">
        <is>
          <t>S2</t>
        </is>
      </c>
      <c r="N1652" s="31" t="inlineStr">
        <is>
          <t>S4</t>
        </is>
      </c>
      <c r="O1652" s="31" t="inlineStr">
        <is>
          <t>2406M74G01</t>
        </is>
      </c>
      <c r="P1652" s="31" t="inlineStr">
        <is>
          <t>SR Technics Switzerland</t>
        </is>
      </c>
    </row>
    <row r="1653">
      <c r="B1653" s="31" t="inlineStr">
        <is>
          <t>CFM56-5B</t>
        </is>
      </c>
      <c r="C1653" s="31" t="inlineStr">
        <is>
          <t>2025-2026</t>
        </is>
      </c>
      <c r="D1653" s="31" t="inlineStr">
        <is>
          <t>140019</t>
        </is>
      </c>
      <c r="E1653" s="31" t="inlineStr">
        <is>
          <t>72-52-06</t>
        </is>
      </c>
      <c r="F1653" s="31" t="inlineStr">
        <is>
          <t>A</t>
        </is>
      </c>
      <c r="G1653" s="31" t="inlineStr">
        <is>
          <t>HPT / nozzle</t>
        </is>
      </c>
      <c r="H1653" s="27" t="n">
        <v>1075</v>
      </c>
      <c r="I1653" s="27" t="n">
        <v>1130</v>
      </c>
      <c r="J1653" s="154">
        <f>I1653/H1653-1</f>
        <v/>
      </c>
      <c r="K1653" s="31" t="inlineStr">
        <is>
          <t>15</t>
        </is>
      </c>
      <c r="L1653" s="31" t="inlineStr">
        <is>
          <t>15</t>
        </is>
      </c>
      <c r="M1653" s="31" t="inlineStr">
        <is>
          <t>S2</t>
        </is>
      </c>
      <c r="N1653" s="31" t="inlineStr">
        <is>
          <t>S4</t>
        </is>
      </c>
      <c r="O1653" s="31" t="inlineStr">
        <is>
          <t>1795M66P01</t>
        </is>
      </c>
      <c r="P1653" s="31" t="inlineStr">
        <is>
          <t>SR Technics Switzerland</t>
        </is>
      </c>
    </row>
    <row r="1654">
      <c r="B1654" s="31" t="inlineStr">
        <is>
          <t>CFM56-5B</t>
        </is>
      </c>
      <c r="C1654" s="31" t="inlineStr">
        <is>
          <t>2025-2026</t>
        </is>
      </c>
      <c r="D1654" s="31" t="inlineStr">
        <is>
          <t>140019</t>
        </is>
      </c>
      <c r="E1654" s="31" t="inlineStr">
        <is>
          <t>72-52-06</t>
        </is>
      </c>
      <c r="F1654" s="31" t="inlineStr">
        <is>
          <t>B</t>
        </is>
      </c>
      <c r="G1654" s="31" t="inlineStr">
        <is>
          <t>HPT / nozzle</t>
        </is>
      </c>
      <c r="H1654" s="27" t="n">
        <v>1105</v>
      </c>
      <c r="I1654" s="27" t="n">
        <v>1175</v>
      </c>
      <c r="J1654" s="154">
        <f>I1654/H1654-1</f>
        <v/>
      </c>
      <c r="K1654" s="31" t="inlineStr">
        <is>
          <t>15</t>
        </is>
      </c>
      <c r="L1654" s="31" t="inlineStr">
        <is>
          <t>15</t>
        </is>
      </c>
      <c r="M1654" s="31" t="inlineStr">
        <is>
          <t>S2</t>
        </is>
      </c>
      <c r="N1654" s="31" t="inlineStr">
        <is>
          <t>S4</t>
        </is>
      </c>
      <c r="O1654" s="31" t="inlineStr">
        <is>
          <t>1795M66P01</t>
        </is>
      </c>
      <c r="P1654" s="31" t="inlineStr">
        <is>
          <t>SR Technics Switzerland</t>
        </is>
      </c>
    </row>
    <row r="1655">
      <c r="B1655" s="31" t="inlineStr">
        <is>
          <t>CFM56-5B</t>
        </is>
      </c>
      <c r="C1655" s="31" t="inlineStr">
        <is>
          <t>2025-2026</t>
        </is>
      </c>
      <c r="D1655" s="31" t="inlineStr">
        <is>
          <t>140019</t>
        </is>
      </c>
      <c r="E1655" s="31" t="inlineStr">
        <is>
          <t>72-52-06</t>
        </is>
      </c>
      <c r="F1655" s="31" t="inlineStr">
        <is>
          <t>D</t>
        </is>
      </c>
      <c r="G1655" s="31" t="inlineStr">
        <is>
          <t>HPT / nozzle</t>
        </is>
      </c>
      <c r="H1655" s="27" t="n">
        <v>7635</v>
      </c>
      <c r="I1655" s="27" t="n">
        <v>8095</v>
      </c>
      <c r="J1655" s="154">
        <f>I1655/H1655-1</f>
        <v/>
      </c>
      <c r="K1655" s="31" t="inlineStr">
        <is>
          <t>15</t>
        </is>
      </c>
      <c r="L1655" s="31" t="inlineStr">
        <is>
          <t>15</t>
        </is>
      </c>
      <c r="M1655" s="31" t="inlineStr">
        <is>
          <t>S2</t>
        </is>
      </c>
      <c r="N1655" s="31" t="inlineStr">
        <is>
          <t>S4</t>
        </is>
      </c>
      <c r="O1655" s="31" t="inlineStr">
        <is>
          <t>1795M66P01</t>
        </is>
      </c>
      <c r="P1655" s="31" t="inlineStr">
        <is>
          <t>SR Technics Switzerland</t>
        </is>
      </c>
    </row>
    <row r="1656">
      <c r="B1656" s="31" t="inlineStr">
        <is>
          <t>CFM56-5B</t>
        </is>
      </c>
      <c r="C1656" s="31" t="inlineStr">
        <is>
          <t>2025-2026</t>
        </is>
      </c>
      <c r="D1656" s="31" t="inlineStr">
        <is>
          <t>140037</t>
        </is>
      </c>
      <c r="E1656" s="31" t="inlineStr">
        <is>
          <t>72-54-08</t>
        </is>
      </c>
      <c r="F1656" s="31" t="inlineStr">
        <is>
          <t>C</t>
        </is>
      </c>
      <c r="G1656" s="31" t="inlineStr">
        <is>
          <t>LPT</t>
        </is>
      </c>
      <c r="H1656" s="27" t="n">
        <v>1580</v>
      </c>
      <c r="I1656" s="27" t="n">
        <v>1695</v>
      </c>
      <c r="J1656" s="154">
        <f>I1656/H1656-1</f>
        <v/>
      </c>
      <c r="K1656" s="31" t="inlineStr">
        <is>
          <t>53</t>
        </is>
      </c>
      <c r="L1656" s="31" t="inlineStr">
        <is>
          <t>55</t>
        </is>
      </c>
      <c r="M1656" s="31" t="inlineStr">
        <is>
          <t>S2</t>
        </is>
      </c>
      <c r="N1656" s="31" t="inlineStr">
        <is>
          <t>S4</t>
        </is>
      </c>
      <c r="O1656" s="31" t="inlineStr">
        <is>
          <t>338-083-003-0</t>
        </is>
      </c>
      <c r="P1656" s="31" t="inlineStr">
        <is>
          <t>SRTAS</t>
        </is>
      </c>
    </row>
    <row r="1657">
      <c r="B1657" s="31" t="inlineStr">
        <is>
          <t>CFM56-5B</t>
        </is>
      </c>
      <c r="C1657" s="31" t="inlineStr">
        <is>
          <t>2025-2026</t>
        </is>
      </c>
      <c r="D1657" s="31" t="inlineStr">
        <is>
          <t>140037</t>
        </is>
      </c>
      <c r="E1657" s="31" t="inlineStr">
        <is>
          <t>72-54-08</t>
        </is>
      </c>
      <c r="F1657" s="31" t="inlineStr">
        <is>
          <t>E</t>
        </is>
      </c>
      <c r="G1657" s="31" t="inlineStr">
        <is>
          <t>LPT</t>
        </is>
      </c>
      <c r="H1657" s="27" t="n">
        <v>840</v>
      </c>
      <c r="I1657" s="27" t="n">
        <v>900</v>
      </c>
      <c r="J1657" s="154">
        <f>I1657/H1657-1</f>
        <v/>
      </c>
      <c r="K1657" s="31" t="inlineStr">
        <is>
          <t>54</t>
        </is>
      </c>
      <c r="L1657" s="31" t="inlineStr">
        <is>
          <t>56</t>
        </is>
      </c>
      <c r="M1657" s="31" t="inlineStr">
        <is>
          <t>S2</t>
        </is>
      </c>
      <c r="N1657" s="31" t="inlineStr">
        <is>
          <t>S4</t>
        </is>
      </c>
      <c r="O1657" s="31" t="inlineStr">
        <is>
          <t>338-083-003-0</t>
        </is>
      </c>
      <c r="P1657" s="31" t="inlineStr">
        <is>
          <t>SRTAS</t>
        </is>
      </c>
    </row>
    <row r="1658">
      <c r="B1658" s="31" t="inlineStr">
        <is>
          <t>CFM56-5B</t>
        </is>
      </c>
      <c r="C1658" s="31" t="inlineStr">
        <is>
          <t>2025-2026</t>
        </is>
      </c>
      <c r="D1658" s="31" t="inlineStr">
        <is>
          <t>140037</t>
        </is>
      </c>
      <c r="E1658" s="31" t="inlineStr">
        <is>
          <t>72-54-08</t>
        </is>
      </c>
      <c r="F1658" s="31" t="inlineStr">
        <is>
          <t>H</t>
        </is>
      </c>
      <c r="G1658" s="31" t="inlineStr">
        <is>
          <t>LPT</t>
        </is>
      </c>
      <c r="H1658" s="27" t="n">
        <v>960</v>
      </c>
      <c r="I1658" s="27" t="n">
        <v>1030</v>
      </c>
      <c r="J1658" s="154">
        <f>I1658/H1658-1</f>
        <v/>
      </c>
      <c r="K1658" s="31" t="inlineStr">
        <is>
          <t>54</t>
        </is>
      </c>
      <c r="L1658" s="31" t="inlineStr">
        <is>
          <t>56</t>
        </is>
      </c>
      <c r="M1658" s="31" t="inlineStr">
        <is>
          <t>S2</t>
        </is>
      </c>
      <c r="N1658" s="31" t="inlineStr">
        <is>
          <t>S4</t>
        </is>
      </c>
      <c r="O1658" s="31" t="inlineStr">
        <is>
          <t>338-083-003-0</t>
        </is>
      </c>
      <c r="P1658" s="31" t="inlineStr">
        <is>
          <t>SRTAS</t>
        </is>
      </c>
    </row>
    <row r="1659">
      <c r="B1659" s="31" t="inlineStr">
        <is>
          <t>CFM56-5B</t>
        </is>
      </c>
      <c r="C1659" s="31" t="inlineStr">
        <is>
          <t>2025-2026</t>
        </is>
      </c>
      <c r="D1659" s="31" t="inlineStr">
        <is>
          <t>140077</t>
        </is>
      </c>
      <c r="E1659" s="31" t="inlineStr">
        <is>
          <t>73-11-14</t>
        </is>
      </c>
      <c r="F1659" s="31" t="inlineStr">
        <is>
          <t>B</t>
        </is>
      </c>
      <c r="G1659" s="31" t="inlineStr">
        <is>
          <t>Fuel system</t>
        </is>
      </c>
      <c r="H1659" s="27" t="n">
        <v>1120</v>
      </c>
      <c r="I1659" s="27" t="n">
        <v>1190</v>
      </c>
      <c r="J1659" s="154">
        <f>I1659/H1659-1</f>
        <v/>
      </c>
      <c r="K1659" s="31" t="inlineStr">
        <is>
          <t>15</t>
        </is>
      </c>
      <c r="L1659" s="31" t="inlineStr">
        <is>
          <t>15</t>
        </is>
      </c>
      <c r="M1659" s="31" t="inlineStr">
        <is>
          <t>S2</t>
        </is>
      </c>
      <c r="N1659" s="31" t="inlineStr">
        <is>
          <t>S4</t>
        </is>
      </c>
      <c r="O1659" s="31" t="inlineStr">
        <is>
          <t>215371</t>
        </is>
      </c>
      <c r="P1659" s="31" t="inlineStr">
        <is>
          <t>SR Technics Switzerland</t>
        </is>
      </c>
    </row>
    <row r="1660">
      <c r="B1660" s="31" t="inlineStr">
        <is>
          <t>CFM56-5B</t>
        </is>
      </c>
      <c r="C1660" s="31" t="inlineStr">
        <is>
          <t>2025-2026</t>
        </is>
      </c>
      <c r="D1660" s="31" t="inlineStr">
        <is>
          <t>140078</t>
        </is>
      </c>
      <c r="E1660" s="31" t="inlineStr">
        <is>
          <t>73-11-14</t>
        </is>
      </c>
      <c r="F1660" s="31" t="inlineStr">
        <is>
          <t>B</t>
        </is>
      </c>
      <c r="G1660" s="31" t="inlineStr">
        <is>
          <t>Fuel system</t>
        </is>
      </c>
      <c r="H1660" s="27" t="n">
        <v>285</v>
      </c>
      <c r="I1660" s="27" t="n">
        <v>305</v>
      </c>
      <c r="J1660" s="154">
        <f>I1660/H1660-1</f>
        <v/>
      </c>
      <c r="K1660" s="31" t="inlineStr">
        <is>
          <t>15</t>
        </is>
      </c>
      <c r="L1660" s="31" t="inlineStr">
        <is>
          <t>15</t>
        </is>
      </c>
      <c r="M1660" s="31" t="inlineStr">
        <is>
          <t>S2</t>
        </is>
      </c>
      <c r="N1660" s="31" t="inlineStr">
        <is>
          <t>S4</t>
        </is>
      </c>
      <c r="O1660" s="31" t="inlineStr">
        <is>
          <t>215372</t>
        </is>
      </c>
      <c r="P1660" s="31" t="inlineStr">
        <is>
          <t>SR Technics Switzerland</t>
        </is>
      </c>
    </row>
    <row r="1661">
      <c r="B1661" s="31" t="inlineStr">
        <is>
          <t>CFM56-5B</t>
        </is>
      </c>
      <c r="C1661" s="31" t="inlineStr">
        <is>
          <t>2025-2026</t>
        </is>
      </c>
      <c r="D1661" s="31" t="inlineStr">
        <is>
          <t>140121</t>
        </is>
      </c>
      <c r="E1661" s="31" t="inlineStr">
        <is>
          <t>72-32-15</t>
        </is>
      </c>
      <c r="F1661" s="31" t="inlineStr">
        <is>
          <t>A</t>
        </is>
      </c>
      <c r="G1661" s="31" t="inlineStr">
        <is>
          <t>Compressor</t>
        </is>
      </c>
      <c r="H1661" s="27" t="n">
        <v>720</v>
      </c>
      <c r="I1661" s="27" t="n">
        <v>760</v>
      </c>
      <c r="J1661" s="154">
        <f>I1661/H1661-1</f>
        <v/>
      </c>
      <c r="K1661" s="31" t="inlineStr">
        <is>
          <t>54</t>
        </is>
      </c>
      <c r="L1661" s="31" t="inlineStr">
        <is>
          <t>56</t>
        </is>
      </c>
      <c r="M1661" s="31" t="inlineStr">
        <is>
          <t>S2</t>
        </is>
      </c>
      <c r="N1661" s="31" t="inlineStr">
        <is>
          <t>S4</t>
        </is>
      </c>
      <c r="O1661" s="31" t="inlineStr">
        <is>
          <t>1276M85P05</t>
        </is>
      </c>
      <c r="P1661" s="31" t="inlineStr">
        <is>
          <t>SR Technics Switzerland</t>
        </is>
      </c>
    </row>
    <row r="1662">
      <c r="B1662" s="31" t="inlineStr">
        <is>
          <t>CFM56-5B</t>
        </is>
      </c>
      <c r="C1662" s="31" t="inlineStr">
        <is>
          <t>2025-2026</t>
        </is>
      </c>
      <c r="D1662" s="31" t="inlineStr">
        <is>
          <t>140121</t>
        </is>
      </c>
      <c r="E1662" s="31" t="inlineStr">
        <is>
          <t>72-32-15</t>
        </is>
      </c>
      <c r="F1662" s="31" t="inlineStr">
        <is>
          <t>SB00</t>
        </is>
      </c>
      <c r="G1662" s="31" t="inlineStr">
        <is>
          <t>Compressor</t>
        </is>
      </c>
      <c r="H1662" s="27" t="n">
        <v>2375</v>
      </c>
      <c r="I1662" s="27" t="n">
        <v>2520</v>
      </c>
      <c r="J1662" s="154">
        <f>I1662/H1662-1</f>
        <v/>
      </c>
      <c r="K1662" s="31" t="inlineStr">
        <is>
          <t>54</t>
        </is>
      </c>
      <c r="L1662" s="31" t="inlineStr">
        <is>
          <t>56</t>
        </is>
      </c>
      <c r="M1662" s="31" t="inlineStr">
        <is>
          <t>S2</t>
        </is>
      </c>
      <c r="N1662" s="31" t="inlineStr">
        <is>
          <t>S4</t>
        </is>
      </c>
      <c r="O1662" s="31" t="inlineStr">
        <is>
          <t>1276M85P05</t>
        </is>
      </c>
      <c r="P1662" s="31" t="inlineStr">
        <is>
          <t>SR Technics Switzerland</t>
        </is>
      </c>
    </row>
    <row r="1663">
      <c r="B1663" s="31" t="inlineStr">
        <is>
          <t>CFM56-5B</t>
        </is>
      </c>
      <c r="C1663" s="31" t="inlineStr">
        <is>
          <t>2025-2026</t>
        </is>
      </c>
      <c r="D1663" s="31" t="inlineStr">
        <is>
          <t>140131</t>
        </is>
      </c>
      <c r="E1663" s="31" t="inlineStr">
        <is>
          <t>72-52-08</t>
        </is>
      </c>
      <c r="F1663" s="31" t="inlineStr">
        <is>
          <t>B</t>
        </is>
      </c>
      <c r="G1663" s="31" t="inlineStr">
        <is>
          <t>HPT / nozzle</t>
        </is>
      </c>
      <c r="H1663" s="27" t="n">
        <v>4290</v>
      </c>
      <c r="I1663" s="27" t="n">
        <v>4550</v>
      </c>
      <c r="J1663" s="154">
        <f>I1663/H1663-1</f>
        <v/>
      </c>
      <c r="K1663" s="31" t="inlineStr">
        <is>
          <t>15</t>
        </is>
      </c>
      <c r="L1663" s="31" t="inlineStr">
        <is>
          <t>15</t>
        </is>
      </c>
      <c r="M1663" s="31" t="inlineStr">
        <is>
          <t>S2</t>
        </is>
      </c>
      <c r="N1663" s="31" t="inlineStr">
        <is>
          <t>S4</t>
        </is>
      </c>
      <c r="O1663" s="31" t="inlineStr">
        <is>
          <t>1851M59P01</t>
        </is>
      </c>
      <c r="P1663" s="31" t="inlineStr">
        <is>
          <t>SR Technics Switzerland</t>
        </is>
      </c>
    </row>
    <row r="1664">
      <c r="B1664" s="31" t="inlineStr">
        <is>
          <t>CFM56-5B</t>
        </is>
      </c>
      <c r="C1664" s="31" t="inlineStr">
        <is>
          <t>2025-2026</t>
        </is>
      </c>
      <c r="D1664" s="31" t="inlineStr">
        <is>
          <t>140131</t>
        </is>
      </c>
      <c r="E1664" s="31" t="inlineStr">
        <is>
          <t>72-52-08</t>
        </is>
      </c>
      <c r="F1664" s="31" t="inlineStr">
        <is>
          <t>C</t>
        </is>
      </c>
      <c r="G1664" s="31" t="inlineStr">
        <is>
          <t>HPT / nozzle</t>
        </is>
      </c>
      <c r="H1664" s="27" t="n">
        <v>865</v>
      </c>
      <c r="I1664" s="27" t="n">
        <v>920</v>
      </c>
      <c r="J1664" s="154">
        <f>I1664/H1664-1</f>
        <v/>
      </c>
      <c r="K1664" s="31" t="inlineStr">
        <is>
          <t>15</t>
        </is>
      </c>
      <c r="L1664" s="31" t="inlineStr">
        <is>
          <t>15</t>
        </is>
      </c>
      <c r="M1664" s="31" t="inlineStr">
        <is>
          <t>S2</t>
        </is>
      </c>
      <c r="N1664" s="31" t="inlineStr">
        <is>
          <t>S4</t>
        </is>
      </c>
      <c r="O1664" s="31" t="inlineStr">
        <is>
          <t>1851M59P01</t>
        </is>
      </c>
      <c r="P1664" s="31" t="inlineStr">
        <is>
          <t>SR Technics Switzerland</t>
        </is>
      </c>
    </row>
    <row r="1665">
      <c r="B1665" s="31" t="inlineStr">
        <is>
          <t>CFM56-5B</t>
        </is>
      </c>
      <c r="C1665" s="31" t="inlineStr">
        <is>
          <t>2025-2026</t>
        </is>
      </c>
      <c r="D1665" s="31" t="inlineStr">
        <is>
          <t>140150</t>
        </is>
      </c>
      <c r="E1665" s="31" t="inlineStr">
        <is>
          <t>72-23-23</t>
        </is>
      </c>
      <c r="F1665" s="31" t="inlineStr">
        <is>
          <t>A</t>
        </is>
      </c>
      <c r="G1665" s="31" t="inlineStr">
        <is>
          <t>Fan / booster</t>
        </is>
      </c>
      <c r="H1665" s="27" t="n">
        <v>1075</v>
      </c>
      <c r="I1665" s="27" t="n">
        <v>1130</v>
      </c>
      <c r="J1665" s="154">
        <f>I1665/H1665-1</f>
        <v/>
      </c>
      <c r="K1665" s="31" t="inlineStr">
        <is>
          <t>15</t>
        </is>
      </c>
      <c r="L1665" s="31" t="inlineStr">
        <is>
          <t>15</t>
        </is>
      </c>
      <c r="M1665" s="31" t="inlineStr">
        <is>
          <t>S2</t>
        </is>
      </c>
      <c r="N1665" s="31" t="inlineStr">
        <is>
          <t>S4</t>
        </is>
      </c>
      <c r="O1665" s="31" t="inlineStr">
        <is>
          <t>338-007-103-0</t>
        </is>
      </c>
      <c r="P1665" s="31" t="inlineStr">
        <is>
          <t>SR Technics Switzerland</t>
        </is>
      </c>
    </row>
    <row r="1666">
      <c r="B1666" s="31" t="inlineStr">
        <is>
          <t>CFM56-5B</t>
        </is>
      </c>
      <c r="C1666" s="31" t="inlineStr">
        <is>
          <t>2025-2026</t>
        </is>
      </c>
      <c r="D1666" s="31" t="inlineStr">
        <is>
          <t>140150</t>
        </is>
      </c>
      <c r="E1666" s="31" t="inlineStr">
        <is>
          <t>72-23-23</t>
        </is>
      </c>
      <c r="F1666" s="31" t="inlineStr">
        <is>
          <t>B</t>
        </is>
      </c>
      <c r="G1666" s="31" t="inlineStr">
        <is>
          <t>Fan / booster</t>
        </is>
      </c>
      <c r="H1666" s="27" t="n">
        <v>1340</v>
      </c>
      <c r="I1666" s="27" t="n">
        <v>1425</v>
      </c>
      <c r="J1666" s="154">
        <f>I1666/H1666-1</f>
        <v/>
      </c>
      <c r="K1666" s="31" t="inlineStr">
        <is>
          <t>15</t>
        </is>
      </c>
      <c r="L1666" s="31" t="inlineStr">
        <is>
          <t>15</t>
        </is>
      </c>
      <c r="M1666" s="31" t="inlineStr">
        <is>
          <t>S2</t>
        </is>
      </c>
      <c r="N1666" s="31" t="inlineStr">
        <is>
          <t>S4</t>
        </is>
      </c>
      <c r="O1666" s="31" t="inlineStr">
        <is>
          <t>338-007-103-0</t>
        </is>
      </c>
      <c r="P1666" s="31" t="inlineStr">
        <is>
          <t>SR Technics Switzerland</t>
        </is>
      </c>
    </row>
    <row r="1667">
      <c r="B1667" s="31" t="inlineStr">
        <is>
          <t>CFM56-5B</t>
        </is>
      </c>
      <c r="C1667" s="31" t="inlineStr">
        <is>
          <t>2025-2026</t>
        </is>
      </c>
      <c r="D1667" s="31" t="inlineStr">
        <is>
          <t>140150</t>
        </is>
      </c>
      <c r="E1667" s="31" t="inlineStr">
        <is>
          <t>72-23-23</t>
        </is>
      </c>
      <c r="F1667" s="31" t="inlineStr">
        <is>
          <t>E</t>
        </is>
      </c>
      <c r="G1667" s="31" t="inlineStr">
        <is>
          <t>Fan / booster</t>
        </is>
      </c>
      <c r="H1667" s="27" t="n">
        <v>5695</v>
      </c>
      <c r="I1667" s="27" t="n">
        <v>6040</v>
      </c>
      <c r="J1667" s="154">
        <f>I1667/H1667-1</f>
        <v/>
      </c>
      <c r="K1667" s="31" t="inlineStr">
        <is>
          <t>15</t>
        </is>
      </c>
      <c r="L1667" s="31" t="inlineStr">
        <is>
          <t>15</t>
        </is>
      </c>
      <c r="M1667" s="31" t="inlineStr">
        <is>
          <t>S2</t>
        </is>
      </c>
      <c r="N1667" s="31" t="inlineStr">
        <is>
          <t>S4</t>
        </is>
      </c>
      <c r="O1667" s="31" t="inlineStr">
        <is>
          <t>338-007-103-0</t>
        </is>
      </c>
      <c r="P1667" s="31" t="inlineStr">
        <is>
          <t>SR Technics Switzerland</t>
        </is>
      </c>
    </row>
    <row r="1668">
      <c r="B1668" s="31" t="inlineStr">
        <is>
          <t>CFM56-5B</t>
        </is>
      </c>
      <c r="C1668" s="31" t="inlineStr">
        <is>
          <t>2025-2026</t>
        </is>
      </c>
      <c r="D1668" s="31" t="inlineStr">
        <is>
          <t>140150</t>
        </is>
      </c>
      <c r="E1668" s="31" t="inlineStr">
        <is>
          <t>72-23-23</t>
        </is>
      </c>
      <c r="F1668" s="31" t="inlineStr">
        <is>
          <t>F</t>
        </is>
      </c>
      <c r="G1668" s="31" t="inlineStr">
        <is>
          <t>Fan / booster</t>
        </is>
      </c>
      <c r="H1668" s="27" t="n">
        <v>5410</v>
      </c>
      <c r="I1668" s="27" t="n">
        <v>5735</v>
      </c>
      <c r="J1668" s="154">
        <f>I1668/H1668-1</f>
        <v/>
      </c>
      <c r="K1668" s="31" t="inlineStr">
        <is>
          <t>15</t>
        </is>
      </c>
      <c r="L1668" s="31" t="inlineStr">
        <is>
          <t>15</t>
        </is>
      </c>
      <c r="M1668" s="31" t="inlineStr">
        <is>
          <t>S2</t>
        </is>
      </c>
      <c r="N1668" s="31" t="inlineStr">
        <is>
          <t>S4</t>
        </is>
      </c>
      <c r="O1668" s="31" t="inlineStr">
        <is>
          <t>338-007-103-0</t>
        </is>
      </c>
      <c r="P1668" s="31" t="inlineStr">
        <is>
          <t>SR Technics Switzerland</t>
        </is>
      </c>
    </row>
    <row r="1669">
      <c r="B1669" s="31" t="inlineStr">
        <is>
          <t>CFM56-5B</t>
        </is>
      </c>
      <c r="C1669" s="31" t="inlineStr">
        <is>
          <t>2025-2026</t>
        </is>
      </c>
      <c r="D1669" s="31" t="inlineStr">
        <is>
          <t>140150</t>
        </is>
      </c>
      <c r="E1669" s="31" t="inlineStr">
        <is>
          <t>72-23-23</t>
        </is>
      </c>
      <c r="F1669" s="31" t="inlineStr">
        <is>
          <t>G</t>
        </is>
      </c>
      <c r="G1669" s="31" t="inlineStr">
        <is>
          <t>Fan / booster</t>
        </is>
      </c>
      <c r="H1669" s="27" t="n">
        <v>2995</v>
      </c>
      <c r="I1669" s="27" t="n">
        <v>3175</v>
      </c>
      <c r="J1669" s="154">
        <f>I1669/H1669-1</f>
        <v/>
      </c>
      <c r="K1669" s="31" t="inlineStr">
        <is>
          <t>15</t>
        </is>
      </c>
      <c r="L1669" s="31" t="inlineStr">
        <is>
          <t>15</t>
        </is>
      </c>
      <c r="M1669" s="31" t="inlineStr">
        <is>
          <t>S2</t>
        </is>
      </c>
      <c r="N1669" s="31" t="inlineStr">
        <is>
          <t>S4</t>
        </is>
      </c>
      <c r="O1669" s="31" t="inlineStr">
        <is>
          <t>338-007-103-0</t>
        </is>
      </c>
      <c r="P1669" s="31" t="inlineStr">
        <is>
          <t>SR Technics Switzerland</t>
        </is>
      </c>
    </row>
    <row r="1670">
      <c r="B1670" s="31" t="inlineStr">
        <is>
          <t>CFM56-5B</t>
        </is>
      </c>
      <c r="C1670" s="31" t="inlineStr">
        <is>
          <t>2025-2026</t>
        </is>
      </c>
      <c r="D1670" s="31" t="inlineStr">
        <is>
          <t>140245</t>
        </is>
      </c>
      <c r="E1670" s="31" t="inlineStr">
        <is>
          <t>72-54-11</t>
        </is>
      </c>
      <c r="F1670" s="31" t="inlineStr">
        <is>
          <t>B</t>
        </is>
      </c>
      <c r="G1670" s="31" t="inlineStr">
        <is>
          <t>LPT</t>
        </is>
      </c>
      <c r="H1670" s="27" t="n">
        <v>1130</v>
      </c>
      <c r="I1670" s="27" t="n">
        <v>1200</v>
      </c>
      <c r="J1670" s="154">
        <f>I1670/H1670-1</f>
        <v/>
      </c>
      <c r="K1670" s="31" t="inlineStr">
        <is>
          <t>54</t>
        </is>
      </c>
      <c r="L1670" s="31" t="inlineStr">
        <is>
          <t>56</t>
        </is>
      </c>
      <c r="M1670" s="31" t="inlineStr">
        <is>
          <t>S2</t>
        </is>
      </c>
      <c r="N1670" s="31" t="inlineStr">
        <is>
          <t>S4</t>
        </is>
      </c>
      <c r="O1670" s="31" t="inlineStr">
        <is>
          <t>338-061-302-0</t>
        </is>
      </c>
      <c r="P1670" s="31" t="inlineStr">
        <is>
          <t>SR Technics Switzerland</t>
        </is>
      </c>
    </row>
    <row r="1671">
      <c r="B1671" s="31" t="inlineStr">
        <is>
          <t>CFM56-5B</t>
        </is>
      </c>
      <c r="C1671" s="31" t="inlineStr">
        <is>
          <t>2025-2026</t>
        </is>
      </c>
      <c r="D1671" s="31" t="inlineStr">
        <is>
          <t>140245</t>
        </is>
      </c>
      <c r="E1671" s="31" t="inlineStr">
        <is>
          <t>72-54-11</t>
        </is>
      </c>
      <c r="F1671" s="31" t="inlineStr">
        <is>
          <t>F</t>
        </is>
      </c>
      <c r="G1671" s="31" t="inlineStr">
        <is>
          <t>LPT</t>
        </is>
      </c>
      <c r="H1671" s="27" t="n">
        <v>845</v>
      </c>
      <c r="I1671" s="27" t="n">
        <v>900</v>
      </c>
      <c r="J1671" s="154">
        <f>I1671/H1671-1</f>
        <v/>
      </c>
      <c r="K1671" s="31" t="inlineStr">
        <is>
          <t>54</t>
        </is>
      </c>
      <c r="L1671" s="31" t="inlineStr">
        <is>
          <t>56</t>
        </is>
      </c>
      <c r="M1671" s="31" t="inlineStr">
        <is>
          <t>S2</t>
        </is>
      </c>
      <c r="N1671" s="31" t="inlineStr">
        <is>
          <t>S4</t>
        </is>
      </c>
      <c r="O1671" s="31" t="inlineStr">
        <is>
          <t>338-061-302-0</t>
        </is>
      </c>
      <c r="P1671" s="31" t="inlineStr">
        <is>
          <t>SR Technics Switzerland</t>
        </is>
      </c>
    </row>
    <row r="1672">
      <c r="B1672" s="31" t="inlineStr">
        <is>
          <t>CFM56-5B</t>
        </is>
      </c>
      <c r="C1672" s="31" t="inlineStr">
        <is>
          <t>2025-2026</t>
        </is>
      </c>
      <c r="D1672" s="31" t="inlineStr">
        <is>
          <t>140245</t>
        </is>
      </c>
      <c r="E1672" s="31" t="inlineStr">
        <is>
          <t>72-54-11</t>
        </is>
      </c>
      <c r="F1672" s="31" t="inlineStr">
        <is>
          <t>H</t>
        </is>
      </c>
      <c r="G1672" s="31" t="inlineStr">
        <is>
          <t>LPT</t>
        </is>
      </c>
      <c r="H1672" s="27" t="n">
        <v>585</v>
      </c>
      <c r="I1672" s="27" t="n">
        <v>625</v>
      </c>
      <c r="J1672" s="154">
        <f>I1672/H1672-1</f>
        <v/>
      </c>
      <c r="K1672" s="31" t="inlineStr">
        <is>
          <t>54</t>
        </is>
      </c>
      <c r="L1672" s="31" t="inlineStr">
        <is>
          <t>56</t>
        </is>
      </c>
      <c r="M1672" s="31" t="inlineStr">
        <is>
          <t>S2</t>
        </is>
      </c>
      <c r="N1672" s="31" t="inlineStr">
        <is>
          <t>S4</t>
        </is>
      </c>
      <c r="O1672" s="31" t="inlineStr">
        <is>
          <t>338-061-302-0</t>
        </is>
      </c>
      <c r="P1672" s="31" t="inlineStr">
        <is>
          <t>SR Technics Switzerland</t>
        </is>
      </c>
    </row>
    <row r="1673">
      <c r="B1673" s="31" t="inlineStr">
        <is>
          <t>CFM56-5B</t>
        </is>
      </c>
      <c r="C1673" s="31" t="inlineStr">
        <is>
          <t>2025-2026</t>
        </is>
      </c>
      <c r="D1673" s="31" t="inlineStr">
        <is>
          <t>140245</t>
        </is>
      </c>
      <c r="E1673" s="31" t="inlineStr">
        <is>
          <t>72-54-11</t>
        </is>
      </c>
      <c r="F1673" s="31" t="inlineStr">
        <is>
          <t>K</t>
        </is>
      </c>
      <c r="G1673" s="31" t="inlineStr">
        <is>
          <t>LPT</t>
        </is>
      </c>
      <c r="H1673" s="27" t="n">
        <v>460</v>
      </c>
      <c r="I1673" s="27" t="n">
        <v>490</v>
      </c>
      <c r="J1673" s="154">
        <f>I1673/H1673-1</f>
        <v/>
      </c>
      <c r="K1673" s="31" t="inlineStr">
        <is>
          <t>54</t>
        </is>
      </c>
      <c r="L1673" s="31" t="inlineStr">
        <is>
          <t>56</t>
        </is>
      </c>
      <c r="M1673" s="31" t="inlineStr">
        <is>
          <t>S2</t>
        </is>
      </c>
      <c r="N1673" s="31" t="inlineStr">
        <is>
          <t>S4</t>
        </is>
      </c>
      <c r="O1673" s="31" t="inlineStr">
        <is>
          <t>338-061-302-0</t>
        </is>
      </c>
      <c r="P1673" s="31" t="inlineStr">
        <is>
          <t>SR Technics Switzerland</t>
        </is>
      </c>
    </row>
    <row r="1674">
      <c r="B1674" s="31" t="inlineStr">
        <is>
          <t>CFM56-5B</t>
        </is>
      </c>
      <c r="C1674" s="31" t="inlineStr">
        <is>
          <t>2025-2026</t>
        </is>
      </c>
      <c r="D1674" s="31" t="inlineStr">
        <is>
          <t>140245</t>
        </is>
      </c>
      <c r="E1674" s="31" t="inlineStr">
        <is>
          <t>72-54-11</t>
        </is>
      </c>
      <c r="F1674" s="31" t="inlineStr">
        <is>
          <t>L</t>
        </is>
      </c>
      <c r="G1674" s="31" t="inlineStr">
        <is>
          <t>LPT</t>
        </is>
      </c>
      <c r="H1674" s="27" t="n">
        <v>3240</v>
      </c>
      <c r="I1674" s="27" t="n">
        <v>3435</v>
      </c>
      <c r="J1674" s="154">
        <f>I1674/H1674-1</f>
        <v/>
      </c>
      <c r="K1674" s="31" t="inlineStr">
        <is>
          <t>54</t>
        </is>
      </c>
      <c r="L1674" s="31" t="inlineStr">
        <is>
          <t>56</t>
        </is>
      </c>
      <c r="M1674" s="31" t="inlineStr">
        <is>
          <t>S2</t>
        </is>
      </c>
      <c r="N1674" s="31" t="inlineStr">
        <is>
          <t>S4</t>
        </is>
      </c>
      <c r="O1674" s="31" t="inlineStr">
        <is>
          <t>338-061-302-0</t>
        </is>
      </c>
      <c r="P1674" s="31" t="inlineStr">
        <is>
          <t>SR Technics Switzerland</t>
        </is>
      </c>
    </row>
    <row r="1675">
      <c r="B1675" s="31" t="inlineStr">
        <is>
          <t>CFM56-5B</t>
        </is>
      </c>
      <c r="C1675" s="31" t="inlineStr">
        <is>
          <t>2025-2026</t>
        </is>
      </c>
      <c r="D1675" s="31" t="inlineStr">
        <is>
          <t>140290</t>
        </is>
      </c>
      <c r="E1675" s="31" t="inlineStr">
        <is>
          <t>72-54-12</t>
        </is>
      </c>
      <c r="F1675" s="31" t="inlineStr">
        <is>
          <t>A</t>
        </is>
      </c>
      <c r="G1675" s="31" t="inlineStr">
        <is>
          <t>LPT</t>
        </is>
      </c>
      <c r="H1675" s="27" t="n">
        <v>245</v>
      </c>
      <c r="I1675" s="27" t="n">
        <v>265</v>
      </c>
      <c r="J1675" s="154">
        <f>I1675/H1675-1</f>
        <v/>
      </c>
      <c r="K1675" s="31" t="inlineStr">
        <is>
          <t>15</t>
        </is>
      </c>
      <c r="L1675" s="31" t="inlineStr">
        <is>
          <t>15, 16</t>
        </is>
      </c>
      <c r="M1675" s="31" t="inlineStr">
        <is>
          <t>S2</t>
        </is>
      </c>
      <c r="N1675" s="31" t="inlineStr">
        <is>
          <t>S4</t>
        </is>
      </c>
      <c r="O1675" s="31" t="inlineStr">
        <is>
          <t>338-061-004-0</t>
        </is>
      </c>
      <c r="P1675" s="31" t="inlineStr">
        <is>
          <t>SRTAS</t>
        </is>
      </c>
    </row>
    <row r="1676">
      <c r="B1676" s="31" t="inlineStr">
        <is>
          <t>CFM56-5B</t>
        </is>
      </c>
      <c r="C1676" s="31" t="inlineStr">
        <is>
          <t>2025-2026</t>
        </is>
      </c>
      <c r="D1676" s="31" t="inlineStr">
        <is>
          <t>140290</t>
        </is>
      </c>
      <c r="E1676" s="31" t="inlineStr">
        <is>
          <t>72-54-12</t>
        </is>
      </c>
      <c r="F1676" s="31" t="inlineStr">
        <is>
          <t>B</t>
        </is>
      </c>
      <c r="G1676" s="31" t="inlineStr">
        <is>
          <t>LPT</t>
        </is>
      </c>
      <c r="H1676" s="27" t="n">
        <v>1160</v>
      </c>
      <c r="I1676" s="27" t="n">
        <v>1245</v>
      </c>
      <c r="J1676" s="154">
        <f>I1676/H1676-1</f>
        <v/>
      </c>
      <c r="K1676" s="31" t="inlineStr">
        <is>
          <t>15</t>
        </is>
      </c>
      <c r="L1676" s="31" t="inlineStr">
        <is>
          <t>16</t>
        </is>
      </c>
      <c r="M1676" s="31" t="inlineStr">
        <is>
          <t>S2</t>
        </is>
      </c>
      <c r="N1676" s="31" t="inlineStr">
        <is>
          <t>S4</t>
        </is>
      </c>
      <c r="O1676" s="31" t="inlineStr">
        <is>
          <t>338-061-004-0</t>
        </is>
      </c>
      <c r="P1676" s="31" t="inlineStr">
        <is>
          <t>SRTAS</t>
        </is>
      </c>
    </row>
    <row r="1677">
      <c r="B1677" s="31" t="inlineStr">
        <is>
          <t>CFM56-5B</t>
        </is>
      </c>
      <c r="C1677" s="31" t="inlineStr">
        <is>
          <t>2025-2026</t>
        </is>
      </c>
      <c r="D1677" s="31" t="inlineStr">
        <is>
          <t>140290</t>
        </is>
      </c>
      <c r="E1677" s="31" t="inlineStr">
        <is>
          <t>72-54-12</t>
        </is>
      </c>
      <c r="F1677" s="31" t="inlineStr">
        <is>
          <t>D</t>
        </is>
      </c>
      <c r="G1677" s="31" t="inlineStr">
        <is>
          <t>LPT</t>
        </is>
      </c>
      <c r="H1677" s="27" t="n">
        <v>175</v>
      </c>
      <c r="I1677" s="27" t="n">
        <v>190</v>
      </c>
      <c r="J1677" s="154">
        <f>I1677/H1677-1</f>
        <v/>
      </c>
      <c r="K1677" s="31" t="inlineStr">
        <is>
          <t>16</t>
        </is>
      </c>
      <c r="L1677" s="31" t="inlineStr">
        <is>
          <t>16</t>
        </is>
      </c>
      <c r="M1677" s="31" t="inlineStr">
        <is>
          <t>S2</t>
        </is>
      </c>
      <c r="N1677" s="31" t="inlineStr">
        <is>
          <t>S4</t>
        </is>
      </c>
      <c r="O1677" s="31" t="inlineStr">
        <is>
          <t>338-061-004-0</t>
        </is>
      </c>
      <c r="P1677" s="31" t="inlineStr">
        <is>
          <t>SRTAS</t>
        </is>
      </c>
    </row>
    <row r="1678">
      <c r="B1678" s="31" t="inlineStr">
        <is>
          <t>CFM56-5B</t>
        </is>
      </c>
      <c r="C1678" s="31" t="inlineStr">
        <is>
          <t>2025-2026</t>
        </is>
      </c>
      <c r="D1678" s="31" t="inlineStr">
        <is>
          <t>140290</t>
        </is>
      </c>
      <c r="E1678" s="31" t="inlineStr">
        <is>
          <t>72-54-12</t>
        </is>
      </c>
      <c r="F1678" s="31" t="inlineStr">
        <is>
          <t>E</t>
        </is>
      </c>
      <c r="G1678" s="31" t="inlineStr">
        <is>
          <t>LPT</t>
        </is>
      </c>
      <c r="H1678" s="27" t="n">
        <v>2445</v>
      </c>
      <c r="I1678" s="27" t="n">
        <v>2620</v>
      </c>
      <c r="J1678" s="154">
        <f>I1678/H1678-1</f>
        <v/>
      </c>
      <c r="K1678" s="31" t="inlineStr">
        <is>
          <t>16</t>
        </is>
      </c>
      <c r="L1678" s="31" t="inlineStr">
        <is>
          <t>16</t>
        </is>
      </c>
      <c r="M1678" s="31" t="inlineStr">
        <is>
          <t>S2</t>
        </is>
      </c>
      <c r="N1678" s="31" t="inlineStr">
        <is>
          <t>S4</t>
        </is>
      </c>
      <c r="O1678" s="31" t="inlineStr">
        <is>
          <t>338-061-004-0</t>
        </is>
      </c>
      <c r="P1678" s="31" t="inlineStr">
        <is>
          <t>SRTAS</t>
        </is>
      </c>
    </row>
    <row r="1679">
      <c r="B1679" s="31" t="inlineStr">
        <is>
          <t>CFM56-5B</t>
        </is>
      </c>
      <c r="C1679" s="31" t="inlineStr">
        <is>
          <t>2025-2026</t>
        </is>
      </c>
      <c r="D1679" s="31" t="inlineStr">
        <is>
          <t>140290</t>
        </is>
      </c>
      <c r="E1679" s="31" t="inlineStr">
        <is>
          <t>72-54-12</t>
        </is>
      </c>
      <c r="F1679" s="31" t="inlineStr">
        <is>
          <t>F</t>
        </is>
      </c>
      <c r="G1679" s="31" t="inlineStr">
        <is>
          <t>LPT</t>
        </is>
      </c>
      <c r="H1679" s="27" t="n">
        <v>130</v>
      </c>
      <c r="I1679" s="27" t="n">
        <v>140</v>
      </c>
      <c r="J1679" s="154">
        <f>I1679/H1679-1</f>
        <v/>
      </c>
      <c r="K1679" s="31" t="inlineStr">
        <is>
          <t>16</t>
        </is>
      </c>
      <c r="L1679" s="31" t="inlineStr">
        <is>
          <t>16</t>
        </is>
      </c>
      <c r="M1679" s="31" t="inlineStr">
        <is>
          <t>S2</t>
        </is>
      </c>
      <c r="N1679" s="31" t="inlineStr">
        <is>
          <t>S4</t>
        </is>
      </c>
      <c r="O1679" s="31" t="inlineStr">
        <is>
          <t>338-061-004-0</t>
        </is>
      </c>
      <c r="P1679" s="31" t="inlineStr">
        <is>
          <t>SRTAS</t>
        </is>
      </c>
    </row>
    <row r="1680">
      <c r="B1680" s="31" t="inlineStr">
        <is>
          <t>CFM56-5B</t>
        </is>
      </c>
      <c r="C1680" s="31" t="inlineStr">
        <is>
          <t>2025-2026</t>
        </is>
      </c>
      <c r="D1680" s="31" t="inlineStr">
        <is>
          <t>140290</t>
        </is>
      </c>
      <c r="E1680" s="31" t="inlineStr">
        <is>
          <t>72-54-12</t>
        </is>
      </c>
      <c r="F1680" s="31" t="inlineStr">
        <is>
          <t>G</t>
        </is>
      </c>
      <c r="G1680" s="31" t="inlineStr">
        <is>
          <t>LPT</t>
        </is>
      </c>
      <c r="H1680" s="27" t="n">
        <v>245</v>
      </c>
      <c r="I1680" s="27" t="n">
        <v>265</v>
      </c>
      <c r="J1680" s="154">
        <f>I1680/H1680-1</f>
        <v/>
      </c>
      <c r="K1680" s="31" t="inlineStr">
        <is>
          <t>16</t>
        </is>
      </c>
      <c r="L1680" s="31" t="inlineStr">
        <is>
          <t>16</t>
        </is>
      </c>
      <c r="M1680" s="31" t="inlineStr">
        <is>
          <t>S2</t>
        </is>
      </c>
      <c r="N1680" s="31" t="inlineStr">
        <is>
          <t>S4</t>
        </is>
      </c>
      <c r="O1680" s="31" t="inlineStr">
        <is>
          <t>338-061-004-0</t>
        </is>
      </c>
      <c r="P1680" s="31" t="inlineStr">
        <is>
          <t>SRTAS</t>
        </is>
      </c>
    </row>
    <row r="1681">
      <c r="B1681" s="31" t="inlineStr">
        <is>
          <t>CFM56-5B</t>
        </is>
      </c>
      <c r="C1681" s="31" t="inlineStr">
        <is>
          <t>2025-2026</t>
        </is>
      </c>
      <c r="D1681" s="31" t="inlineStr">
        <is>
          <t>140290</t>
        </is>
      </c>
      <c r="E1681" s="31" t="inlineStr">
        <is>
          <t>72-54-12</t>
        </is>
      </c>
      <c r="F1681" s="31" t="inlineStr">
        <is>
          <t>H</t>
        </is>
      </c>
      <c r="G1681" s="31" t="inlineStr">
        <is>
          <t>LPT</t>
        </is>
      </c>
      <c r="H1681" s="27" t="n">
        <v>1145</v>
      </c>
      <c r="I1681" s="27" t="n">
        <v>1230</v>
      </c>
      <c r="J1681" s="154">
        <f>I1681/H1681-1</f>
        <v/>
      </c>
      <c r="K1681" s="31" t="inlineStr">
        <is>
          <t>16</t>
        </is>
      </c>
      <c r="L1681" s="31" t="inlineStr">
        <is>
          <t>16</t>
        </is>
      </c>
      <c r="M1681" s="31" t="inlineStr">
        <is>
          <t>S2</t>
        </is>
      </c>
      <c r="N1681" s="31" t="inlineStr">
        <is>
          <t>S4</t>
        </is>
      </c>
      <c r="O1681" s="31" t="inlineStr">
        <is>
          <t>338-061-004-0</t>
        </is>
      </c>
      <c r="P1681" s="31" t="inlineStr">
        <is>
          <t>SRTAS</t>
        </is>
      </c>
    </row>
    <row r="1682">
      <c r="B1682" s="31" t="inlineStr">
        <is>
          <t>CFM56-5B</t>
        </is>
      </c>
      <c r="C1682" s="31" t="inlineStr">
        <is>
          <t>2025-2026</t>
        </is>
      </c>
      <c r="D1682" s="31" t="inlineStr">
        <is>
          <t>140290</t>
        </is>
      </c>
      <c r="E1682" s="31" t="inlineStr">
        <is>
          <t>72-54-12</t>
        </is>
      </c>
      <c r="F1682" s="31" t="inlineStr">
        <is>
          <t>I</t>
        </is>
      </c>
      <c r="G1682" s="31" t="inlineStr">
        <is>
          <t>LPT</t>
        </is>
      </c>
      <c r="H1682" s="27" t="n">
        <v>175</v>
      </c>
      <c r="I1682" s="27" t="n">
        <v>190</v>
      </c>
      <c r="J1682" s="154">
        <f>I1682/H1682-1</f>
        <v/>
      </c>
      <c r="K1682" s="31" t="inlineStr">
        <is>
          <t>16</t>
        </is>
      </c>
      <c r="L1682" s="31" t="inlineStr">
        <is>
          <t>16</t>
        </is>
      </c>
      <c r="M1682" s="31" t="inlineStr">
        <is>
          <t>S2</t>
        </is>
      </c>
      <c r="N1682" s="31" t="inlineStr">
        <is>
          <t>S4</t>
        </is>
      </c>
      <c r="O1682" s="31" t="inlineStr">
        <is>
          <t>338-061-004-0</t>
        </is>
      </c>
      <c r="P1682" s="31" t="inlineStr">
        <is>
          <t>SRTAS</t>
        </is>
      </c>
    </row>
    <row r="1683">
      <c r="B1683" s="31" t="inlineStr">
        <is>
          <t>CFM56-5B</t>
        </is>
      </c>
      <c r="C1683" s="31" t="inlineStr">
        <is>
          <t>2025-2026</t>
        </is>
      </c>
      <c r="D1683" s="31" t="inlineStr">
        <is>
          <t>140290</t>
        </is>
      </c>
      <c r="E1683" s="31" t="inlineStr">
        <is>
          <t>72-54-12</t>
        </is>
      </c>
      <c r="F1683" s="31" t="inlineStr">
        <is>
          <t>J</t>
        </is>
      </c>
      <c r="G1683" s="31" t="inlineStr">
        <is>
          <t>LPT</t>
        </is>
      </c>
      <c r="H1683" s="27" t="n">
        <v>280</v>
      </c>
      <c r="I1683" s="27" t="n">
        <v>335</v>
      </c>
      <c r="J1683" s="154">
        <f>I1683/H1683-1</f>
        <v/>
      </c>
      <c r="K1683" s="31" t="inlineStr">
        <is>
          <t>16</t>
        </is>
      </c>
      <c r="L1683" s="31" t="inlineStr">
        <is>
          <t>16</t>
        </is>
      </c>
      <c r="M1683" s="31" t="inlineStr">
        <is>
          <t>S2</t>
        </is>
      </c>
      <c r="N1683" s="31" t="inlineStr">
        <is>
          <t>S4</t>
        </is>
      </c>
      <c r="O1683" s="31" t="inlineStr">
        <is>
          <t>338-061-004-0</t>
        </is>
      </c>
      <c r="P1683" s="31" t="inlineStr">
        <is>
          <t>SRTAS</t>
        </is>
      </c>
    </row>
    <row r="1684">
      <c r="B1684" s="31" t="inlineStr">
        <is>
          <t>CFM56-5B</t>
        </is>
      </c>
      <c r="C1684" s="31" t="inlineStr">
        <is>
          <t>2025-2026</t>
        </is>
      </c>
      <c r="D1684" s="31" t="inlineStr">
        <is>
          <t>140290</t>
        </is>
      </c>
      <c r="E1684" s="31" t="inlineStr">
        <is>
          <t>72-54-12</t>
        </is>
      </c>
      <c r="F1684" s="31" t="inlineStr">
        <is>
          <t>K</t>
        </is>
      </c>
      <c r="G1684" s="31" t="inlineStr">
        <is>
          <t>LPT</t>
        </is>
      </c>
      <c r="H1684" s="27" t="n">
        <v>245</v>
      </c>
      <c r="I1684" s="27" t="n">
        <v>265</v>
      </c>
      <c r="J1684" s="154">
        <f>I1684/H1684-1</f>
        <v/>
      </c>
      <c r="K1684" s="31" t="inlineStr">
        <is>
          <t>16</t>
        </is>
      </c>
      <c r="L1684" s="31" t="inlineStr">
        <is>
          <t>16</t>
        </is>
      </c>
      <c r="M1684" s="31" t="inlineStr">
        <is>
          <t>S2</t>
        </is>
      </c>
      <c r="N1684" s="31" t="inlineStr">
        <is>
          <t>S4</t>
        </is>
      </c>
      <c r="O1684" s="31" t="inlineStr">
        <is>
          <t>338-061-004-0</t>
        </is>
      </c>
      <c r="P1684" s="31" t="inlineStr">
        <is>
          <t>SRTAS</t>
        </is>
      </c>
    </row>
    <row r="1685">
      <c r="B1685" s="31" t="inlineStr">
        <is>
          <t>CFM56-5B</t>
        </is>
      </c>
      <c r="C1685" s="31" t="inlineStr">
        <is>
          <t>2025-2026</t>
        </is>
      </c>
      <c r="D1685" s="31" t="inlineStr">
        <is>
          <t>140290</t>
        </is>
      </c>
      <c r="E1685" s="31" t="inlineStr">
        <is>
          <t>72-54-12</t>
        </is>
      </c>
      <c r="F1685" s="31" t="inlineStr">
        <is>
          <t>L</t>
        </is>
      </c>
      <c r="G1685" s="31" t="inlineStr">
        <is>
          <t>LPT</t>
        </is>
      </c>
      <c r="H1685" s="27" t="n">
        <v>1225</v>
      </c>
      <c r="I1685" s="27" t="n">
        <v>1315</v>
      </c>
      <c r="J1685" s="154">
        <f>I1685/H1685-1</f>
        <v/>
      </c>
      <c r="K1685" s="31" t="inlineStr">
        <is>
          <t>16</t>
        </is>
      </c>
      <c r="L1685" s="31" t="inlineStr">
        <is>
          <t>16</t>
        </is>
      </c>
      <c r="M1685" s="31" t="inlineStr">
        <is>
          <t>S2</t>
        </is>
      </c>
      <c r="N1685" s="31" t="inlineStr">
        <is>
          <t>S4</t>
        </is>
      </c>
      <c r="O1685" s="31" t="inlineStr">
        <is>
          <t>338-061-004-0</t>
        </is>
      </c>
      <c r="P1685" s="31" t="inlineStr">
        <is>
          <t>SRTAS</t>
        </is>
      </c>
    </row>
    <row r="1686">
      <c r="B1686" s="31" t="inlineStr">
        <is>
          <t>CFM56-5B</t>
        </is>
      </c>
      <c r="C1686" s="31" t="inlineStr">
        <is>
          <t>2025-2026</t>
        </is>
      </c>
      <c r="D1686" s="31" t="inlineStr">
        <is>
          <t>140290</t>
        </is>
      </c>
      <c r="E1686" s="31" t="inlineStr">
        <is>
          <t>72-54-12</t>
        </is>
      </c>
      <c r="F1686" s="31" t="inlineStr">
        <is>
          <t>M</t>
        </is>
      </c>
      <c r="G1686" s="31" t="inlineStr">
        <is>
          <t>LPT</t>
        </is>
      </c>
      <c r="H1686" s="27" t="n">
        <v>280</v>
      </c>
      <c r="I1686" s="27" t="n">
        <v>335</v>
      </c>
      <c r="J1686" s="154">
        <f>I1686/H1686-1</f>
        <v/>
      </c>
      <c r="K1686" s="31" t="inlineStr">
        <is>
          <t>16</t>
        </is>
      </c>
      <c r="L1686" s="31" t="inlineStr">
        <is>
          <t>16, 17</t>
        </is>
      </c>
      <c r="M1686" s="31" t="inlineStr">
        <is>
          <t>S2</t>
        </is>
      </c>
      <c r="N1686" s="31" t="inlineStr">
        <is>
          <t>S4</t>
        </is>
      </c>
      <c r="O1686" s="31" t="inlineStr">
        <is>
          <t>338-061-004-0</t>
        </is>
      </c>
      <c r="P1686" s="31" t="inlineStr">
        <is>
          <t>SRTAS</t>
        </is>
      </c>
    </row>
    <row r="1687">
      <c r="B1687" s="31" t="inlineStr">
        <is>
          <t>CFM56-5B</t>
        </is>
      </c>
      <c r="C1687" s="31" t="inlineStr">
        <is>
          <t>2025-2026</t>
        </is>
      </c>
      <c r="D1687" s="31" t="inlineStr">
        <is>
          <t>140290</t>
        </is>
      </c>
      <c r="E1687" s="31" t="inlineStr">
        <is>
          <t>72-54-12</t>
        </is>
      </c>
      <c r="F1687" s="31" t="inlineStr">
        <is>
          <t>N</t>
        </is>
      </c>
      <c r="G1687" s="31" t="inlineStr">
        <is>
          <t>LPT</t>
        </is>
      </c>
      <c r="H1687" s="27" t="n">
        <v>885</v>
      </c>
      <c r="I1687" s="27" t="n">
        <v>950</v>
      </c>
      <c r="J1687" s="154">
        <f>I1687/H1687-1</f>
        <v/>
      </c>
      <c r="K1687" s="31" t="inlineStr">
        <is>
          <t>16</t>
        </is>
      </c>
      <c r="L1687" s="31" t="inlineStr">
        <is>
          <t>17</t>
        </is>
      </c>
      <c r="M1687" s="31" t="inlineStr">
        <is>
          <t>S2</t>
        </is>
      </c>
      <c r="N1687" s="31" t="inlineStr">
        <is>
          <t>S4</t>
        </is>
      </c>
      <c r="O1687" s="31" t="inlineStr">
        <is>
          <t>338-061-004-0</t>
        </is>
      </c>
      <c r="P1687" s="31" t="inlineStr">
        <is>
          <t>SRTAS</t>
        </is>
      </c>
    </row>
    <row r="1688">
      <c r="B1688" s="31" t="inlineStr">
        <is>
          <t>CFM56-5B</t>
        </is>
      </c>
      <c r="C1688" s="31" t="inlineStr">
        <is>
          <t>2025-2026</t>
        </is>
      </c>
      <c r="D1688" s="31" t="inlineStr">
        <is>
          <t>140290</t>
        </is>
      </c>
      <c r="E1688" s="31" t="inlineStr">
        <is>
          <t>72-54-12</t>
        </is>
      </c>
      <c r="F1688" s="31" t="inlineStr">
        <is>
          <t>O</t>
        </is>
      </c>
      <c r="G1688" s="31" t="inlineStr">
        <is>
          <t>LPT</t>
        </is>
      </c>
      <c r="H1688" s="27" t="n">
        <v>200</v>
      </c>
      <c r="I1688" s="27" t="n">
        <v>215</v>
      </c>
      <c r="J1688" s="154">
        <f>I1688/H1688-1</f>
        <v/>
      </c>
      <c r="K1688" s="31" t="inlineStr">
        <is>
          <t>16</t>
        </is>
      </c>
      <c r="L1688" s="31" t="inlineStr">
        <is>
          <t>17</t>
        </is>
      </c>
      <c r="M1688" s="31" t="inlineStr">
        <is>
          <t>S2</t>
        </is>
      </c>
      <c r="N1688" s="31" t="inlineStr">
        <is>
          <t>S4</t>
        </is>
      </c>
      <c r="O1688" s="31" t="inlineStr">
        <is>
          <t>338-061-004-0</t>
        </is>
      </c>
      <c r="P1688" s="31" t="inlineStr">
        <is>
          <t>SRTAS</t>
        </is>
      </c>
    </row>
    <row r="1689">
      <c r="B1689" s="31" t="inlineStr">
        <is>
          <t>CFM56-5B</t>
        </is>
      </c>
      <c r="C1689" s="31" t="inlineStr">
        <is>
          <t>2025-2026</t>
        </is>
      </c>
      <c r="D1689" s="31" t="inlineStr">
        <is>
          <t>141267</t>
        </is>
      </c>
      <c r="E1689" s="31" t="inlineStr">
        <is>
          <t>72-62-07</t>
        </is>
      </c>
      <c r="F1689" s="31" t="inlineStr">
        <is>
          <t>A</t>
        </is>
      </c>
      <c r="G1689" s="31" t="inlineStr">
        <is>
          <t>Gearbox</t>
        </is>
      </c>
      <c r="H1689" s="27" t="n">
        <v>305</v>
      </c>
      <c r="I1689" s="27" t="n">
        <v>325</v>
      </c>
      <c r="J1689" s="154">
        <f>I1689/H1689-1</f>
        <v/>
      </c>
      <c r="K1689" s="31" t="inlineStr">
        <is>
          <t>16</t>
        </is>
      </c>
      <c r="L1689" s="31" t="inlineStr">
        <is>
          <t>17</t>
        </is>
      </c>
      <c r="M1689" s="31" t="inlineStr">
        <is>
          <t>S2</t>
        </is>
      </c>
      <c r="N1689" s="31" t="inlineStr">
        <is>
          <t>S4</t>
        </is>
      </c>
      <c r="O1689" s="31" t="inlineStr">
        <is>
          <t>305-138-501-0</t>
        </is>
      </c>
      <c r="P1689" s="31" t="inlineStr">
        <is>
          <t>SR Technics Switzerland</t>
        </is>
      </c>
    </row>
    <row r="1690">
      <c r="B1690" s="31" t="inlineStr">
        <is>
          <t>CFM56-5B</t>
        </is>
      </c>
      <c r="C1690" s="31" t="inlineStr">
        <is>
          <t>2025-2026</t>
        </is>
      </c>
      <c r="D1690" s="31" t="inlineStr">
        <is>
          <t>141267</t>
        </is>
      </c>
      <c r="E1690" s="31" t="inlineStr">
        <is>
          <t>72-62-07</t>
        </is>
      </c>
      <c r="F1690" s="31" t="inlineStr">
        <is>
          <t>B</t>
        </is>
      </c>
      <c r="G1690" s="31" t="inlineStr">
        <is>
          <t>Gearbox</t>
        </is>
      </c>
      <c r="H1690" s="27" t="n">
        <v>395</v>
      </c>
      <c r="I1690" s="27" t="n">
        <v>420</v>
      </c>
      <c r="J1690" s="154">
        <f>I1690/H1690-1</f>
        <v/>
      </c>
      <c r="K1690" s="31" t="inlineStr">
        <is>
          <t>16</t>
        </is>
      </c>
      <c r="L1690" s="31" t="inlineStr">
        <is>
          <t>17</t>
        </is>
      </c>
      <c r="M1690" s="31" t="inlineStr">
        <is>
          <t>S2</t>
        </is>
      </c>
      <c r="N1690" s="31" t="inlineStr">
        <is>
          <t>S4</t>
        </is>
      </c>
      <c r="O1690" s="31" t="inlineStr">
        <is>
          <t>305-138-501-0</t>
        </is>
      </c>
      <c r="P1690" s="31" t="inlineStr">
        <is>
          <t>SR Technics Switzerland</t>
        </is>
      </c>
    </row>
    <row r="1691">
      <c r="B1691" s="31" t="inlineStr">
        <is>
          <t>CFM56-5B</t>
        </is>
      </c>
      <c r="C1691" s="31" t="inlineStr">
        <is>
          <t>2025-2026</t>
        </is>
      </c>
      <c r="D1691" s="31" t="inlineStr">
        <is>
          <t>144718</t>
        </is>
      </c>
      <c r="E1691" s="31" t="inlineStr">
        <is>
          <t>72-41-07</t>
        </is>
      </c>
      <c r="F1691" s="31" t="inlineStr">
        <is>
          <t>A</t>
        </is>
      </c>
      <c r="G1691" s="31" t="inlineStr">
        <is>
          <t>Combustor</t>
        </is>
      </c>
      <c r="H1691" s="27" t="n">
        <v>1060</v>
      </c>
      <c r="I1691" s="27" t="n">
        <v>1115</v>
      </c>
      <c r="J1691" s="154">
        <f>I1691/H1691-1</f>
        <v/>
      </c>
      <c r="K1691" s="31" t="inlineStr">
        <is>
          <t>55</t>
        </is>
      </c>
      <c r="L1691" s="31" t="inlineStr">
        <is>
          <t>57</t>
        </is>
      </c>
      <c r="M1691" s="31" t="inlineStr">
        <is>
          <t>S2</t>
        </is>
      </c>
      <c r="N1691" s="31" t="inlineStr">
        <is>
          <t>S4</t>
        </is>
      </c>
      <c r="O1691" s="31" t="inlineStr">
        <is>
          <t>1498M53G01</t>
        </is>
      </c>
      <c r="P1691" s="31" t="inlineStr">
        <is>
          <t>SR Technics Switzerland</t>
        </is>
      </c>
    </row>
    <row r="1692">
      <c r="B1692" s="31" t="inlineStr">
        <is>
          <t>CFM56-5B</t>
        </is>
      </c>
      <c r="C1692" s="31" t="inlineStr">
        <is>
          <t>2025-2026</t>
        </is>
      </c>
      <c r="D1692" s="31" t="inlineStr">
        <is>
          <t>144718</t>
        </is>
      </c>
      <c r="E1692" s="31" t="inlineStr">
        <is>
          <t>72-41-07</t>
        </is>
      </c>
      <c r="F1692" s="31" t="inlineStr">
        <is>
          <t>B</t>
        </is>
      </c>
      <c r="G1692" s="31" t="inlineStr">
        <is>
          <t>Combustor</t>
        </is>
      </c>
      <c r="H1692" s="27" t="n">
        <v>4605</v>
      </c>
      <c r="I1692" s="27" t="n">
        <v>4885</v>
      </c>
      <c r="J1692" s="154">
        <f>I1692/H1692-1</f>
        <v/>
      </c>
      <c r="K1692" s="31" t="inlineStr">
        <is>
          <t>55</t>
        </is>
      </c>
      <c r="L1692" s="31" t="inlineStr">
        <is>
          <t>57</t>
        </is>
      </c>
      <c r="M1692" s="31" t="inlineStr">
        <is>
          <t>S2</t>
        </is>
      </c>
      <c r="N1692" s="31" t="inlineStr">
        <is>
          <t>S4</t>
        </is>
      </c>
      <c r="O1692" s="31" t="inlineStr">
        <is>
          <t>1498M53G01</t>
        </is>
      </c>
      <c r="P1692" s="31" t="inlineStr">
        <is>
          <t>SR Technics Switzerland</t>
        </is>
      </c>
    </row>
    <row r="1693">
      <c r="B1693" s="31" t="inlineStr">
        <is>
          <t>CFM56-5B</t>
        </is>
      </c>
      <c r="C1693" s="31" t="inlineStr">
        <is>
          <t>2025-2026</t>
        </is>
      </c>
      <c r="D1693" s="31" t="inlineStr">
        <is>
          <t>144718</t>
        </is>
      </c>
      <c r="E1693" s="31" t="inlineStr">
        <is>
          <t>72-41-07</t>
        </is>
      </c>
      <c r="F1693" s="31" t="inlineStr">
        <is>
          <t>C</t>
        </is>
      </c>
      <c r="G1693" s="31" t="inlineStr">
        <is>
          <t>Combustor</t>
        </is>
      </c>
      <c r="H1693" s="27" t="n">
        <v>120</v>
      </c>
      <c r="I1693" s="27" t="n">
        <v>130</v>
      </c>
      <c r="J1693" s="154">
        <f>I1693/H1693-1</f>
        <v/>
      </c>
      <c r="K1693" s="31" t="inlineStr">
        <is>
          <t>55</t>
        </is>
      </c>
      <c r="L1693" s="31" t="inlineStr">
        <is>
          <t>57</t>
        </is>
      </c>
      <c r="M1693" s="31" t="inlineStr">
        <is>
          <t>S2</t>
        </is>
      </c>
      <c r="N1693" s="31" t="inlineStr">
        <is>
          <t>S4</t>
        </is>
      </c>
      <c r="O1693" s="31" t="inlineStr">
        <is>
          <t>1498M53G01</t>
        </is>
      </c>
      <c r="P1693" s="31" t="inlineStr">
        <is>
          <t>SR Technics Switzerland</t>
        </is>
      </c>
    </row>
    <row r="1694">
      <c r="B1694" s="31" t="inlineStr">
        <is>
          <t>CFM56-5B</t>
        </is>
      </c>
      <c r="C1694" s="31" t="inlineStr">
        <is>
          <t>2025-2026</t>
        </is>
      </c>
      <c r="D1694" s="31" t="inlineStr">
        <is>
          <t>144730</t>
        </is>
      </c>
      <c r="E1694" s="31" t="inlineStr">
        <is>
          <t>72-54-05</t>
        </is>
      </c>
      <c r="F1694" s="31" t="inlineStr">
        <is>
          <t>A</t>
        </is>
      </c>
      <c r="G1694" s="31" t="inlineStr">
        <is>
          <t>LPT</t>
        </is>
      </c>
      <c r="H1694" s="27" t="n">
        <v>1100</v>
      </c>
      <c r="I1694" s="27" t="n">
        <v>1155</v>
      </c>
      <c r="J1694" s="154">
        <f>I1694/H1694-1</f>
        <v/>
      </c>
      <c r="K1694" s="31" t="inlineStr">
        <is>
          <t>16</t>
        </is>
      </c>
      <c r="L1694" s="31" t="inlineStr">
        <is>
          <t>17</t>
        </is>
      </c>
      <c r="M1694" s="31" t="inlineStr">
        <is>
          <t>S2</t>
        </is>
      </c>
      <c r="N1694" s="31" t="inlineStr">
        <is>
          <t>S4</t>
        </is>
      </c>
      <c r="O1694" s="31" t="inlineStr">
        <is>
          <t>338-077-501-0</t>
        </is>
      </c>
      <c r="P1694" s="31" t="inlineStr">
        <is>
          <t>SR Technics Switzerland</t>
        </is>
      </c>
    </row>
    <row r="1695">
      <c r="B1695" s="31" t="inlineStr">
        <is>
          <t>CFM56-5B</t>
        </is>
      </c>
      <c r="C1695" s="31" t="inlineStr">
        <is>
          <t>2025-2026</t>
        </is>
      </c>
      <c r="D1695" s="31" t="inlineStr">
        <is>
          <t>144730</t>
        </is>
      </c>
      <c r="E1695" s="31" t="inlineStr">
        <is>
          <t>72-54-05</t>
        </is>
      </c>
      <c r="F1695" s="31" t="inlineStr">
        <is>
          <t>B</t>
        </is>
      </c>
      <c r="G1695" s="31" t="inlineStr">
        <is>
          <t>LPT</t>
        </is>
      </c>
      <c r="H1695" s="27" t="n">
        <v>700</v>
      </c>
      <c r="I1695" s="27" t="n">
        <v>745</v>
      </c>
      <c r="J1695" s="154">
        <f>I1695/H1695-1</f>
        <v/>
      </c>
      <c r="K1695" s="31" t="inlineStr">
        <is>
          <t>17</t>
        </is>
      </c>
      <c r="L1695" s="31" t="inlineStr">
        <is>
          <t>17</t>
        </is>
      </c>
      <c r="M1695" s="31" t="inlineStr">
        <is>
          <t>S2</t>
        </is>
      </c>
      <c r="N1695" s="31" t="inlineStr">
        <is>
          <t>S4</t>
        </is>
      </c>
      <c r="O1695" s="31" t="inlineStr">
        <is>
          <t>338-077-501-0</t>
        </is>
      </c>
      <c r="P1695" s="31" t="inlineStr">
        <is>
          <t>SR Technics Switzerland</t>
        </is>
      </c>
    </row>
    <row r="1696">
      <c r="B1696" s="31" t="inlineStr">
        <is>
          <t>CFM56-5B</t>
        </is>
      </c>
      <c r="C1696" s="31" t="inlineStr">
        <is>
          <t>2025-2026</t>
        </is>
      </c>
      <c r="D1696" s="31" t="inlineStr">
        <is>
          <t>144730</t>
        </is>
      </c>
      <c r="E1696" s="31" t="inlineStr">
        <is>
          <t>72-54-05</t>
        </is>
      </c>
      <c r="F1696" s="31" t="inlineStr">
        <is>
          <t>I</t>
        </is>
      </c>
      <c r="G1696" s="31" t="inlineStr">
        <is>
          <t>LPT</t>
        </is>
      </c>
      <c r="H1696" s="27" t="n">
        <v>2985</v>
      </c>
      <c r="I1696" s="27" t="n">
        <v>3165</v>
      </c>
      <c r="J1696" s="154">
        <f>I1696/H1696-1</f>
        <v/>
      </c>
      <c r="K1696" s="31" t="inlineStr">
        <is>
          <t>17</t>
        </is>
      </c>
      <c r="L1696" s="31" t="inlineStr">
        <is>
          <t>17</t>
        </is>
      </c>
      <c r="M1696" s="31" t="inlineStr">
        <is>
          <t>S2</t>
        </is>
      </c>
      <c r="N1696" s="31" t="inlineStr">
        <is>
          <t>S4</t>
        </is>
      </c>
      <c r="O1696" s="31" t="inlineStr">
        <is>
          <t>338-077-501-0</t>
        </is>
      </c>
      <c r="P1696" s="31" t="inlineStr">
        <is>
          <t>SR Technics Switzerland</t>
        </is>
      </c>
    </row>
    <row r="1697">
      <c r="B1697" s="31" t="inlineStr">
        <is>
          <t>CFM56-5B</t>
        </is>
      </c>
      <c r="C1697" s="31" t="inlineStr">
        <is>
          <t>2025-2026</t>
        </is>
      </c>
      <c r="D1697" s="31" t="inlineStr">
        <is>
          <t>144730</t>
        </is>
      </c>
      <c r="E1697" s="31" t="inlineStr">
        <is>
          <t>72-54-05</t>
        </is>
      </c>
      <c r="F1697" s="31" t="inlineStr">
        <is>
          <t>SB00</t>
        </is>
      </c>
      <c r="G1697" s="31" t="inlineStr">
        <is>
          <t>LPT</t>
        </is>
      </c>
      <c r="H1697" s="27" t="n">
        <v>900</v>
      </c>
      <c r="I1697" s="27" t="n">
        <v>955</v>
      </c>
      <c r="J1697" s="154">
        <f>I1697/H1697-1</f>
        <v/>
      </c>
      <c r="K1697" s="31" t="inlineStr">
        <is>
          <t>17</t>
        </is>
      </c>
      <c r="L1697" s="31" t="inlineStr">
        <is>
          <t>17</t>
        </is>
      </c>
      <c r="M1697" s="31" t="inlineStr">
        <is>
          <t>S2</t>
        </is>
      </c>
      <c r="N1697" s="31" t="inlineStr">
        <is>
          <t>S4</t>
        </is>
      </c>
      <c r="O1697" s="31" t="inlineStr">
        <is>
          <t>338-077-501-0</t>
        </is>
      </c>
      <c r="P1697" s="31" t="inlineStr">
        <is>
          <t>SR Technics Switzerland</t>
        </is>
      </c>
    </row>
    <row r="1698">
      <c r="B1698" s="31" t="inlineStr">
        <is>
          <t>CFM56-5B</t>
        </is>
      </c>
      <c r="C1698" s="31" t="inlineStr">
        <is>
          <t>2025-2026</t>
        </is>
      </c>
      <c r="D1698" s="31" t="inlineStr">
        <is>
          <t>144739</t>
        </is>
      </c>
      <c r="E1698" s="31" t="inlineStr">
        <is>
          <t>72-21-05</t>
        </is>
      </c>
      <c r="F1698" s="31" t="inlineStr">
        <is>
          <t>A</t>
        </is>
      </c>
      <c r="G1698" s="31" t="inlineStr">
        <is>
          <t>Fan / booster</t>
        </is>
      </c>
      <c r="H1698" s="27" t="n">
        <v>750</v>
      </c>
      <c r="I1698" s="27" t="n">
        <v>790</v>
      </c>
      <c r="J1698" s="154">
        <f>I1698/H1698-1</f>
        <v/>
      </c>
      <c r="K1698" s="31" t="inlineStr">
        <is>
          <t>17</t>
        </is>
      </c>
      <c r="L1698" s="31" t="inlineStr">
        <is>
          <t>17</t>
        </is>
      </c>
      <c r="M1698" s="31" t="inlineStr">
        <is>
          <t>S2</t>
        </is>
      </c>
      <c r="N1698" s="31" t="inlineStr">
        <is>
          <t>S4</t>
        </is>
      </c>
      <c r="O1698" s="31" t="inlineStr">
        <is>
          <t>2406M75G01</t>
        </is>
      </c>
      <c r="P1698" s="31" t="inlineStr">
        <is>
          <t>SR Technics Switzerland</t>
        </is>
      </c>
    </row>
    <row r="1699">
      <c r="B1699" s="31" t="inlineStr">
        <is>
          <t>CFM56-5B</t>
        </is>
      </c>
      <c r="C1699" s="31" t="inlineStr">
        <is>
          <t>2025-2026</t>
        </is>
      </c>
      <c r="D1699" s="31" t="inlineStr">
        <is>
          <t>144739</t>
        </is>
      </c>
      <c r="E1699" s="31" t="inlineStr">
        <is>
          <t>72-21-05</t>
        </is>
      </c>
      <c r="F1699" s="31" t="inlineStr">
        <is>
          <t>AB</t>
        </is>
      </c>
      <c r="G1699" s="31" t="inlineStr">
        <is>
          <t>Fan / booster</t>
        </is>
      </c>
      <c r="H1699" s="27" t="n">
        <v>1305</v>
      </c>
      <c r="I1699" s="27" t="n">
        <v>1385</v>
      </c>
      <c r="J1699" s="154">
        <f>I1699/H1699-1</f>
        <v/>
      </c>
      <c r="K1699" s="31" t="inlineStr">
        <is>
          <t>17</t>
        </is>
      </c>
      <c r="L1699" s="31" t="inlineStr">
        <is>
          <t>17</t>
        </is>
      </c>
      <c r="M1699" s="31" t="inlineStr">
        <is>
          <t>S2</t>
        </is>
      </c>
      <c r="N1699" s="31" t="inlineStr">
        <is>
          <t>S4</t>
        </is>
      </c>
      <c r="O1699" s="31" t="inlineStr">
        <is>
          <t>2406M75G01</t>
        </is>
      </c>
      <c r="P1699" s="31" t="inlineStr">
        <is>
          <t>SR Technics Switzerland</t>
        </is>
      </c>
    </row>
    <row r="1700">
      <c r="B1700" s="31" t="inlineStr">
        <is>
          <t>CFM56-5B</t>
        </is>
      </c>
      <c r="C1700" s="31" t="inlineStr">
        <is>
          <t>2025-2026</t>
        </is>
      </c>
      <c r="D1700" s="31" t="inlineStr">
        <is>
          <t>144739</t>
        </is>
      </c>
      <c r="E1700" s="31" t="inlineStr">
        <is>
          <t>72-21-05</t>
        </is>
      </c>
      <c r="F1700" s="31" t="inlineStr">
        <is>
          <t>AE</t>
        </is>
      </c>
      <c r="G1700" s="31" t="inlineStr">
        <is>
          <t>Fan / booster</t>
        </is>
      </c>
      <c r="H1700" s="27" t="n">
        <v>1570</v>
      </c>
      <c r="I1700" s="27" t="n">
        <v>1665</v>
      </c>
      <c r="J1700" s="154">
        <f>I1700/H1700-1</f>
        <v/>
      </c>
      <c r="K1700" s="31" t="inlineStr">
        <is>
          <t>17</t>
        </is>
      </c>
      <c r="L1700" s="31" t="inlineStr">
        <is>
          <t>17</t>
        </is>
      </c>
      <c r="M1700" s="31" t="inlineStr">
        <is>
          <t>S2</t>
        </is>
      </c>
      <c r="N1700" s="31" t="inlineStr">
        <is>
          <t>S4</t>
        </is>
      </c>
      <c r="O1700" s="31" t="inlineStr">
        <is>
          <t>2406M75G01</t>
        </is>
      </c>
      <c r="P1700" s="31" t="inlineStr">
        <is>
          <t>SR Technics Switzerland</t>
        </is>
      </c>
    </row>
    <row r="1701">
      <c r="B1701" s="31" t="inlineStr">
        <is>
          <t>CFM56-5B</t>
        </is>
      </c>
      <c r="C1701" s="31" t="inlineStr">
        <is>
          <t>2025-2026</t>
        </is>
      </c>
      <c r="D1701" s="31" t="inlineStr">
        <is>
          <t>144739</t>
        </is>
      </c>
      <c r="E1701" s="31" t="inlineStr">
        <is>
          <t>72-21-05</t>
        </is>
      </c>
      <c r="F1701" s="31" t="inlineStr">
        <is>
          <t>AG</t>
        </is>
      </c>
      <c r="G1701" s="31" t="inlineStr">
        <is>
          <t>Fan / booster</t>
        </is>
      </c>
      <c r="H1701" s="27" t="n">
        <v>2600</v>
      </c>
      <c r="I1701" s="27" t="n">
        <v>2760</v>
      </c>
      <c r="J1701" s="154">
        <f>I1701/H1701-1</f>
        <v/>
      </c>
      <c r="K1701" s="31" t="inlineStr">
        <is>
          <t>17</t>
        </is>
      </c>
      <c r="L1701" s="31" t="inlineStr">
        <is>
          <t>17</t>
        </is>
      </c>
      <c r="M1701" s="31" t="inlineStr">
        <is>
          <t>S2</t>
        </is>
      </c>
      <c r="N1701" s="31" t="inlineStr">
        <is>
          <t>S4</t>
        </is>
      </c>
      <c r="O1701" s="31" t="inlineStr">
        <is>
          <t>2406M75G01</t>
        </is>
      </c>
      <c r="P1701" s="31" t="inlineStr">
        <is>
          <t>SR Technics Switzerland</t>
        </is>
      </c>
    </row>
    <row r="1702">
      <c r="B1702" s="31" t="inlineStr">
        <is>
          <t>CFM56-5B</t>
        </is>
      </c>
      <c r="C1702" s="31" t="inlineStr">
        <is>
          <t>2025-2026</t>
        </is>
      </c>
      <c r="D1702" s="31" t="inlineStr">
        <is>
          <t>144739</t>
        </is>
      </c>
      <c r="E1702" s="31" t="inlineStr">
        <is>
          <t>72-21-05</t>
        </is>
      </c>
      <c r="F1702" s="31" t="inlineStr">
        <is>
          <t>B</t>
        </is>
      </c>
      <c r="G1702" s="31" t="inlineStr">
        <is>
          <t>Fan / booster</t>
        </is>
      </c>
      <c r="H1702" s="27" t="n">
        <v>1305</v>
      </c>
      <c r="I1702" s="27" t="n">
        <v>1385</v>
      </c>
      <c r="J1702" s="154">
        <f>I1702/H1702-1</f>
        <v/>
      </c>
      <c r="K1702" s="31" t="inlineStr">
        <is>
          <t>17</t>
        </is>
      </c>
      <c r="L1702" s="31" t="inlineStr">
        <is>
          <t>17</t>
        </is>
      </c>
      <c r="M1702" s="31" t="inlineStr">
        <is>
          <t>S2</t>
        </is>
      </c>
      <c r="N1702" s="31" t="inlineStr">
        <is>
          <t>S4</t>
        </is>
      </c>
      <c r="O1702" s="31" t="inlineStr">
        <is>
          <t>2406M75G01</t>
        </is>
      </c>
      <c r="P1702" s="31" t="inlineStr">
        <is>
          <t>SR Technics Switzerland</t>
        </is>
      </c>
    </row>
    <row r="1703">
      <c r="B1703" s="31" t="inlineStr">
        <is>
          <t>CFM56-5B</t>
        </is>
      </c>
      <c r="C1703" s="31" t="inlineStr">
        <is>
          <t>2025-2026</t>
        </is>
      </c>
      <c r="D1703" s="31" t="inlineStr">
        <is>
          <t>144739</t>
        </is>
      </c>
      <c r="E1703" s="31" t="inlineStr">
        <is>
          <t>72-21-05</t>
        </is>
      </c>
      <c r="F1703" s="31" t="inlineStr">
        <is>
          <t>C</t>
        </is>
      </c>
      <c r="G1703" s="31" t="inlineStr">
        <is>
          <t>Fan / booster</t>
        </is>
      </c>
      <c r="H1703" s="27" t="n">
        <v>1300</v>
      </c>
      <c r="I1703" s="27" t="n">
        <v>1380</v>
      </c>
      <c r="J1703" s="154">
        <f>I1703/H1703-1</f>
        <v/>
      </c>
      <c r="K1703" s="31" t="inlineStr">
        <is>
          <t>17</t>
        </is>
      </c>
      <c r="L1703" s="31" t="inlineStr">
        <is>
          <t>17</t>
        </is>
      </c>
      <c r="M1703" s="31" t="inlineStr">
        <is>
          <t>S2</t>
        </is>
      </c>
      <c r="N1703" s="31" t="inlineStr">
        <is>
          <t>S4</t>
        </is>
      </c>
      <c r="O1703" s="31" t="inlineStr">
        <is>
          <t>2406M75G01</t>
        </is>
      </c>
      <c r="P1703" s="31" t="inlineStr">
        <is>
          <t>SR Technics Switzerland</t>
        </is>
      </c>
    </row>
    <row r="1704">
      <c r="B1704" s="31" t="inlineStr">
        <is>
          <t>CFM56-5B</t>
        </is>
      </c>
      <c r="C1704" s="31" t="inlineStr">
        <is>
          <t>2025-2026</t>
        </is>
      </c>
      <c r="D1704" s="31" t="inlineStr">
        <is>
          <t>144739</t>
        </is>
      </c>
      <c r="E1704" s="31" t="inlineStr">
        <is>
          <t>72-21-05</t>
        </is>
      </c>
      <c r="F1704" s="31" t="inlineStr">
        <is>
          <t>D</t>
        </is>
      </c>
      <c r="G1704" s="31" t="inlineStr">
        <is>
          <t>Fan / booster</t>
        </is>
      </c>
      <c r="H1704" s="27" t="n">
        <v>555</v>
      </c>
      <c r="I1704" s="27" t="n">
        <v>590</v>
      </c>
      <c r="J1704" s="154">
        <f>I1704/H1704-1</f>
        <v/>
      </c>
      <c r="K1704" s="31" t="inlineStr">
        <is>
          <t>17</t>
        </is>
      </c>
      <c r="L1704" s="31" t="inlineStr">
        <is>
          <t>17</t>
        </is>
      </c>
      <c r="M1704" s="31" t="inlineStr">
        <is>
          <t>S2</t>
        </is>
      </c>
      <c r="N1704" s="31" t="inlineStr">
        <is>
          <t>S4</t>
        </is>
      </c>
      <c r="O1704" s="31" t="inlineStr">
        <is>
          <t>2406M75G01</t>
        </is>
      </c>
      <c r="P1704" s="31" t="inlineStr">
        <is>
          <t>SR Technics Switzerland</t>
        </is>
      </c>
    </row>
    <row r="1705">
      <c r="B1705" s="31" t="inlineStr">
        <is>
          <t>CFM56-5B</t>
        </is>
      </c>
      <c r="C1705" s="31" t="inlineStr">
        <is>
          <t>2025-2026</t>
        </is>
      </c>
      <c r="D1705" s="31" t="inlineStr">
        <is>
          <t>144739</t>
        </is>
      </c>
      <c r="E1705" s="31" t="inlineStr">
        <is>
          <t>72-21-05</t>
        </is>
      </c>
      <c r="F1705" s="31" t="inlineStr">
        <is>
          <t>T</t>
        </is>
      </c>
      <c r="G1705" s="31" t="inlineStr">
        <is>
          <t>Fan / booster</t>
        </is>
      </c>
      <c r="H1705" s="27" t="n">
        <v>1665</v>
      </c>
      <c r="I1705" s="27" t="n">
        <v>1765</v>
      </c>
      <c r="J1705" s="154">
        <f>I1705/H1705-1</f>
        <v/>
      </c>
      <c r="K1705" s="31" t="inlineStr">
        <is>
          <t>17</t>
        </is>
      </c>
      <c r="L1705" s="31" t="inlineStr">
        <is>
          <t>17</t>
        </is>
      </c>
      <c r="M1705" s="31" t="inlineStr">
        <is>
          <t>S2</t>
        </is>
      </c>
      <c r="N1705" s="31" t="inlineStr">
        <is>
          <t>S4</t>
        </is>
      </c>
      <c r="O1705" s="31" t="inlineStr">
        <is>
          <t>2406M75G01</t>
        </is>
      </c>
      <c r="P1705" s="31" t="inlineStr">
        <is>
          <t>SR Technics Switzerland</t>
        </is>
      </c>
    </row>
    <row r="1706">
      <c r="B1706" s="31" t="inlineStr">
        <is>
          <t>CFM56-5B</t>
        </is>
      </c>
      <c r="C1706" s="31" t="inlineStr">
        <is>
          <t>2025-2026</t>
        </is>
      </c>
      <c r="D1706" s="31" t="inlineStr">
        <is>
          <t>144741</t>
        </is>
      </c>
      <c r="E1706" s="31" t="inlineStr">
        <is>
          <t>72-23-26</t>
        </is>
      </c>
      <c r="F1706" s="31" t="inlineStr">
        <is>
          <t>B</t>
        </is>
      </c>
      <c r="G1706" s="31" t="inlineStr">
        <is>
          <t>Fan / booster</t>
        </is>
      </c>
      <c r="H1706" s="27" t="n">
        <v>165</v>
      </c>
      <c r="I1706" s="27" t="n">
        <v>175</v>
      </c>
      <c r="J1706" s="154">
        <f>I1706/H1706-1</f>
        <v/>
      </c>
      <c r="K1706" s="31" t="inlineStr">
        <is>
          <t>55</t>
        </is>
      </c>
      <c r="L1706" s="31" t="inlineStr">
        <is>
          <t>57</t>
        </is>
      </c>
      <c r="M1706" s="31" t="inlineStr">
        <is>
          <t>S2</t>
        </is>
      </c>
      <c r="N1706" s="31" t="inlineStr">
        <is>
          <t>S4</t>
        </is>
      </c>
      <c r="O1706" s="31" t="inlineStr">
        <is>
          <t>305-397-203-0</t>
        </is>
      </c>
      <c r="P1706" s="31" t="inlineStr">
        <is>
          <t>SR Technics Switzerland</t>
        </is>
      </c>
    </row>
    <row r="1707">
      <c r="B1707" s="31" t="inlineStr">
        <is>
          <t>CFM56-5B</t>
        </is>
      </c>
      <c r="C1707" s="31" t="inlineStr">
        <is>
          <t>2025-2026</t>
        </is>
      </c>
      <c r="D1707" s="31" t="inlineStr">
        <is>
          <t>144755</t>
        </is>
      </c>
      <c r="E1707" s="31" t="inlineStr">
        <is>
          <t>72-21-04</t>
        </is>
      </c>
      <c r="F1707" s="31" t="inlineStr">
        <is>
          <t>A</t>
        </is>
      </c>
      <c r="G1707" s="31" t="inlineStr">
        <is>
          <t>Fan / booster</t>
        </is>
      </c>
      <c r="H1707" s="27" t="n">
        <v>2020</v>
      </c>
      <c r="I1707" s="27" t="n">
        <v>2300</v>
      </c>
      <c r="J1707" s="154">
        <f>I1707/H1707-1</f>
        <v/>
      </c>
      <c r="K1707" s="31" t="inlineStr">
        <is>
          <t>55</t>
        </is>
      </c>
      <c r="L1707" s="31" t="inlineStr">
        <is>
          <t>57</t>
        </is>
      </c>
      <c r="M1707" s="31" t="inlineStr">
        <is>
          <t>S2</t>
        </is>
      </c>
      <c r="N1707" s="31" t="inlineStr">
        <is>
          <t>S4</t>
        </is>
      </c>
      <c r="O1707" s="31" t="inlineStr">
        <is>
          <t>338-001-905-0</t>
        </is>
      </c>
      <c r="P1707" s="31" t="inlineStr">
        <is>
          <t>SR Technics Switzerland</t>
        </is>
      </c>
    </row>
    <row r="1708">
      <c r="B1708" s="31" t="inlineStr">
        <is>
          <t>CFM56-5B</t>
        </is>
      </c>
      <c r="C1708" s="31" t="inlineStr">
        <is>
          <t>2025-2026</t>
        </is>
      </c>
      <c r="D1708" s="31" t="inlineStr">
        <is>
          <t>144755</t>
        </is>
      </c>
      <c r="E1708" s="31" t="inlineStr">
        <is>
          <t>72-21-04</t>
        </is>
      </c>
      <c r="F1708" s="31" t="inlineStr">
        <is>
          <t>B</t>
        </is>
      </c>
      <c r="G1708" s="31" t="inlineStr">
        <is>
          <t>Fan / booster</t>
        </is>
      </c>
      <c r="H1708" s="27" t="n">
        <v>2335</v>
      </c>
      <c r="I1708" s="27" t="n">
        <v>2480</v>
      </c>
      <c r="J1708" s="154">
        <f>I1708/H1708-1</f>
        <v/>
      </c>
      <c r="K1708" s="31" t="inlineStr">
        <is>
          <t>55</t>
        </is>
      </c>
      <c r="L1708" s="31" t="inlineStr">
        <is>
          <t>57</t>
        </is>
      </c>
      <c r="M1708" s="31" t="inlineStr">
        <is>
          <t>S2</t>
        </is>
      </c>
      <c r="N1708" s="31" t="inlineStr">
        <is>
          <t>S4</t>
        </is>
      </c>
      <c r="O1708" s="31" t="inlineStr">
        <is>
          <t>338-001-905-0</t>
        </is>
      </c>
      <c r="P1708" s="31" t="inlineStr">
        <is>
          <t>SR Technics Switzerland</t>
        </is>
      </c>
    </row>
    <row r="1709">
      <c r="B1709" s="31" t="inlineStr">
        <is>
          <t>CFM56-5B</t>
        </is>
      </c>
      <c r="C1709" s="31" t="inlineStr">
        <is>
          <t>2025-2026</t>
        </is>
      </c>
      <c r="D1709" s="31" t="inlineStr">
        <is>
          <t>144755</t>
        </is>
      </c>
      <c r="E1709" s="31" t="inlineStr">
        <is>
          <t>72-21-04</t>
        </is>
      </c>
      <c r="F1709" s="31" t="inlineStr">
        <is>
          <t>E</t>
        </is>
      </c>
      <c r="G1709" s="31" t="inlineStr">
        <is>
          <t>Fan / booster</t>
        </is>
      </c>
      <c r="H1709" s="27" t="n">
        <v>435</v>
      </c>
      <c r="I1709" s="27" t="n">
        <v>465</v>
      </c>
      <c r="J1709" s="154">
        <f>I1709/H1709-1</f>
        <v/>
      </c>
      <c r="K1709" s="31" t="inlineStr">
        <is>
          <t>55</t>
        </is>
      </c>
      <c r="L1709" s="31" t="inlineStr">
        <is>
          <t>57</t>
        </is>
      </c>
      <c r="M1709" s="31" t="inlineStr">
        <is>
          <t>S2</t>
        </is>
      </c>
      <c r="N1709" s="31" t="inlineStr">
        <is>
          <t>S4</t>
        </is>
      </c>
      <c r="O1709" s="31" t="inlineStr">
        <is>
          <t>338-001-905-0</t>
        </is>
      </c>
      <c r="P1709" s="31" t="inlineStr">
        <is>
          <t>SR Technics Switzerland</t>
        </is>
      </c>
    </row>
    <row r="1710">
      <c r="B1710" s="31" t="inlineStr">
        <is>
          <t>CFM56-5B</t>
        </is>
      </c>
      <c r="C1710" s="31" t="inlineStr">
        <is>
          <t>2025-2026</t>
        </is>
      </c>
      <c r="D1710" s="31" t="inlineStr">
        <is>
          <t>144755</t>
        </is>
      </c>
      <c r="E1710" s="31" t="inlineStr">
        <is>
          <t>72-21-04</t>
        </is>
      </c>
      <c r="F1710" s="31" t="inlineStr">
        <is>
          <t>K</t>
        </is>
      </c>
      <c r="G1710" s="31" t="inlineStr">
        <is>
          <t>Fan / booster</t>
        </is>
      </c>
      <c r="H1710" s="27" t="n">
        <v>2595</v>
      </c>
      <c r="I1710" s="27" t="n">
        <v>2755</v>
      </c>
      <c r="J1710" s="154">
        <f>I1710/H1710-1</f>
        <v/>
      </c>
      <c r="K1710" s="31" t="inlineStr">
        <is>
          <t>55</t>
        </is>
      </c>
      <c r="L1710" s="31" t="inlineStr">
        <is>
          <t>57</t>
        </is>
      </c>
      <c r="M1710" s="31" t="inlineStr">
        <is>
          <t>S2</t>
        </is>
      </c>
      <c r="N1710" s="31" t="inlineStr">
        <is>
          <t>S4</t>
        </is>
      </c>
      <c r="O1710" s="31" t="inlineStr">
        <is>
          <t>338-001-905-0</t>
        </is>
      </c>
      <c r="P1710" s="31" t="inlineStr">
        <is>
          <t>SR Technics Switzerland</t>
        </is>
      </c>
    </row>
    <row r="1711">
      <c r="B1711" s="31" t="inlineStr">
        <is>
          <t>CFM56-5B</t>
        </is>
      </c>
      <c r="C1711" s="31" t="inlineStr">
        <is>
          <t>2025-2026</t>
        </is>
      </c>
      <c r="D1711" s="31" t="inlineStr">
        <is>
          <t>144756</t>
        </is>
      </c>
      <c r="E1711" s="31" t="inlineStr">
        <is>
          <t>72-21-04</t>
        </is>
      </c>
      <c r="F1711" s="31" t="inlineStr">
        <is>
          <t>A</t>
        </is>
      </c>
      <c r="G1711" s="31" t="inlineStr">
        <is>
          <t>Fan / booster</t>
        </is>
      </c>
      <c r="H1711" s="27" t="n">
        <v>605</v>
      </c>
      <c r="I1711" s="27" t="n">
        <v>640</v>
      </c>
      <c r="J1711" s="154">
        <f>I1711/H1711-1</f>
        <v/>
      </c>
      <c r="K1711" s="31" t="inlineStr">
        <is>
          <t>55</t>
        </is>
      </c>
      <c r="L1711" s="31" t="inlineStr">
        <is>
          <t>57</t>
        </is>
      </c>
      <c r="M1711" s="31" t="inlineStr">
        <is>
          <t>S2</t>
        </is>
      </c>
      <c r="N1711" s="31" t="inlineStr">
        <is>
          <t>S4</t>
        </is>
      </c>
      <c r="O1711" s="31" t="inlineStr">
        <is>
          <t>338-002-701-0</t>
        </is>
      </c>
      <c r="P1711" s="31" t="inlineStr">
        <is>
          <t>SR Technics Switzerland</t>
        </is>
      </c>
    </row>
    <row r="1712">
      <c r="B1712" s="31" t="inlineStr">
        <is>
          <t>CFM56-5B</t>
        </is>
      </c>
      <c r="C1712" s="31" t="inlineStr">
        <is>
          <t>2025-2026</t>
        </is>
      </c>
      <c r="D1712" s="31" t="inlineStr">
        <is>
          <t>144759</t>
        </is>
      </c>
      <c r="E1712" s="31" t="inlineStr">
        <is>
          <t>72-22-02</t>
        </is>
      </c>
      <c r="F1712" s="31" t="inlineStr">
        <is>
          <t>A</t>
        </is>
      </c>
      <c r="G1712" s="31" t="inlineStr">
        <is>
          <t>Fan / booster</t>
        </is>
      </c>
      <c r="H1712" s="27" t="n">
        <v>870</v>
      </c>
      <c r="I1712" s="27" t="n">
        <v>915</v>
      </c>
      <c r="J1712" s="154">
        <f>I1712/H1712-1</f>
        <v/>
      </c>
      <c r="K1712" s="31" t="inlineStr">
        <is>
          <t>17</t>
        </is>
      </c>
      <c r="L1712" s="31" t="inlineStr">
        <is>
          <t>17</t>
        </is>
      </c>
      <c r="M1712" s="31" t="inlineStr">
        <is>
          <t>S2</t>
        </is>
      </c>
      <c r="N1712" s="31" t="inlineStr">
        <is>
          <t>S4</t>
        </is>
      </c>
      <c r="O1712" s="31" t="inlineStr">
        <is>
          <t>338-010-502-0</t>
        </is>
      </c>
      <c r="P1712" s="31" t="inlineStr">
        <is>
          <t>SR Technics Switzerland</t>
        </is>
      </c>
    </row>
    <row r="1713">
      <c r="B1713" s="31" t="inlineStr">
        <is>
          <t>CFM56-5B</t>
        </is>
      </c>
      <c r="C1713" s="31" t="inlineStr">
        <is>
          <t>2025-2026</t>
        </is>
      </c>
      <c r="D1713" s="31" t="inlineStr">
        <is>
          <t>144759</t>
        </is>
      </c>
      <c r="E1713" s="31" t="inlineStr">
        <is>
          <t>72-22-02</t>
        </is>
      </c>
      <c r="F1713" s="31" t="inlineStr">
        <is>
          <t>L</t>
        </is>
      </c>
      <c r="G1713" s="31" t="inlineStr">
        <is>
          <t>Fan / booster</t>
        </is>
      </c>
      <c r="H1713" s="27" t="n">
        <v>175</v>
      </c>
      <c r="I1713" s="27" t="n">
        <v>190</v>
      </c>
      <c r="J1713" s="154">
        <f>I1713/H1713-1</f>
        <v/>
      </c>
      <c r="K1713" s="31" t="inlineStr">
        <is>
          <t>17</t>
        </is>
      </c>
      <c r="L1713" s="31" t="inlineStr">
        <is>
          <t>17</t>
        </is>
      </c>
      <c r="M1713" s="31" t="inlineStr">
        <is>
          <t>S2</t>
        </is>
      </c>
      <c r="N1713" s="31" t="inlineStr">
        <is>
          <t>S4</t>
        </is>
      </c>
      <c r="O1713" s="31" t="inlineStr">
        <is>
          <t>338-010-502-0</t>
        </is>
      </c>
      <c r="P1713" s="31" t="inlineStr">
        <is>
          <t>SR Technics Switzerland</t>
        </is>
      </c>
    </row>
    <row r="1714">
      <c r="B1714" s="31" t="inlineStr">
        <is>
          <t>CFM56-5B</t>
        </is>
      </c>
      <c r="C1714" s="31" t="inlineStr">
        <is>
          <t>2025-2026</t>
        </is>
      </c>
      <c r="D1714" s="31" t="inlineStr">
        <is>
          <t>144776</t>
        </is>
      </c>
      <c r="E1714" s="31" t="inlineStr">
        <is>
          <t>72-42-01</t>
        </is>
      </c>
      <c r="F1714" s="31" t="inlineStr">
        <is>
          <t>A</t>
        </is>
      </c>
      <c r="G1714" s="31" t="inlineStr">
        <is>
          <t>Combustor</t>
        </is>
      </c>
      <c r="H1714" s="27" t="n">
        <v>820</v>
      </c>
      <c r="I1714" s="27" t="n">
        <v>865</v>
      </c>
      <c r="J1714" s="154">
        <f>I1714/H1714-1</f>
        <v/>
      </c>
      <c r="K1714" s="31" t="inlineStr">
        <is>
          <t>17</t>
        </is>
      </c>
      <c r="L1714" s="31" t="inlineStr">
        <is>
          <t>17</t>
        </is>
      </c>
      <c r="M1714" s="31" t="inlineStr">
        <is>
          <t>S2</t>
        </is>
      </c>
      <c r="N1714" s="31" t="inlineStr">
        <is>
          <t>S4</t>
        </is>
      </c>
      <c r="O1714" s="31" t="inlineStr">
        <is>
          <t>1968M59G01</t>
        </is>
      </c>
      <c r="P1714" s="31" t="inlineStr">
        <is>
          <t>SR Technics Switzerland</t>
        </is>
      </c>
    </row>
    <row r="1715">
      <c r="B1715" s="31" t="inlineStr">
        <is>
          <t>CFM56-5B</t>
        </is>
      </c>
      <c r="C1715" s="31" t="inlineStr">
        <is>
          <t>2025-2026</t>
        </is>
      </c>
      <c r="D1715" s="31" t="inlineStr">
        <is>
          <t>144776</t>
        </is>
      </c>
      <c r="E1715" s="31" t="inlineStr">
        <is>
          <t>72-42-01</t>
        </is>
      </c>
      <c r="F1715" s="31" t="inlineStr">
        <is>
          <t>B</t>
        </is>
      </c>
      <c r="G1715" s="31" t="inlineStr">
        <is>
          <t>Combustor</t>
        </is>
      </c>
      <c r="H1715" s="27" t="n">
        <v>1695</v>
      </c>
      <c r="I1715" s="27" t="n">
        <v>1800</v>
      </c>
      <c r="J1715" s="154">
        <f>I1715/H1715-1</f>
        <v/>
      </c>
      <c r="K1715" s="31" t="inlineStr">
        <is>
          <t>17</t>
        </is>
      </c>
      <c r="L1715" s="31" t="inlineStr">
        <is>
          <t>17</t>
        </is>
      </c>
      <c r="M1715" s="31" t="inlineStr">
        <is>
          <t>S2</t>
        </is>
      </c>
      <c r="N1715" s="31" t="inlineStr">
        <is>
          <t>S4</t>
        </is>
      </c>
      <c r="O1715" s="31" t="inlineStr">
        <is>
          <t>1968M59G01</t>
        </is>
      </c>
      <c r="P1715" s="31" t="inlineStr">
        <is>
          <t>SR Technics Switzerland</t>
        </is>
      </c>
    </row>
    <row r="1716">
      <c r="B1716" s="31" t="inlineStr">
        <is>
          <t>CFM56-5B</t>
        </is>
      </c>
      <c r="C1716" s="31" t="inlineStr">
        <is>
          <t>2025-2026</t>
        </is>
      </c>
      <c r="D1716" s="31" t="inlineStr">
        <is>
          <t>144778</t>
        </is>
      </c>
      <c r="E1716" s="31" t="inlineStr">
        <is>
          <t>72-54-16</t>
        </is>
      </c>
      <c r="F1716" s="31" t="inlineStr">
        <is>
          <t>A</t>
        </is>
      </c>
      <c r="G1716" s="31" t="inlineStr">
        <is>
          <t>LPT</t>
        </is>
      </c>
      <c r="H1716" s="27" t="n">
        <v>1000</v>
      </c>
      <c r="I1716" s="27" t="n">
        <v>1050</v>
      </c>
      <c r="J1716" s="154">
        <f>I1716/H1716-1</f>
        <v/>
      </c>
      <c r="K1716" s="31" t="inlineStr">
        <is>
          <t>17</t>
        </is>
      </c>
      <c r="L1716" s="31" t="inlineStr">
        <is>
          <t>17</t>
        </is>
      </c>
      <c r="M1716" s="31" t="inlineStr">
        <is>
          <t>S2</t>
        </is>
      </c>
      <c r="N1716" s="31" t="inlineStr">
        <is>
          <t>S4</t>
        </is>
      </c>
      <c r="O1716" s="31" t="inlineStr">
        <is>
          <t>336-026-302-0</t>
        </is>
      </c>
      <c r="P1716" s="31" t="inlineStr">
        <is>
          <t>SR Technics Switzerland</t>
        </is>
      </c>
    </row>
    <row r="1717">
      <c r="B1717" s="31" t="inlineStr">
        <is>
          <t>CFM56-5B</t>
        </is>
      </c>
      <c r="C1717" s="31" t="inlineStr">
        <is>
          <t>2025-2026</t>
        </is>
      </c>
      <c r="D1717" s="31" t="inlineStr">
        <is>
          <t>144778</t>
        </is>
      </c>
      <c r="E1717" s="31" t="inlineStr">
        <is>
          <t>72-54-16</t>
        </is>
      </c>
      <c r="F1717" s="31" t="inlineStr">
        <is>
          <t>B</t>
        </is>
      </c>
      <c r="G1717" s="31" t="inlineStr">
        <is>
          <t>LPT</t>
        </is>
      </c>
      <c r="H1717" s="27" t="n">
        <v>4800</v>
      </c>
      <c r="I1717" s="27" t="n">
        <v>5090</v>
      </c>
      <c r="J1717" s="154">
        <f>I1717/H1717-1</f>
        <v/>
      </c>
      <c r="K1717" s="31" t="inlineStr">
        <is>
          <t>17</t>
        </is>
      </c>
      <c r="L1717" s="31" t="inlineStr">
        <is>
          <t>17</t>
        </is>
      </c>
      <c r="M1717" s="31" t="inlineStr">
        <is>
          <t>S2</t>
        </is>
      </c>
      <c r="N1717" s="31" t="inlineStr">
        <is>
          <t>S4</t>
        </is>
      </c>
      <c r="O1717" s="31" t="inlineStr">
        <is>
          <t>336-026-302-0</t>
        </is>
      </c>
      <c r="P1717" s="31" t="inlineStr">
        <is>
          <t>SR Technics Switzerland</t>
        </is>
      </c>
    </row>
    <row r="1718">
      <c r="B1718" s="31" t="inlineStr">
        <is>
          <t>CFM56-5B</t>
        </is>
      </c>
      <c r="C1718" s="31" t="inlineStr">
        <is>
          <t>2025-2026</t>
        </is>
      </c>
      <c r="D1718" s="31" t="inlineStr">
        <is>
          <t>144778</t>
        </is>
      </c>
      <c r="E1718" s="31" t="inlineStr">
        <is>
          <t>72-54-16</t>
        </is>
      </c>
      <c r="F1718" s="31" t="inlineStr">
        <is>
          <t>C</t>
        </is>
      </c>
      <c r="G1718" s="31" t="inlineStr">
        <is>
          <t>LPT</t>
        </is>
      </c>
      <c r="H1718" s="27" t="n">
        <v>2080</v>
      </c>
      <c r="I1718" s="27" t="n">
        <v>2205</v>
      </c>
      <c r="J1718" s="154">
        <f>I1718/H1718-1</f>
        <v/>
      </c>
      <c r="K1718" s="31" t="inlineStr">
        <is>
          <t>17</t>
        </is>
      </c>
      <c r="L1718" s="31" t="inlineStr">
        <is>
          <t>17</t>
        </is>
      </c>
      <c r="M1718" s="31" t="inlineStr">
        <is>
          <t>S2</t>
        </is>
      </c>
      <c r="N1718" s="31" t="inlineStr">
        <is>
          <t>S4</t>
        </is>
      </c>
      <c r="O1718" s="31" t="inlineStr">
        <is>
          <t>336-026-302-0</t>
        </is>
      </c>
      <c r="P1718" s="31" t="inlineStr">
        <is>
          <t>SR Technics Switzerland</t>
        </is>
      </c>
    </row>
    <row r="1719">
      <c r="B1719" s="31" t="inlineStr">
        <is>
          <t>CFM56-5B</t>
        </is>
      </c>
      <c r="C1719" s="31" t="inlineStr">
        <is>
          <t>2025-2026</t>
        </is>
      </c>
      <c r="D1719" s="31" t="inlineStr">
        <is>
          <t>144787</t>
        </is>
      </c>
      <c r="E1719" s="31" t="inlineStr">
        <is>
          <t>72-55-01</t>
        </is>
      </c>
      <c r="F1719" s="31" t="inlineStr">
        <is>
          <t>A</t>
        </is>
      </c>
      <c r="G1719" s="31" t="inlineStr">
        <is>
          <t>LPT</t>
        </is>
      </c>
      <c r="H1719" s="27" t="n">
        <v>1500</v>
      </c>
      <c r="I1719" s="27" t="n">
        <v>1575</v>
      </c>
      <c r="J1719" s="154">
        <f>I1719/H1719-1</f>
        <v/>
      </c>
      <c r="K1719" s="31" t="inlineStr">
        <is>
          <t>55</t>
        </is>
      </c>
      <c r="L1719" s="31" t="inlineStr">
        <is>
          <t>57</t>
        </is>
      </c>
      <c r="M1719" s="31" t="inlineStr">
        <is>
          <t>S2</t>
        </is>
      </c>
      <c r="N1719" s="31" t="inlineStr">
        <is>
          <t>S4</t>
        </is>
      </c>
      <c r="O1719" s="31" t="inlineStr">
        <is>
          <t>337-002-910-0</t>
        </is>
      </c>
      <c r="P1719" s="31" t="inlineStr">
        <is>
          <t>SR Technics Switzerland</t>
        </is>
      </c>
    </row>
    <row r="1720">
      <c r="B1720" s="31" t="inlineStr">
        <is>
          <t>CFM56-5B</t>
        </is>
      </c>
      <c r="C1720" s="31" t="inlineStr">
        <is>
          <t>2025-2026</t>
        </is>
      </c>
      <c r="D1720" s="31" t="inlineStr">
        <is>
          <t>144787</t>
        </is>
      </c>
      <c r="E1720" s="31" t="inlineStr">
        <is>
          <t>72-55-01</t>
        </is>
      </c>
      <c r="F1720" s="31" t="inlineStr">
        <is>
          <t>B</t>
        </is>
      </c>
      <c r="G1720" s="31" t="inlineStr">
        <is>
          <t>LPT</t>
        </is>
      </c>
      <c r="H1720" s="27" t="n">
        <v>1040</v>
      </c>
      <c r="I1720" s="27" t="n">
        <v>1105</v>
      </c>
      <c r="J1720" s="154">
        <f>I1720/H1720-1</f>
        <v/>
      </c>
      <c r="K1720" s="31" t="inlineStr">
        <is>
          <t>55</t>
        </is>
      </c>
      <c r="L1720" s="31" t="inlineStr">
        <is>
          <t>57</t>
        </is>
      </c>
      <c r="M1720" s="31" t="inlineStr">
        <is>
          <t>S2</t>
        </is>
      </c>
      <c r="N1720" s="31" t="inlineStr">
        <is>
          <t>S4</t>
        </is>
      </c>
      <c r="O1720" s="31" t="inlineStr">
        <is>
          <t>337-002-910-0</t>
        </is>
      </c>
      <c r="P1720" s="31" t="inlineStr">
        <is>
          <t>SR Technics Switzerland</t>
        </is>
      </c>
    </row>
    <row r="1721">
      <c r="B1721" s="31" t="inlineStr">
        <is>
          <t>CFM56-5B</t>
        </is>
      </c>
      <c r="C1721" s="31" t="inlineStr">
        <is>
          <t>2025-2026</t>
        </is>
      </c>
      <c r="D1721" s="31" t="inlineStr">
        <is>
          <t>144787</t>
        </is>
      </c>
      <c r="E1721" s="31" t="inlineStr">
        <is>
          <t>72-55-01</t>
        </is>
      </c>
      <c r="F1721" s="31" t="inlineStr">
        <is>
          <t>C</t>
        </is>
      </c>
      <c r="G1721" s="31" t="inlineStr">
        <is>
          <t>LPT</t>
        </is>
      </c>
      <c r="H1721" s="27" t="n">
        <v>1305</v>
      </c>
      <c r="I1721" s="27" t="n">
        <v>1385</v>
      </c>
      <c r="J1721" s="154">
        <f>I1721/H1721-1</f>
        <v/>
      </c>
      <c r="K1721" s="31" t="inlineStr">
        <is>
          <t>55</t>
        </is>
      </c>
      <c r="L1721" s="31" t="inlineStr">
        <is>
          <t>57</t>
        </is>
      </c>
      <c r="M1721" s="31" t="inlineStr">
        <is>
          <t>S2</t>
        </is>
      </c>
      <c r="N1721" s="31" t="inlineStr">
        <is>
          <t>S4</t>
        </is>
      </c>
      <c r="O1721" s="31" t="inlineStr">
        <is>
          <t>337-002-910-0</t>
        </is>
      </c>
      <c r="P1721" s="31" t="inlineStr">
        <is>
          <t>SR Technics Switzerland</t>
        </is>
      </c>
    </row>
    <row r="1722">
      <c r="B1722" s="31" t="inlineStr">
        <is>
          <t>CFM56-5B</t>
        </is>
      </c>
      <c r="C1722" s="31" t="inlineStr">
        <is>
          <t>2025-2026</t>
        </is>
      </c>
      <c r="D1722" s="31" t="inlineStr">
        <is>
          <t>144787</t>
        </is>
      </c>
      <c r="E1722" s="31" t="inlineStr">
        <is>
          <t>72-55-01</t>
        </is>
      </c>
      <c r="F1722" s="31" t="inlineStr">
        <is>
          <t>D</t>
        </is>
      </c>
      <c r="G1722" s="31" t="inlineStr">
        <is>
          <t>LPT</t>
        </is>
      </c>
      <c r="H1722" s="27" t="n">
        <v>3950</v>
      </c>
      <c r="I1722" s="27" t="n">
        <v>4190</v>
      </c>
      <c r="J1722" s="154">
        <f>I1722/H1722-1</f>
        <v/>
      </c>
      <c r="K1722" s="31" t="inlineStr">
        <is>
          <t>55</t>
        </is>
      </c>
      <c r="L1722" s="31" t="inlineStr">
        <is>
          <t>57</t>
        </is>
      </c>
      <c r="M1722" s="31" t="inlineStr">
        <is>
          <t>S2</t>
        </is>
      </c>
      <c r="N1722" s="31" t="inlineStr">
        <is>
          <t>S4</t>
        </is>
      </c>
      <c r="O1722" s="31" t="inlineStr">
        <is>
          <t>337-002-910-0</t>
        </is>
      </c>
      <c r="P1722" s="31" t="inlineStr">
        <is>
          <t>SR Technics Switzerland</t>
        </is>
      </c>
    </row>
    <row r="1723">
      <c r="B1723" s="31" t="inlineStr">
        <is>
          <t>CFM56-5B</t>
        </is>
      </c>
      <c r="C1723" s="31" t="inlineStr">
        <is>
          <t>2025-2026</t>
        </is>
      </c>
      <c r="D1723" s="31" t="inlineStr">
        <is>
          <t>144787</t>
        </is>
      </c>
      <c r="E1723" s="31" t="inlineStr">
        <is>
          <t>72-55-01</t>
        </is>
      </c>
      <c r="F1723" s="31" t="inlineStr">
        <is>
          <t>H</t>
        </is>
      </c>
      <c r="G1723" s="31" t="inlineStr">
        <is>
          <t>LPT</t>
        </is>
      </c>
      <c r="H1723" s="27" t="n">
        <v>985</v>
      </c>
      <c r="I1723" s="27" t="n">
        <v>1045</v>
      </c>
      <c r="J1723" s="154">
        <f>I1723/H1723-1</f>
        <v/>
      </c>
      <c r="K1723" s="31" t="inlineStr">
        <is>
          <t>55</t>
        </is>
      </c>
      <c r="L1723" s="31" t="inlineStr">
        <is>
          <t>57</t>
        </is>
      </c>
      <c r="M1723" s="31" t="inlineStr">
        <is>
          <t>S2</t>
        </is>
      </c>
      <c r="N1723" s="31" t="inlineStr">
        <is>
          <t>S4</t>
        </is>
      </c>
      <c r="O1723" s="31" t="inlineStr">
        <is>
          <t>337-002-910-0</t>
        </is>
      </c>
      <c r="P1723" s="31" t="inlineStr">
        <is>
          <t>SR Technics Switzerland</t>
        </is>
      </c>
    </row>
    <row r="1724">
      <c r="B1724" s="31" t="inlineStr">
        <is>
          <t>CFM56-5B</t>
        </is>
      </c>
      <c r="C1724" s="31" t="inlineStr">
        <is>
          <t>2025-2026</t>
        </is>
      </c>
      <c r="D1724" s="31" t="inlineStr">
        <is>
          <t>144787</t>
        </is>
      </c>
      <c r="E1724" s="31" t="inlineStr">
        <is>
          <t>72-55-01</t>
        </is>
      </c>
      <c r="F1724" s="31" t="inlineStr">
        <is>
          <t>Q</t>
        </is>
      </c>
      <c r="G1724" s="31" t="inlineStr">
        <is>
          <t>LPT</t>
        </is>
      </c>
      <c r="H1724" s="27" t="n">
        <v>435</v>
      </c>
      <c r="I1724" s="27" t="n">
        <v>465</v>
      </c>
      <c r="J1724" s="154">
        <f>I1724/H1724-1</f>
        <v/>
      </c>
      <c r="K1724" s="31" t="inlineStr">
        <is>
          <t>55</t>
        </is>
      </c>
      <c r="L1724" s="31" t="inlineStr">
        <is>
          <t>57</t>
        </is>
      </c>
      <c r="M1724" s="31" t="inlineStr">
        <is>
          <t>S2</t>
        </is>
      </c>
      <c r="N1724" s="31" t="inlineStr">
        <is>
          <t>S4</t>
        </is>
      </c>
      <c r="O1724" s="31" t="inlineStr">
        <is>
          <t>337-002-910-0</t>
        </is>
      </c>
      <c r="P1724" s="31" t="inlineStr">
        <is>
          <t>SR Technics Switzerland</t>
        </is>
      </c>
    </row>
    <row r="1725">
      <c r="B1725" s="31" t="inlineStr">
        <is>
          <t>CFM56-5B</t>
        </is>
      </c>
      <c r="C1725" s="31" t="inlineStr">
        <is>
          <t>2025-2026</t>
        </is>
      </c>
      <c r="D1725" s="31" t="inlineStr">
        <is>
          <t>144787</t>
        </is>
      </c>
      <c r="E1725" s="31" t="inlineStr">
        <is>
          <t>72-55-01</t>
        </is>
      </c>
      <c r="F1725" s="31" t="inlineStr">
        <is>
          <t>S</t>
        </is>
      </c>
      <c r="G1725" s="31" t="inlineStr">
        <is>
          <t>LPT</t>
        </is>
      </c>
      <c r="H1725" s="27" t="n">
        <v>2635</v>
      </c>
      <c r="I1725" s="27" t="n">
        <v>2795</v>
      </c>
      <c r="J1725" s="154">
        <f>I1725/H1725-1</f>
        <v/>
      </c>
      <c r="K1725" s="31" t="inlineStr">
        <is>
          <t>55</t>
        </is>
      </c>
      <c r="L1725" s="31" t="inlineStr">
        <is>
          <t>57</t>
        </is>
      </c>
      <c r="M1725" s="31" t="inlineStr">
        <is>
          <t>S2</t>
        </is>
      </c>
      <c r="N1725" s="31" t="inlineStr">
        <is>
          <t>S4</t>
        </is>
      </c>
      <c r="O1725" s="31" t="inlineStr">
        <is>
          <t>337-002-910-0</t>
        </is>
      </c>
      <c r="P1725" s="31" t="inlineStr">
        <is>
          <t>SR Technics Switzerland</t>
        </is>
      </c>
    </row>
    <row r="1726">
      <c r="B1726" s="31" t="inlineStr">
        <is>
          <t>CFM56-5B</t>
        </is>
      </c>
      <c r="C1726" s="31" t="inlineStr">
        <is>
          <t>2025-2026</t>
        </is>
      </c>
      <c r="D1726" s="31" t="inlineStr">
        <is>
          <t>144787</t>
        </is>
      </c>
      <c r="E1726" s="31" t="inlineStr">
        <is>
          <t>72-55-01</t>
        </is>
      </c>
      <c r="F1726" s="31" t="inlineStr">
        <is>
          <t>SB00</t>
        </is>
      </c>
      <c r="G1726" s="31" t="inlineStr">
        <is>
          <t>LPT</t>
        </is>
      </c>
      <c r="H1726" s="27" t="n">
        <v>1030</v>
      </c>
      <c r="I1726" s="27" t="n">
        <v>1095</v>
      </c>
      <c r="J1726" s="154">
        <f>I1726/H1726-1</f>
        <v/>
      </c>
      <c r="K1726" s="31" t="inlineStr">
        <is>
          <t>55</t>
        </is>
      </c>
      <c r="L1726" s="31" t="inlineStr">
        <is>
          <t>57</t>
        </is>
      </c>
      <c r="M1726" s="31" t="inlineStr">
        <is>
          <t>S2</t>
        </is>
      </c>
      <c r="N1726" s="31" t="inlineStr">
        <is>
          <t>S4</t>
        </is>
      </c>
      <c r="O1726" s="31" t="inlineStr">
        <is>
          <t>337-002-910-0</t>
        </is>
      </c>
      <c r="P1726" s="31" t="inlineStr">
        <is>
          <t>SR Technics Switzerland</t>
        </is>
      </c>
    </row>
    <row r="1727">
      <c r="B1727" s="31" t="inlineStr">
        <is>
          <t>CFM56-5B</t>
        </is>
      </c>
      <c r="C1727" s="31" t="inlineStr">
        <is>
          <t>2025-2026</t>
        </is>
      </c>
      <c r="D1727" s="31" t="inlineStr">
        <is>
          <t>144787</t>
        </is>
      </c>
      <c r="E1727" s="31" t="inlineStr">
        <is>
          <t>72-55-01</t>
        </is>
      </c>
      <c r="F1727" s="31" t="inlineStr">
        <is>
          <t>SB01</t>
        </is>
      </c>
      <c r="G1727" s="31" t="inlineStr">
        <is>
          <t>LPT</t>
        </is>
      </c>
      <c r="H1727" s="27" t="n">
        <v>760</v>
      </c>
      <c r="I1727" s="27" t="n">
        <v>810</v>
      </c>
      <c r="J1727" s="154">
        <f>I1727/H1727-1</f>
        <v/>
      </c>
      <c r="K1727" s="31" t="inlineStr">
        <is>
          <t>55</t>
        </is>
      </c>
      <c r="L1727" s="31" t="inlineStr">
        <is>
          <t>57</t>
        </is>
      </c>
      <c r="M1727" s="31" t="inlineStr">
        <is>
          <t>S2</t>
        </is>
      </c>
      <c r="N1727" s="31" t="inlineStr">
        <is>
          <t>S4</t>
        </is>
      </c>
      <c r="O1727" s="31" t="inlineStr">
        <is>
          <t>337-002-910-0</t>
        </is>
      </c>
      <c r="P1727" s="31" t="inlineStr">
        <is>
          <t>SR Technics Switzerland</t>
        </is>
      </c>
    </row>
    <row r="1728">
      <c r="B1728" s="31" t="inlineStr">
        <is>
          <t>CFM56-5B</t>
        </is>
      </c>
      <c r="C1728" s="31" t="inlineStr">
        <is>
          <t>2025-2026</t>
        </is>
      </c>
      <c r="D1728" s="31" t="inlineStr">
        <is>
          <t>144788</t>
        </is>
      </c>
      <c r="E1728" s="31" t="inlineStr">
        <is>
          <t>72-56-03</t>
        </is>
      </c>
      <c r="F1728" s="31" t="inlineStr">
        <is>
          <t>A</t>
        </is>
      </c>
      <c r="G1728" s="31" t="inlineStr">
        <is>
          <t>LPT</t>
        </is>
      </c>
      <c r="H1728" s="27" t="n">
        <v>605</v>
      </c>
      <c r="I1728" s="27" t="n">
        <v>640</v>
      </c>
      <c r="J1728" s="154">
        <f>I1728/H1728-1</f>
        <v/>
      </c>
      <c r="K1728" s="31" t="inlineStr">
        <is>
          <t>55</t>
        </is>
      </c>
      <c r="L1728" s="31" t="inlineStr">
        <is>
          <t>57</t>
        </is>
      </c>
      <c r="M1728" s="31" t="inlineStr">
        <is>
          <t>S2</t>
        </is>
      </c>
      <c r="N1728" s="31" t="inlineStr">
        <is>
          <t>S4</t>
        </is>
      </c>
      <c r="O1728" s="31" t="inlineStr">
        <is>
          <t>336-025-102-0</t>
        </is>
      </c>
      <c r="P1728" s="31" t="inlineStr">
        <is>
          <t>SR Technics Switzerland</t>
        </is>
      </c>
    </row>
    <row r="1729">
      <c r="B1729" s="31" t="inlineStr">
        <is>
          <t>CFM56-5B</t>
        </is>
      </c>
      <c r="C1729" s="31" t="inlineStr">
        <is>
          <t>2025-2026</t>
        </is>
      </c>
      <c r="D1729" s="31" t="inlineStr">
        <is>
          <t>144793</t>
        </is>
      </c>
      <c r="E1729" s="31" t="inlineStr">
        <is>
          <t>72-54-18</t>
        </is>
      </c>
      <c r="F1729" s="31" t="inlineStr">
        <is>
          <t>C</t>
        </is>
      </c>
      <c r="G1729" s="31" t="inlineStr">
        <is>
          <t>LPT</t>
        </is>
      </c>
      <c r="H1729" s="27" t="n">
        <v>715</v>
      </c>
      <c r="I1729" s="27" t="n">
        <v>760</v>
      </c>
      <c r="J1729" s="154">
        <f>I1729/H1729-1</f>
        <v/>
      </c>
      <c r="K1729" s="31" t="inlineStr">
        <is>
          <t>55</t>
        </is>
      </c>
      <c r="L1729" s="31" t="inlineStr">
        <is>
          <t>17</t>
        </is>
      </c>
      <c r="M1729" s="31" t="inlineStr">
        <is>
          <t>S2</t>
        </is>
      </c>
      <c r="N1729" s="31" t="inlineStr">
        <is>
          <t>S4</t>
        </is>
      </c>
      <c r="O1729" s="31" t="inlineStr">
        <is>
          <t>336-065-403-0</t>
        </is>
      </c>
      <c r="P1729" s="31" t="inlineStr">
        <is>
          <t>SR Technics Switzerland</t>
        </is>
      </c>
    </row>
    <row r="1730">
      <c r="B1730" s="31" t="inlineStr">
        <is>
          <t>CFM56-5B</t>
        </is>
      </c>
      <c r="C1730" s="31" t="inlineStr">
        <is>
          <t>2025-2026</t>
        </is>
      </c>
      <c r="D1730" s="31" t="inlineStr">
        <is>
          <t>144793</t>
        </is>
      </c>
      <c r="E1730" s="31" t="inlineStr">
        <is>
          <t>72-54-18</t>
        </is>
      </c>
      <c r="F1730" s="31" t="inlineStr">
        <is>
          <t>D</t>
        </is>
      </c>
      <c r="G1730" s="31" t="inlineStr">
        <is>
          <t>LPT</t>
        </is>
      </c>
      <c r="H1730" s="27" t="n">
        <v>3015</v>
      </c>
      <c r="I1730" s="27" t="n">
        <v>3200</v>
      </c>
      <c r="J1730" s="154">
        <f>I1730/H1730-1</f>
        <v/>
      </c>
      <c r="K1730" s="31" t="inlineStr">
        <is>
          <t>55</t>
        </is>
      </c>
      <c r="L1730" s="31" t="inlineStr">
        <is>
          <t>17</t>
        </is>
      </c>
      <c r="M1730" s="31" t="inlineStr">
        <is>
          <t>S2</t>
        </is>
      </c>
      <c r="N1730" s="31" t="inlineStr">
        <is>
          <t>S4</t>
        </is>
      </c>
      <c r="O1730" s="31" t="inlineStr">
        <is>
          <t>336-065-403-0</t>
        </is>
      </c>
      <c r="P1730" s="31" t="inlineStr">
        <is>
          <t>SR Technics Switzerland</t>
        </is>
      </c>
    </row>
    <row r="1731">
      <c r="B1731" s="31" t="inlineStr">
        <is>
          <t>CFM56-5B</t>
        </is>
      </c>
      <c r="C1731" s="31" t="inlineStr">
        <is>
          <t>2025-2026</t>
        </is>
      </c>
      <c r="D1731" s="31" t="inlineStr">
        <is>
          <t>144794</t>
        </is>
      </c>
      <c r="E1731" s="31" t="inlineStr">
        <is>
          <t>72-53-11</t>
        </is>
      </c>
      <c r="F1731" s="31" t="inlineStr">
        <is>
          <t>A</t>
        </is>
      </c>
      <c r="G1731" s="31" t="inlineStr">
        <is>
          <t>HPT / nozzle</t>
        </is>
      </c>
      <c r="H1731" s="27" t="n">
        <v>770</v>
      </c>
      <c r="I1731" s="27" t="n">
        <v>770</v>
      </c>
      <c r="J1731" s="154">
        <f>I1731/H1731-1</f>
        <v/>
      </c>
      <c r="K1731" s="31" t="inlineStr">
        <is>
          <t>56</t>
        </is>
      </c>
      <c r="L1731" s="31" t="inlineStr">
        <is>
          <t>57</t>
        </is>
      </c>
      <c r="M1731" s="31" t="inlineStr">
        <is>
          <t>S2</t>
        </is>
      </c>
      <c r="N1731" s="31" t="inlineStr">
        <is>
          <t>S4</t>
        </is>
      </c>
      <c r="O1731" s="31" t="inlineStr">
        <is>
          <t>336-009-602-0</t>
        </is>
      </c>
      <c r="P1731" s="31" t="inlineStr">
        <is>
          <t>SR Technics Switzerland</t>
        </is>
      </c>
    </row>
    <row r="1732">
      <c r="B1732" s="31" t="inlineStr">
        <is>
          <t>CFM56-5B</t>
        </is>
      </c>
      <c r="C1732" s="31" t="inlineStr">
        <is>
          <t>2025-2026</t>
        </is>
      </c>
      <c r="D1732" s="31" t="inlineStr">
        <is>
          <t>144795</t>
        </is>
      </c>
      <c r="E1732" s="31" t="inlineStr">
        <is>
          <t>72-53-07</t>
        </is>
      </c>
      <c r="F1732" s="31" t="inlineStr">
        <is>
          <t>A</t>
        </is>
      </c>
      <c r="G1732" s="31" t="inlineStr">
        <is>
          <t>HPT / nozzle</t>
        </is>
      </c>
      <c r="H1732" s="27" t="n">
        <v>645</v>
      </c>
      <c r="I1732" s="27" t="n">
        <v>680</v>
      </c>
      <c r="J1732" s="154">
        <f>I1732/H1732-1</f>
        <v/>
      </c>
      <c r="K1732" s="31" t="inlineStr">
        <is>
          <t>17</t>
        </is>
      </c>
      <c r="L1732" s="31" t="inlineStr">
        <is>
          <t>18</t>
        </is>
      </c>
      <c r="M1732" s="31" t="inlineStr">
        <is>
          <t>S2</t>
        </is>
      </c>
      <c r="N1732" s="31" t="inlineStr">
        <is>
          <t>S4</t>
        </is>
      </c>
      <c r="O1732" s="31" t="inlineStr">
        <is>
          <t>338-010-302-0</t>
        </is>
      </c>
      <c r="P1732" s="31" t="inlineStr">
        <is>
          <t>SR Technics Switzerland</t>
        </is>
      </c>
    </row>
    <row r="1733">
      <c r="B1733" s="31" t="inlineStr">
        <is>
          <t>CFM56-5B</t>
        </is>
      </c>
      <c r="C1733" s="31" t="inlineStr">
        <is>
          <t>2025-2026</t>
        </is>
      </c>
      <c r="D1733" s="31" t="inlineStr">
        <is>
          <t>144795</t>
        </is>
      </c>
      <c r="E1733" s="31" t="inlineStr">
        <is>
          <t>72-53-07</t>
        </is>
      </c>
      <c r="F1733" s="31" t="inlineStr">
        <is>
          <t>B</t>
        </is>
      </c>
      <c r="G1733" s="31" t="inlineStr">
        <is>
          <t>HPT / nozzle</t>
        </is>
      </c>
      <c r="H1733" s="27" t="n">
        <v>5965</v>
      </c>
      <c r="I1733" s="27" t="n">
        <v>6325</v>
      </c>
      <c r="J1733" s="154">
        <f>I1733/H1733-1</f>
        <v/>
      </c>
      <c r="K1733" s="31" t="inlineStr">
        <is>
          <t>17</t>
        </is>
      </c>
      <c r="L1733" s="31" t="inlineStr">
        <is>
          <t>18</t>
        </is>
      </c>
      <c r="M1733" s="31" t="inlineStr">
        <is>
          <t>S2</t>
        </is>
      </c>
      <c r="N1733" s="31" t="inlineStr">
        <is>
          <t>S4</t>
        </is>
      </c>
      <c r="O1733" s="31" t="inlineStr">
        <is>
          <t>338-010-302-0</t>
        </is>
      </c>
      <c r="P1733" s="31" t="inlineStr">
        <is>
          <t>SR Technics Switzerland</t>
        </is>
      </c>
    </row>
    <row r="1734">
      <c r="B1734" s="31" t="inlineStr">
        <is>
          <t>CFM56-5B</t>
        </is>
      </c>
      <c r="C1734" s="31" t="inlineStr">
        <is>
          <t>2025-2026</t>
        </is>
      </c>
      <c r="D1734" s="31" t="inlineStr">
        <is>
          <t>144795</t>
        </is>
      </c>
      <c r="E1734" s="31" t="inlineStr">
        <is>
          <t>72-53-07</t>
        </is>
      </c>
      <c r="F1734" s="31" t="inlineStr">
        <is>
          <t>E</t>
        </is>
      </c>
      <c r="G1734" s="31" t="inlineStr">
        <is>
          <t>HPT / nozzle</t>
        </is>
      </c>
      <c r="H1734" s="27" t="n">
        <v>3785</v>
      </c>
      <c r="I1734" s="27" t="n">
        <v>4015</v>
      </c>
      <c r="J1734" s="154">
        <f>I1734/H1734-1</f>
        <v/>
      </c>
      <c r="K1734" s="31" t="inlineStr">
        <is>
          <t>17</t>
        </is>
      </c>
      <c r="L1734" s="31" t="inlineStr">
        <is>
          <t>18</t>
        </is>
      </c>
      <c r="M1734" s="31" t="inlineStr">
        <is>
          <t>S2</t>
        </is>
      </c>
      <c r="N1734" s="31" t="inlineStr">
        <is>
          <t>S4</t>
        </is>
      </c>
      <c r="O1734" s="31" t="inlineStr">
        <is>
          <t>338-010-302-0</t>
        </is>
      </c>
      <c r="P1734" s="31" t="inlineStr">
        <is>
          <t>SR Technics Switzerland</t>
        </is>
      </c>
    </row>
    <row r="1735">
      <c r="B1735" s="31" t="inlineStr">
        <is>
          <t>CFM56-5B</t>
        </is>
      </c>
      <c r="C1735" s="31" t="inlineStr">
        <is>
          <t>2025-2026</t>
        </is>
      </c>
      <c r="D1735" s="31" t="inlineStr">
        <is>
          <t>144795</t>
        </is>
      </c>
      <c r="E1735" s="31" t="inlineStr">
        <is>
          <t>72-53-07</t>
        </is>
      </c>
      <c r="F1735" s="31" t="inlineStr">
        <is>
          <t>H</t>
        </is>
      </c>
      <c r="G1735" s="31" t="inlineStr">
        <is>
          <t>HPT / nozzle</t>
        </is>
      </c>
      <c r="H1735" s="27" t="n">
        <v>1000</v>
      </c>
      <c r="I1735" s="27" t="n">
        <v>1060</v>
      </c>
      <c r="J1735" s="154">
        <f>I1735/H1735-1</f>
        <v/>
      </c>
      <c r="K1735" s="31" t="inlineStr">
        <is>
          <t>17</t>
        </is>
      </c>
      <c r="L1735" s="31" t="inlineStr">
        <is>
          <t>18</t>
        </is>
      </c>
      <c r="M1735" s="31" t="inlineStr">
        <is>
          <t>S2</t>
        </is>
      </c>
      <c r="N1735" s="31" t="inlineStr">
        <is>
          <t>S4</t>
        </is>
      </c>
      <c r="O1735" s="31" t="inlineStr">
        <is>
          <t>338-010-302-0</t>
        </is>
      </c>
      <c r="P1735" s="31" t="inlineStr">
        <is>
          <t>SR Technics Switzerland</t>
        </is>
      </c>
    </row>
    <row r="1736">
      <c r="B1736" s="31" t="inlineStr">
        <is>
          <t>CFM56-5B</t>
        </is>
      </c>
      <c r="C1736" s="31" t="inlineStr">
        <is>
          <t>2025-2026</t>
        </is>
      </c>
      <c r="D1736" s="31" t="inlineStr">
        <is>
          <t>144795</t>
        </is>
      </c>
      <c r="E1736" s="31" t="inlineStr">
        <is>
          <t>72-53-07</t>
        </is>
      </c>
      <c r="F1736" s="31" t="inlineStr">
        <is>
          <t>L</t>
        </is>
      </c>
      <c r="G1736" s="31" t="inlineStr">
        <is>
          <t>HPT / nozzle</t>
        </is>
      </c>
      <c r="H1736" s="27" t="n">
        <v>2150</v>
      </c>
      <c r="I1736" s="27" t="n">
        <v>2280</v>
      </c>
      <c r="J1736" s="154">
        <f>I1736/H1736-1</f>
        <v/>
      </c>
      <c r="K1736" s="31" t="inlineStr">
        <is>
          <t>17</t>
        </is>
      </c>
      <c r="L1736" s="31" t="inlineStr">
        <is>
          <t>18</t>
        </is>
      </c>
      <c r="M1736" s="31" t="inlineStr">
        <is>
          <t>S2</t>
        </is>
      </c>
      <c r="N1736" s="31" t="inlineStr">
        <is>
          <t>S4</t>
        </is>
      </c>
      <c r="O1736" s="31" t="inlineStr">
        <is>
          <t>338-010-302-0</t>
        </is>
      </c>
      <c r="P1736" s="31" t="inlineStr">
        <is>
          <t>SR Technics Switzerland</t>
        </is>
      </c>
    </row>
    <row r="1737">
      <c r="B1737" s="31" t="inlineStr">
        <is>
          <t>CFM56-5B</t>
        </is>
      </c>
      <c r="C1737" s="31" t="inlineStr">
        <is>
          <t>2025-2026</t>
        </is>
      </c>
      <c r="D1737" s="31" t="inlineStr">
        <is>
          <t>144800</t>
        </is>
      </c>
      <c r="E1737" s="31" t="inlineStr">
        <is>
          <t>72-54-13</t>
        </is>
      </c>
      <c r="F1737" s="31" t="inlineStr">
        <is>
          <t>A</t>
        </is>
      </c>
      <c r="G1737" s="31" t="inlineStr">
        <is>
          <t>LPT</t>
        </is>
      </c>
      <c r="H1737" s="27" t="n">
        <v>270</v>
      </c>
      <c r="I1737" s="27" t="n">
        <v>290</v>
      </c>
      <c r="J1737" s="154">
        <f>I1737/H1737-1</f>
        <v/>
      </c>
      <c r="K1737" s="31" t="inlineStr">
        <is>
          <t>17</t>
        </is>
      </c>
      <c r="L1737" s="31" t="inlineStr">
        <is>
          <t>18</t>
        </is>
      </c>
      <c r="M1737" s="31" t="inlineStr">
        <is>
          <t>S2</t>
        </is>
      </c>
      <c r="N1737" s="31" t="inlineStr">
        <is>
          <t>S4</t>
        </is>
      </c>
      <c r="O1737" s="31" t="inlineStr">
        <is>
          <t>338-085-402-0</t>
        </is>
      </c>
      <c r="P1737" s="31" t="inlineStr">
        <is>
          <t>SRTAS</t>
        </is>
      </c>
    </row>
    <row r="1738">
      <c r="B1738" s="31" t="inlineStr">
        <is>
          <t>CFM56-5B</t>
        </is>
      </c>
      <c r="C1738" s="31" t="inlineStr">
        <is>
          <t>2025-2026</t>
        </is>
      </c>
      <c r="D1738" s="31" t="inlineStr">
        <is>
          <t>144800</t>
        </is>
      </c>
      <c r="E1738" s="31" t="inlineStr">
        <is>
          <t>72-54-13</t>
        </is>
      </c>
      <c r="F1738" s="31" t="inlineStr">
        <is>
          <t>AB</t>
        </is>
      </c>
      <c r="G1738" s="31" t="inlineStr">
        <is>
          <t>LPT</t>
        </is>
      </c>
      <c r="H1738" s="27" t="n">
        <v>3080</v>
      </c>
      <c r="I1738" s="27" t="n">
        <v>3300</v>
      </c>
      <c r="J1738" s="154">
        <f>I1738/H1738-1</f>
        <v/>
      </c>
      <c r="K1738" s="31" t="inlineStr">
        <is>
          <t>17</t>
        </is>
      </c>
      <c r="L1738" s="31" t="inlineStr">
        <is>
          <t>18</t>
        </is>
      </c>
      <c r="M1738" s="31" t="inlineStr">
        <is>
          <t>S2</t>
        </is>
      </c>
      <c r="N1738" s="31" t="inlineStr">
        <is>
          <t>S4</t>
        </is>
      </c>
      <c r="O1738" s="31" t="inlineStr">
        <is>
          <t>338-085-402-0</t>
        </is>
      </c>
      <c r="P1738" s="31" t="inlineStr">
        <is>
          <t>SRTAS</t>
        </is>
      </c>
    </row>
    <row r="1739">
      <c r="B1739" s="31" t="inlineStr">
        <is>
          <t>CFM56-5B</t>
        </is>
      </c>
      <c r="C1739" s="31" t="inlineStr">
        <is>
          <t>2025-2026</t>
        </is>
      </c>
      <c r="D1739" s="31" t="inlineStr">
        <is>
          <t>144800</t>
        </is>
      </c>
      <c r="E1739" s="31" t="inlineStr">
        <is>
          <t>72-54-13</t>
        </is>
      </c>
      <c r="F1739" s="31" t="inlineStr">
        <is>
          <t>C</t>
        </is>
      </c>
      <c r="G1739" s="31" t="inlineStr">
        <is>
          <t>LPT</t>
        </is>
      </c>
      <c r="H1739" s="27" t="n">
        <v>1580</v>
      </c>
      <c r="I1739" s="27" t="n">
        <v>1695</v>
      </c>
      <c r="J1739" s="154">
        <f>I1739/H1739-1</f>
        <v/>
      </c>
      <c r="K1739" s="31" t="inlineStr">
        <is>
          <t>17</t>
        </is>
      </c>
      <c r="L1739" s="31" t="inlineStr">
        <is>
          <t>18</t>
        </is>
      </c>
      <c r="M1739" s="31" t="inlineStr">
        <is>
          <t>S2</t>
        </is>
      </c>
      <c r="N1739" s="31" t="inlineStr">
        <is>
          <t>S4</t>
        </is>
      </c>
      <c r="O1739" s="31" t="inlineStr">
        <is>
          <t>338-085-402-0</t>
        </is>
      </c>
      <c r="P1739" s="31" t="inlineStr">
        <is>
          <t>SRTAS</t>
        </is>
      </c>
    </row>
    <row r="1740">
      <c r="B1740" s="31" t="inlineStr">
        <is>
          <t>CFM56-5B</t>
        </is>
      </c>
      <c r="C1740" s="31" t="inlineStr">
        <is>
          <t>2025-2026</t>
        </is>
      </c>
      <c r="D1740" s="31" t="inlineStr">
        <is>
          <t>144800</t>
        </is>
      </c>
      <c r="E1740" s="31" t="inlineStr">
        <is>
          <t>72-54-13</t>
        </is>
      </c>
      <c r="F1740" s="31" t="inlineStr">
        <is>
          <t>F</t>
        </is>
      </c>
      <c r="G1740" s="31" t="inlineStr">
        <is>
          <t>LPT</t>
        </is>
      </c>
      <c r="H1740" s="27" t="n">
        <v>760</v>
      </c>
      <c r="I1740" s="27" t="n">
        <v>815</v>
      </c>
      <c r="J1740" s="154">
        <f>I1740/H1740-1</f>
        <v/>
      </c>
      <c r="K1740" s="31" t="inlineStr">
        <is>
          <t>18</t>
        </is>
      </c>
      <c r="L1740" s="31" t="inlineStr">
        <is>
          <t>18</t>
        </is>
      </c>
      <c r="M1740" s="31" t="inlineStr">
        <is>
          <t>S2</t>
        </is>
      </c>
      <c r="N1740" s="31" t="inlineStr">
        <is>
          <t>S4</t>
        </is>
      </c>
      <c r="O1740" s="31" t="inlineStr">
        <is>
          <t>338-085-402-0</t>
        </is>
      </c>
      <c r="P1740" s="31" t="inlineStr">
        <is>
          <t>SRTAS</t>
        </is>
      </c>
    </row>
    <row r="1741">
      <c r="B1741" s="31" t="inlineStr">
        <is>
          <t>CFM56-5B</t>
        </is>
      </c>
      <c r="C1741" s="31" t="inlineStr">
        <is>
          <t>2025-2026</t>
        </is>
      </c>
      <c r="D1741" s="31" t="inlineStr">
        <is>
          <t>144800</t>
        </is>
      </c>
      <c r="E1741" s="31" t="inlineStr">
        <is>
          <t>72-54-13</t>
        </is>
      </c>
      <c r="F1741" s="31" t="inlineStr">
        <is>
          <t>G</t>
        </is>
      </c>
      <c r="G1741" s="31" t="inlineStr">
        <is>
          <t>LPT</t>
        </is>
      </c>
      <c r="H1741" s="27" t="n">
        <v>800</v>
      </c>
      <c r="I1741" s="27" t="n">
        <v>860</v>
      </c>
      <c r="J1741" s="154">
        <f>I1741/H1741-1</f>
        <v/>
      </c>
      <c r="K1741" s="31" t="inlineStr">
        <is>
          <t>18</t>
        </is>
      </c>
      <c r="L1741" s="31" t="inlineStr">
        <is>
          <t>18</t>
        </is>
      </c>
      <c r="M1741" s="31" t="inlineStr">
        <is>
          <t>S2</t>
        </is>
      </c>
      <c r="N1741" s="31" t="inlineStr">
        <is>
          <t>S4</t>
        </is>
      </c>
      <c r="O1741" s="31" t="inlineStr">
        <is>
          <t>338-085-402-0</t>
        </is>
      </c>
      <c r="P1741" s="31" t="inlineStr">
        <is>
          <t>SRTAS</t>
        </is>
      </c>
    </row>
    <row r="1742">
      <c r="B1742" s="31" t="inlineStr">
        <is>
          <t>CFM56-5B</t>
        </is>
      </c>
      <c r="C1742" s="31" t="inlineStr">
        <is>
          <t>2025-2026</t>
        </is>
      </c>
      <c r="D1742" s="31" t="inlineStr">
        <is>
          <t>144800</t>
        </is>
      </c>
      <c r="E1742" s="31" t="inlineStr">
        <is>
          <t>72-54-13</t>
        </is>
      </c>
      <c r="F1742" s="31" t="inlineStr">
        <is>
          <t>H</t>
        </is>
      </c>
      <c r="G1742" s="31" t="inlineStr">
        <is>
          <t>LPT</t>
        </is>
      </c>
      <c r="H1742" s="27" t="n">
        <v>690</v>
      </c>
      <c r="I1742" s="27" t="n">
        <v>740</v>
      </c>
      <c r="J1742" s="154">
        <f>I1742/H1742-1</f>
        <v/>
      </c>
      <c r="K1742" s="31" t="inlineStr">
        <is>
          <t>18</t>
        </is>
      </c>
      <c r="L1742" s="31" t="inlineStr">
        <is>
          <t>18</t>
        </is>
      </c>
      <c r="M1742" s="31" t="inlineStr">
        <is>
          <t>S2</t>
        </is>
      </c>
      <c r="N1742" s="31" t="inlineStr">
        <is>
          <t>S4</t>
        </is>
      </c>
      <c r="O1742" s="31" t="inlineStr">
        <is>
          <t>338-085-402-0</t>
        </is>
      </c>
      <c r="P1742" s="31" t="inlineStr">
        <is>
          <t>SRTAS</t>
        </is>
      </c>
    </row>
    <row r="1743">
      <c r="B1743" s="31" t="inlineStr">
        <is>
          <t>CFM56-5B</t>
        </is>
      </c>
      <c r="C1743" s="31" t="inlineStr">
        <is>
          <t>2025-2026</t>
        </is>
      </c>
      <c r="D1743" s="31" t="inlineStr">
        <is>
          <t>144800</t>
        </is>
      </c>
      <c r="E1743" s="31" t="inlineStr">
        <is>
          <t>72-54-13</t>
        </is>
      </c>
      <c r="F1743" s="31" t="inlineStr">
        <is>
          <t>I</t>
        </is>
      </c>
      <c r="G1743" s="31" t="inlineStr">
        <is>
          <t>LPT</t>
        </is>
      </c>
      <c r="H1743" s="27" t="n">
        <v>1700</v>
      </c>
      <c r="I1743" s="27" t="n">
        <v>1820</v>
      </c>
      <c r="J1743" s="154">
        <f>I1743/H1743-1</f>
        <v/>
      </c>
      <c r="K1743" s="31" t="inlineStr">
        <is>
          <t>18</t>
        </is>
      </c>
      <c r="L1743" s="31" t="inlineStr">
        <is>
          <t>18</t>
        </is>
      </c>
      <c r="M1743" s="31" t="inlineStr">
        <is>
          <t>S2</t>
        </is>
      </c>
      <c r="N1743" s="31" t="inlineStr">
        <is>
          <t>S4</t>
        </is>
      </c>
      <c r="O1743" s="31" t="inlineStr">
        <is>
          <t>338-085-402-0</t>
        </is>
      </c>
      <c r="P1743" s="31" t="inlineStr">
        <is>
          <t>SRTAS</t>
        </is>
      </c>
    </row>
    <row r="1744">
      <c r="B1744" s="31" t="inlineStr">
        <is>
          <t>CFM56-5B</t>
        </is>
      </c>
      <c r="C1744" s="31" t="inlineStr">
        <is>
          <t>2025-2026</t>
        </is>
      </c>
      <c r="D1744" s="31" t="inlineStr">
        <is>
          <t>144800</t>
        </is>
      </c>
      <c r="E1744" s="31" t="inlineStr">
        <is>
          <t>72-54-13</t>
        </is>
      </c>
      <c r="F1744" s="31" t="inlineStr">
        <is>
          <t>J</t>
        </is>
      </c>
      <c r="G1744" s="31" t="inlineStr">
        <is>
          <t>LPT</t>
        </is>
      </c>
      <c r="H1744" s="27" t="n">
        <v>335</v>
      </c>
      <c r="I1744" s="27" t="n">
        <v>360</v>
      </c>
      <c r="J1744" s="154">
        <f>I1744/H1744-1</f>
        <v/>
      </c>
      <c r="K1744" s="31" t="inlineStr">
        <is>
          <t>18</t>
        </is>
      </c>
      <c r="L1744" s="31" t="inlineStr">
        <is>
          <t>18</t>
        </is>
      </c>
      <c r="M1744" s="31" t="inlineStr">
        <is>
          <t>S2</t>
        </is>
      </c>
      <c r="N1744" s="31" t="inlineStr">
        <is>
          <t>S4</t>
        </is>
      </c>
      <c r="O1744" s="31" t="inlineStr">
        <is>
          <t>338-085-402-0</t>
        </is>
      </c>
      <c r="P1744" s="31" t="inlineStr">
        <is>
          <t>SRTAS</t>
        </is>
      </c>
    </row>
    <row r="1745">
      <c r="B1745" s="31" t="inlineStr">
        <is>
          <t>CFM56-5B</t>
        </is>
      </c>
      <c r="C1745" s="31" t="inlineStr">
        <is>
          <t>2025-2026</t>
        </is>
      </c>
      <c r="D1745" s="31" t="inlineStr">
        <is>
          <t>144800</t>
        </is>
      </c>
      <c r="E1745" s="31" t="inlineStr">
        <is>
          <t>72-54-13</t>
        </is>
      </c>
      <c r="F1745" s="31" t="inlineStr">
        <is>
          <t>K</t>
        </is>
      </c>
      <c r="G1745" s="31" t="inlineStr">
        <is>
          <t>LPT</t>
        </is>
      </c>
      <c r="H1745" s="27" t="n">
        <v>1580</v>
      </c>
      <c r="I1745" s="27" t="n">
        <v>1695</v>
      </c>
      <c r="J1745" s="154">
        <f>I1745/H1745-1</f>
        <v/>
      </c>
      <c r="K1745" s="31" t="inlineStr">
        <is>
          <t>18</t>
        </is>
      </c>
      <c r="L1745" s="31" t="inlineStr">
        <is>
          <t>18, 19</t>
        </is>
      </c>
      <c r="M1745" s="31" t="inlineStr">
        <is>
          <t>S2</t>
        </is>
      </c>
      <c r="N1745" s="31" t="inlineStr">
        <is>
          <t>S4</t>
        </is>
      </c>
      <c r="O1745" s="31" t="inlineStr">
        <is>
          <t>338-085-402-0</t>
        </is>
      </c>
      <c r="P1745" s="31" t="inlineStr">
        <is>
          <t>SRTAS</t>
        </is>
      </c>
    </row>
    <row r="1746">
      <c r="B1746" s="31" t="inlineStr">
        <is>
          <t>CFM56-5B</t>
        </is>
      </c>
      <c r="C1746" s="31" t="inlineStr">
        <is>
          <t>2025-2026</t>
        </is>
      </c>
      <c r="D1746" s="31" t="inlineStr">
        <is>
          <t>144800</t>
        </is>
      </c>
      <c r="E1746" s="31" t="inlineStr">
        <is>
          <t>72-54-13</t>
        </is>
      </c>
      <c r="F1746" s="31" t="inlineStr">
        <is>
          <t>M</t>
        </is>
      </c>
      <c r="G1746" s="31" t="inlineStr">
        <is>
          <t>LPT</t>
        </is>
      </c>
      <c r="H1746" s="27" t="n">
        <v>670</v>
      </c>
      <c r="I1746" s="27" t="n">
        <v>720</v>
      </c>
      <c r="J1746" s="154">
        <f>I1746/H1746-1</f>
        <v/>
      </c>
      <c r="K1746" s="31" t="inlineStr">
        <is>
          <t>18</t>
        </is>
      </c>
      <c r="L1746" s="31" t="inlineStr">
        <is>
          <t>19</t>
        </is>
      </c>
      <c r="M1746" s="31" t="inlineStr">
        <is>
          <t>S2</t>
        </is>
      </c>
      <c r="N1746" s="31" t="inlineStr">
        <is>
          <t>S4</t>
        </is>
      </c>
      <c r="O1746" s="31" t="inlineStr">
        <is>
          <t>338-085-402-0</t>
        </is>
      </c>
      <c r="P1746" s="31" t="inlineStr">
        <is>
          <t>SRTAS</t>
        </is>
      </c>
    </row>
    <row r="1747">
      <c r="B1747" s="31" t="inlineStr">
        <is>
          <t>CFM56-5B</t>
        </is>
      </c>
      <c r="C1747" s="31" t="inlineStr">
        <is>
          <t>2025-2026</t>
        </is>
      </c>
      <c r="D1747" s="31" t="inlineStr">
        <is>
          <t>144800</t>
        </is>
      </c>
      <c r="E1747" s="31" t="inlineStr">
        <is>
          <t>72-54-13</t>
        </is>
      </c>
      <c r="F1747" s="31" t="inlineStr">
        <is>
          <t>X</t>
        </is>
      </c>
      <c r="G1747" s="31" t="inlineStr">
        <is>
          <t>LPT</t>
        </is>
      </c>
      <c r="H1747" s="27" t="n">
        <v>1430</v>
      </c>
      <c r="I1747" s="27" t="n">
        <v>1535</v>
      </c>
      <c r="J1747" s="154">
        <f>I1747/H1747-1</f>
        <v/>
      </c>
      <c r="K1747" s="31" t="inlineStr">
        <is>
          <t>18</t>
        </is>
      </c>
      <c r="L1747" s="31" t="inlineStr">
        <is>
          <t>19</t>
        </is>
      </c>
      <c r="M1747" s="31" t="inlineStr">
        <is>
          <t>S2</t>
        </is>
      </c>
      <c r="N1747" s="31" t="inlineStr">
        <is>
          <t>S4</t>
        </is>
      </c>
      <c r="O1747" s="31" t="inlineStr">
        <is>
          <t>338-085-402-0</t>
        </is>
      </c>
      <c r="P1747" s="31" t="inlineStr">
        <is>
          <t>SRTAS</t>
        </is>
      </c>
    </row>
    <row r="1748">
      <c r="B1748" s="31" t="inlineStr">
        <is>
          <t>CFM56-5B</t>
        </is>
      </c>
      <c r="C1748" s="31" t="inlineStr">
        <is>
          <t>2025-2026</t>
        </is>
      </c>
      <c r="D1748" s="31" t="inlineStr">
        <is>
          <t>144800</t>
        </is>
      </c>
      <c r="E1748" s="31" t="inlineStr">
        <is>
          <t>72-54-13</t>
        </is>
      </c>
      <c r="F1748" s="31" t="inlineStr">
        <is>
          <t>Y</t>
        </is>
      </c>
      <c r="G1748" s="31" t="inlineStr">
        <is>
          <t>LPT</t>
        </is>
      </c>
      <c r="H1748" s="27" t="n">
        <v>3080</v>
      </c>
      <c r="I1748" s="27" t="n">
        <v>3300</v>
      </c>
      <c r="J1748" s="154">
        <f>I1748/H1748-1</f>
        <v/>
      </c>
      <c r="K1748" s="31" t="inlineStr">
        <is>
          <t>18</t>
        </is>
      </c>
      <c r="L1748" s="31" t="inlineStr">
        <is>
          <t>19</t>
        </is>
      </c>
      <c r="M1748" s="31" t="inlineStr">
        <is>
          <t>S2</t>
        </is>
      </c>
      <c r="N1748" s="31" t="inlineStr">
        <is>
          <t>S4</t>
        </is>
      </c>
      <c r="O1748" s="31" t="inlineStr">
        <is>
          <t>338-085-402-0</t>
        </is>
      </c>
      <c r="P1748" s="31" t="inlineStr">
        <is>
          <t>SRTAS</t>
        </is>
      </c>
    </row>
    <row r="1749">
      <c r="B1749" s="31" t="inlineStr">
        <is>
          <t>CFM56-5B</t>
        </is>
      </c>
      <c r="C1749" s="31" t="inlineStr">
        <is>
          <t>2025-2026</t>
        </is>
      </c>
      <c r="D1749" s="31" t="inlineStr">
        <is>
          <t>15119</t>
        </is>
      </c>
      <c r="E1749" s="31" t="inlineStr">
        <is>
          <t>71-00-01</t>
        </is>
      </c>
      <c r="F1749" s="31" t="inlineStr">
        <is>
          <t>B</t>
        </is>
      </c>
      <c r="G1749" s="31" t="inlineStr">
        <is>
          <t>Other / assembly</t>
        </is>
      </c>
      <c r="H1749" s="27" t="n">
        <v>410</v>
      </c>
      <c r="I1749" s="27" t="n">
        <v>435</v>
      </c>
      <c r="J1749" s="154">
        <f>I1749/H1749-1</f>
        <v/>
      </c>
      <c r="K1749" s="31" t="inlineStr">
        <is>
          <t>39</t>
        </is>
      </c>
      <c r="L1749" s="31" t="inlineStr">
        <is>
          <t>41</t>
        </is>
      </c>
      <c r="M1749" s="31" t="inlineStr">
        <is>
          <t>S2</t>
        </is>
      </c>
      <c r="N1749" s="31" t="inlineStr">
        <is>
          <t>S4</t>
        </is>
      </c>
      <c r="O1749" s="31" t="inlineStr">
        <is>
          <t>321-451-005-0</t>
        </is>
      </c>
      <c r="P1749" s="31" t="inlineStr">
        <is>
          <t>SR Technics Switzerland</t>
        </is>
      </c>
    </row>
    <row r="1750">
      <c r="B1750" s="31" t="inlineStr">
        <is>
          <t>CFM56-5B</t>
        </is>
      </c>
      <c r="C1750" s="31" t="inlineStr">
        <is>
          <t>2025-2026</t>
        </is>
      </c>
      <c r="D1750" s="31" t="inlineStr">
        <is>
          <t>15119</t>
        </is>
      </c>
      <c r="E1750" s="31" t="inlineStr">
        <is>
          <t>71-00-01</t>
        </is>
      </c>
      <c r="F1750" s="31" t="inlineStr">
        <is>
          <t>D</t>
        </is>
      </c>
      <c r="G1750" s="31" t="inlineStr">
        <is>
          <t>Other / assembly</t>
        </is>
      </c>
      <c r="H1750" s="27" t="n">
        <v>1010</v>
      </c>
      <c r="I1750" s="27" t="n">
        <v>1075</v>
      </c>
      <c r="J1750" s="154">
        <f>I1750/H1750-1</f>
        <v/>
      </c>
      <c r="K1750" s="31" t="inlineStr">
        <is>
          <t>39</t>
        </is>
      </c>
      <c r="L1750" s="31" t="inlineStr">
        <is>
          <t>41</t>
        </is>
      </c>
      <c r="M1750" s="31" t="inlineStr">
        <is>
          <t>S2</t>
        </is>
      </c>
      <c r="N1750" s="31" t="inlineStr">
        <is>
          <t>S4</t>
        </is>
      </c>
      <c r="O1750" s="31" t="inlineStr">
        <is>
          <t>321-451-005-0</t>
        </is>
      </c>
      <c r="P1750" s="31" t="inlineStr">
        <is>
          <t>SR Technics Switzerland</t>
        </is>
      </c>
    </row>
    <row r="1751">
      <c r="B1751" s="31" t="inlineStr">
        <is>
          <t>CFM56-5B</t>
        </is>
      </c>
      <c r="C1751" s="31" t="inlineStr">
        <is>
          <t>2025-2026</t>
        </is>
      </c>
      <c r="D1751" s="31" t="inlineStr">
        <is>
          <t>15119</t>
        </is>
      </c>
      <c r="E1751" s="31" t="inlineStr">
        <is>
          <t>71-00-01</t>
        </is>
      </c>
      <c r="F1751" s="31" t="inlineStr">
        <is>
          <t>SB00</t>
        </is>
      </c>
      <c r="G1751" s="31" t="inlineStr">
        <is>
          <t>Other / assembly</t>
        </is>
      </c>
      <c r="H1751" s="27" t="n">
        <v>810</v>
      </c>
      <c r="I1751" s="27" t="n">
        <v>860</v>
      </c>
      <c r="J1751" s="154">
        <f>I1751/H1751-1</f>
        <v/>
      </c>
      <c r="K1751" s="31" t="inlineStr">
        <is>
          <t>39</t>
        </is>
      </c>
      <c r="L1751" s="31" t="inlineStr">
        <is>
          <t>41</t>
        </is>
      </c>
      <c r="M1751" s="31" t="inlineStr">
        <is>
          <t>S2</t>
        </is>
      </c>
      <c r="N1751" s="31" t="inlineStr">
        <is>
          <t>S4</t>
        </is>
      </c>
      <c r="O1751" s="31" t="inlineStr">
        <is>
          <t>321-451-005-0</t>
        </is>
      </c>
      <c r="P1751" s="31" t="inlineStr">
        <is>
          <t>SR Technics Switzerland</t>
        </is>
      </c>
    </row>
    <row r="1752">
      <c r="B1752" s="31" t="inlineStr">
        <is>
          <t>CFM56-5B</t>
        </is>
      </c>
      <c r="C1752" s="31" t="inlineStr">
        <is>
          <t>2025-2026</t>
        </is>
      </c>
      <c r="D1752" s="31" t="inlineStr">
        <is>
          <t>15175</t>
        </is>
      </c>
      <c r="E1752" s="31" t="inlineStr">
        <is>
          <t>72-31-11</t>
        </is>
      </c>
      <c r="F1752" s="31" t="inlineStr">
        <is>
          <t>A</t>
        </is>
      </c>
      <c r="G1752" s="31" t="inlineStr">
        <is>
          <t>Compressor</t>
        </is>
      </c>
      <c r="H1752" s="27" t="n">
        <v>865</v>
      </c>
      <c r="I1752" s="27" t="n">
        <v>910</v>
      </c>
      <c r="J1752" s="154">
        <f>I1752/H1752-1</f>
        <v/>
      </c>
      <c r="K1752" s="31" t="inlineStr">
        <is>
          <t>5</t>
        </is>
      </c>
      <c r="L1752" s="31" t="inlineStr">
        <is>
          <t>4</t>
        </is>
      </c>
      <c r="M1752" s="31" t="inlineStr">
        <is>
          <t>S2</t>
        </is>
      </c>
      <c r="N1752" s="31" t="inlineStr">
        <is>
          <t>S4</t>
        </is>
      </c>
      <c r="O1752" s="31" t="inlineStr">
        <is>
          <t>2616M78G01</t>
        </is>
      </c>
      <c r="P1752" s="31" t="inlineStr">
        <is>
          <t>SR Technics Switzerland</t>
        </is>
      </c>
    </row>
    <row r="1753">
      <c r="B1753" s="31" t="inlineStr">
        <is>
          <t>CFM56-5B</t>
        </is>
      </c>
      <c r="C1753" s="31" t="inlineStr">
        <is>
          <t>2025-2026</t>
        </is>
      </c>
      <c r="D1753" s="31" t="inlineStr">
        <is>
          <t>15175</t>
        </is>
      </c>
      <c r="E1753" s="31" t="inlineStr">
        <is>
          <t>72-31-11</t>
        </is>
      </c>
      <c r="F1753" s="31" t="inlineStr">
        <is>
          <t>C</t>
        </is>
      </c>
      <c r="G1753" s="31" t="inlineStr">
        <is>
          <t>Compressor</t>
        </is>
      </c>
      <c r="H1753" s="27" t="n">
        <v>190</v>
      </c>
      <c r="I1753" s="27" t="n">
        <v>205</v>
      </c>
      <c r="J1753" s="154">
        <f>I1753/H1753-1</f>
        <v/>
      </c>
      <c r="K1753" s="31" t="inlineStr">
        <is>
          <t>5</t>
        </is>
      </c>
      <c r="L1753" s="31" t="inlineStr">
        <is>
          <t>4</t>
        </is>
      </c>
      <c r="M1753" s="31" t="inlineStr">
        <is>
          <t>S2</t>
        </is>
      </c>
      <c r="N1753" s="31" t="inlineStr">
        <is>
          <t>S4</t>
        </is>
      </c>
      <c r="O1753" s="31" t="inlineStr">
        <is>
          <t>2616M78G01</t>
        </is>
      </c>
      <c r="P1753" s="31" t="inlineStr">
        <is>
          <t>SR Technics Switzerland</t>
        </is>
      </c>
    </row>
    <row r="1754">
      <c r="B1754" s="31" t="inlineStr">
        <is>
          <t>CFM56-5B</t>
        </is>
      </c>
      <c r="C1754" s="31" t="inlineStr">
        <is>
          <t>2025-2026</t>
        </is>
      </c>
      <c r="D1754" s="31" t="inlineStr">
        <is>
          <t>15175</t>
        </is>
      </c>
      <c r="E1754" s="31" t="inlineStr">
        <is>
          <t>72-31-11</t>
        </is>
      </c>
      <c r="F1754" s="31" t="inlineStr">
        <is>
          <t>G</t>
        </is>
      </c>
      <c r="G1754" s="31" t="inlineStr">
        <is>
          <t>Compressor</t>
        </is>
      </c>
      <c r="H1754" s="27" t="n">
        <v>3255</v>
      </c>
      <c r="I1754" s="27" t="n">
        <v>3455</v>
      </c>
      <c r="J1754" s="154">
        <f>I1754/H1754-1</f>
        <v/>
      </c>
      <c r="K1754" s="31" t="inlineStr">
        <is>
          <t>5</t>
        </is>
      </c>
      <c r="L1754" s="31" t="inlineStr">
        <is>
          <t>4</t>
        </is>
      </c>
      <c r="M1754" s="31" t="inlineStr">
        <is>
          <t>S2</t>
        </is>
      </c>
      <c r="N1754" s="31" t="inlineStr">
        <is>
          <t>S4</t>
        </is>
      </c>
      <c r="O1754" s="31" t="inlineStr">
        <is>
          <t>2616M78G01</t>
        </is>
      </c>
      <c r="P1754" s="31" t="inlineStr">
        <is>
          <t>SR Technics Switzerland</t>
        </is>
      </c>
    </row>
    <row r="1755">
      <c r="B1755" s="31" t="inlineStr">
        <is>
          <t>CFM56-5B</t>
        </is>
      </c>
      <c r="C1755" s="31" t="inlineStr">
        <is>
          <t>2025-2026</t>
        </is>
      </c>
      <c r="D1755" s="31" t="inlineStr">
        <is>
          <t>1518</t>
        </is>
      </c>
      <c r="E1755" s="31" t="inlineStr">
        <is>
          <t>72-33-02</t>
        </is>
      </c>
      <c r="F1755" s="31" t="inlineStr">
        <is>
          <t>A</t>
        </is>
      </c>
      <c r="G1755" s="31" t="inlineStr">
        <is>
          <t>Compressor</t>
        </is>
      </c>
      <c r="H1755" s="27" t="n">
        <v>230</v>
      </c>
      <c r="I1755" s="27" t="n">
        <v>250</v>
      </c>
      <c r="J1755" s="154">
        <f>I1755/H1755-1</f>
        <v/>
      </c>
      <c r="K1755" s="31" t="inlineStr">
        <is>
          <t>28</t>
        </is>
      </c>
      <c r="L1755" s="31" t="inlineStr">
        <is>
          <t>29</t>
        </is>
      </c>
      <c r="M1755" s="31" t="inlineStr">
        <is>
          <t>S2</t>
        </is>
      </c>
      <c r="N1755" s="31" t="inlineStr">
        <is>
          <t>S4</t>
        </is>
      </c>
      <c r="O1755" s="31" t="inlineStr">
        <is>
          <t>1559M16G01</t>
        </is>
      </c>
      <c r="P1755" s="31" t="inlineStr">
        <is>
          <t>SRTAS</t>
        </is>
      </c>
    </row>
    <row r="1756">
      <c r="B1756" s="31" t="inlineStr">
        <is>
          <t>CFM56-5B</t>
        </is>
      </c>
      <c r="C1756" s="31" t="inlineStr">
        <is>
          <t>2025-2026</t>
        </is>
      </c>
      <c r="D1756" s="31" t="inlineStr">
        <is>
          <t>1518</t>
        </is>
      </c>
      <c r="E1756" s="31" t="inlineStr">
        <is>
          <t>72-33-02</t>
        </is>
      </c>
      <c r="F1756" s="31" t="inlineStr">
        <is>
          <t>B</t>
        </is>
      </c>
      <c r="G1756" s="31" t="inlineStr">
        <is>
          <t>Compressor</t>
        </is>
      </c>
      <c r="H1756" s="27" t="n">
        <v>525</v>
      </c>
      <c r="I1756" s="27" t="n">
        <v>565</v>
      </c>
      <c r="J1756" s="154">
        <f>I1756/H1756-1</f>
        <v/>
      </c>
      <c r="K1756" s="31" t="inlineStr">
        <is>
          <t>28</t>
        </is>
      </c>
      <c r="L1756" s="31" t="inlineStr">
        <is>
          <t>29</t>
        </is>
      </c>
      <c r="M1756" s="31" t="inlineStr">
        <is>
          <t>S2</t>
        </is>
      </c>
      <c r="N1756" s="31" t="inlineStr">
        <is>
          <t>S4</t>
        </is>
      </c>
      <c r="O1756" s="31" t="inlineStr">
        <is>
          <t>1559M16G01</t>
        </is>
      </c>
      <c r="P1756" s="31" t="inlineStr">
        <is>
          <t>SRTAS</t>
        </is>
      </c>
    </row>
    <row r="1757">
      <c r="B1757" s="31" t="inlineStr">
        <is>
          <t>CFM56-5B</t>
        </is>
      </c>
      <c r="C1757" s="31" t="inlineStr">
        <is>
          <t>2025-2026</t>
        </is>
      </c>
      <c r="D1757" s="31" t="inlineStr">
        <is>
          <t>1518</t>
        </is>
      </c>
      <c r="E1757" s="31" t="inlineStr">
        <is>
          <t>72-33-02</t>
        </is>
      </c>
      <c r="F1757" s="31" t="inlineStr">
        <is>
          <t>G</t>
        </is>
      </c>
      <c r="G1757" s="31" t="inlineStr">
        <is>
          <t>Compressor</t>
        </is>
      </c>
      <c r="H1757" s="27" t="n">
        <v>125</v>
      </c>
      <c r="I1757" s="27" t="n">
        <v>135</v>
      </c>
      <c r="J1757" s="154">
        <f>I1757/H1757-1</f>
        <v/>
      </c>
      <c r="K1757" s="31" t="inlineStr">
        <is>
          <t>28</t>
        </is>
      </c>
      <c r="L1757" s="31" t="inlineStr">
        <is>
          <t>29</t>
        </is>
      </c>
      <c r="M1757" s="31" t="inlineStr">
        <is>
          <t>S2</t>
        </is>
      </c>
      <c r="N1757" s="31" t="inlineStr">
        <is>
          <t>S4</t>
        </is>
      </c>
      <c r="O1757" s="31" t="inlineStr">
        <is>
          <t>1559M16G01</t>
        </is>
      </c>
      <c r="P1757" s="31" t="inlineStr">
        <is>
          <t>SRTAS</t>
        </is>
      </c>
    </row>
    <row r="1758">
      <c r="B1758" s="31" t="inlineStr">
        <is>
          <t>CFM56-5B</t>
        </is>
      </c>
      <c r="C1758" s="31" t="inlineStr">
        <is>
          <t>2025-2026</t>
        </is>
      </c>
      <c r="D1758" s="31" t="inlineStr">
        <is>
          <t>1518</t>
        </is>
      </c>
      <c r="E1758" s="31" t="inlineStr">
        <is>
          <t>72-33-02</t>
        </is>
      </c>
      <c r="F1758" s="31" t="inlineStr">
        <is>
          <t>N</t>
        </is>
      </c>
      <c r="G1758" s="31" t="inlineStr">
        <is>
          <t>Compressor</t>
        </is>
      </c>
      <c r="H1758" s="27" t="n">
        <v>125</v>
      </c>
      <c r="I1758" s="27" t="n">
        <v>135</v>
      </c>
      <c r="J1758" s="154">
        <f>I1758/H1758-1</f>
        <v/>
      </c>
      <c r="K1758" s="31" t="inlineStr">
        <is>
          <t>28</t>
        </is>
      </c>
      <c r="L1758" s="31" t="inlineStr">
        <is>
          <t>29</t>
        </is>
      </c>
      <c r="M1758" s="31" t="inlineStr">
        <is>
          <t>S2</t>
        </is>
      </c>
      <c r="N1758" s="31" t="inlineStr">
        <is>
          <t>S4</t>
        </is>
      </c>
      <c r="O1758" s="31" t="inlineStr">
        <is>
          <t>1559M16G01</t>
        </is>
      </c>
      <c r="P1758" s="31" t="inlineStr">
        <is>
          <t>SRTAS</t>
        </is>
      </c>
    </row>
    <row r="1759">
      <c r="B1759" s="31" t="inlineStr">
        <is>
          <t>CFM56-5B</t>
        </is>
      </c>
      <c r="C1759" s="31" t="inlineStr">
        <is>
          <t>2025-2026</t>
        </is>
      </c>
      <c r="D1759" s="31" t="inlineStr">
        <is>
          <t>1518</t>
        </is>
      </c>
      <c r="E1759" s="31" t="inlineStr">
        <is>
          <t>72-33-02</t>
        </is>
      </c>
      <c r="F1759" s="31" t="inlineStr">
        <is>
          <t>U</t>
        </is>
      </c>
      <c r="G1759" s="31" t="inlineStr">
        <is>
          <t>Compressor</t>
        </is>
      </c>
      <c r="H1759" s="27" t="n">
        <v>125</v>
      </c>
      <c r="I1759" s="27" t="n">
        <v>135</v>
      </c>
      <c r="J1759" s="154">
        <f>I1759/H1759-1</f>
        <v/>
      </c>
      <c r="K1759" s="31" t="inlineStr">
        <is>
          <t>28</t>
        </is>
      </c>
      <c r="L1759" s="31" t="inlineStr">
        <is>
          <t>29</t>
        </is>
      </c>
      <c r="M1759" s="31" t="inlineStr">
        <is>
          <t>S2</t>
        </is>
      </c>
      <c r="N1759" s="31" t="inlineStr">
        <is>
          <t>S4</t>
        </is>
      </c>
      <c r="O1759" s="31" t="inlineStr">
        <is>
          <t>1559M16G01</t>
        </is>
      </c>
      <c r="P1759" s="31" t="inlineStr">
        <is>
          <t>SRTAS</t>
        </is>
      </c>
    </row>
    <row r="1760">
      <c r="B1760" s="31" t="inlineStr">
        <is>
          <t>CFM56-5B</t>
        </is>
      </c>
      <c r="C1760" s="31" t="inlineStr">
        <is>
          <t>2025-2026</t>
        </is>
      </c>
      <c r="D1760" s="31" t="inlineStr">
        <is>
          <t>15379</t>
        </is>
      </c>
      <c r="E1760" s="31" t="inlineStr">
        <is>
          <t>72-56-01</t>
        </is>
      </c>
      <c r="F1760" s="31" t="inlineStr">
        <is>
          <t>A</t>
        </is>
      </c>
      <c r="G1760" s="31" t="inlineStr">
        <is>
          <t>LPT</t>
        </is>
      </c>
      <c r="H1760" s="27" t="n">
        <v>385</v>
      </c>
      <c r="I1760" s="27" t="n">
        <v>405</v>
      </c>
      <c r="J1760" s="154">
        <f>I1760/H1760-1</f>
        <v/>
      </c>
      <c r="K1760" s="31" t="inlineStr">
        <is>
          <t>40</t>
        </is>
      </c>
      <c r="L1760" s="31" t="inlineStr">
        <is>
          <t>41</t>
        </is>
      </c>
      <c r="M1760" s="31" t="inlineStr">
        <is>
          <t>S2</t>
        </is>
      </c>
      <c r="N1760" s="31" t="inlineStr">
        <is>
          <t>S4</t>
        </is>
      </c>
      <c r="O1760" s="31" t="inlineStr">
        <is>
          <t>336-043-302-0</t>
        </is>
      </c>
      <c r="P1760" s="31" t="inlineStr">
        <is>
          <t>SR Technics Switzerland</t>
        </is>
      </c>
    </row>
    <row r="1761">
      <c r="B1761" s="31" t="inlineStr">
        <is>
          <t>CFM56-5B</t>
        </is>
      </c>
      <c r="C1761" s="31" t="inlineStr">
        <is>
          <t>2025-2026</t>
        </is>
      </c>
      <c r="D1761" s="31" t="inlineStr">
        <is>
          <t>15379</t>
        </is>
      </c>
      <c r="E1761" s="31" t="inlineStr">
        <is>
          <t>72-56-01</t>
        </is>
      </c>
      <c r="F1761" s="31" t="inlineStr">
        <is>
          <t>AD</t>
        </is>
      </c>
      <c r="G1761" s="31" t="inlineStr">
        <is>
          <t>LPT</t>
        </is>
      </c>
      <c r="H1761" s="27" t="n">
        <v>240</v>
      </c>
      <c r="I1761" s="27" t="n">
        <v>255</v>
      </c>
      <c r="J1761" s="154">
        <f>I1761/H1761-1</f>
        <v/>
      </c>
      <c r="K1761" s="31" t="inlineStr">
        <is>
          <t>40</t>
        </is>
      </c>
      <c r="L1761" s="31" t="inlineStr">
        <is>
          <t>41</t>
        </is>
      </c>
      <c r="M1761" s="31" t="inlineStr">
        <is>
          <t>S2</t>
        </is>
      </c>
      <c r="N1761" s="31" t="inlineStr">
        <is>
          <t>S4</t>
        </is>
      </c>
      <c r="O1761" s="31" t="inlineStr">
        <is>
          <t>336-043-302-0</t>
        </is>
      </c>
      <c r="P1761" s="31" t="inlineStr">
        <is>
          <t>SR Technics Switzerland</t>
        </is>
      </c>
    </row>
    <row r="1762">
      <c r="B1762" s="31" t="inlineStr">
        <is>
          <t>CFM56-5B</t>
        </is>
      </c>
      <c r="C1762" s="31" t="inlineStr">
        <is>
          <t>2025-2026</t>
        </is>
      </c>
      <c r="D1762" s="31" t="inlineStr">
        <is>
          <t>1548</t>
        </is>
      </c>
      <c r="E1762" s="31" t="inlineStr">
        <is>
          <t>72-32-13</t>
        </is>
      </c>
      <c r="F1762" s="31" t="inlineStr">
        <is>
          <t>A</t>
        </is>
      </c>
      <c r="G1762" s="31" t="inlineStr">
        <is>
          <t>Compressor</t>
        </is>
      </c>
      <c r="H1762" s="27" t="n">
        <v>265</v>
      </c>
      <c r="I1762" s="27" t="n">
        <v>280</v>
      </c>
      <c r="J1762" s="154">
        <f>I1762/H1762-1</f>
        <v/>
      </c>
      <c r="K1762" s="31" t="inlineStr">
        <is>
          <t>29</t>
        </is>
      </c>
      <c r="L1762" s="31" t="inlineStr">
        <is>
          <t>30</t>
        </is>
      </c>
      <c r="M1762" s="31" t="inlineStr">
        <is>
          <t>S2</t>
        </is>
      </c>
      <c r="N1762" s="31" t="inlineStr">
        <is>
          <t>S4</t>
        </is>
      </c>
      <c r="O1762" s="31" t="inlineStr">
        <is>
          <t>1476M51P01</t>
        </is>
      </c>
      <c r="P1762" s="31" t="inlineStr">
        <is>
          <t>SR Technics Switzerland</t>
        </is>
      </c>
    </row>
    <row r="1763">
      <c r="B1763" s="31" t="inlineStr">
        <is>
          <t>CFM56-5B</t>
        </is>
      </c>
      <c r="C1763" s="31" t="inlineStr">
        <is>
          <t>2025-2026</t>
        </is>
      </c>
      <c r="D1763" s="31" t="inlineStr">
        <is>
          <t>1548</t>
        </is>
      </c>
      <c r="E1763" s="31" t="inlineStr">
        <is>
          <t>72-32-13</t>
        </is>
      </c>
      <c r="F1763" s="31" t="inlineStr">
        <is>
          <t>B</t>
        </is>
      </c>
      <c r="G1763" s="31" t="inlineStr">
        <is>
          <t>Compressor</t>
        </is>
      </c>
      <c r="H1763" s="27" t="n">
        <v>1080</v>
      </c>
      <c r="I1763" s="27" t="n">
        <v>1145</v>
      </c>
      <c r="J1763" s="154">
        <f>I1763/H1763-1</f>
        <v/>
      </c>
      <c r="K1763" s="31" t="inlineStr">
        <is>
          <t>29</t>
        </is>
      </c>
      <c r="L1763" s="31" t="inlineStr">
        <is>
          <t>30</t>
        </is>
      </c>
      <c r="M1763" s="31" t="inlineStr">
        <is>
          <t>S2</t>
        </is>
      </c>
      <c r="N1763" s="31" t="inlineStr">
        <is>
          <t>S4</t>
        </is>
      </c>
      <c r="O1763" s="31" t="inlineStr">
        <is>
          <t>1476M51P01</t>
        </is>
      </c>
      <c r="P1763" s="31" t="inlineStr">
        <is>
          <t>SR Technics Switzerland</t>
        </is>
      </c>
    </row>
    <row r="1764">
      <c r="B1764" s="31" t="inlineStr">
        <is>
          <t>CFM56-5B</t>
        </is>
      </c>
      <c r="C1764" s="31" t="inlineStr">
        <is>
          <t>2025-2026</t>
        </is>
      </c>
      <c r="D1764" s="31" t="inlineStr">
        <is>
          <t>16715</t>
        </is>
      </c>
      <c r="E1764" s="31" t="inlineStr">
        <is>
          <t>72-32-01</t>
        </is>
      </c>
      <c r="F1764" s="31" t="inlineStr">
        <is>
          <t>A</t>
        </is>
      </c>
      <c r="G1764" s="31" t="inlineStr">
        <is>
          <t>Compressor</t>
        </is>
      </c>
      <c r="H1764" s="27" t="n">
        <v>3470</v>
      </c>
      <c r="I1764" s="27" t="n">
        <v>3645</v>
      </c>
      <c r="J1764" s="154">
        <f>I1764/H1764-1</f>
        <v/>
      </c>
      <c r="K1764" s="31" t="inlineStr">
        <is>
          <t>5</t>
        </is>
      </c>
      <c r="L1764" s="31" t="inlineStr">
        <is>
          <t>4</t>
        </is>
      </c>
      <c r="M1764" s="31" t="inlineStr">
        <is>
          <t>S2</t>
        </is>
      </c>
      <c r="N1764" s="31" t="inlineStr">
        <is>
          <t>S4</t>
        </is>
      </c>
      <c r="O1764" s="31" t="inlineStr">
        <is>
          <t>1559M30G05</t>
        </is>
      </c>
      <c r="P1764" s="31" t="inlineStr">
        <is>
          <t>SR Technics Switzerland</t>
        </is>
      </c>
    </row>
    <row r="1765">
      <c r="B1765" s="31" t="inlineStr">
        <is>
          <t>CFM56-5B</t>
        </is>
      </c>
      <c r="C1765" s="31" t="inlineStr">
        <is>
          <t>2025-2026</t>
        </is>
      </c>
      <c r="D1765" s="31" t="inlineStr">
        <is>
          <t>16715</t>
        </is>
      </c>
      <c r="E1765" s="31" t="inlineStr">
        <is>
          <t>72-32-01</t>
        </is>
      </c>
      <c r="F1765" s="31" t="inlineStr">
        <is>
          <t>AB</t>
        </is>
      </c>
      <c r="G1765" s="31" t="inlineStr">
        <is>
          <t>Compressor</t>
        </is>
      </c>
      <c r="H1765" s="27" t="n">
        <v>6240</v>
      </c>
      <c r="I1765" s="27" t="n">
        <v>6615</v>
      </c>
      <c r="J1765" s="154">
        <f>I1765/H1765-1</f>
        <v/>
      </c>
      <c r="K1765" s="31" t="inlineStr">
        <is>
          <t>5</t>
        </is>
      </c>
      <c r="L1765" s="31" t="inlineStr">
        <is>
          <t>5</t>
        </is>
      </c>
      <c r="M1765" s="31" t="inlineStr">
        <is>
          <t>S2</t>
        </is>
      </c>
      <c r="N1765" s="31" t="inlineStr">
        <is>
          <t>S4</t>
        </is>
      </c>
      <c r="O1765" s="31" t="inlineStr">
        <is>
          <t>1559M30G05</t>
        </is>
      </c>
      <c r="P1765" s="31" t="inlineStr">
        <is>
          <t>SR Technics Switzerland</t>
        </is>
      </c>
    </row>
    <row r="1766">
      <c r="B1766" s="31" t="inlineStr">
        <is>
          <t>CFM56-5B</t>
        </is>
      </c>
      <c r="C1766" s="31" t="inlineStr">
        <is>
          <t>2025-2026</t>
        </is>
      </c>
      <c r="D1766" s="31" t="inlineStr">
        <is>
          <t>16715</t>
        </is>
      </c>
      <c r="E1766" s="31" t="inlineStr">
        <is>
          <t>72-32-01</t>
        </is>
      </c>
      <c r="F1766" s="31" t="inlineStr">
        <is>
          <t>AG</t>
        </is>
      </c>
      <c r="G1766" s="31" t="inlineStr">
        <is>
          <t>Compressor</t>
        </is>
      </c>
      <c r="H1766" s="27" t="n">
        <v>1285</v>
      </c>
      <c r="I1766" s="27" t="n">
        <v>1365</v>
      </c>
      <c r="J1766" s="154">
        <f>I1766/H1766-1</f>
        <v/>
      </c>
      <c r="K1766" s="31" t="inlineStr">
        <is>
          <t>5</t>
        </is>
      </c>
      <c r="L1766" s="31" t="inlineStr">
        <is>
          <t>5</t>
        </is>
      </c>
      <c r="M1766" s="31" t="inlineStr">
        <is>
          <t>S2</t>
        </is>
      </c>
      <c r="N1766" s="31" t="inlineStr">
        <is>
          <t>S4</t>
        </is>
      </c>
      <c r="O1766" s="31" t="inlineStr">
        <is>
          <t>1559M30G05</t>
        </is>
      </c>
      <c r="P1766" s="31" t="inlineStr">
        <is>
          <t>SR Technics Switzerland</t>
        </is>
      </c>
    </row>
    <row r="1767">
      <c r="B1767" s="31" t="inlineStr">
        <is>
          <t>CFM56-5B</t>
        </is>
      </c>
      <c r="C1767" s="31" t="inlineStr">
        <is>
          <t>2025-2026</t>
        </is>
      </c>
      <c r="D1767" s="31" t="inlineStr">
        <is>
          <t>16715</t>
        </is>
      </c>
      <c r="E1767" s="31" t="inlineStr">
        <is>
          <t>72-32-01</t>
        </is>
      </c>
      <c r="F1767" s="31" t="inlineStr">
        <is>
          <t>AK</t>
        </is>
      </c>
      <c r="G1767" s="31" t="inlineStr">
        <is>
          <t>Compressor</t>
        </is>
      </c>
      <c r="H1767" s="27" t="n">
        <v>190</v>
      </c>
      <c r="I1767" s="27" t="n">
        <v>205</v>
      </c>
      <c r="J1767" s="154">
        <f>I1767/H1767-1</f>
        <v/>
      </c>
      <c r="K1767" s="31" t="inlineStr">
        <is>
          <t>5</t>
        </is>
      </c>
      <c r="L1767" s="31" t="inlineStr">
        <is>
          <t>5</t>
        </is>
      </c>
      <c r="M1767" s="31" t="inlineStr">
        <is>
          <t>S2</t>
        </is>
      </c>
      <c r="N1767" s="31" t="inlineStr">
        <is>
          <t>S4</t>
        </is>
      </c>
      <c r="O1767" s="31" t="inlineStr">
        <is>
          <t>1559M30G05</t>
        </is>
      </c>
      <c r="P1767" s="31" t="inlineStr">
        <is>
          <t>SR Technics Switzerland</t>
        </is>
      </c>
    </row>
    <row r="1768">
      <c r="B1768" s="31" t="inlineStr">
        <is>
          <t>CFM56-5B</t>
        </is>
      </c>
      <c r="C1768" s="31" t="inlineStr">
        <is>
          <t>2025-2026</t>
        </is>
      </c>
      <c r="D1768" s="31" t="inlineStr">
        <is>
          <t>16715</t>
        </is>
      </c>
      <c r="E1768" s="31" t="inlineStr">
        <is>
          <t>72-32-01</t>
        </is>
      </c>
      <c r="F1768" s="31" t="inlineStr">
        <is>
          <t>B</t>
        </is>
      </c>
      <c r="G1768" s="31" t="inlineStr">
        <is>
          <t>Compressor</t>
        </is>
      </c>
      <c r="H1768" s="27" t="n">
        <v>2225</v>
      </c>
      <c r="I1768" s="27" t="n">
        <v>2360</v>
      </c>
      <c r="J1768" s="154">
        <f>I1768/H1768-1</f>
        <v/>
      </c>
      <c r="K1768" s="31" t="inlineStr">
        <is>
          <t>5</t>
        </is>
      </c>
      <c r="L1768" s="31" t="inlineStr">
        <is>
          <t>5</t>
        </is>
      </c>
      <c r="M1768" s="31" t="inlineStr">
        <is>
          <t>S2</t>
        </is>
      </c>
      <c r="N1768" s="31" t="inlineStr">
        <is>
          <t>S4</t>
        </is>
      </c>
      <c r="O1768" s="31" t="inlineStr">
        <is>
          <t>1559M30G05</t>
        </is>
      </c>
      <c r="P1768" s="31" t="inlineStr">
        <is>
          <t>SR Technics Switzerland</t>
        </is>
      </c>
    </row>
    <row r="1769">
      <c r="B1769" s="31" t="inlineStr">
        <is>
          <t>CFM56-5B</t>
        </is>
      </c>
      <c r="C1769" s="31" t="inlineStr">
        <is>
          <t>2025-2026</t>
        </is>
      </c>
      <c r="D1769" s="31" t="inlineStr">
        <is>
          <t>16715</t>
        </is>
      </c>
      <c r="E1769" s="31" t="inlineStr">
        <is>
          <t>72-32-01</t>
        </is>
      </c>
      <c r="F1769" s="31" t="inlineStr">
        <is>
          <t>C</t>
        </is>
      </c>
      <c r="G1769" s="31" t="inlineStr">
        <is>
          <t>Compressor</t>
        </is>
      </c>
      <c r="H1769" s="27" t="n">
        <v>2275</v>
      </c>
      <c r="I1769" s="27" t="n">
        <v>2415</v>
      </c>
      <c r="J1769" s="154">
        <f>I1769/H1769-1</f>
        <v/>
      </c>
      <c r="K1769" s="31" t="inlineStr">
        <is>
          <t>5</t>
        </is>
      </c>
      <c r="L1769" s="31" t="inlineStr">
        <is>
          <t>5</t>
        </is>
      </c>
      <c r="M1769" s="31" t="inlineStr">
        <is>
          <t>S2</t>
        </is>
      </c>
      <c r="N1769" s="31" t="inlineStr">
        <is>
          <t>S4</t>
        </is>
      </c>
      <c r="O1769" s="31" t="inlineStr">
        <is>
          <t>1559M30G05</t>
        </is>
      </c>
      <c r="P1769" s="31" t="inlineStr">
        <is>
          <t>SR Technics Switzerland</t>
        </is>
      </c>
    </row>
    <row r="1770">
      <c r="B1770" s="31" t="inlineStr">
        <is>
          <t>CFM56-5B</t>
        </is>
      </c>
      <c r="C1770" s="31" t="inlineStr">
        <is>
          <t>2025-2026</t>
        </is>
      </c>
      <c r="D1770" s="31" t="inlineStr">
        <is>
          <t>16715</t>
        </is>
      </c>
      <c r="E1770" s="31" t="inlineStr">
        <is>
          <t>72-32-01</t>
        </is>
      </c>
      <c r="F1770" s="31" t="inlineStr">
        <is>
          <t>D</t>
        </is>
      </c>
      <c r="G1770" s="31" t="inlineStr">
        <is>
          <t>Compressor</t>
        </is>
      </c>
      <c r="H1770" s="27" t="n">
        <v>3295</v>
      </c>
      <c r="I1770" s="27" t="n">
        <v>3495</v>
      </c>
      <c r="J1770" s="154">
        <f>I1770/H1770-1</f>
        <v/>
      </c>
      <c r="K1770" s="31" t="inlineStr">
        <is>
          <t>5</t>
        </is>
      </c>
      <c r="L1770" s="31" t="inlineStr">
        <is>
          <t>5</t>
        </is>
      </c>
      <c r="M1770" s="31" t="inlineStr">
        <is>
          <t>S2</t>
        </is>
      </c>
      <c r="N1770" s="31" t="inlineStr">
        <is>
          <t>S4</t>
        </is>
      </c>
      <c r="O1770" s="31" t="inlineStr">
        <is>
          <t>1559M30G05</t>
        </is>
      </c>
      <c r="P1770" s="31" t="inlineStr">
        <is>
          <t>SR Technics Switzerland</t>
        </is>
      </c>
    </row>
    <row r="1771">
      <c r="B1771" s="31" t="inlineStr">
        <is>
          <t>CFM56-5B</t>
        </is>
      </c>
      <c r="C1771" s="31" t="inlineStr">
        <is>
          <t>2025-2026</t>
        </is>
      </c>
      <c r="D1771" s="31" t="inlineStr">
        <is>
          <t>16715</t>
        </is>
      </c>
      <c r="E1771" s="31" t="inlineStr">
        <is>
          <t>72-32-01</t>
        </is>
      </c>
      <c r="F1771" s="31" t="inlineStr">
        <is>
          <t>G</t>
        </is>
      </c>
      <c r="G1771" s="31" t="inlineStr">
        <is>
          <t>Compressor</t>
        </is>
      </c>
      <c r="H1771" s="27" t="n">
        <v>890</v>
      </c>
      <c r="I1771" s="27" t="n">
        <v>945</v>
      </c>
      <c r="J1771" s="154">
        <f>I1771/H1771-1</f>
        <v/>
      </c>
      <c r="K1771" s="31" t="inlineStr">
        <is>
          <t>5</t>
        </is>
      </c>
      <c r="L1771" s="31" t="inlineStr">
        <is>
          <t>5</t>
        </is>
      </c>
      <c r="M1771" s="31" t="inlineStr">
        <is>
          <t>S2</t>
        </is>
      </c>
      <c r="N1771" s="31" t="inlineStr">
        <is>
          <t>S4</t>
        </is>
      </c>
      <c r="O1771" s="31" t="inlineStr">
        <is>
          <t>1559M30G05</t>
        </is>
      </c>
      <c r="P1771" s="31" t="inlineStr">
        <is>
          <t>SR Technics Switzerland</t>
        </is>
      </c>
    </row>
    <row r="1772">
      <c r="B1772" s="31" t="inlineStr">
        <is>
          <t>CFM56-5B</t>
        </is>
      </c>
      <c r="C1772" s="31" t="inlineStr">
        <is>
          <t>2025-2026</t>
        </is>
      </c>
      <c r="D1772" s="31" t="inlineStr">
        <is>
          <t>16715</t>
        </is>
      </c>
      <c r="E1772" s="31" t="inlineStr">
        <is>
          <t>72-32-01</t>
        </is>
      </c>
      <c r="F1772" s="31" t="inlineStr">
        <is>
          <t>P</t>
        </is>
      </c>
      <c r="G1772" s="31" t="inlineStr">
        <is>
          <t>Compressor</t>
        </is>
      </c>
      <c r="H1772" s="27" t="n">
        <v>11885</v>
      </c>
      <c r="I1772" s="27" t="n">
        <v>12600</v>
      </c>
      <c r="J1772" s="154">
        <f>I1772/H1772-1</f>
        <v/>
      </c>
      <c r="K1772" s="31" t="inlineStr">
        <is>
          <t>5</t>
        </is>
      </c>
      <c r="L1772" s="31" t="inlineStr">
        <is>
          <t>5</t>
        </is>
      </c>
      <c r="M1772" s="31" t="inlineStr">
        <is>
          <t>S2</t>
        </is>
      </c>
      <c r="N1772" s="31" t="inlineStr">
        <is>
          <t>S4</t>
        </is>
      </c>
      <c r="O1772" s="31" t="inlineStr">
        <is>
          <t>1559M30G05</t>
        </is>
      </c>
      <c r="P1772" s="31" t="inlineStr">
        <is>
          <t>SR Technics Switzerland</t>
        </is>
      </c>
    </row>
    <row r="1773">
      <c r="B1773" s="31" t="inlineStr">
        <is>
          <t>CFM56-5B</t>
        </is>
      </c>
      <c r="C1773" s="31" t="inlineStr">
        <is>
          <t>2025-2026</t>
        </is>
      </c>
      <c r="D1773" s="31" t="inlineStr">
        <is>
          <t>16715</t>
        </is>
      </c>
      <c r="E1773" s="31" t="inlineStr">
        <is>
          <t>72-32-01</t>
        </is>
      </c>
      <c r="F1773" s="31" t="inlineStr">
        <is>
          <t>Q</t>
        </is>
      </c>
      <c r="G1773" s="31" t="inlineStr">
        <is>
          <t>Compressor</t>
        </is>
      </c>
      <c r="H1773" s="27" t="n">
        <v>8910</v>
      </c>
      <c r="I1773" s="27" t="n">
        <v>9445</v>
      </c>
      <c r="J1773" s="154">
        <f>I1773/H1773-1</f>
        <v/>
      </c>
      <c r="K1773" s="31" t="inlineStr">
        <is>
          <t>5</t>
        </is>
      </c>
      <c r="L1773" s="31" t="inlineStr">
        <is>
          <t>5</t>
        </is>
      </c>
      <c r="M1773" s="31" t="inlineStr">
        <is>
          <t>S2</t>
        </is>
      </c>
      <c r="N1773" s="31" t="inlineStr">
        <is>
          <t>S4</t>
        </is>
      </c>
      <c r="O1773" s="31" t="inlineStr">
        <is>
          <t>1559M30G05</t>
        </is>
      </c>
      <c r="P1773" s="31" t="inlineStr">
        <is>
          <t>SR Technics Switzerland</t>
        </is>
      </c>
    </row>
    <row r="1774">
      <c r="B1774" s="31" t="inlineStr">
        <is>
          <t>CFM56-5B</t>
        </is>
      </c>
      <c r="C1774" s="31" t="inlineStr">
        <is>
          <t>2025-2026</t>
        </is>
      </c>
      <c r="D1774" s="31" t="inlineStr">
        <is>
          <t>16715</t>
        </is>
      </c>
      <c r="E1774" s="31" t="inlineStr">
        <is>
          <t>72-32-01</t>
        </is>
      </c>
      <c r="F1774" s="31" t="inlineStr">
        <is>
          <t>SB01</t>
        </is>
      </c>
      <c r="G1774" s="31" t="inlineStr">
        <is>
          <t>Compressor</t>
        </is>
      </c>
      <c r="H1774" s="27" t="n">
        <v>300</v>
      </c>
      <c r="I1774" s="27" t="n">
        <v>320</v>
      </c>
      <c r="J1774" s="154">
        <f>I1774/H1774-1</f>
        <v/>
      </c>
      <c r="K1774" s="31" t="inlineStr">
        <is>
          <t>5</t>
        </is>
      </c>
      <c r="L1774" s="31" t="inlineStr">
        <is>
          <t>5</t>
        </is>
      </c>
      <c r="M1774" s="31" t="inlineStr">
        <is>
          <t>S2</t>
        </is>
      </c>
      <c r="N1774" s="31" t="inlineStr">
        <is>
          <t>S4</t>
        </is>
      </c>
      <c r="O1774" s="31" t="inlineStr">
        <is>
          <t>1559M30G05</t>
        </is>
      </c>
      <c r="P1774" s="31" t="inlineStr">
        <is>
          <t>SR Technics Switzerland</t>
        </is>
      </c>
    </row>
    <row r="1775">
      <c r="B1775" s="31" t="inlineStr">
        <is>
          <t>CFM56-5B</t>
        </is>
      </c>
      <c r="C1775" s="31" t="inlineStr">
        <is>
          <t>2025-2026</t>
        </is>
      </c>
      <c r="D1775" s="31" t="inlineStr">
        <is>
          <t>16715</t>
        </is>
      </c>
      <c r="E1775" s="31" t="inlineStr">
        <is>
          <t>72-32-01</t>
        </is>
      </c>
      <c r="F1775" s="31" t="inlineStr">
        <is>
          <t>V</t>
        </is>
      </c>
      <c r="G1775" s="31" t="inlineStr">
        <is>
          <t>Compressor</t>
        </is>
      </c>
      <c r="H1775" s="27" t="n">
        <v>11965</v>
      </c>
      <c r="I1775" s="27" t="n">
        <v>12685</v>
      </c>
      <c r="J1775" s="154">
        <f>I1775/H1775-1</f>
        <v/>
      </c>
      <c r="K1775" s="31" t="inlineStr">
        <is>
          <t>5</t>
        </is>
      </c>
      <c r="L1775" s="31" t="inlineStr">
        <is>
          <t>5</t>
        </is>
      </c>
      <c r="M1775" s="31" t="inlineStr">
        <is>
          <t>S2</t>
        </is>
      </c>
      <c r="N1775" s="31" t="inlineStr">
        <is>
          <t>S4</t>
        </is>
      </c>
      <c r="O1775" s="31" t="inlineStr">
        <is>
          <t>1559M30G05</t>
        </is>
      </c>
      <c r="P1775" s="31" t="inlineStr">
        <is>
          <t>SR Technics Switzerland</t>
        </is>
      </c>
    </row>
    <row r="1776">
      <c r="B1776" s="31" t="inlineStr">
        <is>
          <t>CFM56-5B</t>
        </is>
      </c>
      <c r="C1776" s="31" t="inlineStr">
        <is>
          <t>2025-2026</t>
        </is>
      </c>
      <c r="D1776" s="31" t="inlineStr">
        <is>
          <t>16715</t>
        </is>
      </c>
      <c r="E1776" s="31" t="inlineStr">
        <is>
          <t>72-32-01</t>
        </is>
      </c>
      <c r="F1776" s="31" t="inlineStr">
        <is>
          <t>Y</t>
        </is>
      </c>
      <c r="G1776" s="31" t="inlineStr">
        <is>
          <t>Compressor</t>
        </is>
      </c>
      <c r="H1776" s="27" t="n">
        <v>2810</v>
      </c>
      <c r="I1776" s="27" t="n">
        <v>2980</v>
      </c>
      <c r="J1776" s="154">
        <f>I1776/H1776-1</f>
        <v/>
      </c>
      <c r="K1776" s="31" t="inlineStr">
        <is>
          <t>6</t>
        </is>
      </c>
      <c r="L1776" s="31" t="inlineStr">
        <is>
          <t>5</t>
        </is>
      </c>
      <c r="M1776" s="31" t="inlineStr">
        <is>
          <t>S2</t>
        </is>
      </c>
      <c r="N1776" s="31" t="inlineStr">
        <is>
          <t>S4</t>
        </is>
      </c>
      <c r="O1776" s="31" t="inlineStr">
        <is>
          <t>1559M30G05</t>
        </is>
      </c>
      <c r="P1776" s="31" t="inlineStr">
        <is>
          <t>SR Technics Switzerland</t>
        </is>
      </c>
    </row>
    <row r="1777">
      <c r="B1777" s="31" t="inlineStr">
        <is>
          <t>CFM56-5B</t>
        </is>
      </c>
      <c r="C1777" s="31" t="inlineStr">
        <is>
          <t>2025-2026</t>
        </is>
      </c>
      <c r="D1777" s="31" t="inlineStr">
        <is>
          <t>1820</t>
        </is>
      </c>
      <c r="E1777" s="31" t="inlineStr">
        <is>
          <t>72-51-05</t>
        </is>
      </c>
      <c r="F1777" s="31" t="inlineStr">
        <is>
          <t>C</t>
        </is>
      </c>
      <c r="G1777" s="31" t="inlineStr">
        <is>
          <t>HPT / nozzle</t>
        </is>
      </c>
      <c r="H1777" s="27" t="n">
        <v>2225</v>
      </c>
      <c r="I1777" s="27" t="n">
        <v>2360</v>
      </c>
      <c r="J1777" s="154">
        <f>I1777/H1777-1</f>
        <v/>
      </c>
      <c r="K1777" s="31" t="inlineStr">
        <is>
          <t>30</t>
        </is>
      </c>
      <c r="L1777" s="31" t="inlineStr">
        <is>
          <t>30</t>
        </is>
      </c>
      <c r="M1777" s="31" t="inlineStr">
        <is>
          <t>S2</t>
        </is>
      </c>
      <c r="N1777" s="31" t="inlineStr">
        <is>
          <t>S4</t>
        </is>
      </c>
      <c r="O1777" s="31" t="inlineStr">
        <is>
          <t>1523M42G02</t>
        </is>
      </c>
      <c r="P1777" s="31" t="inlineStr">
        <is>
          <t>SR Technics Switzerland</t>
        </is>
      </c>
    </row>
    <row r="1778">
      <c r="B1778" s="31" t="inlineStr">
        <is>
          <t>CFM56-5B</t>
        </is>
      </c>
      <c r="C1778" s="31" t="inlineStr">
        <is>
          <t>2025-2026</t>
        </is>
      </c>
      <c r="D1778" s="31" t="inlineStr">
        <is>
          <t>1820</t>
        </is>
      </c>
      <c r="E1778" s="31" t="inlineStr">
        <is>
          <t>72-51-05</t>
        </is>
      </c>
      <c r="F1778" s="31" t="inlineStr">
        <is>
          <t>D</t>
        </is>
      </c>
      <c r="G1778" s="31" t="inlineStr">
        <is>
          <t>HPT / nozzle</t>
        </is>
      </c>
      <c r="H1778" s="27" t="n">
        <v>8075</v>
      </c>
      <c r="I1778" s="27" t="n">
        <v>8560</v>
      </c>
      <c r="J1778" s="154">
        <f>I1778/H1778-1</f>
        <v/>
      </c>
      <c r="K1778" s="31" t="inlineStr">
        <is>
          <t>30</t>
        </is>
      </c>
      <c r="L1778" s="31" t="inlineStr">
        <is>
          <t>30</t>
        </is>
      </c>
      <c r="M1778" s="31" t="inlineStr">
        <is>
          <t>S2</t>
        </is>
      </c>
      <c r="N1778" s="31" t="inlineStr">
        <is>
          <t>S4</t>
        </is>
      </c>
      <c r="O1778" s="31" t="inlineStr">
        <is>
          <t>1523M42G02</t>
        </is>
      </c>
      <c r="P1778" s="31" t="inlineStr">
        <is>
          <t>SR Technics Switzerland</t>
        </is>
      </c>
    </row>
    <row r="1779">
      <c r="B1779" s="31" t="inlineStr">
        <is>
          <t>CFM56-5B</t>
        </is>
      </c>
      <c r="C1779" s="31" t="inlineStr">
        <is>
          <t>2025-2026</t>
        </is>
      </c>
      <c r="D1779" s="31" t="inlineStr">
        <is>
          <t>1820</t>
        </is>
      </c>
      <c r="E1779" s="31" t="inlineStr">
        <is>
          <t>72-51-05</t>
        </is>
      </c>
      <c r="F1779" s="31" t="inlineStr">
        <is>
          <t>E</t>
        </is>
      </c>
      <c r="G1779" s="31" t="inlineStr">
        <is>
          <t>HPT / nozzle</t>
        </is>
      </c>
      <c r="H1779" s="27" t="n">
        <v>2645</v>
      </c>
      <c r="I1779" s="27" t="n">
        <v>2805</v>
      </c>
      <c r="J1779" s="154">
        <f>I1779/H1779-1</f>
        <v/>
      </c>
      <c r="K1779" s="31" t="inlineStr">
        <is>
          <t>30</t>
        </is>
      </c>
      <c r="L1779" s="31" t="inlineStr">
        <is>
          <t>31</t>
        </is>
      </c>
      <c r="M1779" s="31" t="inlineStr">
        <is>
          <t>S2</t>
        </is>
      </c>
      <c r="N1779" s="31" t="inlineStr">
        <is>
          <t>S4</t>
        </is>
      </c>
      <c r="O1779" s="31" t="inlineStr">
        <is>
          <t>1523M42G02</t>
        </is>
      </c>
      <c r="P1779" s="31" t="inlineStr">
        <is>
          <t>SR Technics Switzerland</t>
        </is>
      </c>
    </row>
    <row r="1780">
      <c r="B1780" s="31" t="inlineStr">
        <is>
          <t>CFM56-5B</t>
        </is>
      </c>
      <c r="C1780" s="31" t="inlineStr">
        <is>
          <t>2025-2026</t>
        </is>
      </c>
      <c r="D1780" s="31" t="inlineStr">
        <is>
          <t>1820</t>
        </is>
      </c>
      <c r="E1780" s="31" t="inlineStr">
        <is>
          <t>72-51-05</t>
        </is>
      </c>
      <c r="F1780" s="31" t="inlineStr">
        <is>
          <t>G</t>
        </is>
      </c>
      <c r="G1780" s="31" t="inlineStr">
        <is>
          <t>HPT / nozzle</t>
        </is>
      </c>
      <c r="H1780" s="27" t="n">
        <v>910</v>
      </c>
      <c r="I1780" s="27" t="n">
        <v>965</v>
      </c>
      <c r="J1780" s="154">
        <f>I1780/H1780-1</f>
        <v/>
      </c>
      <c r="K1780" s="31" t="inlineStr">
        <is>
          <t>30</t>
        </is>
      </c>
      <c r="L1780" s="31" t="inlineStr">
        <is>
          <t>31</t>
        </is>
      </c>
      <c r="M1780" s="31" t="inlineStr">
        <is>
          <t>S2</t>
        </is>
      </c>
      <c r="N1780" s="31" t="inlineStr">
        <is>
          <t>S4</t>
        </is>
      </c>
      <c r="O1780" s="31" t="inlineStr">
        <is>
          <t>1523M42G02</t>
        </is>
      </c>
      <c r="P1780" s="31" t="inlineStr">
        <is>
          <t>SR Technics Switzerland</t>
        </is>
      </c>
    </row>
    <row r="1781">
      <c r="B1781" s="31" t="inlineStr">
        <is>
          <t>CFM56-5B</t>
        </is>
      </c>
      <c r="C1781" s="31" t="inlineStr">
        <is>
          <t>2025-2026</t>
        </is>
      </c>
      <c r="D1781" s="31" t="inlineStr">
        <is>
          <t>1820</t>
        </is>
      </c>
      <c r="E1781" s="31" t="inlineStr">
        <is>
          <t>72-51-05</t>
        </is>
      </c>
      <c r="F1781" s="31" t="inlineStr">
        <is>
          <t>SB00</t>
        </is>
      </c>
      <c r="G1781" s="31" t="inlineStr">
        <is>
          <t>HPT / nozzle</t>
        </is>
      </c>
      <c r="H1781" s="27" t="n">
        <v>1185</v>
      </c>
      <c r="I1781" s="27" t="n">
        <v>1260</v>
      </c>
      <c r="J1781" s="154">
        <f>I1781/H1781-1</f>
        <v/>
      </c>
      <c r="K1781" s="31" t="inlineStr">
        <is>
          <t>30</t>
        </is>
      </c>
      <c r="L1781" s="31" t="inlineStr">
        <is>
          <t>31</t>
        </is>
      </c>
      <c r="M1781" s="31" t="inlineStr">
        <is>
          <t>S2</t>
        </is>
      </c>
      <c r="N1781" s="31" t="inlineStr">
        <is>
          <t>S4</t>
        </is>
      </c>
      <c r="O1781" s="31" t="inlineStr">
        <is>
          <t>1523M42G02</t>
        </is>
      </c>
      <c r="P1781" s="31" t="inlineStr">
        <is>
          <t>SR Technics Switzerland</t>
        </is>
      </c>
    </row>
    <row r="1782">
      <c r="B1782" s="31" t="inlineStr">
        <is>
          <t>CFM56-5B</t>
        </is>
      </c>
      <c r="C1782" s="31" t="inlineStr">
        <is>
          <t>2025-2026</t>
        </is>
      </c>
      <c r="D1782" s="31" t="inlineStr">
        <is>
          <t>18900</t>
        </is>
      </c>
      <c r="E1782" s="31" t="inlineStr">
        <is>
          <t>72-55-15</t>
        </is>
      </c>
      <c r="F1782" s="31" t="inlineStr">
        <is>
          <t>A</t>
        </is>
      </c>
      <c r="G1782" s="31" t="inlineStr">
        <is>
          <t>LPT</t>
        </is>
      </c>
      <c r="H1782" s="27" t="n">
        <v>500</v>
      </c>
      <c r="I1782" s="27" t="n">
        <v>525</v>
      </c>
      <c r="J1782" s="154">
        <f>I1782/H1782-1</f>
        <v/>
      </c>
      <c r="K1782" s="31" t="inlineStr">
        <is>
          <t>6</t>
        </is>
      </c>
      <c r="L1782" s="31" t="inlineStr">
        <is>
          <t>5</t>
        </is>
      </c>
      <c r="M1782" s="31" t="inlineStr">
        <is>
          <t>S2</t>
        </is>
      </c>
      <c r="N1782" s="31" t="inlineStr">
        <is>
          <t>S4</t>
        </is>
      </c>
      <c r="O1782" s="31" t="inlineStr">
        <is>
          <t>305-025-408-0</t>
        </is>
      </c>
      <c r="P1782" s="31" t="inlineStr">
        <is>
          <t>SR Technics Switzerland</t>
        </is>
      </c>
    </row>
    <row r="1783">
      <c r="B1783" s="31" t="inlineStr">
        <is>
          <t>CFM56-5B</t>
        </is>
      </c>
      <c r="C1783" s="31" t="inlineStr">
        <is>
          <t>2025-2026</t>
        </is>
      </c>
      <c r="D1783" s="31" t="inlineStr">
        <is>
          <t>18900</t>
        </is>
      </c>
      <c r="E1783" s="31" t="inlineStr">
        <is>
          <t>72-55-15</t>
        </is>
      </c>
      <c r="F1783" s="31" t="inlineStr">
        <is>
          <t>B</t>
        </is>
      </c>
      <c r="G1783" s="31" t="inlineStr">
        <is>
          <t>LPT</t>
        </is>
      </c>
      <c r="H1783" s="27" t="n">
        <v>590</v>
      </c>
      <c r="I1783" s="27" t="n">
        <v>630</v>
      </c>
      <c r="J1783" s="154">
        <f>I1783/H1783-1</f>
        <v/>
      </c>
      <c r="K1783" s="31" t="inlineStr">
        <is>
          <t>6</t>
        </is>
      </c>
      <c r="L1783" s="31" t="inlineStr">
        <is>
          <t>5</t>
        </is>
      </c>
      <c r="M1783" s="31" t="inlineStr">
        <is>
          <t>S2</t>
        </is>
      </c>
      <c r="N1783" s="31" t="inlineStr">
        <is>
          <t>S4</t>
        </is>
      </c>
      <c r="O1783" s="31" t="inlineStr">
        <is>
          <t>305-025-408-0</t>
        </is>
      </c>
      <c r="P1783" s="31" t="inlineStr">
        <is>
          <t>SR Technics Switzerland</t>
        </is>
      </c>
    </row>
    <row r="1784">
      <c r="B1784" s="31" t="inlineStr">
        <is>
          <t>CFM56-5B</t>
        </is>
      </c>
      <c r="C1784" s="31" t="inlineStr">
        <is>
          <t>2025-2026</t>
        </is>
      </c>
      <c r="D1784" s="31" t="inlineStr">
        <is>
          <t>18900</t>
        </is>
      </c>
      <c r="E1784" s="31" t="inlineStr">
        <is>
          <t>72-55-15</t>
        </is>
      </c>
      <c r="F1784" s="31" t="inlineStr">
        <is>
          <t>C</t>
        </is>
      </c>
      <c r="G1784" s="31" t="inlineStr">
        <is>
          <t>LPT</t>
        </is>
      </c>
      <c r="H1784" s="27" t="n">
        <v>940</v>
      </c>
      <c r="I1784" s="27" t="n">
        <v>1000</v>
      </c>
      <c r="J1784" s="154">
        <f>I1784/H1784-1</f>
        <v/>
      </c>
      <c r="K1784" s="31" t="inlineStr">
        <is>
          <t>6</t>
        </is>
      </c>
      <c r="L1784" s="31" t="inlineStr">
        <is>
          <t>5</t>
        </is>
      </c>
      <c r="M1784" s="31" t="inlineStr">
        <is>
          <t>S2</t>
        </is>
      </c>
      <c r="N1784" s="31" t="inlineStr">
        <is>
          <t>S4</t>
        </is>
      </c>
      <c r="O1784" s="31" t="inlineStr">
        <is>
          <t>305-025-408-0</t>
        </is>
      </c>
      <c r="P1784" s="31" t="inlineStr">
        <is>
          <t>SR Technics Switzerland</t>
        </is>
      </c>
    </row>
    <row r="1785">
      <c r="B1785" s="31" t="inlineStr">
        <is>
          <t>CFM56-5B</t>
        </is>
      </c>
      <c r="C1785" s="31" t="inlineStr">
        <is>
          <t>2025-2026</t>
        </is>
      </c>
      <c r="D1785" s="31" t="inlineStr">
        <is>
          <t>18900</t>
        </is>
      </c>
      <c r="E1785" s="31" t="inlineStr">
        <is>
          <t>72-55-15</t>
        </is>
      </c>
      <c r="F1785" s="31" t="inlineStr">
        <is>
          <t>D</t>
        </is>
      </c>
      <c r="G1785" s="31" t="inlineStr">
        <is>
          <t>LPT</t>
        </is>
      </c>
      <c r="H1785" s="27" t="n">
        <v>2150</v>
      </c>
      <c r="I1785" s="27" t="n">
        <v>2280</v>
      </c>
      <c r="J1785" s="154">
        <f>I1785/H1785-1</f>
        <v/>
      </c>
      <c r="K1785" s="31" t="inlineStr">
        <is>
          <t>6</t>
        </is>
      </c>
      <c r="L1785" s="31" t="inlineStr">
        <is>
          <t>5</t>
        </is>
      </c>
      <c r="M1785" s="31" t="inlineStr">
        <is>
          <t>S2</t>
        </is>
      </c>
      <c r="N1785" s="31" t="inlineStr">
        <is>
          <t>S4</t>
        </is>
      </c>
      <c r="O1785" s="31" t="inlineStr">
        <is>
          <t>305-025-408-0</t>
        </is>
      </c>
      <c r="P1785" s="31" t="inlineStr">
        <is>
          <t>SR Technics Switzerland</t>
        </is>
      </c>
    </row>
    <row r="1786">
      <c r="B1786" s="31" t="inlineStr">
        <is>
          <t>CFM56-5B</t>
        </is>
      </c>
      <c r="C1786" s="31" t="inlineStr">
        <is>
          <t>2025-2026</t>
        </is>
      </c>
      <c r="D1786" s="31" t="inlineStr">
        <is>
          <t>18900</t>
        </is>
      </c>
      <c r="E1786" s="31" t="inlineStr">
        <is>
          <t>72-55-15</t>
        </is>
      </c>
      <c r="F1786" s="31" t="inlineStr">
        <is>
          <t>E</t>
        </is>
      </c>
      <c r="G1786" s="31" t="inlineStr">
        <is>
          <t>LPT</t>
        </is>
      </c>
      <c r="H1786" s="27" t="n">
        <v>3820</v>
      </c>
      <c r="I1786" s="27" t="n">
        <v>4050</v>
      </c>
      <c r="J1786" s="154">
        <f>I1786/H1786-1</f>
        <v/>
      </c>
      <c r="K1786" s="31" t="inlineStr">
        <is>
          <t>6</t>
        </is>
      </c>
      <c r="L1786" s="31" t="inlineStr">
        <is>
          <t>5</t>
        </is>
      </c>
      <c r="M1786" s="31" t="inlineStr">
        <is>
          <t>S2</t>
        </is>
      </c>
      <c r="N1786" s="31" t="inlineStr">
        <is>
          <t>S4</t>
        </is>
      </c>
      <c r="O1786" s="31" t="inlineStr">
        <is>
          <t>305-025-408-0</t>
        </is>
      </c>
      <c r="P1786" s="31" t="inlineStr">
        <is>
          <t>SR Technics Switzerland</t>
        </is>
      </c>
    </row>
    <row r="1787">
      <c r="B1787" s="31" t="inlineStr">
        <is>
          <t>CFM56-5B</t>
        </is>
      </c>
      <c r="C1787" s="31" t="inlineStr">
        <is>
          <t>2025-2026</t>
        </is>
      </c>
      <c r="D1787" s="31" t="inlineStr">
        <is>
          <t>18900</t>
        </is>
      </c>
      <c r="E1787" s="31" t="inlineStr">
        <is>
          <t>72-55-15</t>
        </is>
      </c>
      <c r="F1787" s="31" t="inlineStr">
        <is>
          <t>G</t>
        </is>
      </c>
      <c r="G1787" s="31" t="inlineStr">
        <is>
          <t>LPT</t>
        </is>
      </c>
      <c r="H1787" s="27" t="n">
        <v>1215</v>
      </c>
      <c r="I1787" s="27" t="n">
        <v>1290</v>
      </c>
      <c r="J1787" s="154">
        <f>I1787/H1787-1</f>
        <v/>
      </c>
      <c r="K1787" s="31" t="inlineStr">
        <is>
          <t>6</t>
        </is>
      </c>
      <c r="L1787" s="31" t="inlineStr">
        <is>
          <t>5</t>
        </is>
      </c>
      <c r="M1787" s="31" t="inlineStr">
        <is>
          <t>S2</t>
        </is>
      </c>
      <c r="N1787" s="31" t="inlineStr">
        <is>
          <t>S4</t>
        </is>
      </c>
      <c r="O1787" s="31" t="inlineStr">
        <is>
          <t>305-025-408-0</t>
        </is>
      </c>
      <c r="P1787" s="31" t="inlineStr">
        <is>
          <t>SR Technics Switzerland</t>
        </is>
      </c>
    </row>
    <row r="1788">
      <c r="B1788" s="31" t="inlineStr">
        <is>
          <t>CFM56-5B</t>
        </is>
      </c>
      <c r="C1788" s="31" t="inlineStr">
        <is>
          <t>2025-2026</t>
        </is>
      </c>
      <c r="D1788" s="31" t="inlineStr">
        <is>
          <t>18900</t>
        </is>
      </c>
      <c r="E1788" s="31" t="inlineStr">
        <is>
          <t>72-55-15</t>
        </is>
      </c>
      <c r="F1788" s="31" t="inlineStr">
        <is>
          <t>H</t>
        </is>
      </c>
      <c r="G1788" s="31" t="inlineStr">
        <is>
          <t>LPT</t>
        </is>
      </c>
      <c r="H1788" s="27" t="n">
        <v>1375</v>
      </c>
      <c r="I1788" s="27" t="n">
        <v>1460</v>
      </c>
      <c r="J1788" s="154">
        <f>I1788/H1788-1</f>
        <v/>
      </c>
      <c r="K1788" s="31" t="inlineStr">
        <is>
          <t>6</t>
        </is>
      </c>
      <c r="L1788" s="31" t="inlineStr">
        <is>
          <t>5</t>
        </is>
      </c>
      <c r="M1788" s="31" t="inlineStr">
        <is>
          <t>S2</t>
        </is>
      </c>
      <c r="N1788" s="31" t="inlineStr">
        <is>
          <t>S4</t>
        </is>
      </c>
      <c r="O1788" s="31" t="inlineStr">
        <is>
          <t>305-025-408-0</t>
        </is>
      </c>
      <c r="P1788" s="31" t="inlineStr">
        <is>
          <t>SR Technics Switzerland</t>
        </is>
      </c>
    </row>
    <row r="1789">
      <c r="B1789" s="31" t="inlineStr">
        <is>
          <t>CFM56-5B</t>
        </is>
      </c>
      <c r="C1789" s="31" t="inlineStr">
        <is>
          <t>2025-2026</t>
        </is>
      </c>
      <c r="D1789" s="31" t="inlineStr">
        <is>
          <t>18900</t>
        </is>
      </c>
      <c r="E1789" s="31" t="inlineStr">
        <is>
          <t>72-55-15</t>
        </is>
      </c>
      <c r="F1789" s="31" t="inlineStr">
        <is>
          <t>SB03</t>
        </is>
      </c>
      <c r="G1789" s="31" t="inlineStr">
        <is>
          <t>LPT</t>
        </is>
      </c>
      <c r="H1789" s="27" t="n">
        <v>1275</v>
      </c>
      <c r="I1789" s="27" t="n">
        <v>1355</v>
      </c>
      <c r="J1789" s="154">
        <f>I1789/H1789-1</f>
        <v/>
      </c>
      <c r="K1789" s="31" t="inlineStr">
        <is>
          <t>6</t>
        </is>
      </c>
      <c r="L1789" s="31" t="inlineStr">
        <is>
          <t>5</t>
        </is>
      </c>
      <c r="M1789" s="31" t="inlineStr">
        <is>
          <t>S2</t>
        </is>
      </c>
      <c r="N1789" s="31" t="inlineStr">
        <is>
          <t>S4</t>
        </is>
      </c>
      <c r="O1789" s="31" t="inlineStr">
        <is>
          <t>305-025-408-0</t>
        </is>
      </c>
      <c r="P1789" s="31" t="inlineStr">
        <is>
          <t>SR Technics Switzerland</t>
        </is>
      </c>
    </row>
    <row r="1790">
      <c r="B1790" s="31" t="inlineStr">
        <is>
          <t>CFM56-5B</t>
        </is>
      </c>
      <c r="C1790" s="31" t="inlineStr">
        <is>
          <t>2025-2026</t>
        </is>
      </c>
      <c r="D1790" s="31" t="inlineStr">
        <is>
          <t>19228</t>
        </is>
      </c>
      <c r="E1790" s="31" t="inlineStr">
        <is>
          <t>72-56-01</t>
        </is>
      </c>
      <c r="F1790" s="31" t="inlineStr">
        <is>
          <t>A</t>
        </is>
      </c>
      <c r="G1790" s="31" t="inlineStr">
        <is>
          <t>LPT</t>
        </is>
      </c>
      <c r="H1790" s="27" t="n">
        <v>650</v>
      </c>
      <c r="I1790" s="27" t="n">
        <v>685</v>
      </c>
      <c r="J1790" s="154">
        <f>I1790/H1790-1</f>
        <v/>
      </c>
      <c r="K1790" s="31" t="inlineStr">
        <is>
          <t>40</t>
        </is>
      </c>
      <c r="L1790" s="31" t="inlineStr">
        <is>
          <t>42</t>
        </is>
      </c>
      <c r="M1790" s="31" t="inlineStr">
        <is>
          <t>S2</t>
        </is>
      </c>
      <c r="N1790" s="31" t="inlineStr">
        <is>
          <t>S4</t>
        </is>
      </c>
      <c r="O1790" s="31" t="inlineStr">
        <is>
          <t>056-000-221-0</t>
        </is>
      </c>
      <c r="P1790" s="31" t="inlineStr">
        <is>
          <t>SR Technics Switzerland</t>
        </is>
      </c>
    </row>
    <row r="1791">
      <c r="B1791" s="31" t="inlineStr">
        <is>
          <t>CFM56-5B</t>
        </is>
      </c>
      <c r="C1791" s="31" t="inlineStr">
        <is>
          <t>2025-2026</t>
        </is>
      </c>
      <c r="D1791" s="31" t="inlineStr">
        <is>
          <t>19228</t>
        </is>
      </c>
      <c r="E1791" s="31" t="inlineStr">
        <is>
          <t>72-56-01</t>
        </is>
      </c>
      <c r="F1791" s="31" t="inlineStr">
        <is>
          <t>AK</t>
        </is>
      </c>
      <c r="G1791" s="31" t="inlineStr">
        <is>
          <t>LPT</t>
        </is>
      </c>
      <c r="H1791" s="27" t="n">
        <v>995</v>
      </c>
      <c r="I1791" s="27" t="n">
        <v>1055</v>
      </c>
      <c r="J1791" s="154">
        <f>I1791/H1791-1</f>
        <v/>
      </c>
      <c r="K1791" s="31" t="inlineStr">
        <is>
          <t>40</t>
        </is>
      </c>
      <c r="L1791" s="31" t="inlineStr">
        <is>
          <t>42</t>
        </is>
      </c>
      <c r="M1791" s="31" t="inlineStr">
        <is>
          <t>S2</t>
        </is>
      </c>
      <c r="N1791" s="31" t="inlineStr">
        <is>
          <t>S4</t>
        </is>
      </c>
      <c r="O1791" s="31" t="inlineStr">
        <is>
          <t>056-000-221-0</t>
        </is>
      </c>
      <c r="P1791" s="31" t="inlineStr">
        <is>
          <t>SR Technics Switzerland</t>
        </is>
      </c>
    </row>
    <row r="1792">
      <c r="B1792" s="31" t="inlineStr">
        <is>
          <t>CFM56-5B</t>
        </is>
      </c>
      <c r="C1792" s="31" t="inlineStr">
        <is>
          <t>2025-2026</t>
        </is>
      </c>
      <c r="D1792" s="31" t="inlineStr">
        <is>
          <t>19228</t>
        </is>
      </c>
      <c r="E1792" s="31" t="inlineStr">
        <is>
          <t>72-56-01</t>
        </is>
      </c>
      <c r="F1792" s="31" t="inlineStr">
        <is>
          <t>S</t>
        </is>
      </c>
      <c r="G1792" s="31" t="inlineStr">
        <is>
          <t>LPT</t>
        </is>
      </c>
      <c r="H1792" s="27" t="n">
        <v>1190</v>
      </c>
      <c r="I1792" s="27" t="n">
        <v>1265</v>
      </c>
      <c r="J1792" s="154">
        <f>I1792/H1792-1</f>
        <v/>
      </c>
      <c r="K1792" s="31" t="inlineStr">
        <is>
          <t>40</t>
        </is>
      </c>
      <c r="L1792" s="31" t="inlineStr">
        <is>
          <t>42</t>
        </is>
      </c>
      <c r="M1792" s="31" t="inlineStr">
        <is>
          <t>S2</t>
        </is>
      </c>
      <c r="N1792" s="31" t="inlineStr">
        <is>
          <t>S4</t>
        </is>
      </c>
      <c r="O1792" s="31" t="inlineStr">
        <is>
          <t>056-000-221-0</t>
        </is>
      </c>
      <c r="P1792" s="31" t="inlineStr">
        <is>
          <t>SR Technics Switzerland</t>
        </is>
      </c>
    </row>
    <row r="1793">
      <c r="B1793" s="31" t="inlineStr">
        <is>
          <t>CFM56-5B</t>
        </is>
      </c>
      <c r="C1793" s="31" t="inlineStr">
        <is>
          <t>2025-2026</t>
        </is>
      </c>
      <c r="D1793" s="31" t="inlineStr">
        <is>
          <t>2009</t>
        </is>
      </c>
      <c r="E1793" s="31" t="inlineStr">
        <is>
          <t>72-52-05</t>
        </is>
      </c>
      <c r="F1793" s="31" t="inlineStr">
        <is>
          <t>A</t>
        </is>
      </c>
      <c r="G1793" s="31" t="inlineStr">
        <is>
          <t>HPT / nozzle</t>
        </is>
      </c>
      <c r="H1793" s="27" t="n">
        <v>1485</v>
      </c>
      <c r="I1793" s="27" t="n">
        <v>1560</v>
      </c>
      <c r="J1793" s="154">
        <f>I1793/H1793-1</f>
        <v/>
      </c>
      <c r="K1793" s="31" t="inlineStr">
        <is>
          <t>30</t>
        </is>
      </c>
      <c r="L1793" s="31" t="inlineStr">
        <is>
          <t>31</t>
        </is>
      </c>
      <c r="M1793" s="31" t="inlineStr">
        <is>
          <t>S2</t>
        </is>
      </c>
      <c r="N1793" s="31" t="inlineStr">
        <is>
          <t>S4</t>
        </is>
      </c>
      <c r="O1793" s="31" t="inlineStr">
        <is>
          <t>1498M45P03</t>
        </is>
      </c>
      <c r="P1793" s="31" t="inlineStr">
        <is>
          <t>SR Technics Switzerland</t>
        </is>
      </c>
    </row>
    <row r="1794">
      <c r="B1794" s="31" t="inlineStr">
        <is>
          <t>CFM56-5B</t>
        </is>
      </c>
      <c r="C1794" s="31" t="inlineStr">
        <is>
          <t>2025-2026</t>
        </is>
      </c>
      <c r="D1794" s="31" t="inlineStr">
        <is>
          <t>2009</t>
        </is>
      </c>
      <c r="E1794" s="31" t="inlineStr">
        <is>
          <t>72-52-05</t>
        </is>
      </c>
      <c r="F1794" s="31" t="inlineStr">
        <is>
          <t>B</t>
        </is>
      </c>
      <c r="G1794" s="31" t="inlineStr">
        <is>
          <t>HPT / nozzle</t>
        </is>
      </c>
      <c r="H1794" s="27" t="n">
        <v>300</v>
      </c>
      <c r="I1794" s="27" t="n">
        <v>320</v>
      </c>
      <c r="J1794" s="154">
        <f>I1794/H1794-1</f>
        <v/>
      </c>
      <c r="K1794" s="31" t="inlineStr">
        <is>
          <t>30</t>
        </is>
      </c>
      <c r="L1794" s="31" t="inlineStr">
        <is>
          <t>31</t>
        </is>
      </c>
      <c r="M1794" s="31" t="inlineStr">
        <is>
          <t>S2</t>
        </is>
      </c>
      <c r="N1794" s="31" t="inlineStr">
        <is>
          <t>S4</t>
        </is>
      </c>
      <c r="O1794" s="31" t="inlineStr">
        <is>
          <t>1498M45P03</t>
        </is>
      </c>
      <c r="P1794" s="31" t="inlineStr">
        <is>
          <t>SR Technics Switzerland</t>
        </is>
      </c>
    </row>
    <row r="1795">
      <c r="B1795" s="31" t="inlineStr">
        <is>
          <t>CFM56-5B</t>
        </is>
      </c>
      <c r="C1795" s="31" t="inlineStr">
        <is>
          <t>2025-2026</t>
        </is>
      </c>
      <c r="D1795" s="31" t="inlineStr">
        <is>
          <t>2009</t>
        </is>
      </c>
      <c r="E1795" s="31" t="inlineStr">
        <is>
          <t>72-52-05</t>
        </is>
      </c>
      <c r="F1795" s="31" t="inlineStr">
        <is>
          <t>C</t>
        </is>
      </c>
      <c r="G1795" s="31" t="inlineStr">
        <is>
          <t>HPT / nozzle</t>
        </is>
      </c>
      <c r="H1795" s="27" t="n">
        <v>6035</v>
      </c>
      <c r="I1795" s="27" t="n">
        <v>6400</v>
      </c>
      <c r="J1795" s="154">
        <f>I1795/H1795-1</f>
        <v/>
      </c>
      <c r="K1795" s="31" t="inlineStr">
        <is>
          <t>30</t>
        </is>
      </c>
      <c r="L1795" s="31" t="inlineStr">
        <is>
          <t>31</t>
        </is>
      </c>
      <c r="M1795" s="31" t="inlineStr">
        <is>
          <t>S2</t>
        </is>
      </c>
      <c r="N1795" s="31" t="inlineStr">
        <is>
          <t>S4</t>
        </is>
      </c>
      <c r="O1795" s="31" t="inlineStr">
        <is>
          <t>1498M45P03</t>
        </is>
      </c>
      <c r="P1795" s="31" t="inlineStr">
        <is>
          <t>SR Technics Switzerland</t>
        </is>
      </c>
    </row>
    <row r="1796">
      <c r="B1796" s="31" t="inlineStr">
        <is>
          <t>CFM56-5B</t>
        </is>
      </c>
      <c r="C1796" s="31" t="inlineStr">
        <is>
          <t>2025-2026</t>
        </is>
      </c>
      <c r="D1796" s="31" t="inlineStr">
        <is>
          <t>2009</t>
        </is>
      </c>
      <c r="E1796" s="31" t="inlineStr">
        <is>
          <t>72-52-05</t>
        </is>
      </c>
      <c r="F1796" s="31" t="inlineStr">
        <is>
          <t>F</t>
        </is>
      </c>
      <c r="G1796" s="31" t="inlineStr">
        <is>
          <t>HPT / nozzle</t>
        </is>
      </c>
      <c r="H1796" s="27" t="n">
        <v>7520</v>
      </c>
      <c r="I1796" s="27" t="n">
        <v>7975</v>
      </c>
      <c r="J1796" s="154">
        <f>I1796/H1796-1</f>
        <v/>
      </c>
      <c r="K1796" s="31" t="inlineStr">
        <is>
          <t>30</t>
        </is>
      </c>
      <c r="L1796" s="31" t="inlineStr">
        <is>
          <t>31</t>
        </is>
      </c>
      <c r="M1796" s="31" t="inlineStr">
        <is>
          <t>S2</t>
        </is>
      </c>
      <c r="N1796" s="31" t="inlineStr">
        <is>
          <t>S4</t>
        </is>
      </c>
      <c r="O1796" s="31" t="inlineStr">
        <is>
          <t>1498M45P03</t>
        </is>
      </c>
      <c r="P1796" s="31" t="inlineStr">
        <is>
          <t>SR Technics Switzerland</t>
        </is>
      </c>
    </row>
    <row r="1797">
      <c r="B1797" s="31" t="inlineStr">
        <is>
          <t>CFM56-5B</t>
        </is>
      </c>
      <c r="C1797" s="31" t="inlineStr">
        <is>
          <t>2025-2026</t>
        </is>
      </c>
      <c r="D1797" s="31" t="inlineStr">
        <is>
          <t>2009</t>
        </is>
      </c>
      <c r="E1797" s="31" t="inlineStr">
        <is>
          <t>72-52-05</t>
        </is>
      </c>
      <c r="F1797" s="31" t="inlineStr">
        <is>
          <t>G</t>
        </is>
      </c>
      <c r="G1797" s="31" t="inlineStr">
        <is>
          <t>HPT / nozzle</t>
        </is>
      </c>
      <c r="H1797" s="27" t="n">
        <v>7365</v>
      </c>
      <c r="I1797" s="27" t="n">
        <v>7810</v>
      </c>
      <c r="J1797" s="154">
        <f>I1797/H1797-1</f>
        <v/>
      </c>
      <c r="K1797" s="31" t="inlineStr">
        <is>
          <t>30</t>
        </is>
      </c>
      <c r="L1797" s="31" t="inlineStr">
        <is>
          <t>31</t>
        </is>
      </c>
      <c r="M1797" s="31" t="inlineStr">
        <is>
          <t>S2</t>
        </is>
      </c>
      <c r="N1797" s="31" t="inlineStr">
        <is>
          <t>S4</t>
        </is>
      </c>
      <c r="O1797" s="31" t="inlineStr">
        <is>
          <t>1498M45P03</t>
        </is>
      </c>
      <c r="P1797" s="31" t="inlineStr">
        <is>
          <t>SR Technics Switzerland</t>
        </is>
      </c>
    </row>
    <row r="1798">
      <c r="B1798" s="31" t="inlineStr">
        <is>
          <t>CFM56-5B</t>
        </is>
      </c>
      <c r="C1798" s="31" t="inlineStr">
        <is>
          <t>2025-2026</t>
        </is>
      </c>
      <c r="D1798" s="31" t="inlineStr">
        <is>
          <t>2009</t>
        </is>
      </c>
      <c r="E1798" s="31" t="inlineStr">
        <is>
          <t>72-52-05</t>
        </is>
      </c>
      <c r="F1798" s="31" t="inlineStr">
        <is>
          <t>H</t>
        </is>
      </c>
      <c r="G1798" s="31" t="inlineStr">
        <is>
          <t>HPT / nozzle</t>
        </is>
      </c>
      <c r="H1798" s="27" t="n">
        <v>1575</v>
      </c>
      <c r="I1798" s="27" t="n">
        <v>1670</v>
      </c>
      <c r="J1798" s="154">
        <f>I1798/H1798-1</f>
        <v/>
      </c>
      <c r="K1798" s="31" t="inlineStr">
        <is>
          <t>30</t>
        </is>
      </c>
      <c r="L1798" s="31" t="inlineStr">
        <is>
          <t>31</t>
        </is>
      </c>
      <c r="M1798" s="31" t="inlineStr">
        <is>
          <t>S2</t>
        </is>
      </c>
      <c r="N1798" s="31" t="inlineStr">
        <is>
          <t>S4</t>
        </is>
      </c>
      <c r="O1798" s="31" t="inlineStr">
        <is>
          <t>1498M45P03</t>
        </is>
      </c>
      <c r="P1798" s="31" t="inlineStr">
        <is>
          <t>SR Technics Switzerland</t>
        </is>
      </c>
    </row>
    <row r="1799">
      <c r="B1799" s="31" t="inlineStr">
        <is>
          <t>CFM56-5B</t>
        </is>
      </c>
      <c r="C1799" s="31" t="inlineStr">
        <is>
          <t>2025-2026</t>
        </is>
      </c>
      <c r="D1799" s="31" t="inlineStr">
        <is>
          <t>2009</t>
        </is>
      </c>
      <c r="E1799" s="31" t="inlineStr">
        <is>
          <t>72-52-05</t>
        </is>
      </c>
      <c r="F1799" s="31" t="inlineStr">
        <is>
          <t>M</t>
        </is>
      </c>
      <c r="G1799" s="31" t="inlineStr">
        <is>
          <t>HPT / nozzle</t>
        </is>
      </c>
      <c r="H1799" s="27" t="n">
        <v>665</v>
      </c>
      <c r="I1799" s="27" t="n">
        <v>705</v>
      </c>
      <c r="J1799" s="154">
        <f>I1799/H1799-1</f>
        <v/>
      </c>
      <c r="K1799" s="31" t="inlineStr">
        <is>
          <t>30</t>
        </is>
      </c>
      <c r="L1799" s="31" t="inlineStr">
        <is>
          <t>31</t>
        </is>
      </c>
      <c r="M1799" s="31" t="inlineStr">
        <is>
          <t>S2</t>
        </is>
      </c>
      <c r="N1799" s="31" t="inlineStr">
        <is>
          <t>S4</t>
        </is>
      </c>
      <c r="O1799" s="31" t="inlineStr">
        <is>
          <t>1498M45P03</t>
        </is>
      </c>
      <c r="P1799" s="31" t="inlineStr">
        <is>
          <t>SR Technics Switzerland</t>
        </is>
      </c>
    </row>
    <row r="1800">
      <c r="B1800" s="31" t="inlineStr">
        <is>
          <t>CFM56-5B</t>
        </is>
      </c>
      <c r="C1800" s="31" t="inlineStr">
        <is>
          <t>2025-2026</t>
        </is>
      </c>
      <c r="D1800" s="31" t="inlineStr">
        <is>
          <t>2009</t>
        </is>
      </c>
      <c r="E1800" s="31" t="inlineStr">
        <is>
          <t>72-52-05</t>
        </is>
      </c>
      <c r="F1800" s="31" t="inlineStr">
        <is>
          <t>SB00</t>
        </is>
      </c>
      <c r="G1800" s="31" t="inlineStr">
        <is>
          <t>HPT / nozzle</t>
        </is>
      </c>
      <c r="H1800" s="27" t="n">
        <v>2400</v>
      </c>
      <c r="I1800" s="27" t="n">
        <v>2545</v>
      </c>
      <c r="J1800" s="154">
        <f>I1800/H1800-1</f>
        <v/>
      </c>
      <c r="K1800" s="31" t="inlineStr">
        <is>
          <t>30</t>
        </is>
      </c>
      <c r="L1800" s="31" t="inlineStr">
        <is>
          <t>31</t>
        </is>
      </c>
      <c r="M1800" s="31" t="inlineStr">
        <is>
          <t>S2</t>
        </is>
      </c>
      <c r="N1800" s="31" t="inlineStr">
        <is>
          <t>S4</t>
        </is>
      </c>
      <c r="O1800" s="31" t="inlineStr">
        <is>
          <t>1498M45P03</t>
        </is>
      </c>
      <c r="P1800" s="31" t="inlineStr">
        <is>
          <t>SR Technics Switzerland</t>
        </is>
      </c>
    </row>
    <row r="1801">
      <c r="B1801" s="31" t="inlineStr">
        <is>
          <t>CFM56-5B</t>
        </is>
      </c>
      <c r="C1801" s="31" t="inlineStr">
        <is>
          <t>2025-2026</t>
        </is>
      </c>
      <c r="D1801" s="31" t="inlineStr">
        <is>
          <t>2055</t>
        </is>
      </c>
      <c r="E1801" s="31" t="inlineStr">
        <is>
          <t>72-55-14</t>
        </is>
      </c>
      <c r="F1801" s="31" t="inlineStr">
        <is>
          <t>A</t>
        </is>
      </c>
      <c r="G1801" s="31" t="inlineStr">
        <is>
          <t>LPT</t>
        </is>
      </c>
      <c r="H1801" s="27" t="n">
        <v>630</v>
      </c>
      <c r="I1801" s="27" t="n">
        <v>665</v>
      </c>
      <c r="J1801" s="154">
        <f>I1801/H1801-1</f>
        <v/>
      </c>
      <c r="K1801" s="31" t="inlineStr">
        <is>
          <t>2</t>
        </is>
      </c>
      <c r="L1801" s="31" t="inlineStr">
        <is>
          <t>2</t>
        </is>
      </c>
      <c r="M1801" s="31" t="inlineStr">
        <is>
          <t>S2</t>
        </is>
      </c>
      <c r="N1801" s="31" t="inlineStr">
        <is>
          <t>S4</t>
        </is>
      </c>
      <c r="O1801" s="31" t="inlineStr">
        <is>
          <t>336-009-801-0</t>
        </is>
      </c>
      <c r="P1801" s="31" t="inlineStr">
        <is>
          <t>SR Technics Switzerland</t>
        </is>
      </c>
    </row>
    <row r="1802">
      <c r="B1802" s="31" t="inlineStr">
        <is>
          <t>CFM56-5B</t>
        </is>
      </c>
      <c r="C1802" s="31" t="inlineStr">
        <is>
          <t>2025-2026</t>
        </is>
      </c>
      <c r="D1802" s="31" t="inlineStr">
        <is>
          <t>2055</t>
        </is>
      </c>
      <c r="E1802" s="31" t="inlineStr">
        <is>
          <t>72-55-14</t>
        </is>
      </c>
      <c r="F1802" s="31" t="inlineStr">
        <is>
          <t>C</t>
        </is>
      </c>
      <c r="G1802" s="31" t="inlineStr">
        <is>
          <t>LPT</t>
        </is>
      </c>
      <c r="H1802" s="27" t="n">
        <v>2335</v>
      </c>
      <c r="I1802" s="27" t="n">
        <v>2480</v>
      </c>
      <c r="J1802" s="154">
        <f>I1802/H1802-1</f>
        <v/>
      </c>
      <c r="K1802" s="31" t="inlineStr">
        <is>
          <t>2</t>
        </is>
      </c>
      <c r="L1802" s="31" t="inlineStr">
        <is>
          <t>2</t>
        </is>
      </c>
      <c r="M1802" s="31" t="inlineStr">
        <is>
          <t>S2</t>
        </is>
      </c>
      <c r="N1802" s="31" t="inlineStr">
        <is>
          <t>S4</t>
        </is>
      </c>
      <c r="O1802" s="31" t="inlineStr">
        <is>
          <t>336-009-801-0</t>
        </is>
      </c>
      <c r="P1802" s="31" t="inlineStr">
        <is>
          <t>SR Technics Switzerland</t>
        </is>
      </c>
    </row>
    <row r="1803">
      <c r="B1803" s="31" t="inlineStr">
        <is>
          <t>CFM56-5B</t>
        </is>
      </c>
      <c r="C1803" s="31" t="inlineStr">
        <is>
          <t>2025-2026</t>
        </is>
      </c>
      <c r="D1803" s="31" t="inlineStr">
        <is>
          <t>2055</t>
        </is>
      </c>
      <c r="E1803" s="31" t="inlineStr">
        <is>
          <t>72-55-14</t>
        </is>
      </c>
      <c r="F1803" s="31" t="inlineStr">
        <is>
          <t>E</t>
        </is>
      </c>
      <c r="G1803" s="31" t="inlineStr">
        <is>
          <t>LPT</t>
        </is>
      </c>
      <c r="H1803" s="27" t="n">
        <v>2120</v>
      </c>
      <c r="I1803" s="27" t="n">
        <v>2250</v>
      </c>
      <c r="J1803" s="154">
        <f>I1803/H1803-1</f>
        <v/>
      </c>
      <c r="K1803" s="31" t="inlineStr">
        <is>
          <t>2</t>
        </is>
      </c>
      <c r="L1803" s="31" t="inlineStr">
        <is>
          <t>2</t>
        </is>
      </c>
      <c r="M1803" s="31" t="inlineStr">
        <is>
          <t>S2</t>
        </is>
      </c>
      <c r="N1803" s="31" t="inlineStr">
        <is>
          <t>S4</t>
        </is>
      </c>
      <c r="O1803" s="31" t="inlineStr">
        <is>
          <t>336-009-801-0</t>
        </is>
      </c>
      <c r="P1803" s="31" t="inlineStr">
        <is>
          <t>SR Technics Switzerland</t>
        </is>
      </c>
    </row>
    <row r="1804">
      <c r="B1804" s="31" t="inlineStr">
        <is>
          <t>CFM56-5B</t>
        </is>
      </c>
      <c r="C1804" s="31" t="inlineStr">
        <is>
          <t>2025-2026</t>
        </is>
      </c>
      <c r="D1804" s="31" t="inlineStr">
        <is>
          <t>2082</t>
        </is>
      </c>
      <c r="E1804" s="31" t="inlineStr">
        <is>
          <t>72-42-00</t>
        </is>
      </c>
      <c r="F1804" s="31" t="inlineStr">
        <is>
          <t>A</t>
        </is>
      </c>
      <c r="G1804" s="31" t="inlineStr">
        <is>
          <t>Combustor</t>
        </is>
      </c>
      <c r="H1804" s="27" t="n">
        <v>4390</v>
      </c>
      <c r="I1804" s="27" t="n">
        <v>4610</v>
      </c>
      <c r="J1804" s="154">
        <f>I1804/H1804-1</f>
        <v/>
      </c>
      <c r="K1804" s="31" t="inlineStr">
        <is>
          <t>30</t>
        </is>
      </c>
      <c r="L1804" s="31" t="inlineStr">
        <is>
          <t>31</t>
        </is>
      </c>
      <c r="M1804" s="31" t="inlineStr">
        <is>
          <t>S2</t>
        </is>
      </c>
      <c r="N1804" s="31" t="inlineStr">
        <is>
          <t>S4</t>
        </is>
      </c>
      <c r="O1804" s="31" t="inlineStr">
        <is>
          <t>1493M73G04</t>
        </is>
      </c>
      <c r="P1804" s="31" t="inlineStr">
        <is>
          <t>SR Technics Switzerland</t>
        </is>
      </c>
    </row>
    <row r="1805">
      <c r="B1805" s="31" t="inlineStr">
        <is>
          <t>CFM56-5B</t>
        </is>
      </c>
      <c r="C1805" s="31" t="inlineStr">
        <is>
          <t>2025-2026</t>
        </is>
      </c>
      <c r="D1805" s="31" t="inlineStr">
        <is>
          <t>2082</t>
        </is>
      </c>
      <c r="E1805" s="31" t="inlineStr">
        <is>
          <t>72-42-00</t>
        </is>
      </c>
      <c r="F1805" s="31" t="inlineStr">
        <is>
          <t>F</t>
        </is>
      </c>
      <c r="G1805" s="31" t="inlineStr">
        <is>
          <t>Combustor</t>
        </is>
      </c>
      <c r="H1805" s="27" t="n">
        <v>3635</v>
      </c>
      <c r="I1805" s="27" t="n">
        <v>3855</v>
      </c>
      <c r="J1805" s="154">
        <f>I1805/H1805-1</f>
        <v/>
      </c>
      <c r="K1805" s="31" t="inlineStr">
        <is>
          <t>30</t>
        </is>
      </c>
      <c r="L1805" s="31" t="inlineStr">
        <is>
          <t>31</t>
        </is>
      </c>
      <c r="M1805" s="31" t="inlineStr">
        <is>
          <t>S2</t>
        </is>
      </c>
      <c r="N1805" s="31" t="inlineStr">
        <is>
          <t>S4</t>
        </is>
      </c>
      <c r="O1805" s="31" t="inlineStr">
        <is>
          <t>1493M73G04</t>
        </is>
      </c>
      <c r="P1805" s="31" t="inlineStr">
        <is>
          <t>SR Technics Switzerland</t>
        </is>
      </c>
    </row>
    <row r="1806">
      <c r="B1806" s="31" t="inlineStr">
        <is>
          <t>CFM56-5B</t>
        </is>
      </c>
      <c r="C1806" s="31" t="inlineStr">
        <is>
          <t>2025-2026</t>
        </is>
      </c>
      <c r="D1806" s="31" t="inlineStr">
        <is>
          <t>2082</t>
        </is>
      </c>
      <c r="E1806" s="31" t="inlineStr">
        <is>
          <t>72-42-00</t>
        </is>
      </c>
      <c r="F1806" s="31" t="inlineStr">
        <is>
          <t>SB00</t>
        </is>
      </c>
      <c r="G1806" s="31" t="inlineStr">
        <is>
          <t>Combustor</t>
        </is>
      </c>
      <c r="H1806" s="27" t="n">
        <v>265</v>
      </c>
      <c r="I1806" s="27" t="n">
        <v>285</v>
      </c>
      <c r="J1806" s="154">
        <f>I1806/H1806-1</f>
        <v/>
      </c>
      <c r="K1806" s="31" t="inlineStr">
        <is>
          <t>30</t>
        </is>
      </c>
      <c r="L1806" s="31" t="inlineStr">
        <is>
          <t>31</t>
        </is>
      </c>
      <c r="M1806" s="31" t="inlineStr">
        <is>
          <t>S2</t>
        </is>
      </c>
      <c r="N1806" s="31" t="inlineStr">
        <is>
          <t>S4</t>
        </is>
      </c>
      <c r="O1806" s="31" t="inlineStr">
        <is>
          <t>1493M73G04</t>
        </is>
      </c>
      <c r="P1806" s="31" t="inlineStr">
        <is>
          <t>SR Technics Switzerland</t>
        </is>
      </c>
    </row>
    <row r="1807">
      <c r="B1807" s="31" t="inlineStr">
        <is>
          <t>CFM56-5B</t>
        </is>
      </c>
      <c r="C1807" s="31" t="inlineStr">
        <is>
          <t>2025-2026</t>
        </is>
      </c>
      <c r="D1807" s="31" t="inlineStr">
        <is>
          <t>2082</t>
        </is>
      </c>
      <c r="E1807" s="31" t="inlineStr">
        <is>
          <t>72-42-00</t>
        </is>
      </c>
      <c r="F1807" s="31" t="inlineStr">
        <is>
          <t>SB01</t>
        </is>
      </c>
      <c r="G1807" s="31" t="inlineStr">
        <is>
          <t>Combustor</t>
        </is>
      </c>
      <c r="H1807" s="27" t="n">
        <v>265</v>
      </c>
      <c r="I1807" s="27" t="n">
        <v>285</v>
      </c>
      <c r="J1807" s="154">
        <f>I1807/H1807-1</f>
        <v/>
      </c>
      <c r="K1807" s="31" t="inlineStr">
        <is>
          <t>30</t>
        </is>
      </c>
      <c r="L1807" s="31" t="inlineStr">
        <is>
          <t>31</t>
        </is>
      </c>
      <c r="M1807" s="31" t="inlineStr">
        <is>
          <t>S2</t>
        </is>
      </c>
      <c r="N1807" s="31" t="inlineStr">
        <is>
          <t>S4</t>
        </is>
      </c>
      <c r="O1807" s="31" t="inlineStr">
        <is>
          <t>1493M73G04</t>
        </is>
      </c>
      <c r="P1807" s="31" t="inlineStr">
        <is>
          <t>SR Technics Switzerland</t>
        </is>
      </c>
    </row>
    <row r="1808">
      <c r="B1808" s="31" t="inlineStr">
        <is>
          <t>CFM56-5B</t>
        </is>
      </c>
      <c r="C1808" s="31" t="inlineStr">
        <is>
          <t>2025-2026</t>
        </is>
      </c>
      <c r="D1808" s="31" t="inlineStr">
        <is>
          <t>2082</t>
        </is>
      </c>
      <c r="E1808" s="31" t="inlineStr">
        <is>
          <t>72-42-00</t>
        </is>
      </c>
      <c r="F1808" s="31" t="inlineStr">
        <is>
          <t>SB02</t>
        </is>
      </c>
      <c r="G1808" s="31" t="inlineStr">
        <is>
          <t>Combustor</t>
        </is>
      </c>
      <c r="H1808" s="27" t="n">
        <v>265</v>
      </c>
      <c r="I1808" s="27" t="n">
        <v>285</v>
      </c>
      <c r="J1808" s="154">
        <f>I1808/H1808-1</f>
        <v/>
      </c>
      <c r="K1808" s="31" t="inlineStr">
        <is>
          <t>30</t>
        </is>
      </c>
      <c r="L1808" s="31" t="inlineStr">
        <is>
          <t>31</t>
        </is>
      </c>
      <c r="M1808" s="31" t="inlineStr">
        <is>
          <t>S2</t>
        </is>
      </c>
      <c r="N1808" s="31" t="inlineStr">
        <is>
          <t>S4</t>
        </is>
      </c>
      <c r="O1808" s="31" t="inlineStr">
        <is>
          <t>1493M73G04</t>
        </is>
      </c>
      <c r="P1808" s="31" t="inlineStr">
        <is>
          <t>SR Technics Switzerland</t>
        </is>
      </c>
    </row>
    <row r="1809">
      <c r="B1809" s="31" t="inlineStr">
        <is>
          <t>CFM56-5B</t>
        </is>
      </c>
      <c r="C1809" s="31" t="inlineStr">
        <is>
          <t>2025-2026</t>
        </is>
      </c>
      <c r="D1809" s="31" t="inlineStr">
        <is>
          <t>2082</t>
        </is>
      </c>
      <c r="E1809" s="31" t="inlineStr">
        <is>
          <t>72-42-00</t>
        </is>
      </c>
      <c r="F1809" s="31" t="inlineStr">
        <is>
          <t>SB05</t>
        </is>
      </c>
      <c r="G1809" s="31" t="inlineStr">
        <is>
          <t>Combustor</t>
        </is>
      </c>
      <c r="H1809" s="27" t="n">
        <v>265</v>
      </c>
      <c r="I1809" s="27" t="n">
        <v>285</v>
      </c>
      <c r="J1809" s="154">
        <f>I1809/H1809-1</f>
        <v/>
      </c>
      <c r="K1809" s="31" t="inlineStr">
        <is>
          <t>30</t>
        </is>
      </c>
      <c r="L1809" s="31" t="inlineStr">
        <is>
          <t>31</t>
        </is>
      </c>
      <c r="M1809" s="31" t="inlineStr">
        <is>
          <t>S2</t>
        </is>
      </c>
      <c r="N1809" s="31" t="inlineStr">
        <is>
          <t>S4</t>
        </is>
      </c>
      <c r="O1809" s="31" t="inlineStr">
        <is>
          <t>1493M73G04</t>
        </is>
      </c>
      <c r="P1809" s="31" t="inlineStr">
        <is>
          <t>SR Technics Switzerland</t>
        </is>
      </c>
    </row>
    <row r="1810">
      <c r="B1810" s="31" t="inlineStr">
        <is>
          <t>CFM56-5B</t>
        </is>
      </c>
      <c r="C1810" s="31" t="inlineStr">
        <is>
          <t>2025-2026</t>
        </is>
      </c>
      <c r="D1810" s="31" t="inlineStr">
        <is>
          <t>2082</t>
        </is>
      </c>
      <c r="E1810" s="31" t="inlineStr">
        <is>
          <t>72-42-00</t>
        </is>
      </c>
      <c r="F1810" s="31" t="inlineStr">
        <is>
          <t>SB08</t>
        </is>
      </c>
      <c r="G1810" s="31" t="inlineStr">
        <is>
          <t>Combustor</t>
        </is>
      </c>
      <c r="H1810" s="27" t="n">
        <v>915</v>
      </c>
      <c r="I1810" s="27" t="n">
        <v>970</v>
      </c>
      <c r="J1810" s="154">
        <f>I1810/H1810-1</f>
        <v/>
      </c>
      <c r="K1810" s="31" t="inlineStr">
        <is>
          <t>30</t>
        </is>
      </c>
      <c r="L1810" s="31" t="inlineStr">
        <is>
          <t>31</t>
        </is>
      </c>
      <c r="M1810" s="31" t="inlineStr">
        <is>
          <t>S2</t>
        </is>
      </c>
      <c r="N1810" s="31" t="inlineStr">
        <is>
          <t>S4</t>
        </is>
      </c>
      <c r="O1810" s="31" t="inlineStr">
        <is>
          <t>1493M73G04</t>
        </is>
      </c>
      <c r="P1810" s="31" t="inlineStr">
        <is>
          <t>SR Technics Switzerland</t>
        </is>
      </c>
    </row>
    <row r="1811">
      <c r="B1811" s="31" t="inlineStr">
        <is>
          <t>CFM56-5B</t>
        </is>
      </c>
      <c r="C1811" s="31" t="inlineStr">
        <is>
          <t>2025-2026</t>
        </is>
      </c>
      <c r="D1811" s="31" t="inlineStr">
        <is>
          <t>2082</t>
        </is>
      </c>
      <c r="E1811" s="31" t="inlineStr">
        <is>
          <t>72-42-00</t>
        </is>
      </c>
      <c r="F1811" s="31" t="inlineStr">
        <is>
          <t>SB10</t>
        </is>
      </c>
      <c r="G1811" s="31" t="inlineStr">
        <is>
          <t>Combustor</t>
        </is>
      </c>
      <c r="H1811" s="27" t="n">
        <v>265</v>
      </c>
      <c r="I1811" s="27" t="n">
        <v>285</v>
      </c>
      <c r="J1811" s="154">
        <f>I1811/H1811-1</f>
        <v/>
      </c>
      <c r="K1811" s="31" t="inlineStr">
        <is>
          <t>30</t>
        </is>
      </c>
      <c r="L1811" s="31" t="inlineStr">
        <is>
          <t>31</t>
        </is>
      </c>
      <c r="M1811" s="31" t="inlineStr">
        <is>
          <t>S2</t>
        </is>
      </c>
      <c r="N1811" s="31" t="inlineStr">
        <is>
          <t>S4</t>
        </is>
      </c>
      <c r="O1811" s="31" t="inlineStr">
        <is>
          <t>1493M73G04</t>
        </is>
      </c>
      <c r="P1811" s="31" t="inlineStr">
        <is>
          <t>SR Technics Switzerland</t>
        </is>
      </c>
    </row>
    <row r="1812">
      <c r="B1812" s="31" t="inlineStr">
        <is>
          <t>CFM56-5B</t>
        </is>
      </c>
      <c r="C1812" s="31" t="inlineStr">
        <is>
          <t>2025-2026</t>
        </is>
      </c>
      <c r="D1812" s="31" t="inlineStr">
        <is>
          <t>21511</t>
        </is>
      </c>
      <c r="E1812" s="31" t="inlineStr">
        <is>
          <t>72-31-04</t>
        </is>
      </c>
      <c r="F1812" s="31" t="inlineStr">
        <is>
          <t>A</t>
        </is>
      </c>
      <c r="G1812" s="31" t="inlineStr">
        <is>
          <t>Compressor</t>
        </is>
      </c>
      <c r="H1812" s="27" t="n">
        <v>2425</v>
      </c>
      <c r="I1812" s="27" t="n">
        <v>2550</v>
      </c>
      <c r="J1812" s="154">
        <f>I1812/H1812-1</f>
        <v/>
      </c>
      <c r="K1812" s="31" t="inlineStr">
        <is>
          <t>6</t>
        </is>
      </c>
      <c r="L1812" s="31" t="inlineStr">
        <is>
          <t>5</t>
        </is>
      </c>
      <c r="M1812" s="31" t="inlineStr">
        <is>
          <t>S2</t>
        </is>
      </c>
      <c r="N1812" s="31" t="inlineStr">
        <is>
          <t>S4</t>
        </is>
      </c>
      <c r="O1812" s="31" t="inlineStr">
        <is>
          <t>1558M31G03</t>
        </is>
      </c>
      <c r="P1812" s="31" t="inlineStr">
        <is>
          <t>SR Technics Switzerland</t>
        </is>
      </c>
    </row>
    <row r="1813">
      <c r="B1813" s="31" t="inlineStr">
        <is>
          <t>CFM56-5B</t>
        </is>
      </c>
      <c r="C1813" s="31" t="inlineStr">
        <is>
          <t>2025-2026</t>
        </is>
      </c>
      <c r="D1813" s="31" t="inlineStr">
        <is>
          <t>21511</t>
        </is>
      </c>
      <c r="E1813" s="31" t="inlineStr">
        <is>
          <t>72-31-04</t>
        </is>
      </c>
      <c r="F1813" s="31" t="inlineStr">
        <is>
          <t>B</t>
        </is>
      </c>
      <c r="G1813" s="31" t="inlineStr">
        <is>
          <t>Compressor</t>
        </is>
      </c>
      <c r="H1813" s="27" t="n">
        <v>2415</v>
      </c>
      <c r="I1813" s="27" t="n">
        <v>2560</v>
      </c>
      <c r="J1813" s="154">
        <f>I1813/H1813-1</f>
        <v/>
      </c>
      <c r="K1813" s="31" t="inlineStr">
        <is>
          <t>6</t>
        </is>
      </c>
      <c r="L1813" s="31" t="inlineStr">
        <is>
          <t>5</t>
        </is>
      </c>
      <c r="M1813" s="31" t="inlineStr">
        <is>
          <t>S2</t>
        </is>
      </c>
      <c r="N1813" s="31" t="inlineStr">
        <is>
          <t>S4</t>
        </is>
      </c>
      <c r="O1813" s="31" t="inlineStr">
        <is>
          <t>1558M31G03</t>
        </is>
      </c>
      <c r="P1813" s="31" t="inlineStr">
        <is>
          <t>SR Technics Switzerland</t>
        </is>
      </c>
    </row>
    <row r="1814">
      <c r="B1814" s="31" t="inlineStr">
        <is>
          <t>CFM56-5B</t>
        </is>
      </c>
      <c r="C1814" s="31" t="inlineStr">
        <is>
          <t>2025-2026</t>
        </is>
      </c>
      <c r="D1814" s="31" t="inlineStr">
        <is>
          <t>21511</t>
        </is>
      </c>
      <c r="E1814" s="31" t="inlineStr">
        <is>
          <t>72-31-04</t>
        </is>
      </c>
      <c r="F1814" s="31" t="inlineStr">
        <is>
          <t>C</t>
        </is>
      </c>
      <c r="G1814" s="31" t="inlineStr">
        <is>
          <t>Compressor</t>
        </is>
      </c>
      <c r="H1814" s="27" t="n">
        <v>120</v>
      </c>
      <c r="I1814" s="27" t="n">
        <v>130</v>
      </c>
      <c r="J1814" s="154">
        <f>I1814/H1814-1</f>
        <v/>
      </c>
      <c r="K1814" s="31" t="inlineStr">
        <is>
          <t>6</t>
        </is>
      </c>
      <c r="L1814" s="31" t="inlineStr">
        <is>
          <t>5</t>
        </is>
      </c>
      <c r="M1814" s="31" t="inlineStr">
        <is>
          <t>S2</t>
        </is>
      </c>
      <c r="N1814" s="31" t="inlineStr">
        <is>
          <t>S4</t>
        </is>
      </c>
      <c r="O1814" s="31" t="inlineStr">
        <is>
          <t>1558M31G03</t>
        </is>
      </c>
      <c r="P1814" s="31" t="inlineStr">
        <is>
          <t>SR Technics Switzerland</t>
        </is>
      </c>
    </row>
    <row r="1815">
      <c r="B1815" s="31" t="inlineStr">
        <is>
          <t>CFM56-5B</t>
        </is>
      </c>
      <c r="C1815" s="31" t="inlineStr">
        <is>
          <t>2025-2026</t>
        </is>
      </c>
      <c r="D1815" s="31" t="inlineStr">
        <is>
          <t>21511</t>
        </is>
      </c>
      <c r="E1815" s="31" t="inlineStr">
        <is>
          <t>72-31-04</t>
        </is>
      </c>
      <c r="F1815" s="31" t="inlineStr">
        <is>
          <t>F</t>
        </is>
      </c>
      <c r="G1815" s="31" t="inlineStr">
        <is>
          <t>Compressor</t>
        </is>
      </c>
      <c r="H1815" s="27" t="n">
        <v>6670</v>
      </c>
      <c r="I1815" s="27" t="n">
        <v>7075</v>
      </c>
      <c r="J1815" s="154">
        <f>I1815/H1815-1</f>
        <v/>
      </c>
      <c r="K1815" s="31" t="inlineStr">
        <is>
          <t>6</t>
        </is>
      </c>
      <c r="L1815" s="31" t="inlineStr">
        <is>
          <t>5</t>
        </is>
      </c>
      <c r="M1815" s="31" t="inlineStr">
        <is>
          <t>S2</t>
        </is>
      </c>
      <c r="N1815" s="31" t="inlineStr">
        <is>
          <t>S4</t>
        </is>
      </c>
      <c r="O1815" s="31" t="inlineStr">
        <is>
          <t>1558M31G03</t>
        </is>
      </c>
      <c r="P1815" s="31" t="inlineStr">
        <is>
          <t>SR Technics Switzerland</t>
        </is>
      </c>
    </row>
    <row r="1816">
      <c r="B1816" s="31" t="inlineStr">
        <is>
          <t>CFM56-5B</t>
        </is>
      </c>
      <c r="C1816" s="31" t="inlineStr">
        <is>
          <t>2025-2026</t>
        </is>
      </c>
      <c r="D1816" s="31" t="inlineStr">
        <is>
          <t>21511</t>
        </is>
      </c>
      <c r="E1816" s="31" t="inlineStr">
        <is>
          <t>72-31-04</t>
        </is>
      </c>
      <c r="F1816" s="31" t="inlineStr">
        <is>
          <t>G</t>
        </is>
      </c>
      <c r="G1816" s="31" t="inlineStr">
        <is>
          <t>Compressor</t>
        </is>
      </c>
      <c r="H1816" s="27" t="n">
        <v>3235</v>
      </c>
      <c r="I1816" s="27" t="n">
        <v>3430</v>
      </c>
      <c r="J1816" s="154">
        <f>I1816/H1816-1</f>
        <v/>
      </c>
      <c r="K1816" s="31" t="inlineStr">
        <is>
          <t>6</t>
        </is>
      </c>
      <c r="L1816" s="31" t="inlineStr">
        <is>
          <t>6</t>
        </is>
      </c>
      <c r="M1816" s="31" t="inlineStr">
        <is>
          <t>S2</t>
        </is>
      </c>
      <c r="N1816" s="31" t="inlineStr">
        <is>
          <t>S4</t>
        </is>
      </c>
      <c r="O1816" s="31" t="inlineStr">
        <is>
          <t>1558M31G03</t>
        </is>
      </c>
      <c r="P1816" s="31" t="inlineStr">
        <is>
          <t>SR Technics Switzerland</t>
        </is>
      </c>
    </row>
    <row r="1817">
      <c r="B1817" s="31" t="inlineStr">
        <is>
          <t>CFM56-5B</t>
        </is>
      </c>
      <c r="C1817" s="31" t="inlineStr">
        <is>
          <t>2025-2026</t>
        </is>
      </c>
      <c r="D1817" s="31" t="inlineStr">
        <is>
          <t>21511</t>
        </is>
      </c>
      <c r="E1817" s="31" t="inlineStr">
        <is>
          <t>72-31-04</t>
        </is>
      </c>
      <c r="F1817" s="31" t="inlineStr">
        <is>
          <t>H</t>
        </is>
      </c>
      <c r="G1817" s="31" t="inlineStr">
        <is>
          <t>Compressor</t>
        </is>
      </c>
      <c r="H1817" s="27" t="n">
        <v>5575</v>
      </c>
      <c r="I1817" s="27" t="n">
        <v>5910</v>
      </c>
      <c r="J1817" s="154">
        <f>I1817/H1817-1</f>
        <v/>
      </c>
      <c r="K1817" s="31" t="inlineStr">
        <is>
          <t>6</t>
        </is>
      </c>
      <c r="L1817" s="31" t="inlineStr">
        <is>
          <t>6</t>
        </is>
      </c>
      <c r="M1817" s="31" t="inlineStr">
        <is>
          <t>S2</t>
        </is>
      </c>
      <c r="N1817" s="31" t="inlineStr">
        <is>
          <t>S4</t>
        </is>
      </c>
      <c r="O1817" s="31" t="inlineStr">
        <is>
          <t>1558M31G03</t>
        </is>
      </c>
      <c r="P1817" s="31" t="inlineStr">
        <is>
          <t>SR Technics Switzerland</t>
        </is>
      </c>
    </row>
    <row r="1818">
      <c r="B1818" s="31" t="inlineStr">
        <is>
          <t>CFM56-5B</t>
        </is>
      </c>
      <c r="C1818" s="31" t="inlineStr">
        <is>
          <t>2025-2026</t>
        </is>
      </c>
      <c r="D1818" s="31" t="inlineStr">
        <is>
          <t>21511</t>
        </is>
      </c>
      <c r="E1818" s="31" t="inlineStr">
        <is>
          <t>72-31-04</t>
        </is>
      </c>
      <c r="F1818" s="31" t="inlineStr">
        <is>
          <t>SB00</t>
        </is>
      </c>
      <c r="G1818" s="31" t="inlineStr">
        <is>
          <t>Compressor</t>
        </is>
      </c>
      <c r="H1818" s="27" t="n">
        <v>1085</v>
      </c>
      <c r="I1818" s="27" t="n">
        <v>1155</v>
      </c>
      <c r="J1818" s="154">
        <f>I1818/H1818-1</f>
        <v/>
      </c>
      <c r="K1818" s="31" t="inlineStr">
        <is>
          <t>6</t>
        </is>
      </c>
      <c r="L1818" s="31" t="inlineStr">
        <is>
          <t>6</t>
        </is>
      </c>
      <c r="M1818" s="31" t="inlineStr">
        <is>
          <t>S2</t>
        </is>
      </c>
      <c r="N1818" s="31" t="inlineStr">
        <is>
          <t>S4</t>
        </is>
      </c>
      <c r="O1818" s="31" t="inlineStr">
        <is>
          <t>1558M31G03</t>
        </is>
      </c>
      <c r="P1818" s="31" t="inlineStr">
        <is>
          <t>SR Technics Switzerland</t>
        </is>
      </c>
    </row>
    <row r="1819">
      <c r="B1819" s="31" t="inlineStr">
        <is>
          <t>CFM56-5B</t>
        </is>
      </c>
      <c r="C1819" s="31" t="inlineStr">
        <is>
          <t>2025-2026</t>
        </is>
      </c>
      <c r="D1819" s="31" t="inlineStr">
        <is>
          <t>21511</t>
        </is>
      </c>
      <c r="E1819" s="31" t="inlineStr">
        <is>
          <t>72-31-04</t>
        </is>
      </c>
      <c r="F1819" s="31" t="inlineStr">
        <is>
          <t>SB02</t>
        </is>
      </c>
      <c r="G1819" s="31" t="inlineStr">
        <is>
          <t>Compressor</t>
        </is>
      </c>
      <c r="H1819" s="27" t="n">
        <v>1550</v>
      </c>
      <c r="I1819" s="27" t="n">
        <v>1645</v>
      </c>
      <c r="J1819" s="154">
        <f>I1819/H1819-1</f>
        <v/>
      </c>
      <c r="K1819" s="31" t="inlineStr">
        <is>
          <t>6</t>
        </is>
      </c>
      <c r="L1819" s="31" t="inlineStr">
        <is>
          <t>6</t>
        </is>
      </c>
      <c r="M1819" s="31" t="inlineStr">
        <is>
          <t>S2</t>
        </is>
      </c>
      <c r="N1819" s="31" t="inlineStr">
        <is>
          <t>S4</t>
        </is>
      </c>
      <c r="O1819" s="31" t="inlineStr">
        <is>
          <t>1558M31G03</t>
        </is>
      </c>
      <c r="P1819" s="31" t="inlineStr">
        <is>
          <t>SR Technics Switzerland</t>
        </is>
      </c>
    </row>
    <row r="1820">
      <c r="B1820" s="31" t="inlineStr">
        <is>
          <t>CFM56-5B</t>
        </is>
      </c>
      <c r="C1820" s="31" t="inlineStr">
        <is>
          <t>2025-2026</t>
        </is>
      </c>
      <c r="D1820" s="31" t="inlineStr">
        <is>
          <t>21512</t>
        </is>
      </c>
      <c r="E1820" s="31" t="inlineStr">
        <is>
          <t>72-31-05</t>
        </is>
      </c>
      <c r="F1820" s="31" t="inlineStr">
        <is>
          <t>A</t>
        </is>
      </c>
      <c r="G1820" s="31" t="inlineStr">
        <is>
          <t>Compressor</t>
        </is>
      </c>
      <c r="H1820" s="27" t="n">
        <v>1580</v>
      </c>
      <c r="I1820" s="27" t="n">
        <v>1660</v>
      </c>
      <c r="J1820" s="154">
        <f>I1820/H1820-1</f>
        <v/>
      </c>
      <c r="K1820" s="31" t="inlineStr">
        <is>
          <t>6</t>
        </is>
      </c>
      <c r="L1820" s="31" t="inlineStr">
        <is>
          <t>6</t>
        </is>
      </c>
      <c r="M1820" s="31" t="inlineStr">
        <is>
          <t>S2</t>
        </is>
      </c>
      <c r="N1820" s="31" t="inlineStr">
        <is>
          <t>S4</t>
        </is>
      </c>
      <c r="O1820" s="31" t="inlineStr">
        <is>
          <t>1590M59P01</t>
        </is>
      </c>
      <c r="P1820" s="31" t="inlineStr">
        <is>
          <t>SR Technics Switzerland</t>
        </is>
      </c>
    </row>
    <row r="1821">
      <c r="B1821" s="31" t="inlineStr">
        <is>
          <t>CFM56-5B</t>
        </is>
      </c>
      <c r="C1821" s="31" t="inlineStr">
        <is>
          <t>2025-2026</t>
        </is>
      </c>
      <c r="D1821" s="31" t="inlineStr">
        <is>
          <t>21512</t>
        </is>
      </c>
      <c r="E1821" s="31" t="inlineStr">
        <is>
          <t>72-31-05</t>
        </is>
      </c>
      <c r="F1821" s="31" t="inlineStr">
        <is>
          <t>B</t>
        </is>
      </c>
      <c r="G1821" s="31" t="inlineStr">
        <is>
          <t>Compressor</t>
        </is>
      </c>
      <c r="H1821" s="27" t="n">
        <v>840</v>
      </c>
      <c r="I1821" s="27" t="n">
        <v>895</v>
      </c>
      <c r="J1821" s="154">
        <f>I1821/H1821-1</f>
        <v/>
      </c>
      <c r="K1821" s="31" t="inlineStr">
        <is>
          <t>6</t>
        </is>
      </c>
      <c r="L1821" s="31" t="inlineStr">
        <is>
          <t>6</t>
        </is>
      </c>
      <c r="M1821" s="31" t="inlineStr">
        <is>
          <t>S2</t>
        </is>
      </c>
      <c r="N1821" s="31" t="inlineStr">
        <is>
          <t>S4</t>
        </is>
      </c>
      <c r="O1821" s="31" t="inlineStr">
        <is>
          <t>1590M59P01</t>
        </is>
      </c>
      <c r="P1821" s="31" t="inlineStr">
        <is>
          <t>SR Technics Switzerland</t>
        </is>
      </c>
    </row>
    <row r="1822">
      <c r="B1822" s="31" t="inlineStr">
        <is>
          <t>CFM56-5B</t>
        </is>
      </c>
      <c r="C1822" s="31" t="inlineStr">
        <is>
          <t>2025-2026</t>
        </is>
      </c>
      <c r="D1822" s="31" t="inlineStr">
        <is>
          <t>21512</t>
        </is>
      </c>
      <c r="E1822" s="31" t="inlineStr">
        <is>
          <t>72-31-05</t>
        </is>
      </c>
      <c r="F1822" s="31" t="inlineStr">
        <is>
          <t>C</t>
        </is>
      </c>
      <c r="G1822" s="31" t="inlineStr">
        <is>
          <t>Compressor</t>
        </is>
      </c>
      <c r="H1822" s="27" t="n">
        <v>4010</v>
      </c>
      <c r="I1822" s="27" t="n">
        <v>4255</v>
      </c>
      <c r="J1822" s="154">
        <f>I1822/H1822-1</f>
        <v/>
      </c>
      <c r="K1822" s="31" t="inlineStr">
        <is>
          <t>6</t>
        </is>
      </c>
      <c r="L1822" s="31" t="inlineStr">
        <is>
          <t>6</t>
        </is>
      </c>
      <c r="M1822" s="31" t="inlineStr">
        <is>
          <t>S2</t>
        </is>
      </c>
      <c r="N1822" s="31" t="inlineStr">
        <is>
          <t>S4</t>
        </is>
      </c>
      <c r="O1822" s="31" t="inlineStr">
        <is>
          <t>1590M59P01</t>
        </is>
      </c>
      <c r="P1822" s="31" t="inlineStr">
        <is>
          <t>SR Technics Switzerland</t>
        </is>
      </c>
    </row>
    <row r="1823">
      <c r="B1823" s="31" t="inlineStr">
        <is>
          <t>CFM56-5B</t>
        </is>
      </c>
      <c r="C1823" s="31" t="inlineStr">
        <is>
          <t>2025-2026</t>
        </is>
      </c>
      <c r="D1823" s="31" t="inlineStr">
        <is>
          <t>21512</t>
        </is>
      </c>
      <c r="E1823" s="31" t="inlineStr">
        <is>
          <t>72-31-05</t>
        </is>
      </c>
      <c r="F1823" s="31" t="inlineStr">
        <is>
          <t>L</t>
        </is>
      </c>
      <c r="G1823" s="31" t="inlineStr">
        <is>
          <t>Compressor</t>
        </is>
      </c>
      <c r="H1823" s="27" t="n">
        <v>840</v>
      </c>
      <c r="I1823" s="27" t="n">
        <v>895</v>
      </c>
      <c r="J1823" s="154">
        <f>I1823/H1823-1</f>
        <v/>
      </c>
      <c r="K1823" s="31" t="inlineStr">
        <is>
          <t>6</t>
        </is>
      </c>
      <c r="L1823" s="31" t="inlineStr">
        <is>
          <t>6</t>
        </is>
      </c>
      <c r="M1823" s="31" t="inlineStr">
        <is>
          <t>S2</t>
        </is>
      </c>
      <c r="N1823" s="31" t="inlineStr">
        <is>
          <t>S4</t>
        </is>
      </c>
      <c r="O1823" s="31" t="inlineStr">
        <is>
          <t>1590M59P01</t>
        </is>
      </c>
      <c r="P1823" s="31" t="inlineStr">
        <is>
          <t>SR Technics Switzerland</t>
        </is>
      </c>
    </row>
    <row r="1824">
      <c r="B1824" s="31" t="inlineStr">
        <is>
          <t>CFM56-5B</t>
        </is>
      </c>
      <c r="C1824" s="31" t="inlineStr">
        <is>
          <t>2025-2026</t>
        </is>
      </c>
      <c r="D1824" s="31" t="inlineStr">
        <is>
          <t>21512</t>
        </is>
      </c>
      <c r="E1824" s="31" t="inlineStr">
        <is>
          <t>72-31-05</t>
        </is>
      </c>
      <c r="F1824" s="31" t="inlineStr">
        <is>
          <t>M</t>
        </is>
      </c>
      <c r="G1824" s="31" t="inlineStr">
        <is>
          <t>Compressor</t>
        </is>
      </c>
      <c r="H1824" s="27" t="n">
        <v>840</v>
      </c>
      <c r="I1824" s="27" t="n">
        <v>895</v>
      </c>
      <c r="J1824" s="154">
        <f>I1824/H1824-1</f>
        <v/>
      </c>
      <c r="K1824" s="31" t="inlineStr">
        <is>
          <t>6</t>
        </is>
      </c>
      <c r="L1824" s="31" t="inlineStr">
        <is>
          <t>6</t>
        </is>
      </c>
      <c r="M1824" s="31" t="inlineStr">
        <is>
          <t>S2</t>
        </is>
      </c>
      <c r="N1824" s="31" t="inlineStr">
        <is>
          <t>S4</t>
        </is>
      </c>
      <c r="O1824" s="31" t="inlineStr">
        <is>
          <t>1590M59P01</t>
        </is>
      </c>
      <c r="P1824" s="31" t="inlineStr">
        <is>
          <t>SR Technics Switzerland</t>
        </is>
      </c>
    </row>
    <row r="1825">
      <c r="B1825" s="31" t="inlineStr">
        <is>
          <t>CFM56-5B</t>
        </is>
      </c>
      <c r="C1825" s="31" t="inlineStr">
        <is>
          <t>2025-2026</t>
        </is>
      </c>
      <c r="D1825" s="31" t="inlineStr">
        <is>
          <t>21512</t>
        </is>
      </c>
      <c r="E1825" s="31" t="inlineStr">
        <is>
          <t>72-31-05</t>
        </is>
      </c>
      <c r="F1825" s="31" t="inlineStr">
        <is>
          <t>SB00</t>
        </is>
      </c>
      <c r="G1825" s="31" t="inlineStr">
        <is>
          <t>Compressor</t>
        </is>
      </c>
      <c r="H1825" s="27" t="n">
        <v>905</v>
      </c>
      <c r="I1825" s="27" t="n">
        <v>960</v>
      </c>
      <c r="J1825" s="154">
        <f>I1825/H1825-1</f>
        <v/>
      </c>
      <c r="K1825" s="31" t="inlineStr">
        <is>
          <t>6</t>
        </is>
      </c>
      <c r="L1825" s="31" t="inlineStr">
        <is>
          <t>6</t>
        </is>
      </c>
      <c r="M1825" s="31" t="inlineStr">
        <is>
          <t>S2</t>
        </is>
      </c>
      <c r="N1825" s="31" t="inlineStr">
        <is>
          <t>S4</t>
        </is>
      </c>
      <c r="O1825" s="31" t="inlineStr">
        <is>
          <t>1590M59P01</t>
        </is>
      </c>
      <c r="P1825" s="31" t="inlineStr">
        <is>
          <t>SR Technics Switzerland</t>
        </is>
      </c>
    </row>
    <row r="1826">
      <c r="B1826" s="31" t="inlineStr">
        <is>
          <t>CFM56-5B</t>
        </is>
      </c>
      <c r="C1826" s="31" t="inlineStr">
        <is>
          <t>2025-2026</t>
        </is>
      </c>
      <c r="D1826" s="31" t="inlineStr">
        <is>
          <t>21514</t>
        </is>
      </c>
      <c r="E1826" s="31" t="inlineStr">
        <is>
          <t>72-22-01</t>
        </is>
      </c>
      <c r="F1826" s="31" t="inlineStr">
        <is>
          <t>B</t>
        </is>
      </c>
      <c r="G1826" s="31" t="inlineStr">
        <is>
          <t>Fan / booster</t>
        </is>
      </c>
      <c r="H1826" s="27" t="n">
        <v>605</v>
      </c>
      <c r="I1826" s="27" t="n">
        <v>700</v>
      </c>
      <c r="J1826" s="154">
        <f>I1826/H1826-1</f>
        <v/>
      </c>
      <c r="K1826" s="31" t="inlineStr">
        <is>
          <t>6</t>
        </is>
      </c>
      <c r="L1826" s="31" t="inlineStr">
        <is>
          <t>6</t>
        </is>
      </c>
      <c r="M1826" s="31" t="inlineStr">
        <is>
          <t>S2</t>
        </is>
      </c>
      <c r="N1826" s="31" t="inlineStr">
        <is>
          <t>S4</t>
        </is>
      </c>
      <c r="O1826" s="31" t="inlineStr">
        <is>
          <t>338-010-601-0</t>
        </is>
      </c>
      <c r="P1826" s="31" t="inlineStr">
        <is>
          <t>SR Technics Switzerland</t>
        </is>
      </c>
    </row>
    <row r="1827">
      <c r="B1827" s="31" t="inlineStr">
        <is>
          <t>CFM56-5B</t>
        </is>
      </c>
      <c r="C1827" s="31" t="inlineStr">
        <is>
          <t>2025-2026</t>
        </is>
      </c>
      <c r="D1827" s="31" t="inlineStr">
        <is>
          <t>21514</t>
        </is>
      </c>
      <c r="E1827" s="31" t="inlineStr">
        <is>
          <t>72-22-01</t>
        </is>
      </c>
      <c r="F1827" s="31" t="inlineStr">
        <is>
          <t>C</t>
        </is>
      </c>
      <c r="G1827" s="31" t="inlineStr">
        <is>
          <t>Fan / booster</t>
        </is>
      </c>
      <c r="H1827" s="27" t="n">
        <v>3165</v>
      </c>
      <c r="I1827" s="27" t="n">
        <v>3800</v>
      </c>
      <c r="J1827" s="154">
        <f>I1827/H1827-1</f>
        <v/>
      </c>
      <c r="K1827" s="31" t="inlineStr">
        <is>
          <t>6</t>
        </is>
      </c>
      <c r="L1827" s="31" t="inlineStr">
        <is>
          <t>6</t>
        </is>
      </c>
      <c r="M1827" s="31" t="inlineStr">
        <is>
          <t>S2</t>
        </is>
      </c>
      <c r="N1827" s="31" t="inlineStr">
        <is>
          <t>S4</t>
        </is>
      </c>
      <c r="O1827" s="31" t="inlineStr">
        <is>
          <t>338-010-601-0</t>
        </is>
      </c>
      <c r="P1827" s="31" t="inlineStr">
        <is>
          <t>SR Technics Switzerland</t>
        </is>
      </c>
    </row>
    <row r="1828">
      <c r="B1828" s="31" t="inlineStr">
        <is>
          <t>CFM56-5B</t>
        </is>
      </c>
      <c r="C1828" s="31" t="inlineStr">
        <is>
          <t>2025-2026</t>
        </is>
      </c>
      <c r="D1828" s="31" t="inlineStr">
        <is>
          <t>21514</t>
        </is>
      </c>
      <c r="E1828" s="31" t="inlineStr">
        <is>
          <t>72-22-01</t>
        </is>
      </c>
      <c r="F1828" s="31" t="inlineStr">
        <is>
          <t>D</t>
        </is>
      </c>
      <c r="G1828" s="31" t="inlineStr">
        <is>
          <t>Fan / booster</t>
        </is>
      </c>
      <c r="H1828" s="27" t="n">
        <v>595</v>
      </c>
      <c r="I1828" s="27" t="n">
        <v>1200</v>
      </c>
      <c r="J1828" s="154">
        <f>I1828/H1828-1</f>
        <v/>
      </c>
      <c r="K1828" s="31" t="inlineStr">
        <is>
          <t>6</t>
        </is>
      </c>
      <c r="L1828" s="31" t="inlineStr">
        <is>
          <t>6</t>
        </is>
      </c>
      <c r="M1828" s="31" t="inlineStr">
        <is>
          <t>S2</t>
        </is>
      </c>
      <c r="N1828" s="31" t="inlineStr">
        <is>
          <t>S4</t>
        </is>
      </c>
      <c r="O1828" s="31" t="inlineStr">
        <is>
          <t>338-010-601-0</t>
        </is>
      </c>
      <c r="P1828" s="31" t="inlineStr">
        <is>
          <t>SR Technics Switzerland</t>
        </is>
      </c>
    </row>
    <row r="1829">
      <c r="B1829" s="31" t="inlineStr">
        <is>
          <t>CFM56-5B</t>
        </is>
      </c>
      <c r="C1829" s="31" t="inlineStr">
        <is>
          <t>2025-2026</t>
        </is>
      </c>
      <c r="D1829" s="31" t="inlineStr">
        <is>
          <t>21514</t>
        </is>
      </c>
      <c r="E1829" s="31" t="inlineStr">
        <is>
          <t>72-22-01</t>
        </is>
      </c>
      <c r="F1829" s="31" t="inlineStr">
        <is>
          <t>SB00</t>
        </is>
      </c>
      <c r="G1829" s="31" t="inlineStr">
        <is>
          <t>Fan / booster</t>
        </is>
      </c>
      <c r="H1829" s="27" t="n">
        <v>685</v>
      </c>
      <c r="I1829" s="27" t="n">
        <v>815</v>
      </c>
      <c r="J1829" s="154">
        <f>I1829/H1829-1</f>
        <v/>
      </c>
      <c r="K1829" s="31" t="inlineStr">
        <is>
          <t>6</t>
        </is>
      </c>
      <c r="L1829" s="31" t="inlineStr">
        <is>
          <t>6</t>
        </is>
      </c>
      <c r="M1829" s="31" t="inlineStr">
        <is>
          <t>S2</t>
        </is>
      </c>
      <c r="N1829" s="31" t="inlineStr">
        <is>
          <t>S4</t>
        </is>
      </c>
      <c r="O1829" s="31" t="inlineStr">
        <is>
          <t>338-010-601-0</t>
        </is>
      </c>
      <c r="P1829" s="31" t="inlineStr">
        <is>
          <t>SR Technics Switzerland</t>
        </is>
      </c>
    </row>
    <row r="1830">
      <c r="B1830" s="31" t="inlineStr">
        <is>
          <t>CFM56-5B</t>
        </is>
      </c>
      <c r="C1830" s="31" t="inlineStr">
        <is>
          <t>2025-2026</t>
        </is>
      </c>
      <c r="D1830" s="31" t="inlineStr">
        <is>
          <t>2187</t>
        </is>
      </c>
      <c r="E1830" s="31" t="inlineStr">
        <is>
          <t>72-62-06</t>
        </is>
      </c>
      <c r="F1830" s="31" t="inlineStr">
        <is>
          <t>SB00</t>
        </is>
      </c>
      <c r="G1830" s="31" t="inlineStr">
        <is>
          <t>Gearbox</t>
        </is>
      </c>
      <c r="H1830" s="27" t="n">
        <v>285</v>
      </c>
      <c r="I1830" s="27" t="n">
        <v>305</v>
      </c>
      <c r="J1830" s="154">
        <f>I1830/H1830-1</f>
        <v/>
      </c>
      <c r="K1830" s="31" t="inlineStr">
        <is>
          <t>31</t>
        </is>
      </c>
      <c r="L1830" s="31" t="inlineStr">
        <is>
          <t>32</t>
        </is>
      </c>
      <c r="M1830" s="31" t="inlineStr">
        <is>
          <t>S2</t>
        </is>
      </c>
      <c r="N1830" s="31" t="inlineStr">
        <is>
          <t>S4</t>
        </is>
      </c>
      <c r="O1830" s="31" t="inlineStr">
        <is>
          <t>305-136-803-0</t>
        </is>
      </c>
      <c r="P1830" s="31" t="inlineStr">
        <is>
          <t>SR Technics Switzerland</t>
        </is>
      </c>
    </row>
    <row r="1831">
      <c r="B1831" s="31" t="inlineStr">
        <is>
          <t>CFM56-5B</t>
        </is>
      </c>
      <c r="C1831" s="31" t="inlineStr">
        <is>
          <t>2025-2026</t>
        </is>
      </c>
      <c r="D1831" s="31" t="inlineStr">
        <is>
          <t>2187</t>
        </is>
      </c>
      <c r="E1831" s="31" t="inlineStr">
        <is>
          <t>72-62-06</t>
        </is>
      </c>
      <c r="F1831" s="31" t="inlineStr">
        <is>
          <t>SB01</t>
        </is>
      </c>
      <c r="G1831" s="31" t="inlineStr">
        <is>
          <t>Gearbox</t>
        </is>
      </c>
      <c r="H1831" s="27" t="n">
        <v>175</v>
      </c>
      <c r="I1831" s="27" t="n">
        <v>190</v>
      </c>
      <c r="J1831" s="154">
        <f>I1831/H1831-1</f>
        <v/>
      </c>
      <c r="K1831" s="31" t="inlineStr">
        <is>
          <t>31</t>
        </is>
      </c>
      <c r="L1831" s="31" t="inlineStr">
        <is>
          <t>32</t>
        </is>
      </c>
      <c r="M1831" s="31" t="inlineStr">
        <is>
          <t>S2</t>
        </is>
      </c>
      <c r="N1831" s="31" t="inlineStr">
        <is>
          <t>S4</t>
        </is>
      </c>
      <c r="O1831" s="31" t="inlineStr">
        <is>
          <t>305-136-803-0</t>
        </is>
      </c>
      <c r="P1831" s="31" t="inlineStr">
        <is>
          <t>SR Technics Switzerland</t>
        </is>
      </c>
    </row>
    <row r="1832">
      <c r="B1832" s="31" t="inlineStr">
        <is>
          <t>CFM56-5B</t>
        </is>
      </c>
      <c r="C1832" s="31" t="inlineStr">
        <is>
          <t>2025-2026</t>
        </is>
      </c>
      <c r="D1832" s="31" t="inlineStr">
        <is>
          <t>2200</t>
        </is>
      </c>
      <c r="E1832" s="31" t="inlineStr">
        <is>
          <t>72-41-03</t>
        </is>
      </c>
      <c r="F1832" s="31" t="inlineStr">
        <is>
          <t>C</t>
        </is>
      </c>
      <c r="G1832" s="31" t="inlineStr">
        <is>
          <t>Combustor</t>
        </is>
      </c>
      <c r="H1832" s="27" t="n">
        <v>365</v>
      </c>
      <c r="I1832" s="27" t="n">
        <v>1235</v>
      </c>
      <c r="J1832" s="154">
        <f>I1832/H1832-1</f>
        <v/>
      </c>
      <c r="K1832" s="31" t="inlineStr">
        <is>
          <t>2</t>
        </is>
      </c>
      <c r="L1832" s="31" t="inlineStr">
        <is>
          <t>2</t>
        </is>
      </c>
      <c r="M1832" s="31" t="inlineStr">
        <is>
          <t>S2</t>
        </is>
      </c>
      <c r="N1832" s="31" t="inlineStr">
        <is>
          <t>S4</t>
        </is>
      </c>
      <c r="O1832" s="31" t="inlineStr">
        <is>
          <t>1523M40G02</t>
        </is>
      </c>
      <c r="P1832" s="31" t="inlineStr">
        <is>
          <t>SR Technics Switzerland</t>
        </is>
      </c>
    </row>
    <row r="1833">
      <c r="B1833" s="31" t="inlineStr">
        <is>
          <t>CFM56-5B</t>
        </is>
      </c>
      <c r="C1833" s="31" t="inlineStr">
        <is>
          <t>2025-2026</t>
        </is>
      </c>
      <c r="D1833" s="31" t="inlineStr">
        <is>
          <t>2200</t>
        </is>
      </c>
      <c r="E1833" s="31" t="inlineStr">
        <is>
          <t>72-41-03</t>
        </is>
      </c>
      <c r="F1833" s="31" t="inlineStr">
        <is>
          <t>SB02</t>
        </is>
      </c>
      <c r="G1833" s="31" t="inlineStr">
        <is>
          <t>Combustor</t>
        </is>
      </c>
      <c r="H1833" s="27" t="n">
        <v>510</v>
      </c>
      <c r="I1833" s="27" t="n">
        <v>545</v>
      </c>
      <c r="J1833" s="154">
        <f>I1833/H1833-1</f>
        <v/>
      </c>
      <c r="K1833" s="31" t="inlineStr">
        <is>
          <t>2</t>
        </is>
      </c>
      <c r="L1833" s="31" t="inlineStr">
        <is>
          <t>2</t>
        </is>
      </c>
      <c r="M1833" s="31" t="inlineStr">
        <is>
          <t>S2</t>
        </is>
      </c>
      <c r="N1833" s="31" t="inlineStr">
        <is>
          <t>S4</t>
        </is>
      </c>
      <c r="O1833" s="31" t="inlineStr">
        <is>
          <t>1523M40G02</t>
        </is>
      </c>
      <c r="P1833" s="31" t="inlineStr">
        <is>
          <t>SR Technics Switzerland</t>
        </is>
      </c>
    </row>
    <row r="1834">
      <c r="B1834" s="31" t="inlineStr">
        <is>
          <t>CFM56-5B</t>
        </is>
      </c>
      <c r="C1834" s="31" t="inlineStr">
        <is>
          <t>2025-2026</t>
        </is>
      </c>
      <c r="D1834" s="31" t="inlineStr">
        <is>
          <t>22647</t>
        </is>
      </c>
      <c r="E1834" s="31" t="inlineStr">
        <is>
          <t>73-21-18</t>
        </is>
      </c>
      <c r="F1834" s="31" t="inlineStr">
        <is>
          <t>B</t>
        </is>
      </c>
      <c r="G1834" s="31" t="inlineStr">
        <is>
          <t>Fuel system</t>
        </is>
      </c>
      <c r="H1834" s="27" t="n">
        <v>4265</v>
      </c>
      <c r="I1834" s="27" t="n">
        <v>4525</v>
      </c>
      <c r="J1834" s="154">
        <f>I1834/H1834-1</f>
        <v/>
      </c>
      <c r="K1834" s="31" t="inlineStr">
        <is>
          <t>6</t>
        </is>
      </c>
      <c r="L1834" s="31" t="inlineStr">
        <is>
          <t>6</t>
        </is>
      </c>
      <c r="M1834" s="31" t="inlineStr">
        <is>
          <t>S2</t>
        </is>
      </c>
      <c r="N1834" s="31" t="inlineStr">
        <is>
          <t>S4</t>
        </is>
      </c>
      <c r="O1834" s="31" t="inlineStr">
        <is>
          <t>1348M79P08</t>
        </is>
      </c>
      <c r="P1834" s="31" t="inlineStr">
        <is>
          <t>SR Technics Switzerland</t>
        </is>
      </c>
    </row>
    <row r="1835">
      <c r="B1835" s="31" t="inlineStr">
        <is>
          <t>CFM56-5B</t>
        </is>
      </c>
      <c r="C1835" s="31" t="inlineStr">
        <is>
          <t>2025-2026</t>
        </is>
      </c>
      <c r="D1835" s="31" t="inlineStr">
        <is>
          <t>22647</t>
        </is>
      </c>
      <c r="E1835" s="31" t="inlineStr">
        <is>
          <t>73-21-18</t>
        </is>
      </c>
      <c r="F1835" s="31" t="inlineStr">
        <is>
          <t>G</t>
        </is>
      </c>
      <c r="G1835" s="31" t="inlineStr">
        <is>
          <t>Fuel system</t>
        </is>
      </c>
      <c r="H1835" s="27" t="n">
        <v>17725</v>
      </c>
      <c r="I1835" s="27" t="n">
        <v>18790</v>
      </c>
      <c r="J1835" s="154">
        <f>I1835/H1835-1</f>
        <v/>
      </c>
      <c r="K1835" s="31" t="inlineStr">
        <is>
          <t>6</t>
        </is>
      </c>
      <c r="L1835" s="31" t="inlineStr">
        <is>
          <t>6</t>
        </is>
      </c>
      <c r="M1835" s="31" t="inlineStr">
        <is>
          <t>S2</t>
        </is>
      </c>
      <c r="N1835" s="31" t="inlineStr">
        <is>
          <t>S4</t>
        </is>
      </c>
      <c r="O1835" s="31" t="inlineStr">
        <is>
          <t>1348M79P08</t>
        </is>
      </c>
      <c r="P1835" s="31" t="inlineStr">
        <is>
          <t>SR Technics Switzerland</t>
        </is>
      </c>
    </row>
    <row r="1836">
      <c r="B1836" s="31" t="inlineStr">
        <is>
          <t>CFM56-5B</t>
        </is>
      </c>
      <c r="C1836" s="31" t="inlineStr">
        <is>
          <t>2025-2026</t>
        </is>
      </c>
      <c r="D1836" s="31" t="inlineStr">
        <is>
          <t>22647</t>
        </is>
      </c>
      <c r="E1836" s="31" t="inlineStr">
        <is>
          <t>73-21-18</t>
        </is>
      </c>
      <c r="F1836" s="31" t="inlineStr">
        <is>
          <t>SB03</t>
        </is>
      </c>
      <c r="G1836" s="31" t="inlineStr">
        <is>
          <t>Fuel system</t>
        </is>
      </c>
      <c r="H1836" s="27" t="n">
        <v>510</v>
      </c>
      <c r="I1836" s="27" t="n">
        <v>545</v>
      </c>
      <c r="J1836" s="154">
        <f>I1836/H1836-1</f>
        <v/>
      </c>
      <c r="K1836" s="31" t="inlineStr">
        <is>
          <t>7</t>
        </is>
      </c>
      <c r="L1836" s="31" t="inlineStr">
        <is>
          <t>7</t>
        </is>
      </c>
      <c r="M1836" s="31" t="inlineStr">
        <is>
          <t>S2</t>
        </is>
      </c>
      <c r="N1836" s="31" t="inlineStr">
        <is>
          <t>S4</t>
        </is>
      </c>
      <c r="O1836" s="31" t="inlineStr">
        <is>
          <t>1348M79P08</t>
        </is>
      </c>
      <c r="P1836" s="31" t="inlineStr">
        <is>
          <t>SR Technics Switzerland</t>
        </is>
      </c>
    </row>
    <row r="1837">
      <c r="B1837" s="31" t="inlineStr">
        <is>
          <t>CFM56-5B</t>
        </is>
      </c>
      <c r="C1837" s="31" t="inlineStr">
        <is>
          <t>2025-2026</t>
        </is>
      </c>
      <c r="D1837" s="31" t="inlineStr">
        <is>
          <t>22647</t>
        </is>
      </c>
      <c r="E1837" s="31" t="inlineStr">
        <is>
          <t>73-21-18</t>
        </is>
      </c>
      <c r="F1837" s="31" t="inlineStr">
        <is>
          <t>SB04</t>
        </is>
      </c>
      <c r="G1837" s="31" t="inlineStr">
        <is>
          <t>Fuel system</t>
        </is>
      </c>
      <c r="H1837" s="27" t="n">
        <v>1520</v>
      </c>
      <c r="I1837" s="27" t="n">
        <v>1615</v>
      </c>
      <c r="J1837" s="154">
        <f>I1837/H1837-1</f>
        <v/>
      </c>
      <c r="K1837" s="31" t="inlineStr">
        <is>
          <t>7</t>
        </is>
      </c>
      <c r="L1837" s="31" t="inlineStr">
        <is>
          <t>7</t>
        </is>
      </c>
      <c r="M1837" s="31" t="inlineStr">
        <is>
          <t>S2</t>
        </is>
      </c>
      <c r="N1837" s="31" t="inlineStr">
        <is>
          <t>S4</t>
        </is>
      </c>
      <c r="O1837" s="31" t="inlineStr">
        <is>
          <t>1348M79P08</t>
        </is>
      </c>
      <c r="P1837" s="31" t="inlineStr">
        <is>
          <t>SR Technics Switzerland</t>
        </is>
      </c>
    </row>
    <row r="1838">
      <c r="B1838" s="31" t="inlineStr">
        <is>
          <t>CFM56-5B</t>
        </is>
      </c>
      <c r="C1838" s="31" t="inlineStr">
        <is>
          <t>2025-2026</t>
        </is>
      </c>
      <c r="D1838" s="31" t="inlineStr">
        <is>
          <t>22647</t>
        </is>
      </c>
      <c r="E1838" s="31" t="inlineStr">
        <is>
          <t>73-21-18</t>
        </is>
      </c>
      <c r="F1838" s="31" t="inlineStr">
        <is>
          <t>SB05</t>
        </is>
      </c>
      <c r="G1838" s="31" t="inlineStr">
        <is>
          <t>Fuel system</t>
        </is>
      </c>
      <c r="H1838" s="27" t="n">
        <v>510</v>
      </c>
      <c r="I1838" s="27" t="n">
        <v>545</v>
      </c>
      <c r="J1838" s="154">
        <f>I1838/H1838-1</f>
        <v/>
      </c>
      <c r="K1838" s="31" t="inlineStr">
        <is>
          <t>7</t>
        </is>
      </c>
      <c r="L1838" s="31" t="inlineStr">
        <is>
          <t>7</t>
        </is>
      </c>
      <c r="M1838" s="31" t="inlineStr">
        <is>
          <t>S2</t>
        </is>
      </c>
      <c r="N1838" s="31" t="inlineStr">
        <is>
          <t>S4</t>
        </is>
      </c>
      <c r="O1838" s="31" t="inlineStr">
        <is>
          <t>1348M79P08</t>
        </is>
      </c>
      <c r="P1838" s="31" t="inlineStr">
        <is>
          <t>SR Technics Switzerland</t>
        </is>
      </c>
    </row>
    <row r="1839">
      <c r="B1839" s="31" t="inlineStr">
        <is>
          <t>CFM56-5B</t>
        </is>
      </c>
      <c r="C1839" s="31" t="inlineStr">
        <is>
          <t>2025-2026</t>
        </is>
      </c>
      <c r="D1839" s="31" t="inlineStr">
        <is>
          <t>22647</t>
        </is>
      </c>
      <c r="E1839" s="31" t="inlineStr">
        <is>
          <t>73-21-18</t>
        </is>
      </c>
      <c r="F1839" s="31" t="inlineStr">
        <is>
          <t>SB06</t>
        </is>
      </c>
      <c r="G1839" s="31" t="inlineStr">
        <is>
          <t>Fuel system</t>
        </is>
      </c>
      <c r="H1839" s="27" t="n">
        <v>510</v>
      </c>
      <c r="I1839" s="27" t="n">
        <v>545</v>
      </c>
      <c r="J1839" s="154">
        <f>I1839/H1839-1</f>
        <v/>
      </c>
      <c r="K1839" s="31" t="inlineStr">
        <is>
          <t>7</t>
        </is>
      </c>
      <c r="L1839" s="31" t="inlineStr">
        <is>
          <t>7</t>
        </is>
      </c>
      <c r="M1839" s="31" t="inlineStr">
        <is>
          <t>S2</t>
        </is>
      </c>
      <c r="N1839" s="31" t="inlineStr">
        <is>
          <t>S4</t>
        </is>
      </c>
      <c r="O1839" s="31" t="inlineStr">
        <is>
          <t>1348M79P08</t>
        </is>
      </c>
      <c r="P1839" s="31" t="inlineStr">
        <is>
          <t>SR Technics Switzerland</t>
        </is>
      </c>
    </row>
    <row r="1840">
      <c r="B1840" s="31" t="inlineStr">
        <is>
          <t>CFM56-5B</t>
        </is>
      </c>
      <c r="C1840" s="31" t="inlineStr">
        <is>
          <t>2025-2026</t>
        </is>
      </c>
      <c r="D1840" s="31" t="inlineStr">
        <is>
          <t>24630</t>
        </is>
      </c>
      <c r="E1840" s="31" t="inlineStr">
        <is>
          <t>72-53-09</t>
        </is>
      </c>
      <c r="F1840" s="31" t="inlineStr">
        <is>
          <t>B</t>
        </is>
      </c>
      <c r="G1840" s="31" t="inlineStr">
        <is>
          <t>HPT / nozzle</t>
        </is>
      </c>
      <c r="H1840" s="27" t="n">
        <v>440</v>
      </c>
      <c r="I1840" s="27" t="n">
        <v>470</v>
      </c>
      <c r="J1840" s="154">
        <f>I1840/H1840-1</f>
        <v/>
      </c>
      <c r="K1840" s="31" t="inlineStr">
        <is>
          <t>7</t>
        </is>
      </c>
      <c r="L1840" s="31" t="inlineStr">
        <is>
          <t>7</t>
        </is>
      </c>
      <c r="M1840" s="31" t="inlineStr">
        <is>
          <t>S2</t>
        </is>
      </c>
      <c r="N1840" s="31" t="inlineStr">
        <is>
          <t>S4</t>
        </is>
      </c>
      <c r="O1840" s="31" t="inlineStr">
        <is>
          <t>336-026-101-0</t>
        </is>
      </c>
      <c r="P1840" s="31" t="inlineStr">
        <is>
          <t>SR Technics Switzerland</t>
        </is>
      </c>
    </row>
    <row r="1841">
      <c r="B1841" s="31" t="inlineStr">
        <is>
          <t>CFM56-5B</t>
        </is>
      </c>
      <c r="C1841" s="31" t="inlineStr">
        <is>
          <t>2025-2026</t>
        </is>
      </c>
      <c r="D1841" s="31" t="inlineStr">
        <is>
          <t>251</t>
        </is>
      </c>
      <c r="E1841" s="31" t="inlineStr">
        <is>
          <t>72-55-04</t>
        </is>
      </c>
      <c r="F1841" s="31" t="inlineStr">
        <is>
          <t>A</t>
        </is>
      </c>
      <c r="G1841" s="31" t="inlineStr">
        <is>
          <t>LPT</t>
        </is>
      </c>
      <c r="H1841" s="27" t="n">
        <v>765</v>
      </c>
      <c r="I1841" s="27" t="n">
        <v>805</v>
      </c>
      <c r="J1841" s="154">
        <f>I1841/H1841-1</f>
        <v/>
      </c>
      <c r="K1841" s="31" t="inlineStr">
        <is>
          <t>2</t>
        </is>
      </c>
      <c r="L1841" s="31" t="inlineStr">
        <is>
          <t>2</t>
        </is>
      </c>
      <c r="M1841" s="31" t="inlineStr">
        <is>
          <t>S2</t>
        </is>
      </c>
      <c r="N1841" s="31" t="inlineStr">
        <is>
          <t>S4</t>
        </is>
      </c>
      <c r="O1841" s="31" t="inlineStr">
        <is>
          <t>336-095-401-0</t>
        </is>
      </c>
      <c r="P1841" s="31" t="inlineStr">
        <is>
          <t>SR Technics Switzerland</t>
        </is>
      </c>
    </row>
    <row r="1842">
      <c r="B1842" s="31" t="inlineStr">
        <is>
          <t>CFM56-5B</t>
        </is>
      </c>
      <c r="C1842" s="31" t="inlineStr">
        <is>
          <t>2025-2026</t>
        </is>
      </c>
      <c r="D1842" s="31" t="inlineStr">
        <is>
          <t>2591</t>
        </is>
      </c>
      <c r="E1842" s="31" t="inlineStr">
        <is>
          <t>72-33-01</t>
        </is>
      </c>
      <c r="F1842" s="31" t="inlineStr">
        <is>
          <t>A</t>
        </is>
      </c>
      <c r="G1842" s="31" t="inlineStr">
        <is>
          <t>Compressor</t>
        </is>
      </c>
      <c r="H1842" s="27" t="n">
        <v>1730</v>
      </c>
      <c r="I1842" s="27" t="n">
        <v>1820</v>
      </c>
      <c r="J1842" s="154">
        <f>I1842/H1842-1</f>
        <v/>
      </c>
      <c r="K1842" s="31" t="inlineStr">
        <is>
          <t>2</t>
        </is>
      </c>
      <c r="L1842" s="31" t="inlineStr">
        <is>
          <t>2</t>
        </is>
      </c>
      <c r="M1842" s="31" t="inlineStr">
        <is>
          <t>S2</t>
        </is>
      </c>
      <c r="N1842" s="31" t="inlineStr">
        <is>
          <t>S4</t>
        </is>
      </c>
      <c r="O1842" s="31" t="inlineStr">
        <is>
          <t>1559M40G03</t>
        </is>
      </c>
      <c r="P1842" s="31" t="inlineStr">
        <is>
          <t>SR Technics Switzerland</t>
        </is>
      </c>
    </row>
    <row r="1843">
      <c r="B1843" s="31" t="inlineStr">
        <is>
          <t>CFM56-5B</t>
        </is>
      </c>
      <c r="C1843" s="31" t="inlineStr">
        <is>
          <t>2025-2026</t>
        </is>
      </c>
      <c r="D1843" s="31" t="inlineStr">
        <is>
          <t>2591</t>
        </is>
      </c>
      <c r="E1843" s="31" t="inlineStr">
        <is>
          <t>72-33-01</t>
        </is>
      </c>
      <c r="F1843" s="31" t="inlineStr">
        <is>
          <t>B</t>
        </is>
      </c>
      <c r="G1843" s="31" t="inlineStr">
        <is>
          <t>Compressor</t>
        </is>
      </c>
      <c r="H1843" s="27" t="n">
        <v>1350</v>
      </c>
      <c r="I1843" s="27" t="n">
        <v>1435</v>
      </c>
      <c r="J1843" s="154">
        <f>I1843/H1843-1</f>
        <v/>
      </c>
      <c r="K1843" s="31" t="inlineStr">
        <is>
          <t>2</t>
        </is>
      </c>
      <c r="L1843" s="31" t="inlineStr">
        <is>
          <t>2</t>
        </is>
      </c>
      <c r="M1843" s="31" t="inlineStr">
        <is>
          <t>S2</t>
        </is>
      </c>
      <c r="N1843" s="31" t="inlineStr">
        <is>
          <t>S4</t>
        </is>
      </c>
      <c r="O1843" s="31" t="inlineStr">
        <is>
          <t>1559M40G03</t>
        </is>
      </c>
      <c r="P1843" s="31" t="inlineStr">
        <is>
          <t>SR Technics Switzerland</t>
        </is>
      </c>
    </row>
    <row r="1844">
      <c r="B1844" s="31" t="inlineStr">
        <is>
          <t>CFM56-5B</t>
        </is>
      </c>
      <c r="C1844" s="31" t="inlineStr">
        <is>
          <t>2025-2026</t>
        </is>
      </c>
      <c r="D1844" s="31" t="inlineStr">
        <is>
          <t>2591</t>
        </is>
      </c>
      <c r="E1844" s="31" t="inlineStr">
        <is>
          <t>72-33-01</t>
        </is>
      </c>
      <c r="F1844" s="31" t="inlineStr">
        <is>
          <t>C</t>
        </is>
      </c>
      <c r="G1844" s="31" t="inlineStr">
        <is>
          <t>Compressor</t>
        </is>
      </c>
      <c r="H1844" s="27" t="n">
        <v>890</v>
      </c>
      <c r="I1844" s="27" t="n">
        <v>945</v>
      </c>
      <c r="J1844" s="154">
        <f>I1844/H1844-1</f>
        <v/>
      </c>
      <c r="K1844" s="31" t="inlineStr">
        <is>
          <t>2</t>
        </is>
      </c>
      <c r="L1844" s="31" t="inlineStr">
        <is>
          <t>2</t>
        </is>
      </c>
      <c r="M1844" s="31" t="inlineStr">
        <is>
          <t>S2</t>
        </is>
      </c>
      <c r="N1844" s="31" t="inlineStr">
        <is>
          <t>S4</t>
        </is>
      </c>
      <c r="O1844" s="31" t="inlineStr">
        <is>
          <t>1559M40G03</t>
        </is>
      </c>
      <c r="P1844" s="31" t="inlineStr">
        <is>
          <t>SR Technics Switzerland</t>
        </is>
      </c>
    </row>
    <row r="1845">
      <c r="B1845" s="31" t="inlineStr">
        <is>
          <t>CFM56-5B</t>
        </is>
      </c>
      <c r="C1845" s="31" t="inlineStr">
        <is>
          <t>2025-2026</t>
        </is>
      </c>
      <c r="D1845" s="31" t="inlineStr">
        <is>
          <t>2591</t>
        </is>
      </c>
      <c r="E1845" s="31" t="inlineStr">
        <is>
          <t>72-33-01</t>
        </is>
      </c>
      <c r="F1845" s="31" t="inlineStr">
        <is>
          <t>F</t>
        </is>
      </c>
      <c r="G1845" s="31" t="inlineStr">
        <is>
          <t>Compressor</t>
        </is>
      </c>
      <c r="H1845" s="27" t="n">
        <v>7190</v>
      </c>
      <c r="I1845" s="27" t="n">
        <v>7625</v>
      </c>
      <c r="J1845" s="154">
        <f>I1845/H1845-1</f>
        <v/>
      </c>
      <c r="K1845" s="31" t="inlineStr">
        <is>
          <t>2</t>
        </is>
      </c>
      <c r="L1845" s="31" t="inlineStr">
        <is>
          <t>2</t>
        </is>
      </c>
      <c r="M1845" s="31" t="inlineStr">
        <is>
          <t>S2</t>
        </is>
      </c>
      <c r="N1845" s="31" t="inlineStr">
        <is>
          <t>S4</t>
        </is>
      </c>
      <c r="O1845" s="31" t="inlineStr">
        <is>
          <t>1559M40G03</t>
        </is>
      </c>
      <c r="P1845" s="31" t="inlineStr">
        <is>
          <t>SR Technics Switzerland</t>
        </is>
      </c>
    </row>
    <row r="1846">
      <c r="B1846" s="31" t="inlineStr">
        <is>
          <t>CFM56-5B</t>
        </is>
      </c>
      <c r="C1846" s="31" t="inlineStr">
        <is>
          <t>2025-2026</t>
        </is>
      </c>
      <c r="D1846" s="31" t="inlineStr">
        <is>
          <t>2591</t>
        </is>
      </c>
      <c r="E1846" s="31" t="inlineStr">
        <is>
          <t>72-33-01</t>
        </is>
      </c>
      <c r="F1846" s="31" t="inlineStr">
        <is>
          <t>G</t>
        </is>
      </c>
      <c r="G1846" s="31" t="inlineStr">
        <is>
          <t>Compressor</t>
        </is>
      </c>
      <c r="H1846" s="27" t="n">
        <v>6250</v>
      </c>
      <c r="I1846" s="27" t="n">
        <v>6625</v>
      </c>
      <c r="J1846" s="154">
        <f>I1846/H1846-1</f>
        <v/>
      </c>
      <c r="K1846" s="31" t="inlineStr">
        <is>
          <t>2</t>
        </is>
      </c>
      <c r="L1846" s="31" t="inlineStr">
        <is>
          <t>2</t>
        </is>
      </c>
      <c r="M1846" s="31" t="inlineStr">
        <is>
          <t>S2</t>
        </is>
      </c>
      <c r="N1846" s="31" t="inlineStr">
        <is>
          <t>S4</t>
        </is>
      </c>
      <c r="O1846" s="31" t="inlineStr">
        <is>
          <t>1559M40G03</t>
        </is>
      </c>
      <c r="P1846" s="31" t="inlineStr">
        <is>
          <t>SR Technics Switzerland</t>
        </is>
      </c>
    </row>
    <row r="1847">
      <c r="B1847" s="31" t="inlineStr">
        <is>
          <t>CFM56-5B</t>
        </is>
      </c>
      <c r="C1847" s="31" t="inlineStr">
        <is>
          <t>2025-2026</t>
        </is>
      </c>
      <c r="D1847" s="31" t="inlineStr">
        <is>
          <t>2716</t>
        </is>
      </c>
      <c r="E1847" s="31" t="inlineStr">
        <is>
          <t>26-10-00</t>
        </is>
      </c>
      <c r="F1847" s="31" t="inlineStr">
        <is>
          <t>B</t>
        </is>
      </c>
      <c r="G1847" s="31" t="inlineStr">
        <is>
          <t>Other / assembly</t>
        </is>
      </c>
      <c r="H1847" s="27" t="n">
        <v>1245</v>
      </c>
      <c r="I1847" s="27" t="n">
        <v>1320</v>
      </c>
      <c r="J1847" s="154">
        <f>I1847/H1847-1</f>
        <v/>
      </c>
      <c r="K1847" s="31" t="inlineStr">
        <is>
          <t>31</t>
        </is>
      </c>
      <c r="L1847" s="31" t="inlineStr">
        <is>
          <t>32</t>
        </is>
      </c>
      <c r="M1847" s="31" t="inlineStr">
        <is>
          <t>S2</t>
        </is>
      </c>
      <c r="N1847" s="31" t="inlineStr">
        <is>
          <t>S4</t>
        </is>
      </c>
      <c r="O1847" s="31" t="inlineStr">
        <is>
          <t>238-0851-509</t>
        </is>
      </c>
      <c r="P1847" s="31" t="inlineStr">
        <is>
          <t>SR Technics Switzerland</t>
        </is>
      </c>
    </row>
    <row r="1848">
      <c r="B1848" s="31" t="inlineStr">
        <is>
          <t>CFM56-5B</t>
        </is>
      </c>
      <c r="C1848" s="31" t="inlineStr">
        <is>
          <t>2025-2026</t>
        </is>
      </c>
      <c r="D1848" s="31" t="inlineStr">
        <is>
          <t>2741</t>
        </is>
      </c>
      <c r="E1848" s="31" t="inlineStr">
        <is>
          <t>72-21-03</t>
        </is>
      </c>
      <c r="F1848" s="31" t="inlineStr">
        <is>
          <t>A</t>
        </is>
      </c>
      <c r="G1848" s="31" t="inlineStr">
        <is>
          <t>Fan / booster</t>
        </is>
      </c>
      <c r="H1848" s="27" t="n">
        <v>5850</v>
      </c>
      <c r="I1848" s="27" t="n">
        <v>6930</v>
      </c>
      <c r="J1848" s="154">
        <f>I1848/H1848-1</f>
        <v/>
      </c>
      <c r="K1848" s="31" t="inlineStr">
        <is>
          <t>2</t>
        </is>
      </c>
      <c r="L1848" s="31" t="inlineStr">
        <is>
          <t>2</t>
        </is>
      </c>
      <c r="M1848" s="31" t="inlineStr">
        <is>
          <t>S2</t>
        </is>
      </c>
      <c r="N1848" s="31" t="inlineStr">
        <is>
          <t>S4</t>
        </is>
      </c>
      <c r="O1848" s="31" t="inlineStr">
        <is>
          <t>338-001-503-0</t>
        </is>
      </c>
      <c r="P1848" s="31" t="inlineStr">
        <is>
          <t>SR Technics Switzerland</t>
        </is>
      </c>
    </row>
    <row r="1849">
      <c r="B1849" s="31" t="inlineStr">
        <is>
          <t>CFM56-5B</t>
        </is>
      </c>
      <c r="C1849" s="31" t="inlineStr">
        <is>
          <t>2025-2026</t>
        </is>
      </c>
      <c r="D1849" s="31" t="inlineStr">
        <is>
          <t>2741</t>
        </is>
      </c>
      <c r="E1849" s="31" t="inlineStr">
        <is>
          <t>72-21-03</t>
        </is>
      </c>
      <c r="F1849" s="31" t="inlineStr">
        <is>
          <t>B</t>
        </is>
      </c>
      <c r="G1849" s="31" t="inlineStr">
        <is>
          <t>Fan / booster</t>
        </is>
      </c>
      <c r="H1849" s="27" t="n">
        <v>745</v>
      </c>
      <c r="I1849" s="27" t="n">
        <v>790</v>
      </c>
      <c r="J1849" s="154">
        <f>I1849/H1849-1</f>
        <v/>
      </c>
      <c r="K1849" s="31" t="inlineStr">
        <is>
          <t>2</t>
        </is>
      </c>
      <c r="L1849" s="31" t="inlineStr">
        <is>
          <t>2</t>
        </is>
      </c>
      <c r="M1849" s="31" t="inlineStr">
        <is>
          <t>S2</t>
        </is>
      </c>
      <c r="N1849" s="31" t="inlineStr">
        <is>
          <t>S4</t>
        </is>
      </c>
      <c r="O1849" s="31" t="inlineStr">
        <is>
          <t>338-001-503-0</t>
        </is>
      </c>
      <c r="P1849" s="31" t="inlineStr">
        <is>
          <t>SR Technics Switzerland</t>
        </is>
      </c>
    </row>
    <row r="1850">
      <c r="B1850" s="31" t="inlineStr">
        <is>
          <t>CFM56-5B</t>
        </is>
      </c>
      <c r="C1850" s="31" t="inlineStr">
        <is>
          <t>2025-2026</t>
        </is>
      </c>
      <c r="D1850" s="31" t="inlineStr">
        <is>
          <t>2741</t>
        </is>
      </c>
      <c r="E1850" s="31" t="inlineStr">
        <is>
          <t>72-21-03</t>
        </is>
      </c>
      <c r="F1850" s="31" t="inlineStr">
        <is>
          <t>C</t>
        </is>
      </c>
      <c r="G1850" s="31" t="inlineStr">
        <is>
          <t>Fan / booster</t>
        </is>
      </c>
      <c r="H1850" s="27" t="n">
        <v>1890</v>
      </c>
      <c r="I1850" s="27" t="n">
        <v>2005</v>
      </c>
      <c r="J1850" s="154">
        <f>I1850/H1850-1</f>
        <v/>
      </c>
      <c r="K1850" s="31" t="inlineStr">
        <is>
          <t>2</t>
        </is>
      </c>
      <c r="L1850" s="31" t="inlineStr">
        <is>
          <t>2</t>
        </is>
      </c>
      <c r="M1850" s="31" t="inlineStr">
        <is>
          <t>S2</t>
        </is>
      </c>
      <c r="N1850" s="31" t="inlineStr">
        <is>
          <t>S4</t>
        </is>
      </c>
      <c r="O1850" s="31" t="inlineStr">
        <is>
          <t>338-001-503-0</t>
        </is>
      </c>
      <c r="P1850" s="31" t="inlineStr">
        <is>
          <t>SR Technics Switzerland</t>
        </is>
      </c>
    </row>
    <row r="1851">
      <c r="B1851" s="31" t="inlineStr">
        <is>
          <t>CFM56-5B</t>
        </is>
      </c>
      <c r="C1851" s="31" t="inlineStr">
        <is>
          <t>2025-2026</t>
        </is>
      </c>
      <c r="D1851" s="31" t="inlineStr">
        <is>
          <t>2741</t>
        </is>
      </c>
      <c r="E1851" s="31" t="inlineStr">
        <is>
          <t>72-21-03</t>
        </is>
      </c>
      <c r="F1851" s="31" t="inlineStr">
        <is>
          <t>G</t>
        </is>
      </c>
      <c r="G1851" s="31" t="inlineStr">
        <is>
          <t>Fan / booster</t>
        </is>
      </c>
      <c r="H1851" s="27" t="n">
        <v>1485</v>
      </c>
      <c r="I1851" s="27" t="n">
        <v>1575</v>
      </c>
      <c r="J1851" s="154">
        <f>I1851/H1851-1</f>
        <v/>
      </c>
      <c r="K1851" s="31" t="inlineStr">
        <is>
          <t>2</t>
        </is>
      </c>
      <c r="L1851" s="31" t="inlineStr">
        <is>
          <t>2</t>
        </is>
      </c>
      <c r="M1851" s="31" t="inlineStr">
        <is>
          <t>S2</t>
        </is>
      </c>
      <c r="N1851" s="31" t="inlineStr">
        <is>
          <t>S4</t>
        </is>
      </c>
      <c r="O1851" s="31" t="inlineStr">
        <is>
          <t>338-001-503-0</t>
        </is>
      </c>
      <c r="P1851" s="31" t="inlineStr">
        <is>
          <t>SR Technics Switzerland</t>
        </is>
      </c>
    </row>
    <row r="1852">
      <c r="B1852" s="31" t="inlineStr">
        <is>
          <t>CFM56-5B</t>
        </is>
      </c>
      <c r="C1852" s="31" t="inlineStr">
        <is>
          <t>2025-2026</t>
        </is>
      </c>
      <c r="D1852" s="31" t="inlineStr">
        <is>
          <t>2741</t>
        </is>
      </c>
      <c r="E1852" s="31" t="inlineStr">
        <is>
          <t>72-21-03</t>
        </is>
      </c>
      <c r="F1852" s="31" t="inlineStr">
        <is>
          <t>M</t>
        </is>
      </c>
      <c r="G1852" s="31" t="inlineStr">
        <is>
          <t>Fan / booster</t>
        </is>
      </c>
      <c r="H1852" s="27" t="n">
        <v>2440</v>
      </c>
      <c r="I1852" s="27" t="n">
        <v>2590</v>
      </c>
      <c r="J1852" s="154">
        <f>I1852/H1852-1</f>
        <v/>
      </c>
      <c r="K1852" s="31" t="inlineStr">
        <is>
          <t>2</t>
        </is>
      </c>
      <c r="L1852" s="31" t="inlineStr">
        <is>
          <t>2</t>
        </is>
      </c>
      <c r="M1852" s="31" t="inlineStr">
        <is>
          <t>S2</t>
        </is>
      </c>
      <c r="N1852" s="31" t="inlineStr">
        <is>
          <t>S4</t>
        </is>
      </c>
      <c r="O1852" s="31" t="inlineStr">
        <is>
          <t>338-001-503-0</t>
        </is>
      </c>
      <c r="P1852" s="31" t="inlineStr">
        <is>
          <t>SR Technics Switzerland</t>
        </is>
      </c>
    </row>
    <row r="1853">
      <c r="B1853" s="31" t="inlineStr">
        <is>
          <t>CFM56-5B</t>
        </is>
      </c>
      <c r="C1853" s="31" t="inlineStr">
        <is>
          <t>2025-2026</t>
        </is>
      </c>
      <c r="D1853" s="31" t="inlineStr">
        <is>
          <t>2741</t>
        </is>
      </c>
      <c r="E1853" s="31" t="inlineStr">
        <is>
          <t>72-21-03</t>
        </is>
      </c>
      <c r="F1853" s="31" t="inlineStr">
        <is>
          <t>Q</t>
        </is>
      </c>
      <c r="G1853" s="31" t="inlineStr">
        <is>
          <t>Fan / booster</t>
        </is>
      </c>
      <c r="H1853" s="27" t="n">
        <v>1170</v>
      </c>
      <c r="I1853" s="27" t="n">
        <v>1245</v>
      </c>
      <c r="J1853" s="154">
        <f>I1853/H1853-1</f>
        <v/>
      </c>
      <c r="K1853" s="31" t="inlineStr">
        <is>
          <t>2</t>
        </is>
      </c>
      <c r="L1853" s="31" t="inlineStr">
        <is>
          <t>2</t>
        </is>
      </c>
      <c r="M1853" s="31" t="inlineStr">
        <is>
          <t>S2</t>
        </is>
      </c>
      <c r="N1853" s="31" t="inlineStr">
        <is>
          <t>S4</t>
        </is>
      </c>
      <c r="O1853" s="31" t="inlineStr">
        <is>
          <t>338-001-503-0</t>
        </is>
      </c>
      <c r="P1853" s="31" t="inlineStr">
        <is>
          <t>SR Technics Switzerland</t>
        </is>
      </c>
    </row>
    <row r="1854">
      <c r="B1854" s="31" t="inlineStr">
        <is>
          <t>CFM56-5B</t>
        </is>
      </c>
      <c r="C1854" s="31" t="inlineStr">
        <is>
          <t>2025-2026</t>
        </is>
      </c>
      <c r="D1854" s="31" t="inlineStr">
        <is>
          <t>2882</t>
        </is>
      </c>
      <c r="E1854" s="31" t="inlineStr">
        <is>
          <t>72-52-03</t>
        </is>
      </c>
      <c r="F1854" s="31" t="inlineStr">
        <is>
          <t>B</t>
        </is>
      </c>
      <c r="G1854" s="31" t="inlineStr">
        <is>
          <t>HPT / nozzle</t>
        </is>
      </c>
      <c r="H1854" s="27" t="n">
        <v>205</v>
      </c>
      <c r="I1854" s="27" t="n">
        <v>600</v>
      </c>
      <c r="J1854" s="154">
        <f>I1854/H1854-1</f>
        <v/>
      </c>
      <c r="K1854" s="31" t="inlineStr">
        <is>
          <t>2</t>
        </is>
      </c>
      <c r="L1854" s="31" t="inlineStr">
        <is>
          <t>2</t>
        </is>
      </c>
      <c r="M1854" s="31" t="inlineStr">
        <is>
          <t>S2</t>
        </is>
      </c>
      <c r="N1854" s="31" t="inlineStr">
        <is>
          <t>S4</t>
        </is>
      </c>
      <c r="O1854" s="31" t="inlineStr">
        <is>
          <t>1795M36P01</t>
        </is>
      </c>
      <c r="P1854" s="31" t="inlineStr">
        <is>
          <t>SR Technics Switzerland</t>
        </is>
      </c>
    </row>
    <row r="1855">
      <c r="B1855" s="31" t="inlineStr">
        <is>
          <t>CFM56-5B</t>
        </is>
      </c>
      <c r="C1855" s="31" t="inlineStr">
        <is>
          <t>2025-2026</t>
        </is>
      </c>
      <c r="D1855" s="31" t="inlineStr">
        <is>
          <t>2882</t>
        </is>
      </c>
      <c r="E1855" s="31" t="inlineStr">
        <is>
          <t>72-52-03</t>
        </is>
      </c>
      <c r="F1855" s="31" t="inlineStr">
        <is>
          <t>C</t>
        </is>
      </c>
      <c r="G1855" s="31" t="inlineStr">
        <is>
          <t>HPT / nozzle</t>
        </is>
      </c>
      <c r="H1855" s="27" t="n">
        <v>1405</v>
      </c>
      <c r="I1855" s="27" t="n">
        <v>2800</v>
      </c>
      <c r="J1855" s="154">
        <f>I1855/H1855-1</f>
        <v/>
      </c>
      <c r="K1855" s="31" t="inlineStr">
        <is>
          <t>2</t>
        </is>
      </c>
      <c r="L1855" s="31" t="inlineStr">
        <is>
          <t>2</t>
        </is>
      </c>
      <c r="M1855" s="31" t="inlineStr">
        <is>
          <t>S2</t>
        </is>
      </c>
      <c r="N1855" s="31" t="inlineStr">
        <is>
          <t>S4</t>
        </is>
      </c>
      <c r="O1855" s="31" t="inlineStr">
        <is>
          <t>1795M36P01</t>
        </is>
      </c>
      <c r="P1855" s="31" t="inlineStr">
        <is>
          <t>SR Technics Switzerland</t>
        </is>
      </c>
    </row>
    <row r="1856">
      <c r="B1856" s="31" t="inlineStr">
        <is>
          <t>CFM56-5B</t>
        </is>
      </c>
      <c r="C1856" s="31" t="inlineStr">
        <is>
          <t>2025-2026</t>
        </is>
      </c>
      <c r="D1856" s="31" t="inlineStr">
        <is>
          <t>2882</t>
        </is>
      </c>
      <c r="E1856" s="31" t="inlineStr">
        <is>
          <t>72-52-03</t>
        </is>
      </c>
      <c r="F1856" s="31" t="inlineStr">
        <is>
          <t>E</t>
        </is>
      </c>
      <c r="G1856" s="31" t="inlineStr">
        <is>
          <t>HPT / nozzle</t>
        </is>
      </c>
      <c r="H1856" s="27" t="n">
        <v>4705</v>
      </c>
      <c r="I1856" s="27" t="n">
        <v>4705</v>
      </c>
      <c r="J1856" s="154">
        <f>I1856/H1856-1</f>
        <v/>
      </c>
      <c r="K1856" s="31" t="inlineStr">
        <is>
          <t>2</t>
        </is>
      </c>
      <c r="L1856" s="31" t="inlineStr">
        <is>
          <t>2</t>
        </is>
      </c>
      <c r="M1856" s="31" t="inlineStr">
        <is>
          <t>S2</t>
        </is>
      </c>
      <c r="N1856" s="31" t="inlineStr">
        <is>
          <t>S4</t>
        </is>
      </c>
      <c r="O1856" s="31" t="inlineStr">
        <is>
          <t>1795M36P01</t>
        </is>
      </c>
      <c r="P1856" s="31" t="inlineStr">
        <is>
          <t>SR Technics Switzerland</t>
        </is>
      </c>
    </row>
    <row r="1857">
      <c r="B1857" s="31" t="inlineStr">
        <is>
          <t>CFM56-5B</t>
        </is>
      </c>
      <c r="C1857" s="31" t="inlineStr">
        <is>
          <t>2025-2026</t>
        </is>
      </c>
      <c r="D1857" s="31" t="inlineStr">
        <is>
          <t>2882</t>
        </is>
      </c>
      <c r="E1857" s="31" t="inlineStr">
        <is>
          <t>72-52-03</t>
        </is>
      </c>
      <c r="F1857" s="31" t="inlineStr">
        <is>
          <t>G</t>
        </is>
      </c>
      <c r="G1857" s="31" t="inlineStr">
        <is>
          <t>HPT / nozzle</t>
        </is>
      </c>
      <c r="H1857" s="27" t="n">
        <v>4980</v>
      </c>
      <c r="I1857" s="27" t="n">
        <v>4980</v>
      </c>
      <c r="J1857" s="154">
        <f>I1857/H1857-1</f>
        <v/>
      </c>
      <c r="K1857" s="31" t="inlineStr">
        <is>
          <t>2</t>
        </is>
      </c>
      <c r="L1857" s="31" t="inlineStr">
        <is>
          <t>2</t>
        </is>
      </c>
      <c r="M1857" s="31" t="inlineStr">
        <is>
          <t>S2</t>
        </is>
      </c>
      <c r="N1857" s="31" t="inlineStr">
        <is>
          <t>S4</t>
        </is>
      </c>
      <c r="O1857" s="31" t="inlineStr">
        <is>
          <t>1795M36P01</t>
        </is>
      </c>
      <c r="P1857" s="31" t="inlineStr">
        <is>
          <t>SR Technics Switzerland</t>
        </is>
      </c>
    </row>
    <row r="1858">
      <c r="B1858" s="31" t="inlineStr">
        <is>
          <t>CFM56-5B</t>
        </is>
      </c>
      <c r="C1858" s="31" t="inlineStr">
        <is>
          <t>2025-2026</t>
        </is>
      </c>
      <c r="D1858" s="31" t="inlineStr">
        <is>
          <t>2882</t>
        </is>
      </c>
      <c r="E1858" s="31" t="inlineStr">
        <is>
          <t>72-52-03</t>
        </is>
      </c>
      <c r="F1858" s="31" t="inlineStr">
        <is>
          <t>SB02</t>
        </is>
      </c>
      <c r="G1858" s="31" t="inlineStr">
        <is>
          <t>HPT / nozzle</t>
        </is>
      </c>
      <c r="H1858" s="27" t="n">
        <v>405</v>
      </c>
      <c r="I1858" s="27" t="n">
        <v>430</v>
      </c>
      <c r="J1858" s="154">
        <f>I1858/H1858-1</f>
        <v/>
      </c>
      <c r="K1858" s="31" t="inlineStr">
        <is>
          <t>2</t>
        </is>
      </c>
      <c r="L1858" s="31" t="inlineStr">
        <is>
          <t>2</t>
        </is>
      </c>
      <c r="M1858" s="31" t="inlineStr">
        <is>
          <t>S2</t>
        </is>
      </c>
      <c r="N1858" s="31" t="inlineStr">
        <is>
          <t>S4</t>
        </is>
      </c>
      <c r="O1858" s="31" t="inlineStr">
        <is>
          <t>1795M36P01</t>
        </is>
      </c>
      <c r="P1858" s="31" t="inlineStr">
        <is>
          <t>SR Technics Switzerland</t>
        </is>
      </c>
    </row>
    <row r="1859">
      <c r="B1859" s="31" t="inlineStr">
        <is>
          <t>CFM56-5B</t>
        </is>
      </c>
      <c r="C1859" s="31" t="inlineStr">
        <is>
          <t>2025-2026</t>
        </is>
      </c>
      <c r="D1859" s="31" t="inlineStr">
        <is>
          <t>2882</t>
        </is>
      </c>
      <c r="E1859" s="31" t="inlineStr">
        <is>
          <t>72-52-03</t>
        </is>
      </c>
      <c r="F1859" s="31" t="inlineStr">
        <is>
          <t>SB06</t>
        </is>
      </c>
      <c r="G1859" s="31" t="inlineStr">
        <is>
          <t>HPT / nozzle</t>
        </is>
      </c>
      <c r="H1859" s="27" t="n">
        <v>510</v>
      </c>
      <c r="I1859" s="27" t="n">
        <v>545</v>
      </c>
      <c r="J1859" s="154">
        <f>I1859/H1859-1</f>
        <v/>
      </c>
      <c r="K1859" s="31" t="inlineStr">
        <is>
          <t>2</t>
        </is>
      </c>
      <c r="L1859" s="31" t="inlineStr">
        <is>
          <t>3</t>
        </is>
      </c>
      <c r="M1859" s="31" t="inlineStr">
        <is>
          <t>S2</t>
        </is>
      </c>
      <c r="N1859" s="31" t="inlineStr">
        <is>
          <t>S4</t>
        </is>
      </c>
      <c r="O1859" s="31" t="inlineStr">
        <is>
          <t>1795M36P01</t>
        </is>
      </c>
      <c r="P1859" s="31" t="inlineStr">
        <is>
          <t>SR Technics Switzerland</t>
        </is>
      </c>
    </row>
    <row r="1860">
      <c r="B1860" s="31" t="inlineStr">
        <is>
          <t>CFM56-5B</t>
        </is>
      </c>
      <c r="C1860" s="31" t="inlineStr">
        <is>
          <t>2025-2026</t>
        </is>
      </c>
      <c r="D1860" s="31" t="inlineStr">
        <is>
          <t>3016</t>
        </is>
      </c>
      <c r="E1860" s="31" t="inlineStr">
        <is>
          <t>72-33-00</t>
        </is>
      </c>
      <c r="F1860" s="31" t="inlineStr">
        <is>
          <t>B</t>
        </is>
      </c>
      <c r="G1860" s="31" t="inlineStr">
        <is>
          <t>Compressor</t>
        </is>
      </c>
      <c r="H1860" s="27" t="n">
        <v>1890</v>
      </c>
      <c r="I1860" s="27" t="n">
        <v>2005</v>
      </c>
      <c r="J1860" s="154">
        <f>I1860/H1860-1</f>
        <v/>
      </c>
      <c r="K1860" s="31" t="inlineStr">
        <is>
          <t>31</t>
        </is>
      </c>
      <c r="L1860" s="31" t="inlineStr">
        <is>
          <t>32</t>
        </is>
      </c>
      <c r="M1860" s="31" t="inlineStr">
        <is>
          <t>S2</t>
        </is>
      </c>
      <c r="N1860" s="31" t="inlineStr">
        <is>
          <t>S4</t>
        </is>
      </c>
      <c r="O1860" s="31" t="inlineStr">
        <is>
          <t>9324M67G01</t>
        </is>
      </c>
      <c r="P1860" s="31" t="inlineStr">
        <is>
          <t>SR Technics Switzerland</t>
        </is>
      </c>
    </row>
    <row r="1861">
      <c r="B1861" s="31" t="inlineStr">
        <is>
          <t>CFM56-5B</t>
        </is>
      </c>
      <c r="C1861" s="31" t="inlineStr">
        <is>
          <t>2025-2026</t>
        </is>
      </c>
      <c r="D1861" s="31" t="inlineStr">
        <is>
          <t>3043</t>
        </is>
      </c>
      <c r="E1861" s="31" t="inlineStr">
        <is>
          <t>73-11-14</t>
        </is>
      </c>
      <c r="F1861" s="31" t="inlineStr">
        <is>
          <t>A</t>
        </is>
      </c>
      <c r="G1861" s="31" t="inlineStr">
        <is>
          <t>Fuel system</t>
        </is>
      </c>
      <c r="H1861" s="27" t="n">
        <v>240</v>
      </c>
      <c r="I1861" s="27" t="n">
        <v>255</v>
      </c>
      <c r="J1861" s="154">
        <f>I1861/H1861-1</f>
        <v/>
      </c>
      <c r="K1861" s="31" t="inlineStr">
        <is>
          <t>2</t>
        </is>
      </c>
      <c r="L1861" s="31" t="inlineStr">
        <is>
          <t>3</t>
        </is>
      </c>
      <c r="M1861" s="31" t="inlineStr">
        <is>
          <t>S2</t>
        </is>
      </c>
      <c r="N1861" s="31" t="inlineStr">
        <is>
          <t>S4</t>
        </is>
      </c>
      <c r="O1861" s="31" t="inlineStr">
        <is>
          <t>218920-1</t>
        </is>
      </c>
      <c r="P1861" s="31" t="inlineStr">
        <is>
          <t>SR Technics Switzerland</t>
        </is>
      </c>
    </row>
    <row r="1862">
      <c r="B1862" s="31" t="inlineStr">
        <is>
          <t>CFM56-5B</t>
        </is>
      </c>
      <c r="C1862" s="31" t="inlineStr">
        <is>
          <t>2025-2026</t>
        </is>
      </c>
      <c r="D1862" s="31" t="inlineStr">
        <is>
          <t>3043</t>
        </is>
      </c>
      <c r="E1862" s="31" t="inlineStr">
        <is>
          <t>73-11-14</t>
        </is>
      </c>
      <c r="F1862" s="31" t="inlineStr">
        <is>
          <t>M</t>
        </is>
      </c>
      <c r="G1862" s="31" t="inlineStr">
        <is>
          <t>Fuel system</t>
        </is>
      </c>
      <c r="H1862" s="27" t="n">
        <v>1250</v>
      </c>
      <c r="I1862" s="27" t="n">
        <v>1325</v>
      </c>
      <c r="J1862" s="154">
        <f>I1862/H1862-1</f>
        <v/>
      </c>
      <c r="K1862" s="31" t="inlineStr">
        <is>
          <t>2</t>
        </is>
      </c>
      <c r="L1862" s="31" t="inlineStr">
        <is>
          <t>3</t>
        </is>
      </c>
      <c r="M1862" s="31" t="inlineStr">
        <is>
          <t>S2</t>
        </is>
      </c>
      <c r="N1862" s="31" t="inlineStr">
        <is>
          <t>S4</t>
        </is>
      </c>
      <c r="O1862" s="31" t="inlineStr">
        <is>
          <t>218920-1</t>
        </is>
      </c>
      <c r="P1862" s="31" t="inlineStr">
        <is>
          <t>SR Technics Switzerland</t>
        </is>
      </c>
    </row>
    <row r="1863">
      <c r="B1863" s="31" t="inlineStr">
        <is>
          <t>CFM56-5B</t>
        </is>
      </c>
      <c r="C1863" s="31" t="inlineStr">
        <is>
          <t>2025-2026</t>
        </is>
      </c>
      <c r="D1863" s="31" t="inlineStr">
        <is>
          <t>3043</t>
        </is>
      </c>
      <c r="E1863" s="31" t="inlineStr">
        <is>
          <t>73-11-14</t>
        </is>
      </c>
      <c r="F1863" s="31" t="inlineStr">
        <is>
          <t>N</t>
        </is>
      </c>
      <c r="G1863" s="31" t="inlineStr">
        <is>
          <t>Fuel system</t>
        </is>
      </c>
      <c r="H1863" s="27" t="n">
        <v>1115</v>
      </c>
      <c r="I1863" s="27" t="n">
        <v>1185</v>
      </c>
      <c r="J1863" s="154">
        <f>I1863/H1863-1</f>
        <v/>
      </c>
      <c r="K1863" s="31" t="inlineStr">
        <is>
          <t>3</t>
        </is>
      </c>
      <c r="L1863" s="31" t="inlineStr">
        <is>
          <t>3</t>
        </is>
      </c>
      <c r="M1863" s="31" t="inlineStr">
        <is>
          <t>S2</t>
        </is>
      </c>
      <c r="N1863" s="31" t="inlineStr">
        <is>
          <t>S4</t>
        </is>
      </c>
      <c r="O1863" s="31" t="inlineStr">
        <is>
          <t>218920-1</t>
        </is>
      </c>
      <c r="P1863" s="31" t="inlineStr">
        <is>
          <t>SR Technics Switzerland</t>
        </is>
      </c>
    </row>
    <row r="1864">
      <c r="B1864" s="31" t="inlineStr">
        <is>
          <t>CFM56-5B</t>
        </is>
      </c>
      <c r="C1864" s="31" t="inlineStr">
        <is>
          <t>2025-2026</t>
        </is>
      </c>
      <c r="D1864" s="31" t="inlineStr">
        <is>
          <t>3043</t>
        </is>
      </c>
      <c r="E1864" s="31" t="inlineStr">
        <is>
          <t>73-11-14</t>
        </is>
      </c>
      <c r="F1864" s="31" t="inlineStr">
        <is>
          <t>SB00</t>
        </is>
      </c>
      <c r="G1864" s="31" t="inlineStr">
        <is>
          <t>Fuel system</t>
        </is>
      </c>
      <c r="H1864" s="27" t="n">
        <v>700</v>
      </c>
      <c r="I1864" s="27" t="n">
        <v>745</v>
      </c>
      <c r="J1864" s="154">
        <f>I1864/H1864-1</f>
        <v/>
      </c>
      <c r="K1864" s="31" t="inlineStr">
        <is>
          <t>3</t>
        </is>
      </c>
      <c r="L1864" s="31" t="inlineStr">
        <is>
          <t>3</t>
        </is>
      </c>
      <c r="M1864" s="31" t="inlineStr">
        <is>
          <t>S2</t>
        </is>
      </c>
      <c r="N1864" s="31" t="inlineStr">
        <is>
          <t>S4</t>
        </is>
      </c>
      <c r="O1864" s="31" t="inlineStr">
        <is>
          <t>218920-1</t>
        </is>
      </c>
      <c r="P1864" s="31" t="inlineStr">
        <is>
          <t>SR Technics Switzerland</t>
        </is>
      </c>
    </row>
    <row r="1865">
      <c r="B1865" s="31" t="inlineStr">
        <is>
          <t>CFM56-5B</t>
        </is>
      </c>
      <c r="C1865" s="31" t="inlineStr">
        <is>
          <t>2025-2026</t>
        </is>
      </c>
      <c r="D1865" s="31" t="inlineStr">
        <is>
          <t>3044</t>
        </is>
      </c>
      <c r="E1865" s="31" t="inlineStr">
        <is>
          <t>73-11-13</t>
        </is>
      </c>
      <c r="F1865" s="31" t="inlineStr">
        <is>
          <t>B</t>
        </is>
      </c>
      <c r="G1865" s="31" t="inlineStr">
        <is>
          <t>Fuel system</t>
        </is>
      </c>
      <c r="H1865" s="27" t="n">
        <v>285</v>
      </c>
      <c r="I1865" s="27" t="n">
        <v>285</v>
      </c>
      <c r="J1865" s="154">
        <f>I1865/H1865-1</f>
        <v/>
      </c>
      <c r="K1865" s="31" t="inlineStr">
        <is>
          <t>3</t>
        </is>
      </c>
      <c r="L1865" s="31" t="inlineStr">
        <is>
          <t>3</t>
        </is>
      </c>
      <c r="M1865" s="31" t="inlineStr">
        <is>
          <t>S2</t>
        </is>
      </c>
      <c r="N1865" s="31" t="inlineStr">
        <is>
          <t>S4</t>
        </is>
      </c>
      <c r="O1865" s="31" t="inlineStr">
        <is>
          <t>217780-1</t>
        </is>
      </c>
      <c r="P1865" s="31" t="inlineStr">
        <is>
          <t>SR Technics Switzerland</t>
        </is>
      </c>
    </row>
    <row r="1866">
      <c r="B1866" s="31" t="inlineStr">
        <is>
          <t>CFM56-5B</t>
        </is>
      </c>
      <c r="C1866" s="31" t="inlineStr">
        <is>
          <t>2025-2026</t>
        </is>
      </c>
      <c r="D1866" s="31" t="inlineStr">
        <is>
          <t>3044</t>
        </is>
      </c>
      <c r="E1866" s="31" t="inlineStr">
        <is>
          <t>73-11-13</t>
        </is>
      </c>
      <c r="F1866" s="31" t="inlineStr">
        <is>
          <t>E</t>
        </is>
      </c>
      <c r="G1866" s="31" t="inlineStr">
        <is>
          <t>Fuel system</t>
        </is>
      </c>
      <c r="H1866" s="27" t="n">
        <v>980</v>
      </c>
      <c r="I1866" s="27" t="n">
        <v>980</v>
      </c>
      <c r="J1866" s="154">
        <f>I1866/H1866-1</f>
        <v/>
      </c>
      <c r="K1866" s="31" t="inlineStr">
        <is>
          <t>3</t>
        </is>
      </c>
      <c r="L1866" s="31" t="inlineStr">
        <is>
          <t>3</t>
        </is>
      </c>
      <c r="M1866" s="31" t="inlineStr">
        <is>
          <t>S2</t>
        </is>
      </c>
      <c r="N1866" s="31" t="inlineStr">
        <is>
          <t>S4</t>
        </is>
      </c>
      <c r="O1866" s="31" t="inlineStr">
        <is>
          <t>217780-1</t>
        </is>
      </c>
      <c r="P1866" s="31" t="inlineStr">
        <is>
          <t>SR Technics Switzerland</t>
        </is>
      </c>
    </row>
    <row r="1867">
      <c r="B1867" s="31" t="inlineStr">
        <is>
          <t>CFM56-5B</t>
        </is>
      </c>
      <c r="C1867" s="31" t="inlineStr">
        <is>
          <t>2025-2026</t>
        </is>
      </c>
      <c r="D1867" s="31" t="inlineStr">
        <is>
          <t>3044</t>
        </is>
      </c>
      <c r="E1867" s="31" t="inlineStr">
        <is>
          <t>73-11-13</t>
        </is>
      </c>
      <c r="F1867" s="31" t="inlineStr">
        <is>
          <t>SB01</t>
        </is>
      </c>
      <c r="G1867" s="31" t="inlineStr">
        <is>
          <t>Fuel system</t>
        </is>
      </c>
      <c r="H1867" s="27" t="n">
        <v>135</v>
      </c>
      <c r="I1867" s="27" t="n">
        <v>135</v>
      </c>
      <c r="J1867" s="154">
        <f>I1867/H1867-1</f>
        <v/>
      </c>
      <c r="K1867" s="31" t="inlineStr">
        <is>
          <t>3</t>
        </is>
      </c>
      <c r="L1867" s="31" t="inlineStr">
        <is>
          <t>3</t>
        </is>
      </c>
      <c r="M1867" s="31" t="inlineStr">
        <is>
          <t>S2</t>
        </is>
      </c>
      <c r="N1867" s="31" t="inlineStr">
        <is>
          <t>S4</t>
        </is>
      </c>
      <c r="O1867" s="31" t="inlineStr">
        <is>
          <t>217780-1</t>
        </is>
      </c>
      <c r="P1867" s="31" t="inlineStr">
        <is>
          <t>SR Technics Switzerland</t>
        </is>
      </c>
    </row>
    <row r="1868">
      <c r="B1868" s="31" t="inlineStr">
        <is>
          <t>CFM56-5B</t>
        </is>
      </c>
      <c r="C1868" s="31" t="inlineStr">
        <is>
          <t>2025-2026</t>
        </is>
      </c>
      <c r="D1868" s="31" t="inlineStr">
        <is>
          <t>3207</t>
        </is>
      </c>
      <c r="E1868" s="31" t="inlineStr">
        <is>
          <t>72-53-06</t>
        </is>
      </c>
      <c r="F1868" s="31" t="inlineStr">
        <is>
          <t>B</t>
        </is>
      </c>
      <c r="G1868" s="31" t="inlineStr">
        <is>
          <t>HPT / nozzle</t>
        </is>
      </c>
      <c r="H1868" s="27" t="n">
        <v>280</v>
      </c>
      <c r="I1868" s="27" t="n">
        <v>300</v>
      </c>
      <c r="J1868" s="154">
        <f>I1868/H1868-1</f>
        <v/>
      </c>
      <c r="K1868" s="31" t="inlineStr">
        <is>
          <t>3</t>
        </is>
      </c>
      <c r="L1868" s="31" t="inlineStr">
        <is>
          <t>3</t>
        </is>
      </c>
      <c r="M1868" s="31" t="inlineStr">
        <is>
          <t>S2</t>
        </is>
      </c>
      <c r="N1868" s="31" t="inlineStr">
        <is>
          <t>S4</t>
        </is>
      </c>
      <c r="O1868" s="31" t="inlineStr">
        <is>
          <t>338-010-103-0</t>
        </is>
      </c>
      <c r="P1868" s="31" t="inlineStr">
        <is>
          <t>SRTAS</t>
        </is>
      </c>
    </row>
    <row r="1869">
      <c r="B1869" s="31" t="inlineStr">
        <is>
          <t>CFM56-5B</t>
        </is>
      </c>
      <c r="C1869" s="31" t="inlineStr">
        <is>
          <t>2025-2026</t>
        </is>
      </c>
      <c r="D1869" s="31" t="inlineStr">
        <is>
          <t>3207</t>
        </is>
      </c>
      <c r="E1869" s="31" t="inlineStr">
        <is>
          <t>72-53-06</t>
        </is>
      </c>
      <c r="F1869" s="31" t="inlineStr">
        <is>
          <t>C</t>
        </is>
      </c>
      <c r="G1869" s="31" t="inlineStr">
        <is>
          <t>HPT / nozzle</t>
        </is>
      </c>
      <c r="H1869" s="27" t="n">
        <v>630</v>
      </c>
      <c r="I1869" s="27" t="n">
        <v>675</v>
      </c>
      <c r="J1869" s="154">
        <f>I1869/H1869-1</f>
        <v/>
      </c>
      <c r="K1869" s="31" t="inlineStr">
        <is>
          <t>3</t>
        </is>
      </c>
      <c r="L1869" s="31" t="inlineStr">
        <is>
          <t>3</t>
        </is>
      </c>
      <c r="M1869" s="31" t="inlineStr">
        <is>
          <t>S2</t>
        </is>
      </c>
      <c r="N1869" s="31" t="inlineStr">
        <is>
          <t>S4</t>
        </is>
      </c>
      <c r="O1869" s="31" t="inlineStr">
        <is>
          <t>338-010-103-0</t>
        </is>
      </c>
      <c r="P1869" s="31" t="inlineStr">
        <is>
          <t>SRTAS</t>
        </is>
      </c>
    </row>
    <row r="1870">
      <c r="B1870" s="31" t="inlineStr">
        <is>
          <t>CFM56-5B</t>
        </is>
      </c>
      <c r="C1870" s="31" t="inlineStr">
        <is>
          <t>2025-2026</t>
        </is>
      </c>
      <c r="D1870" s="31" t="inlineStr">
        <is>
          <t>3207</t>
        </is>
      </c>
      <c r="E1870" s="31" t="inlineStr">
        <is>
          <t>72-53-06</t>
        </is>
      </c>
      <c r="F1870" s="31" t="inlineStr">
        <is>
          <t>D</t>
        </is>
      </c>
      <c r="G1870" s="31" t="inlineStr">
        <is>
          <t>HPT / nozzle</t>
        </is>
      </c>
      <c r="H1870" s="27" t="n">
        <v>5950</v>
      </c>
      <c r="I1870" s="27" t="n">
        <v>6370</v>
      </c>
      <c r="J1870" s="154">
        <f>I1870/H1870-1</f>
        <v/>
      </c>
      <c r="K1870" s="31" t="inlineStr">
        <is>
          <t>3</t>
        </is>
      </c>
      <c r="L1870" s="31" t="inlineStr">
        <is>
          <t>3</t>
        </is>
      </c>
      <c r="M1870" s="31" t="inlineStr">
        <is>
          <t>S2</t>
        </is>
      </c>
      <c r="N1870" s="31" t="inlineStr">
        <is>
          <t>S4</t>
        </is>
      </c>
      <c r="O1870" s="31" t="inlineStr">
        <is>
          <t>338-010-103-0</t>
        </is>
      </c>
      <c r="P1870" s="31" t="inlineStr">
        <is>
          <t>SRTAS</t>
        </is>
      </c>
    </row>
    <row r="1871">
      <c r="B1871" s="31" t="inlineStr">
        <is>
          <t>CFM56-5B</t>
        </is>
      </c>
      <c r="C1871" s="31" t="inlineStr">
        <is>
          <t>2025-2026</t>
        </is>
      </c>
      <c r="D1871" s="31" t="inlineStr">
        <is>
          <t>3207</t>
        </is>
      </c>
      <c r="E1871" s="31" t="inlineStr">
        <is>
          <t>72-53-06</t>
        </is>
      </c>
      <c r="F1871" s="31" t="inlineStr">
        <is>
          <t>E</t>
        </is>
      </c>
      <c r="G1871" s="31" t="inlineStr">
        <is>
          <t>HPT / nozzle</t>
        </is>
      </c>
      <c r="H1871" s="27" t="n">
        <v>6085</v>
      </c>
      <c r="I1871" s="27" t="n">
        <v>6515</v>
      </c>
      <c r="J1871" s="154">
        <f>I1871/H1871-1</f>
        <v/>
      </c>
      <c r="K1871" s="31" t="inlineStr">
        <is>
          <t>3</t>
        </is>
      </c>
      <c r="L1871" s="31" t="inlineStr">
        <is>
          <t>3</t>
        </is>
      </c>
      <c r="M1871" s="31" t="inlineStr">
        <is>
          <t>S2</t>
        </is>
      </c>
      <c r="N1871" s="31" t="inlineStr">
        <is>
          <t>S4</t>
        </is>
      </c>
      <c r="O1871" s="31" t="inlineStr">
        <is>
          <t>338-010-103-0</t>
        </is>
      </c>
      <c r="P1871" s="31" t="inlineStr">
        <is>
          <t>SRTAS</t>
        </is>
      </c>
    </row>
    <row r="1872">
      <c r="B1872" s="31" t="inlineStr">
        <is>
          <t>CFM56-5B</t>
        </is>
      </c>
      <c r="C1872" s="31" t="inlineStr">
        <is>
          <t>2025-2026</t>
        </is>
      </c>
      <c r="D1872" s="31" t="inlineStr">
        <is>
          <t>3207</t>
        </is>
      </c>
      <c r="E1872" s="31" t="inlineStr">
        <is>
          <t>72-53-06</t>
        </is>
      </c>
      <c r="F1872" s="31" t="inlineStr">
        <is>
          <t>G</t>
        </is>
      </c>
      <c r="G1872" s="31" t="inlineStr">
        <is>
          <t>HPT / nozzle</t>
        </is>
      </c>
      <c r="H1872" s="27" t="n">
        <v>1095</v>
      </c>
      <c r="I1872" s="27" t="n">
        <v>1175</v>
      </c>
      <c r="J1872" s="154">
        <f>I1872/H1872-1</f>
        <v/>
      </c>
      <c r="K1872" s="31" t="inlineStr">
        <is>
          <t>3, 4</t>
        </is>
      </c>
      <c r="L1872" s="31" t="inlineStr">
        <is>
          <t>3</t>
        </is>
      </c>
      <c r="M1872" s="31" t="inlineStr">
        <is>
          <t>S2</t>
        </is>
      </c>
      <c r="N1872" s="31" t="inlineStr">
        <is>
          <t>S4</t>
        </is>
      </c>
      <c r="O1872" s="31" t="inlineStr">
        <is>
          <t>338-010-103-0</t>
        </is>
      </c>
      <c r="P1872" s="31" t="inlineStr">
        <is>
          <t>SRTAS</t>
        </is>
      </c>
    </row>
    <row r="1873">
      <c r="B1873" s="31" t="inlineStr">
        <is>
          <t>CFM56-5B</t>
        </is>
      </c>
      <c r="C1873" s="31" t="inlineStr">
        <is>
          <t>2025-2026</t>
        </is>
      </c>
      <c r="D1873" s="31" t="inlineStr">
        <is>
          <t>3207</t>
        </is>
      </c>
      <c r="E1873" s="31" t="inlineStr">
        <is>
          <t>72-53-06</t>
        </is>
      </c>
      <c r="F1873" s="31" t="inlineStr">
        <is>
          <t>H</t>
        </is>
      </c>
      <c r="G1873" s="31" t="inlineStr">
        <is>
          <t>HPT / nozzle</t>
        </is>
      </c>
      <c r="H1873" s="27" t="n">
        <v>3890</v>
      </c>
      <c r="I1873" s="27" t="n">
        <v>4165</v>
      </c>
      <c r="J1873" s="154">
        <f>I1873/H1873-1</f>
        <v/>
      </c>
      <c r="K1873" s="31" t="inlineStr">
        <is>
          <t>4</t>
        </is>
      </c>
      <c r="L1873" s="31" t="inlineStr">
        <is>
          <t>3</t>
        </is>
      </c>
      <c r="M1873" s="31" t="inlineStr">
        <is>
          <t>S2</t>
        </is>
      </c>
      <c r="N1873" s="31" t="inlineStr">
        <is>
          <t>S4</t>
        </is>
      </c>
      <c r="O1873" s="31" t="inlineStr">
        <is>
          <t>338-010-103-0</t>
        </is>
      </c>
      <c r="P1873" s="31" t="inlineStr">
        <is>
          <t>SRTAS</t>
        </is>
      </c>
    </row>
    <row r="1874">
      <c r="B1874" s="31" t="inlineStr">
        <is>
          <t>CFM56-5B</t>
        </is>
      </c>
      <c r="C1874" s="31" t="inlineStr">
        <is>
          <t>2025-2026</t>
        </is>
      </c>
      <c r="D1874" s="31" t="inlineStr">
        <is>
          <t>3207</t>
        </is>
      </c>
      <c r="E1874" s="31" t="inlineStr">
        <is>
          <t>72-53-06</t>
        </is>
      </c>
      <c r="F1874" s="31" t="inlineStr">
        <is>
          <t>L</t>
        </is>
      </c>
      <c r="G1874" s="31" t="inlineStr">
        <is>
          <t>HPT / nozzle</t>
        </is>
      </c>
      <c r="H1874" s="27" t="n">
        <v>6085</v>
      </c>
      <c r="I1874" s="27" t="n">
        <v>6515</v>
      </c>
      <c r="J1874" s="154">
        <f>I1874/H1874-1</f>
        <v/>
      </c>
      <c r="K1874" s="31" t="inlineStr">
        <is>
          <t>4</t>
        </is>
      </c>
      <c r="L1874" s="31" t="inlineStr">
        <is>
          <t>3, 4</t>
        </is>
      </c>
      <c r="M1874" s="31" t="inlineStr">
        <is>
          <t>S2</t>
        </is>
      </c>
      <c r="N1874" s="31" t="inlineStr">
        <is>
          <t>S4</t>
        </is>
      </c>
      <c r="O1874" s="31" t="inlineStr">
        <is>
          <t>338-010-103-0</t>
        </is>
      </c>
      <c r="P1874" s="31" t="inlineStr">
        <is>
          <t>SRTAS</t>
        </is>
      </c>
    </row>
    <row r="1875">
      <c r="B1875" s="31" t="inlineStr">
        <is>
          <t>CFM56-5B</t>
        </is>
      </c>
      <c r="C1875" s="31" t="inlineStr">
        <is>
          <t>2025-2026</t>
        </is>
      </c>
      <c r="D1875" s="31" t="inlineStr">
        <is>
          <t>3207</t>
        </is>
      </c>
      <c r="E1875" s="31" t="inlineStr">
        <is>
          <t>72-53-06</t>
        </is>
      </c>
      <c r="F1875" s="31" t="inlineStr">
        <is>
          <t>N</t>
        </is>
      </c>
      <c r="G1875" s="31" t="inlineStr">
        <is>
          <t>HPT / nozzle</t>
        </is>
      </c>
      <c r="H1875" s="27" t="n">
        <v>10570</v>
      </c>
      <c r="I1875" s="27" t="n">
        <v>11310</v>
      </c>
      <c r="J1875" s="154">
        <f>I1875/H1875-1</f>
        <v/>
      </c>
      <c r="K1875" s="31" t="inlineStr">
        <is>
          <t>4</t>
        </is>
      </c>
      <c r="L1875" s="31" t="inlineStr">
        <is>
          <t>4</t>
        </is>
      </c>
      <c r="M1875" s="31" t="inlineStr">
        <is>
          <t>S2</t>
        </is>
      </c>
      <c r="N1875" s="31" t="inlineStr">
        <is>
          <t>S4</t>
        </is>
      </c>
      <c r="O1875" s="31" t="inlineStr">
        <is>
          <t>338-010-103-0</t>
        </is>
      </c>
      <c r="P1875" s="31" t="inlineStr">
        <is>
          <t>SRTAS</t>
        </is>
      </c>
    </row>
    <row r="1876">
      <c r="B1876" s="31" t="inlineStr">
        <is>
          <t>CFM56-5B</t>
        </is>
      </c>
      <c r="C1876" s="31" t="inlineStr">
        <is>
          <t>2025-2026</t>
        </is>
      </c>
      <c r="D1876" s="31" t="inlineStr">
        <is>
          <t>3249</t>
        </is>
      </c>
      <c r="E1876" s="31" t="inlineStr">
        <is>
          <t>71-00-17</t>
        </is>
      </c>
      <c r="F1876" s="31" t="inlineStr">
        <is>
          <t>B</t>
        </is>
      </c>
      <c r="G1876" s="31" t="inlineStr">
        <is>
          <t>Other / assembly</t>
        </is>
      </c>
      <c r="H1876" s="27" t="n">
        <v>370</v>
      </c>
      <c r="I1876" s="27" t="n">
        <v>395</v>
      </c>
      <c r="J1876" s="154">
        <f>I1876/H1876-1</f>
        <v/>
      </c>
      <c r="K1876" s="31" t="inlineStr">
        <is>
          <t>31</t>
        </is>
      </c>
      <c r="L1876" s="31" t="inlineStr">
        <is>
          <t>32</t>
        </is>
      </c>
      <c r="M1876" s="31" t="inlineStr">
        <is>
          <t>S2</t>
        </is>
      </c>
      <c r="N1876" s="31" t="inlineStr">
        <is>
          <t>S4</t>
        </is>
      </c>
      <c r="O1876" s="31" t="inlineStr">
        <is>
          <t>108280-199</t>
        </is>
      </c>
      <c r="P1876" s="31" t="inlineStr">
        <is>
          <t>SR Technics Switzerland</t>
        </is>
      </c>
    </row>
    <row r="1877">
      <c r="B1877" s="31" t="inlineStr">
        <is>
          <t>CFM56-5B</t>
        </is>
      </c>
      <c r="C1877" s="31" t="inlineStr">
        <is>
          <t>2025-2026</t>
        </is>
      </c>
      <c r="D1877" s="31" t="inlineStr">
        <is>
          <t>3249</t>
        </is>
      </c>
      <c r="E1877" s="31" t="inlineStr">
        <is>
          <t>71-00-17</t>
        </is>
      </c>
      <c r="F1877" s="31" t="inlineStr">
        <is>
          <t>C</t>
        </is>
      </c>
      <c r="G1877" s="31" t="inlineStr">
        <is>
          <t>Other / assembly</t>
        </is>
      </c>
      <c r="H1877" s="27" t="n">
        <v>365</v>
      </c>
      <c r="I1877" s="27" t="n">
        <v>390</v>
      </c>
      <c r="J1877" s="154">
        <f>I1877/H1877-1</f>
        <v/>
      </c>
      <c r="K1877" s="31" t="inlineStr">
        <is>
          <t>31</t>
        </is>
      </c>
      <c r="L1877" s="31" t="inlineStr">
        <is>
          <t>32</t>
        </is>
      </c>
      <c r="M1877" s="31" t="inlineStr">
        <is>
          <t>S2</t>
        </is>
      </c>
      <c r="N1877" s="31" t="inlineStr">
        <is>
          <t>S4</t>
        </is>
      </c>
      <c r="O1877" s="31" t="inlineStr">
        <is>
          <t>108280-199</t>
        </is>
      </c>
      <c r="P1877" s="31" t="inlineStr">
        <is>
          <t>SR Technics Switzerland</t>
        </is>
      </c>
    </row>
    <row r="1878">
      <c r="B1878" s="31" t="inlineStr">
        <is>
          <t>CFM56-5B</t>
        </is>
      </c>
      <c r="C1878" s="31" t="inlineStr">
        <is>
          <t>2025-2026</t>
        </is>
      </c>
      <c r="D1878" s="31" t="inlineStr">
        <is>
          <t>3249</t>
        </is>
      </c>
      <c r="E1878" s="31" t="inlineStr">
        <is>
          <t>71-00-17</t>
        </is>
      </c>
      <c r="F1878" s="31" t="inlineStr">
        <is>
          <t>D</t>
        </is>
      </c>
      <c r="G1878" s="31" t="inlineStr">
        <is>
          <t>Other / assembly</t>
        </is>
      </c>
      <c r="H1878" s="27" t="n">
        <v>370</v>
      </c>
      <c r="I1878" s="27" t="n">
        <v>395</v>
      </c>
      <c r="J1878" s="154">
        <f>I1878/H1878-1</f>
        <v/>
      </c>
      <c r="K1878" s="31" t="inlineStr">
        <is>
          <t>31</t>
        </is>
      </c>
      <c r="L1878" s="31" t="inlineStr">
        <is>
          <t>32</t>
        </is>
      </c>
      <c r="M1878" s="31" t="inlineStr">
        <is>
          <t>S2</t>
        </is>
      </c>
      <c r="N1878" s="31" t="inlineStr">
        <is>
          <t>S4</t>
        </is>
      </c>
      <c r="O1878" s="31" t="inlineStr">
        <is>
          <t>108280-199</t>
        </is>
      </c>
      <c r="P1878" s="31" t="inlineStr">
        <is>
          <t>SR Technics Switzerland</t>
        </is>
      </c>
    </row>
    <row r="1879">
      <c r="B1879" s="31" t="inlineStr">
        <is>
          <t>CFM56-5B</t>
        </is>
      </c>
      <c r="C1879" s="31" t="inlineStr">
        <is>
          <t>2025-2026</t>
        </is>
      </c>
      <c r="D1879" s="31" t="inlineStr">
        <is>
          <t>3249</t>
        </is>
      </c>
      <c r="E1879" s="31" t="inlineStr">
        <is>
          <t>71-00-17</t>
        </is>
      </c>
      <c r="F1879" s="31" t="inlineStr">
        <is>
          <t>E</t>
        </is>
      </c>
      <c r="G1879" s="31" t="inlineStr">
        <is>
          <t>Other / assembly</t>
        </is>
      </c>
      <c r="H1879" s="27" t="n">
        <v>405</v>
      </c>
      <c r="I1879" s="27" t="n">
        <v>430</v>
      </c>
      <c r="J1879" s="154">
        <f>I1879/H1879-1</f>
        <v/>
      </c>
      <c r="K1879" s="31" t="inlineStr">
        <is>
          <t>31</t>
        </is>
      </c>
      <c r="L1879" s="31" t="inlineStr">
        <is>
          <t>32</t>
        </is>
      </c>
      <c r="M1879" s="31" t="inlineStr">
        <is>
          <t>S2</t>
        </is>
      </c>
      <c r="N1879" s="31" t="inlineStr">
        <is>
          <t>S4</t>
        </is>
      </c>
      <c r="O1879" s="31" t="inlineStr">
        <is>
          <t>108280-199</t>
        </is>
      </c>
      <c r="P1879" s="31" t="inlineStr">
        <is>
          <t>SR Technics Switzerland</t>
        </is>
      </c>
    </row>
    <row r="1880">
      <c r="B1880" s="31" t="inlineStr">
        <is>
          <t>CFM56-5B</t>
        </is>
      </c>
      <c r="C1880" s="31" t="inlineStr">
        <is>
          <t>2025-2026</t>
        </is>
      </c>
      <c r="D1880" s="31" t="inlineStr">
        <is>
          <t>3249</t>
        </is>
      </c>
      <c r="E1880" s="31" t="inlineStr">
        <is>
          <t>71-00-17</t>
        </is>
      </c>
      <c r="F1880" s="31" t="inlineStr">
        <is>
          <t>J</t>
        </is>
      </c>
      <c r="G1880" s="31" t="inlineStr">
        <is>
          <t>Other / assembly</t>
        </is>
      </c>
      <c r="H1880" s="27" t="n">
        <v>475</v>
      </c>
      <c r="I1880" s="27" t="n">
        <v>505</v>
      </c>
      <c r="J1880" s="154">
        <f>I1880/H1880-1</f>
        <v/>
      </c>
      <c r="K1880" s="31" t="inlineStr">
        <is>
          <t>31</t>
        </is>
      </c>
      <c r="L1880" s="31" t="inlineStr">
        <is>
          <t>32</t>
        </is>
      </c>
      <c r="M1880" s="31" t="inlineStr">
        <is>
          <t>S2</t>
        </is>
      </c>
      <c r="N1880" s="31" t="inlineStr">
        <is>
          <t>S4</t>
        </is>
      </c>
      <c r="O1880" s="31" t="inlineStr">
        <is>
          <t>108280-199</t>
        </is>
      </c>
      <c r="P1880" s="31" t="inlineStr">
        <is>
          <t>SR Technics Switzerland</t>
        </is>
      </c>
    </row>
    <row r="1881">
      <c r="B1881" s="31" t="inlineStr">
        <is>
          <t>CFM56-5B</t>
        </is>
      </c>
      <c r="C1881" s="31" t="inlineStr">
        <is>
          <t>2025-2026</t>
        </is>
      </c>
      <c r="D1881" s="31" t="inlineStr">
        <is>
          <t>3249</t>
        </is>
      </c>
      <c r="E1881" s="31" t="inlineStr">
        <is>
          <t>71-00-17</t>
        </is>
      </c>
      <c r="F1881" s="31" t="inlineStr">
        <is>
          <t>K</t>
        </is>
      </c>
      <c r="G1881" s="31" t="inlineStr">
        <is>
          <t>Other / assembly</t>
        </is>
      </c>
      <c r="H1881" s="27" t="n">
        <v>505</v>
      </c>
      <c r="I1881" s="27" t="n">
        <v>540</v>
      </c>
      <c r="J1881" s="154">
        <f>I1881/H1881-1</f>
        <v/>
      </c>
      <c r="K1881" s="31" t="inlineStr">
        <is>
          <t>31</t>
        </is>
      </c>
      <c r="L1881" s="31" t="inlineStr">
        <is>
          <t>32</t>
        </is>
      </c>
      <c r="M1881" s="31" t="inlineStr">
        <is>
          <t>S2</t>
        </is>
      </c>
      <c r="N1881" s="31" t="inlineStr">
        <is>
          <t>S4</t>
        </is>
      </c>
      <c r="O1881" s="31" t="inlineStr">
        <is>
          <t>108280-199</t>
        </is>
      </c>
      <c r="P1881" s="31" t="inlineStr">
        <is>
          <t>SR Technics Switzerland</t>
        </is>
      </c>
    </row>
    <row r="1882">
      <c r="B1882" s="31" t="inlineStr">
        <is>
          <t>CFM56-5B</t>
        </is>
      </c>
      <c r="C1882" s="31" t="inlineStr">
        <is>
          <t>2025-2026</t>
        </is>
      </c>
      <c r="D1882" s="31" t="inlineStr">
        <is>
          <t>3249</t>
        </is>
      </c>
      <c r="E1882" s="31" t="inlineStr">
        <is>
          <t>71-00-17</t>
        </is>
      </c>
      <c r="F1882" s="31" t="inlineStr">
        <is>
          <t>L</t>
        </is>
      </c>
      <c r="G1882" s="31" t="inlineStr">
        <is>
          <t>Other / assembly</t>
        </is>
      </c>
      <c r="H1882" s="27" t="n">
        <v>275</v>
      </c>
      <c r="I1882" s="27" t="n">
        <v>295</v>
      </c>
      <c r="J1882" s="154">
        <f>I1882/H1882-1</f>
        <v/>
      </c>
      <c r="K1882" s="31" t="inlineStr">
        <is>
          <t>31</t>
        </is>
      </c>
      <c r="L1882" s="31" t="inlineStr">
        <is>
          <t>32</t>
        </is>
      </c>
      <c r="M1882" s="31" t="inlineStr">
        <is>
          <t>S2</t>
        </is>
      </c>
      <c r="N1882" s="31" t="inlineStr">
        <is>
          <t>S4</t>
        </is>
      </c>
      <c r="O1882" s="31" t="inlineStr">
        <is>
          <t>108280-199</t>
        </is>
      </c>
      <c r="P1882" s="31" t="inlineStr">
        <is>
          <t>SR Technics Switzerland</t>
        </is>
      </c>
    </row>
    <row r="1883">
      <c r="B1883" s="31" t="inlineStr">
        <is>
          <t>CFM56-5B</t>
        </is>
      </c>
      <c r="C1883" s="31" t="inlineStr">
        <is>
          <t>2025-2026</t>
        </is>
      </c>
      <c r="D1883" s="31" t="inlineStr">
        <is>
          <t>3249</t>
        </is>
      </c>
      <c r="E1883" s="31" t="inlineStr">
        <is>
          <t>71-00-17</t>
        </is>
      </c>
      <c r="F1883" s="31" t="inlineStr">
        <is>
          <t>Q</t>
        </is>
      </c>
      <c r="G1883" s="31" t="inlineStr">
        <is>
          <t>Other / assembly</t>
        </is>
      </c>
      <c r="H1883" s="27" t="n">
        <v>635</v>
      </c>
      <c r="I1883" s="27" t="n">
        <v>675</v>
      </c>
      <c r="J1883" s="154">
        <f>I1883/H1883-1</f>
        <v/>
      </c>
      <c r="K1883" s="31" t="inlineStr">
        <is>
          <t>31</t>
        </is>
      </c>
      <c r="L1883" s="31" t="inlineStr">
        <is>
          <t>32</t>
        </is>
      </c>
      <c r="M1883" s="31" t="inlineStr">
        <is>
          <t>S2</t>
        </is>
      </c>
      <c r="N1883" s="31" t="inlineStr">
        <is>
          <t>S4</t>
        </is>
      </c>
      <c r="O1883" s="31" t="inlineStr">
        <is>
          <t>108280-199</t>
        </is>
      </c>
      <c r="P1883" s="31" t="inlineStr">
        <is>
          <t>SR Technics Switzerland</t>
        </is>
      </c>
    </row>
    <row r="1884">
      <c r="B1884" s="31" t="inlineStr">
        <is>
          <t>CFM56-5B</t>
        </is>
      </c>
      <c r="C1884" s="31" t="inlineStr">
        <is>
          <t>2025-2026</t>
        </is>
      </c>
      <c r="D1884" s="31" t="inlineStr">
        <is>
          <t>3249</t>
        </is>
      </c>
      <c r="E1884" s="31" t="inlineStr">
        <is>
          <t>71-00-17</t>
        </is>
      </c>
      <c r="F1884" s="31" t="inlineStr">
        <is>
          <t>S</t>
        </is>
      </c>
      <c r="G1884" s="31" t="inlineStr">
        <is>
          <t>Other / assembly</t>
        </is>
      </c>
      <c r="H1884" s="27" t="n">
        <v>995</v>
      </c>
      <c r="I1884" s="27" t="n">
        <v>1055</v>
      </c>
      <c r="J1884" s="154">
        <f>I1884/H1884-1</f>
        <v/>
      </c>
      <c r="K1884" s="31" t="inlineStr">
        <is>
          <t>31</t>
        </is>
      </c>
      <c r="L1884" s="31" t="inlineStr">
        <is>
          <t>32</t>
        </is>
      </c>
      <c r="M1884" s="31" t="inlineStr">
        <is>
          <t>S2</t>
        </is>
      </c>
      <c r="N1884" s="31" t="inlineStr">
        <is>
          <t>S4</t>
        </is>
      </c>
      <c r="O1884" s="31" t="inlineStr">
        <is>
          <t>108280-199</t>
        </is>
      </c>
      <c r="P1884" s="31" t="inlineStr">
        <is>
          <t>SR Technics Switzerland</t>
        </is>
      </c>
    </row>
    <row r="1885">
      <c r="B1885" s="31" t="inlineStr">
        <is>
          <t>CFM56-5B</t>
        </is>
      </c>
      <c r="C1885" s="31" t="inlineStr">
        <is>
          <t>2025-2026</t>
        </is>
      </c>
      <c r="D1885" s="31" t="inlineStr">
        <is>
          <t>3249</t>
        </is>
      </c>
      <c r="E1885" s="31" t="inlineStr">
        <is>
          <t>71-00-17</t>
        </is>
      </c>
      <c r="F1885" s="31" t="inlineStr">
        <is>
          <t>SB01</t>
        </is>
      </c>
      <c r="G1885" s="31" t="inlineStr">
        <is>
          <t>Other / assembly</t>
        </is>
      </c>
      <c r="H1885" s="27" t="n">
        <v>495</v>
      </c>
      <c r="I1885" s="27" t="n">
        <v>525</v>
      </c>
      <c r="J1885" s="154">
        <f>I1885/H1885-1</f>
        <v/>
      </c>
      <c r="K1885" s="31" t="inlineStr">
        <is>
          <t>31</t>
        </is>
      </c>
      <c r="L1885" s="31" t="inlineStr">
        <is>
          <t>32</t>
        </is>
      </c>
      <c r="M1885" s="31" t="inlineStr">
        <is>
          <t>S2</t>
        </is>
      </c>
      <c r="N1885" s="31" t="inlineStr">
        <is>
          <t>S4</t>
        </is>
      </c>
      <c r="O1885" s="31" t="inlineStr">
        <is>
          <t>108280-199</t>
        </is>
      </c>
      <c r="P1885" s="31" t="inlineStr">
        <is>
          <t>SR Technics Switzerland</t>
        </is>
      </c>
    </row>
    <row r="1886">
      <c r="B1886" s="31" t="inlineStr">
        <is>
          <t>CFM56-5B</t>
        </is>
      </c>
      <c r="C1886" s="31" t="inlineStr">
        <is>
          <t>2025-2026</t>
        </is>
      </c>
      <c r="D1886" s="31" t="inlineStr">
        <is>
          <t>3249</t>
        </is>
      </c>
      <c r="E1886" s="31" t="inlineStr">
        <is>
          <t>71-00-17</t>
        </is>
      </c>
      <c r="F1886" s="31" t="inlineStr">
        <is>
          <t>SB02</t>
        </is>
      </c>
      <c r="G1886" s="31" t="inlineStr">
        <is>
          <t>Other / assembly</t>
        </is>
      </c>
      <c r="H1886" s="27" t="n">
        <v>575</v>
      </c>
      <c r="I1886" s="27" t="n">
        <v>610</v>
      </c>
      <c r="J1886" s="154">
        <f>I1886/H1886-1</f>
        <v/>
      </c>
      <c r="K1886" s="31" t="inlineStr">
        <is>
          <t>31</t>
        </is>
      </c>
      <c r="L1886" s="31" t="inlineStr">
        <is>
          <t>32</t>
        </is>
      </c>
      <c r="M1886" s="31" t="inlineStr">
        <is>
          <t>S2</t>
        </is>
      </c>
      <c r="N1886" s="31" t="inlineStr">
        <is>
          <t>S4</t>
        </is>
      </c>
      <c r="O1886" s="31" t="inlineStr">
        <is>
          <t>108280-199</t>
        </is>
      </c>
      <c r="P1886" s="31" t="inlineStr">
        <is>
          <t>SR Technics Switzerland</t>
        </is>
      </c>
    </row>
    <row r="1887">
      <c r="B1887" s="31" t="inlineStr">
        <is>
          <t>CFM56-5B</t>
        </is>
      </c>
      <c r="C1887" s="31" t="inlineStr">
        <is>
          <t>2025-2026</t>
        </is>
      </c>
      <c r="D1887" s="31" t="inlineStr">
        <is>
          <t>3249</t>
        </is>
      </c>
      <c r="E1887" s="31" t="inlineStr">
        <is>
          <t>71-00-17</t>
        </is>
      </c>
      <c r="F1887" s="31" t="inlineStr">
        <is>
          <t>SB03</t>
        </is>
      </c>
      <c r="G1887" s="31" t="inlineStr">
        <is>
          <t>Other / assembly</t>
        </is>
      </c>
      <c r="H1887" s="27" t="n">
        <v>335</v>
      </c>
      <c r="I1887" s="27" t="n">
        <v>360</v>
      </c>
      <c r="J1887" s="154">
        <f>I1887/H1887-1</f>
        <v/>
      </c>
      <c r="K1887" s="31" t="inlineStr">
        <is>
          <t>31</t>
        </is>
      </c>
      <c r="L1887" s="31" t="inlineStr">
        <is>
          <t>32</t>
        </is>
      </c>
      <c r="M1887" s="31" t="inlineStr">
        <is>
          <t>S2</t>
        </is>
      </c>
      <c r="N1887" s="31" t="inlineStr">
        <is>
          <t>S4</t>
        </is>
      </c>
      <c r="O1887" s="31" t="inlineStr">
        <is>
          <t>108280-199</t>
        </is>
      </c>
      <c r="P1887" s="31" t="inlineStr">
        <is>
          <t>SR Technics Switzerland</t>
        </is>
      </c>
    </row>
    <row r="1888">
      <c r="B1888" s="31" t="inlineStr">
        <is>
          <t>CFM56-5B</t>
        </is>
      </c>
      <c r="C1888" s="31" t="inlineStr">
        <is>
          <t>2025-2026</t>
        </is>
      </c>
      <c r="D1888" s="31" t="inlineStr">
        <is>
          <t>3473</t>
        </is>
      </c>
      <c r="E1888" s="31" t="inlineStr">
        <is>
          <t>72-56-06</t>
        </is>
      </c>
      <c r="F1888" s="31" t="inlineStr">
        <is>
          <t>A</t>
        </is>
      </c>
      <c r="G1888" s="31" t="inlineStr">
        <is>
          <t>LPT</t>
        </is>
      </c>
      <c r="H1888" s="27" t="n">
        <v>1685</v>
      </c>
      <c r="I1888" s="27" t="n">
        <v>1770</v>
      </c>
      <c r="J1888" s="154">
        <f>I1888/H1888-1</f>
        <v/>
      </c>
      <c r="K1888" s="31" t="inlineStr">
        <is>
          <t>4</t>
        </is>
      </c>
      <c r="L1888" s="31" t="inlineStr">
        <is>
          <t>4</t>
        </is>
      </c>
      <c r="M1888" s="31" t="inlineStr">
        <is>
          <t>S2</t>
        </is>
      </c>
      <c r="N1888" s="31" t="inlineStr">
        <is>
          <t>S4</t>
        </is>
      </c>
      <c r="O1888" s="31" t="inlineStr">
        <is>
          <t>336-024-704-0</t>
        </is>
      </c>
      <c r="P1888" s="31" t="inlineStr">
        <is>
          <t>SR Technics Switzerland</t>
        </is>
      </c>
    </row>
    <row r="1889">
      <c r="B1889" s="31" t="inlineStr">
        <is>
          <t>CFM56-5B</t>
        </is>
      </c>
      <c r="C1889" s="31" t="inlineStr">
        <is>
          <t>2025-2026</t>
        </is>
      </c>
      <c r="D1889" s="31" t="inlineStr">
        <is>
          <t>3473</t>
        </is>
      </c>
      <c r="E1889" s="31" t="inlineStr">
        <is>
          <t>72-56-06</t>
        </is>
      </c>
      <c r="F1889" s="31" t="inlineStr">
        <is>
          <t>C</t>
        </is>
      </c>
      <c r="G1889" s="31" t="inlineStr">
        <is>
          <t>LPT</t>
        </is>
      </c>
      <c r="H1889" s="27" t="n">
        <v>855</v>
      </c>
      <c r="I1889" s="27" t="n">
        <v>910</v>
      </c>
      <c r="J1889" s="154">
        <f>I1889/H1889-1</f>
        <v/>
      </c>
      <c r="K1889" s="31" t="inlineStr">
        <is>
          <t>4</t>
        </is>
      </c>
      <c r="L1889" s="31" t="inlineStr">
        <is>
          <t>4</t>
        </is>
      </c>
      <c r="M1889" s="31" t="inlineStr">
        <is>
          <t>S2</t>
        </is>
      </c>
      <c r="N1889" s="31" t="inlineStr">
        <is>
          <t>S4</t>
        </is>
      </c>
      <c r="O1889" s="31" t="inlineStr">
        <is>
          <t>336-024-704-0</t>
        </is>
      </c>
      <c r="P1889" s="31" t="inlineStr">
        <is>
          <t>SR Technics Switzerland</t>
        </is>
      </c>
    </row>
    <row r="1890">
      <c r="B1890" s="31" t="inlineStr">
        <is>
          <t>CFM56-5B</t>
        </is>
      </c>
      <c r="C1890" s="31" t="inlineStr">
        <is>
          <t>2025-2026</t>
        </is>
      </c>
      <c r="D1890" s="31" t="inlineStr">
        <is>
          <t>3473</t>
        </is>
      </c>
      <c r="E1890" s="31" t="inlineStr">
        <is>
          <t>72-56-06</t>
        </is>
      </c>
      <c r="F1890" s="31" t="inlineStr">
        <is>
          <t>E</t>
        </is>
      </c>
      <c r="G1890" s="31" t="inlineStr">
        <is>
          <t>LPT</t>
        </is>
      </c>
      <c r="H1890" s="27" t="n">
        <v>2930</v>
      </c>
      <c r="I1890" s="27" t="n">
        <v>3110</v>
      </c>
      <c r="J1890" s="154">
        <f>I1890/H1890-1</f>
        <v/>
      </c>
      <c r="K1890" s="31" t="inlineStr">
        <is>
          <t>4</t>
        </is>
      </c>
      <c r="L1890" s="31" t="inlineStr">
        <is>
          <t>4</t>
        </is>
      </c>
      <c r="M1890" s="31" t="inlineStr">
        <is>
          <t>S2</t>
        </is>
      </c>
      <c r="N1890" s="31" t="inlineStr">
        <is>
          <t>S4</t>
        </is>
      </c>
      <c r="O1890" s="31" t="inlineStr">
        <is>
          <t>336-024-704-0</t>
        </is>
      </c>
      <c r="P1890" s="31" t="inlineStr">
        <is>
          <t>SR Technics Switzerland</t>
        </is>
      </c>
    </row>
    <row r="1891">
      <c r="B1891" s="31" t="inlineStr">
        <is>
          <t>CFM56-5B</t>
        </is>
      </c>
      <c r="C1891" s="31" t="inlineStr">
        <is>
          <t>2025-2026</t>
        </is>
      </c>
      <c r="D1891" s="31" t="inlineStr">
        <is>
          <t>3473</t>
        </is>
      </c>
      <c r="E1891" s="31" t="inlineStr">
        <is>
          <t>72-56-06</t>
        </is>
      </c>
      <c r="F1891" s="31" t="inlineStr">
        <is>
          <t>G</t>
        </is>
      </c>
      <c r="G1891" s="31" t="inlineStr">
        <is>
          <t>LPT</t>
        </is>
      </c>
      <c r="H1891" s="27" t="n">
        <v>3180</v>
      </c>
      <c r="I1891" s="27" t="n">
        <v>3375</v>
      </c>
      <c r="J1891" s="154">
        <f>I1891/H1891-1</f>
        <v/>
      </c>
      <c r="K1891" s="31" t="inlineStr">
        <is>
          <t>4</t>
        </is>
      </c>
      <c r="L1891" s="31" t="inlineStr">
        <is>
          <t>4</t>
        </is>
      </c>
      <c r="M1891" s="31" t="inlineStr">
        <is>
          <t>S2</t>
        </is>
      </c>
      <c r="N1891" s="31" t="inlineStr">
        <is>
          <t>S4</t>
        </is>
      </c>
      <c r="O1891" s="31" t="inlineStr">
        <is>
          <t>336-024-704-0</t>
        </is>
      </c>
      <c r="P1891" s="31" t="inlineStr">
        <is>
          <t>SR Technics Switzerland</t>
        </is>
      </c>
    </row>
    <row r="1892">
      <c r="B1892" s="31" t="inlineStr">
        <is>
          <t>CFM56-5B</t>
        </is>
      </c>
      <c r="C1892" s="31" t="inlineStr">
        <is>
          <t>2025-2026</t>
        </is>
      </c>
      <c r="D1892" s="31" t="inlineStr">
        <is>
          <t>3473</t>
        </is>
      </c>
      <c r="E1892" s="31" t="inlineStr">
        <is>
          <t>72-56-06</t>
        </is>
      </c>
      <c r="F1892" s="31" t="inlineStr">
        <is>
          <t>SB00</t>
        </is>
      </c>
      <c r="G1892" s="31" t="inlineStr">
        <is>
          <t>LPT</t>
        </is>
      </c>
      <c r="H1892" s="27" t="n">
        <v>1205</v>
      </c>
      <c r="I1892" s="27" t="n">
        <v>1280</v>
      </c>
      <c r="J1892" s="154">
        <f>I1892/H1892-1</f>
        <v/>
      </c>
      <c r="K1892" s="31" t="inlineStr">
        <is>
          <t>4</t>
        </is>
      </c>
      <c r="L1892" s="31" t="inlineStr">
        <is>
          <t>4</t>
        </is>
      </c>
      <c r="M1892" s="31" t="inlineStr">
        <is>
          <t>S2</t>
        </is>
      </c>
      <c r="N1892" s="31" t="inlineStr">
        <is>
          <t>S4</t>
        </is>
      </c>
      <c r="O1892" s="31" t="inlineStr">
        <is>
          <t>336-024-704-0</t>
        </is>
      </c>
      <c r="P1892" s="31" t="inlineStr">
        <is>
          <t>SR Technics Switzerland</t>
        </is>
      </c>
    </row>
    <row r="1893">
      <c r="B1893" s="31" t="inlineStr">
        <is>
          <t>CFM56-5B</t>
        </is>
      </c>
      <c r="C1893" s="31" t="inlineStr">
        <is>
          <t>2025-2026</t>
        </is>
      </c>
      <c r="D1893" s="31" t="inlineStr">
        <is>
          <t>3473</t>
        </is>
      </c>
      <c r="E1893" s="31" t="inlineStr">
        <is>
          <t>72-56-06</t>
        </is>
      </c>
      <c r="F1893" s="31" t="inlineStr">
        <is>
          <t>SB01</t>
        </is>
      </c>
      <c r="G1893" s="31" t="inlineStr">
        <is>
          <t>LPT</t>
        </is>
      </c>
      <c r="H1893" s="27" t="n">
        <v>1205</v>
      </c>
      <c r="I1893" s="27" t="n">
        <v>1280</v>
      </c>
      <c r="J1893" s="154">
        <f>I1893/H1893-1</f>
        <v/>
      </c>
      <c r="K1893" s="31" t="inlineStr">
        <is>
          <t>4</t>
        </is>
      </c>
      <c r="L1893" s="31" t="inlineStr">
        <is>
          <t>4</t>
        </is>
      </c>
      <c r="M1893" s="31" t="inlineStr">
        <is>
          <t>S2</t>
        </is>
      </c>
      <c r="N1893" s="31" t="inlineStr">
        <is>
          <t>S4</t>
        </is>
      </c>
      <c r="O1893" s="31" t="inlineStr">
        <is>
          <t>336-024-704-0</t>
        </is>
      </c>
      <c r="P1893" s="31" t="inlineStr">
        <is>
          <t>SR Technics Switzerland</t>
        </is>
      </c>
    </row>
    <row r="1894">
      <c r="B1894" s="31" t="inlineStr">
        <is>
          <t>CFM56-5B</t>
        </is>
      </c>
      <c r="C1894" s="31" t="inlineStr">
        <is>
          <t>2025-2026</t>
        </is>
      </c>
      <c r="D1894" s="31" t="inlineStr">
        <is>
          <t>3941</t>
        </is>
      </c>
      <c r="E1894" s="31" t="inlineStr">
        <is>
          <t>72-21-11</t>
        </is>
      </c>
      <c r="F1894" s="31" t="inlineStr">
        <is>
          <t>A</t>
        </is>
      </c>
      <c r="G1894" s="31" t="inlineStr">
        <is>
          <t>Fan / booster</t>
        </is>
      </c>
      <c r="H1894" s="27" t="n">
        <v>40</v>
      </c>
      <c r="I1894" s="27" t="n">
        <v>45</v>
      </c>
      <c r="J1894" s="154">
        <f>I1894/H1894-1</f>
        <v/>
      </c>
      <c r="K1894" s="31" t="inlineStr">
        <is>
          <t>34</t>
        </is>
      </c>
      <c r="L1894" s="31" t="inlineStr">
        <is>
          <t>35</t>
        </is>
      </c>
      <c r="M1894" s="31" t="inlineStr">
        <is>
          <t>S2</t>
        </is>
      </c>
      <c r="N1894" s="31" t="inlineStr">
        <is>
          <t>S4</t>
        </is>
      </c>
      <c r="O1894" s="31" t="inlineStr">
        <is>
          <t>J816P050A</t>
        </is>
      </c>
      <c r="P1894" s="31" t="inlineStr">
        <is>
          <t>SR Technics Switzerland</t>
        </is>
      </c>
    </row>
    <row r="1895">
      <c r="B1895" s="31" t="inlineStr">
        <is>
          <t>CFM56-5B</t>
        </is>
      </c>
      <c r="C1895" s="31" t="inlineStr">
        <is>
          <t>2025-2026</t>
        </is>
      </c>
      <c r="D1895" s="31" t="inlineStr">
        <is>
          <t>3975</t>
        </is>
      </c>
      <c r="E1895" s="31" t="inlineStr">
        <is>
          <t>72-51-10</t>
        </is>
      </c>
      <c r="F1895" s="31" t="inlineStr">
        <is>
          <t>A</t>
        </is>
      </c>
      <c r="G1895" s="31" t="inlineStr">
        <is>
          <t>HPT / nozzle</t>
        </is>
      </c>
      <c r="H1895" s="27" t="n">
        <v>505</v>
      </c>
      <c r="I1895" s="27" t="n">
        <v>535</v>
      </c>
      <c r="J1895" s="154">
        <f>I1895/H1895-1</f>
        <v/>
      </c>
      <c r="K1895" s="31" t="inlineStr">
        <is>
          <t>4</t>
        </is>
      </c>
      <c r="L1895" s="31" t="inlineStr">
        <is>
          <t>4</t>
        </is>
      </c>
      <c r="M1895" s="31" t="inlineStr">
        <is>
          <t>S2</t>
        </is>
      </c>
      <c r="N1895" s="31" t="inlineStr">
        <is>
          <t>S4</t>
        </is>
      </c>
      <c r="O1895" s="31" t="inlineStr">
        <is>
          <t>1358M80P04</t>
        </is>
      </c>
      <c r="P1895" s="31" t="inlineStr">
        <is>
          <t>SR Technics Switzerland</t>
        </is>
      </c>
    </row>
    <row r="1896">
      <c r="B1896" s="31" t="inlineStr">
        <is>
          <t>CFM56-5B</t>
        </is>
      </c>
      <c r="C1896" s="31" t="inlineStr">
        <is>
          <t>2025-2026</t>
        </is>
      </c>
      <c r="D1896" s="31" t="inlineStr">
        <is>
          <t>3975</t>
        </is>
      </c>
      <c r="E1896" s="31" t="inlineStr">
        <is>
          <t>72-51-10</t>
        </is>
      </c>
      <c r="F1896" s="31" t="inlineStr">
        <is>
          <t>B</t>
        </is>
      </c>
      <c r="G1896" s="31" t="inlineStr">
        <is>
          <t>HPT / nozzle</t>
        </is>
      </c>
      <c r="H1896" s="27" t="n">
        <v>3605</v>
      </c>
      <c r="I1896" s="27" t="n">
        <v>3825</v>
      </c>
      <c r="J1896" s="154">
        <f>I1896/H1896-1</f>
        <v/>
      </c>
      <c r="K1896" s="31" t="inlineStr">
        <is>
          <t>4</t>
        </is>
      </c>
      <c r="L1896" s="31" t="inlineStr">
        <is>
          <t>4</t>
        </is>
      </c>
      <c r="M1896" s="31" t="inlineStr">
        <is>
          <t>S2</t>
        </is>
      </c>
      <c r="N1896" s="31" t="inlineStr">
        <is>
          <t>S4</t>
        </is>
      </c>
      <c r="O1896" s="31" t="inlineStr">
        <is>
          <t>1358M80P04</t>
        </is>
      </c>
      <c r="P1896" s="31" t="inlineStr">
        <is>
          <t>SR Technics Switzerland</t>
        </is>
      </c>
    </row>
    <row r="1897">
      <c r="B1897" s="31" t="inlineStr">
        <is>
          <t>CFM56-5B</t>
        </is>
      </c>
      <c r="C1897" s="31" t="inlineStr">
        <is>
          <t>2025-2026</t>
        </is>
      </c>
      <c r="D1897" s="31" t="inlineStr">
        <is>
          <t>44969</t>
        </is>
      </c>
      <c r="E1897" s="31" t="inlineStr">
        <is>
          <t>72-42-01</t>
        </is>
      </c>
      <c r="F1897" s="31" t="inlineStr">
        <is>
          <t>A</t>
        </is>
      </c>
      <c r="G1897" s="31" t="inlineStr">
        <is>
          <t>Combustor</t>
        </is>
      </c>
      <c r="H1897" s="27" t="n">
        <v>960</v>
      </c>
      <c r="I1897" s="27" t="n">
        <v>1010</v>
      </c>
      <c r="J1897" s="154">
        <f>I1897/H1897-1</f>
        <v/>
      </c>
      <c r="K1897" s="31" t="inlineStr">
        <is>
          <t>7</t>
        </is>
      </c>
      <c r="L1897" s="31" t="inlineStr">
        <is>
          <t>7</t>
        </is>
      </c>
      <c r="M1897" s="31" t="inlineStr">
        <is>
          <t>S2</t>
        </is>
      </c>
      <c r="N1897" s="31" t="inlineStr">
        <is>
          <t>S4</t>
        </is>
      </c>
      <c r="O1897" s="31" t="inlineStr">
        <is>
          <t>9531M11G02</t>
        </is>
      </c>
      <c r="P1897" s="31" t="inlineStr">
        <is>
          <t>SR Technics Switzerland</t>
        </is>
      </c>
    </row>
    <row r="1898">
      <c r="B1898" s="31" t="inlineStr">
        <is>
          <t>CFM56-5B</t>
        </is>
      </c>
      <c r="C1898" s="31" t="inlineStr">
        <is>
          <t>2025-2026</t>
        </is>
      </c>
      <c r="D1898" s="31" t="inlineStr">
        <is>
          <t>44969</t>
        </is>
      </c>
      <c r="E1898" s="31" t="inlineStr">
        <is>
          <t>72-42-01</t>
        </is>
      </c>
      <c r="F1898" s="31" t="inlineStr">
        <is>
          <t>C</t>
        </is>
      </c>
      <c r="G1898" s="31" t="inlineStr">
        <is>
          <t>Combustor</t>
        </is>
      </c>
      <c r="H1898" s="27" t="n">
        <v>1550</v>
      </c>
      <c r="I1898" s="27" t="n">
        <v>1645</v>
      </c>
      <c r="J1898" s="154">
        <f>I1898/H1898-1</f>
        <v/>
      </c>
      <c r="K1898" s="31" t="inlineStr">
        <is>
          <t>7</t>
        </is>
      </c>
      <c r="L1898" s="31" t="inlineStr">
        <is>
          <t>7</t>
        </is>
      </c>
      <c r="M1898" s="31" t="inlineStr">
        <is>
          <t>S2</t>
        </is>
      </c>
      <c r="N1898" s="31" t="inlineStr">
        <is>
          <t>S4</t>
        </is>
      </c>
      <c r="O1898" s="31" t="inlineStr">
        <is>
          <t>9531M11G02</t>
        </is>
      </c>
      <c r="P1898" s="31" t="inlineStr">
        <is>
          <t>SR Technics Switzerland</t>
        </is>
      </c>
    </row>
    <row r="1899">
      <c r="B1899" s="31" t="inlineStr">
        <is>
          <t>CFM56-5B</t>
        </is>
      </c>
      <c r="C1899" s="31" t="inlineStr">
        <is>
          <t>2025-2026</t>
        </is>
      </c>
      <c r="D1899" s="31" t="inlineStr">
        <is>
          <t>453</t>
        </is>
      </c>
      <c r="E1899" s="31" t="inlineStr">
        <is>
          <t>72-53-08</t>
        </is>
      </c>
      <c r="F1899" s="31" t="inlineStr">
        <is>
          <t>A</t>
        </is>
      </c>
      <c r="G1899" s="31" t="inlineStr">
        <is>
          <t>HPT / nozzle</t>
        </is>
      </c>
      <c r="H1899" s="27" t="n">
        <v>1100</v>
      </c>
      <c r="I1899" s="27" t="n">
        <v>1155</v>
      </c>
      <c r="J1899" s="154">
        <f>I1899/H1899-1</f>
        <v/>
      </c>
      <c r="K1899" s="31" t="inlineStr">
        <is>
          <t>28</t>
        </is>
      </c>
      <c r="L1899" s="31" t="inlineStr">
        <is>
          <t>29</t>
        </is>
      </c>
      <c r="M1899" s="31" t="inlineStr">
        <is>
          <t>S2</t>
        </is>
      </c>
      <c r="N1899" s="31" t="inlineStr">
        <is>
          <t>S4</t>
        </is>
      </c>
      <c r="O1899" s="31" t="inlineStr">
        <is>
          <t>338-111-303-0</t>
        </is>
      </c>
      <c r="P1899" s="31" t="inlineStr">
        <is>
          <t>SR Technics Switzerland</t>
        </is>
      </c>
    </row>
    <row r="1900">
      <c r="B1900" s="31" t="inlineStr">
        <is>
          <t>CFM56-5B</t>
        </is>
      </c>
      <c r="C1900" s="31" t="inlineStr">
        <is>
          <t>2025-2026</t>
        </is>
      </c>
      <c r="D1900" s="31" t="inlineStr">
        <is>
          <t>453</t>
        </is>
      </c>
      <c r="E1900" s="31" t="inlineStr">
        <is>
          <t>72-53-08</t>
        </is>
      </c>
      <c r="F1900" s="31" t="inlineStr">
        <is>
          <t>D</t>
        </is>
      </c>
      <c r="G1900" s="31" t="inlineStr">
        <is>
          <t>HPT / nozzle</t>
        </is>
      </c>
      <c r="H1900" s="27" t="n">
        <v>2810</v>
      </c>
      <c r="I1900" s="27" t="n">
        <v>2980</v>
      </c>
      <c r="J1900" s="154">
        <f>I1900/H1900-1</f>
        <v/>
      </c>
      <c r="K1900" s="31" t="inlineStr">
        <is>
          <t>28</t>
        </is>
      </c>
      <c r="L1900" s="31" t="inlineStr">
        <is>
          <t>29</t>
        </is>
      </c>
      <c r="M1900" s="31" t="inlineStr">
        <is>
          <t>S2</t>
        </is>
      </c>
      <c r="N1900" s="31" t="inlineStr">
        <is>
          <t>S4</t>
        </is>
      </c>
      <c r="O1900" s="31" t="inlineStr">
        <is>
          <t>338-111-303-0</t>
        </is>
      </c>
      <c r="P1900" s="31" t="inlineStr">
        <is>
          <t>SR Technics Switzerland</t>
        </is>
      </c>
    </row>
    <row r="1901">
      <c r="B1901" s="31" t="inlineStr">
        <is>
          <t>CFM56-5B</t>
        </is>
      </c>
      <c r="C1901" s="31" t="inlineStr">
        <is>
          <t>2025-2026</t>
        </is>
      </c>
      <c r="D1901" s="31" t="inlineStr">
        <is>
          <t>600262</t>
        </is>
      </c>
      <c r="E1901" s="31" t="inlineStr">
        <is>
          <t>73-11-14</t>
        </is>
      </c>
      <c r="F1901" s="31" t="inlineStr">
        <is>
          <t>B</t>
        </is>
      </c>
      <c r="G1901" s="31" t="inlineStr">
        <is>
          <t>Fuel system</t>
        </is>
      </c>
      <c r="H1901" s="27" t="n">
        <v>1105</v>
      </c>
      <c r="I1901" s="27" t="n">
        <v>1175</v>
      </c>
      <c r="J1901" s="154">
        <f>I1901/H1901-1</f>
        <v/>
      </c>
      <c r="K1901" s="31" t="inlineStr">
        <is>
          <t>18</t>
        </is>
      </c>
      <c r="L1901" s="31" t="inlineStr">
        <is>
          <t>19</t>
        </is>
      </c>
      <c r="M1901" s="31" t="inlineStr">
        <is>
          <t>S2</t>
        </is>
      </c>
      <c r="N1901" s="31" t="inlineStr">
        <is>
          <t>S4</t>
        </is>
      </c>
      <c r="O1901" s="31" t="inlineStr">
        <is>
          <t>218921-1</t>
        </is>
      </c>
      <c r="P1901" s="31" t="inlineStr">
        <is>
          <t>SR Technics Switzerland</t>
        </is>
      </c>
    </row>
    <row r="1902">
      <c r="B1902" s="31" t="inlineStr">
        <is>
          <t>CFM56-5B</t>
        </is>
      </c>
      <c r="C1902" s="31" t="inlineStr">
        <is>
          <t>2025-2026</t>
        </is>
      </c>
      <c r="D1902" s="31" t="inlineStr">
        <is>
          <t>603639</t>
        </is>
      </c>
      <c r="E1902" s="31" t="inlineStr">
        <is>
          <t>72-23-02</t>
        </is>
      </c>
      <c r="F1902" s="31" t="inlineStr">
        <is>
          <t>A</t>
        </is>
      </c>
      <c r="G1902" s="31" t="inlineStr">
        <is>
          <t>Fan / booster</t>
        </is>
      </c>
      <c r="H1902" s="27" t="n">
        <v>2545</v>
      </c>
      <c r="I1902" s="27" t="n">
        <v>2675</v>
      </c>
      <c r="J1902" s="154">
        <f>I1902/H1902-1</f>
        <v/>
      </c>
      <c r="K1902" s="31" t="inlineStr">
        <is>
          <t>18</t>
        </is>
      </c>
      <c r="L1902" s="31" t="inlineStr">
        <is>
          <t>19</t>
        </is>
      </c>
      <c r="M1902" s="31" t="inlineStr">
        <is>
          <t>S2</t>
        </is>
      </c>
      <c r="N1902" s="31" t="inlineStr">
        <is>
          <t>S4</t>
        </is>
      </c>
      <c r="O1902" s="31" t="inlineStr">
        <is>
          <t>2423M40G01</t>
        </is>
      </c>
      <c r="P1902" s="31" t="inlineStr">
        <is>
          <t>SR Technics Switzerland</t>
        </is>
      </c>
    </row>
    <row r="1903">
      <c r="B1903" s="31" t="inlineStr">
        <is>
          <t>CFM56-5B</t>
        </is>
      </c>
      <c r="C1903" s="31" t="inlineStr">
        <is>
          <t>2025-2026</t>
        </is>
      </c>
      <c r="D1903" s="31" t="inlineStr">
        <is>
          <t>603639</t>
        </is>
      </c>
      <c r="E1903" s="31" t="inlineStr">
        <is>
          <t>72-23-02</t>
        </is>
      </c>
      <c r="F1903" s="31" t="inlineStr">
        <is>
          <t>AN</t>
        </is>
      </c>
      <c r="G1903" s="31" t="inlineStr">
        <is>
          <t>Fan / booster</t>
        </is>
      </c>
      <c r="H1903" s="27" t="n">
        <v>17685</v>
      </c>
      <c r="I1903" s="27" t="n">
        <v>18750</v>
      </c>
      <c r="J1903" s="154">
        <f>I1903/H1903-1</f>
        <v/>
      </c>
      <c r="K1903" s="31" t="inlineStr">
        <is>
          <t>18</t>
        </is>
      </c>
      <c r="L1903" s="31" t="inlineStr">
        <is>
          <t>19</t>
        </is>
      </c>
      <c r="M1903" s="31" t="inlineStr">
        <is>
          <t>S2</t>
        </is>
      </c>
      <c r="N1903" s="31" t="inlineStr">
        <is>
          <t>S4</t>
        </is>
      </c>
      <c r="O1903" s="31" t="inlineStr">
        <is>
          <t>2423M40G01</t>
        </is>
      </c>
      <c r="P1903" s="31" t="inlineStr">
        <is>
          <t>SR Technics Switzerland</t>
        </is>
      </c>
    </row>
    <row r="1904">
      <c r="B1904" s="31" t="inlineStr">
        <is>
          <t>CFM56-5B</t>
        </is>
      </c>
      <c r="C1904" s="31" t="inlineStr">
        <is>
          <t>2025-2026</t>
        </is>
      </c>
      <c r="D1904" s="31" t="inlineStr">
        <is>
          <t>603639</t>
        </is>
      </c>
      <c r="E1904" s="31" t="inlineStr">
        <is>
          <t>72-23-02</t>
        </is>
      </c>
      <c r="F1904" s="31" t="inlineStr">
        <is>
          <t>B</t>
        </is>
      </c>
      <c r="G1904" s="31" t="inlineStr">
        <is>
          <t>Fan / booster</t>
        </is>
      </c>
      <c r="H1904" s="27" t="n">
        <v>1050</v>
      </c>
      <c r="I1904" s="27" t="n">
        <v>1115</v>
      </c>
      <c r="J1904" s="154">
        <f>I1904/H1904-1</f>
        <v/>
      </c>
      <c r="K1904" s="31" t="inlineStr">
        <is>
          <t>18</t>
        </is>
      </c>
      <c r="L1904" s="31" t="inlineStr">
        <is>
          <t>19</t>
        </is>
      </c>
      <c r="M1904" s="31" t="inlineStr">
        <is>
          <t>S2</t>
        </is>
      </c>
      <c r="N1904" s="31" t="inlineStr">
        <is>
          <t>S4</t>
        </is>
      </c>
      <c r="O1904" s="31" t="inlineStr">
        <is>
          <t>2423M40G01</t>
        </is>
      </c>
      <c r="P1904" s="31" t="inlineStr">
        <is>
          <t>SR Technics Switzerland</t>
        </is>
      </c>
    </row>
    <row r="1905">
      <c r="B1905" s="31" t="inlineStr">
        <is>
          <t>CFM56-5B</t>
        </is>
      </c>
      <c r="C1905" s="31" t="inlineStr">
        <is>
          <t>2025-2026</t>
        </is>
      </c>
      <c r="D1905" s="31" t="inlineStr">
        <is>
          <t>603639</t>
        </is>
      </c>
      <c r="E1905" s="31" t="inlineStr">
        <is>
          <t>72-23-02</t>
        </is>
      </c>
      <c r="F1905" s="31" t="inlineStr">
        <is>
          <t>D</t>
        </is>
      </c>
      <c r="G1905" s="31" t="inlineStr">
        <is>
          <t>Fan / booster</t>
        </is>
      </c>
      <c r="H1905" s="27" t="n">
        <v>1385</v>
      </c>
      <c r="I1905" s="27" t="n">
        <v>1470</v>
      </c>
      <c r="J1905" s="154">
        <f>I1905/H1905-1</f>
        <v/>
      </c>
      <c r="K1905" s="31" t="inlineStr">
        <is>
          <t>18</t>
        </is>
      </c>
      <c r="L1905" s="31" t="inlineStr">
        <is>
          <t>19</t>
        </is>
      </c>
      <c r="M1905" s="31" t="inlineStr">
        <is>
          <t>S2</t>
        </is>
      </c>
      <c r="N1905" s="31" t="inlineStr">
        <is>
          <t>S4</t>
        </is>
      </c>
      <c r="O1905" s="31" t="inlineStr">
        <is>
          <t>2423M40G01</t>
        </is>
      </c>
      <c r="P1905" s="31" t="inlineStr">
        <is>
          <t>SR Technics Switzerland</t>
        </is>
      </c>
    </row>
    <row r="1906">
      <c r="B1906" s="31" t="inlineStr">
        <is>
          <t>CFM56-5B</t>
        </is>
      </c>
      <c r="C1906" s="31" t="inlineStr">
        <is>
          <t>2025-2026</t>
        </is>
      </c>
      <c r="D1906" s="31" t="inlineStr">
        <is>
          <t>603639</t>
        </is>
      </c>
      <c r="E1906" s="31" t="inlineStr">
        <is>
          <t>72-23-02</t>
        </is>
      </c>
      <c r="F1906" s="31" t="inlineStr">
        <is>
          <t>H</t>
        </is>
      </c>
      <c r="G1906" s="31" t="inlineStr">
        <is>
          <t>Fan / booster</t>
        </is>
      </c>
      <c r="H1906" s="27" t="n">
        <v>1530</v>
      </c>
      <c r="I1906" s="27" t="n">
        <v>1625</v>
      </c>
      <c r="J1906" s="154">
        <f>I1906/H1906-1</f>
        <v/>
      </c>
      <c r="K1906" s="31" t="inlineStr">
        <is>
          <t>18</t>
        </is>
      </c>
      <c r="L1906" s="31" t="inlineStr">
        <is>
          <t>19</t>
        </is>
      </c>
      <c r="M1906" s="31" t="inlineStr">
        <is>
          <t>S2</t>
        </is>
      </c>
      <c r="N1906" s="31" t="inlineStr">
        <is>
          <t>S4</t>
        </is>
      </c>
      <c r="O1906" s="31" t="inlineStr">
        <is>
          <t>2423M40G01</t>
        </is>
      </c>
      <c r="P1906" s="31" t="inlineStr">
        <is>
          <t>SR Technics Switzerland</t>
        </is>
      </c>
    </row>
    <row r="1907">
      <c r="B1907" s="31" t="inlineStr">
        <is>
          <t>CFM56-5B</t>
        </is>
      </c>
      <c r="C1907" s="31" t="inlineStr">
        <is>
          <t>2025-2026</t>
        </is>
      </c>
      <c r="D1907" s="31" t="inlineStr">
        <is>
          <t>603639</t>
        </is>
      </c>
      <c r="E1907" s="31" t="inlineStr">
        <is>
          <t>72-23-02</t>
        </is>
      </c>
      <c r="F1907" s="31" t="inlineStr">
        <is>
          <t>I</t>
        </is>
      </c>
      <c r="G1907" s="31" t="inlineStr">
        <is>
          <t>Fan / booster</t>
        </is>
      </c>
      <c r="H1907" s="27" t="n">
        <v>1610</v>
      </c>
      <c r="I1907" s="27" t="n">
        <v>1710</v>
      </c>
      <c r="J1907" s="154">
        <f>I1907/H1907-1</f>
        <v/>
      </c>
      <c r="K1907" s="31" t="inlineStr">
        <is>
          <t>18</t>
        </is>
      </c>
      <c r="L1907" s="31" t="inlineStr">
        <is>
          <t>19</t>
        </is>
      </c>
      <c r="M1907" s="31" t="inlineStr">
        <is>
          <t>S2</t>
        </is>
      </c>
      <c r="N1907" s="31" t="inlineStr">
        <is>
          <t>S4</t>
        </is>
      </c>
      <c r="O1907" s="31" t="inlineStr">
        <is>
          <t>2423M40G01</t>
        </is>
      </c>
      <c r="P1907" s="31" t="inlineStr">
        <is>
          <t>SR Technics Switzerland</t>
        </is>
      </c>
    </row>
    <row r="1908">
      <c r="B1908" s="31" t="inlineStr">
        <is>
          <t>CFM56-5B</t>
        </is>
      </c>
      <c r="C1908" s="31" t="inlineStr">
        <is>
          <t>2025-2026</t>
        </is>
      </c>
      <c r="D1908" s="31" t="inlineStr">
        <is>
          <t>603639</t>
        </is>
      </c>
      <c r="E1908" s="31" t="inlineStr">
        <is>
          <t>72-23-02</t>
        </is>
      </c>
      <c r="F1908" s="31" t="inlineStr">
        <is>
          <t>S</t>
        </is>
      </c>
      <c r="G1908" s="31" t="inlineStr">
        <is>
          <t>Fan / booster</t>
        </is>
      </c>
      <c r="H1908" s="27" t="n">
        <v>1610</v>
      </c>
      <c r="I1908" s="27" t="n">
        <v>1710</v>
      </c>
      <c r="J1908" s="154">
        <f>I1908/H1908-1</f>
        <v/>
      </c>
      <c r="K1908" s="31" t="inlineStr">
        <is>
          <t>18</t>
        </is>
      </c>
      <c r="L1908" s="31" t="inlineStr">
        <is>
          <t>19</t>
        </is>
      </c>
      <c r="M1908" s="31" t="inlineStr">
        <is>
          <t>S2</t>
        </is>
      </c>
      <c r="N1908" s="31" t="inlineStr">
        <is>
          <t>S4</t>
        </is>
      </c>
      <c r="O1908" s="31" t="inlineStr">
        <is>
          <t>2423M40G01</t>
        </is>
      </c>
      <c r="P1908" s="31" t="inlineStr">
        <is>
          <t>SR Technics Switzerland</t>
        </is>
      </c>
    </row>
    <row r="1909">
      <c r="B1909" s="31" t="inlineStr">
        <is>
          <t>CFM56-5B</t>
        </is>
      </c>
      <c r="C1909" s="31" t="inlineStr">
        <is>
          <t>2025-2026</t>
        </is>
      </c>
      <c r="D1909" s="31" t="inlineStr">
        <is>
          <t>603639</t>
        </is>
      </c>
      <c r="E1909" s="31" t="inlineStr">
        <is>
          <t>72-23-02</t>
        </is>
      </c>
      <c r="F1909" s="31" t="inlineStr">
        <is>
          <t>SB00</t>
        </is>
      </c>
      <c r="G1909" s="31" t="inlineStr">
        <is>
          <t>Fan / booster</t>
        </is>
      </c>
      <c r="H1909" s="27" t="n">
        <v>460</v>
      </c>
      <c r="I1909" s="27" t="n">
        <v>490</v>
      </c>
      <c r="J1909" s="154">
        <f>I1909/H1909-1</f>
        <v/>
      </c>
      <c r="K1909" s="31" t="inlineStr">
        <is>
          <t>18</t>
        </is>
      </c>
      <c r="L1909" s="31" t="inlineStr">
        <is>
          <t>19</t>
        </is>
      </c>
      <c r="M1909" s="31" t="inlineStr">
        <is>
          <t>S2</t>
        </is>
      </c>
      <c r="N1909" s="31" t="inlineStr">
        <is>
          <t>S4</t>
        </is>
      </c>
      <c r="O1909" s="31" t="inlineStr">
        <is>
          <t>2423M40G01</t>
        </is>
      </c>
      <c r="P1909" s="31" t="inlineStr">
        <is>
          <t>SR Technics Switzerland</t>
        </is>
      </c>
    </row>
    <row r="1910">
      <c r="B1910" s="31" t="inlineStr">
        <is>
          <t>CFM56-5B</t>
        </is>
      </c>
      <c r="C1910" s="31" t="inlineStr">
        <is>
          <t>2025-2026</t>
        </is>
      </c>
      <c r="D1910" s="31" t="inlineStr">
        <is>
          <t>603639</t>
        </is>
      </c>
      <c r="E1910" s="31" t="inlineStr">
        <is>
          <t>72-23-02</t>
        </is>
      </c>
      <c r="F1910" s="31" t="inlineStr">
        <is>
          <t>T</t>
        </is>
      </c>
      <c r="G1910" s="31" t="inlineStr">
        <is>
          <t>Fan / booster</t>
        </is>
      </c>
      <c r="H1910" s="27" t="n">
        <v>4150</v>
      </c>
      <c r="I1910" s="27" t="n">
        <v>4400</v>
      </c>
      <c r="J1910" s="154">
        <f>I1910/H1910-1</f>
        <v/>
      </c>
      <c r="K1910" s="31" t="inlineStr">
        <is>
          <t>18</t>
        </is>
      </c>
      <c r="L1910" s="31" t="inlineStr">
        <is>
          <t>19</t>
        </is>
      </c>
      <c r="M1910" s="31" t="inlineStr">
        <is>
          <t>S2</t>
        </is>
      </c>
      <c r="N1910" s="31" t="inlineStr">
        <is>
          <t>S4</t>
        </is>
      </c>
      <c r="O1910" s="31" t="inlineStr">
        <is>
          <t>2423M40G01</t>
        </is>
      </c>
      <c r="P1910" s="31" t="inlineStr">
        <is>
          <t>SR Technics Switzerland</t>
        </is>
      </c>
    </row>
    <row r="1911">
      <c r="B1911" s="31" t="inlineStr">
        <is>
          <t>CFM56-5B</t>
        </is>
      </c>
      <c r="C1911" s="31" t="inlineStr">
        <is>
          <t>2025-2026</t>
        </is>
      </c>
      <c r="D1911" s="31" t="inlineStr">
        <is>
          <t>603670</t>
        </is>
      </c>
      <c r="E1911" s="31" t="inlineStr">
        <is>
          <t>72-22-00</t>
        </is>
      </c>
      <c r="F1911" s="31" t="inlineStr">
        <is>
          <t>A</t>
        </is>
      </c>
      <c r="G1911" s="31" t="inlineStr">
        <is>
          <t>Fan / booster</t>
        </is>
      </c>
      <c r="H1911" s="27" t="n">
        <v>80</v>
      </c>
      <c r="I1911" s="27" t="n">
        <v>85</v>
      </c>
      <c r="J1911" s="154">
        <f>I1911/H1911-1</f>
        <v/>
      </c>
      <c r="K1911" s="31" t="inlineStr">
        <is>
          <t>18</t>
        </is>
      </c>
      <c r="L1911" s="31" t="inlineStr">
        <is>
          <t>19</t>
        </is>
      </c>
      <c r="M1911" s="31" t="inlineStr">
        <is>
          <t>S2</t>
        </is>
      </c>
      <c r="N1911" s="31" t="inlineStr">
        <is>
          <t>S4</t>
        </is>
      </c>
      <c r="O1911" s="31" t="inlineStr">
        <is>
          <t>301-475-904-6</t>
        </is>
      </c>
      <c r="P1911" s="31" t="inlineStr">
        <is>
          <t>SR Technics Switzerland</t>
        </is>
      </c>
    </row>
    <row r="1912">
      <c r="B1912" s="31" t="inlineStr">
        <is>
          <t>CFM56-5B</t>
        </is>
      </c>
      <c r="C1912" s="31" t="inlineStr">
        <is>
          <t>2025-2026</t>
        </is>
      </c>
      <c r="D1912" s="31" t="inlineStr">
        <is>
          <t>603670</t>
        </is>
      </c>
      <c r="E1912" s="31" t="inlineStr">
        <is>
          <t>72-22-00</t>
        </is>
      </c>
      <c r="F1912" s="31" t="inlineStr">
        <is>
          <t>B</t>
        </is>
      </c>
      <c r="G1912" s="31" t="inlineStr">
        <is>
          <t>Fan / booster</t>
        </is>
      </c>
      <c r="H1912" s="27" t="n">
        <v>225</v>
      </c>
      <c r="I1912" s="27" t="n">
        <v>240</v>
      </c>
      <c r="J1912" s="154">
        <f>I1912/H1912-1</f>
        <v/>
      </c>
      <c r="K1912" s="31" t="inlineStr">
        <is>
          <t>18</t>
        </is>
      </c>
      <c r="L1912" s="31" t="inlineStr">
        <is>
          <t>19</t>
        </is>
      </c>
      <c r="M1912" s="31" t="inlineStr">
        <is>
          <t>S2</t>
        </is>
      </c>
      <c r="N1912" s="31" t="inlineStr">
        <is>
          <t>S4</t>
        </is>
      </c>
      <c r="O1912" s="31" t="inlineStr">
        <is>
          <t>301-475-904-6</t>
        </is>
      </c>
      <c r="P1912" s="31" t="inlineStr">
        <is>
          <t>SR Technics Switzerland</t>
        </is>
      </c>
    </row>
    <row r="1913">
      <c r="B1913" s="31" t="inlineStr">
        <is>
          <t>CFM56-5B</t>
        </is>
      </c>
      <c r="C1913" s="31" t="inlineStr">
        <is>
          <t>2025-2026</t>
        </is>
      </c>
      <c r="D1913" s="31" t="inlineStr">
        <is>
          <t>604567</t>
        </is>
      </c>
      <c r="E1913" s="31" t="inlineStr">
        <is>
          <t>71-50-03</t>
        </is>
      </c>
      <c r="F1913" s="31" t="inlineStr">
        <is>
          <t>C</t>
        </is>
      </c>
      <c r="G1913" s="31" t="inlineStr">
        <is>
          <t>Other / assembly</t>
        </is>
      </c>
      <c r="H1913" s="27" t="n">
        <v>420</v>
      </c>
      <c r="I1913" s="27" t="n">
        <v>450</v>
      </c>
      <c r="J1913" s="154">
        <f>I1913/H1913-1</f>
        <v/>
      </c>
      <c r="K1913" s="31" t="inlineStr">
        <is>
          <t>19</t>
        </is>
      </c>
      <c r="L1913" s="31" t="inlineStr">
        <is>
          <t>19</t>
        </is>
      </c>
      <c r="M1913" s="31" t="inlineStr">
        <is>
          <t>S2</t>
        </is>
      </c>
      <c r="N1913" s="31" t="inlineStr">
        <is>
          <t>S4</t>
        </is>
      </c>
      <c r="O1913" s="31" t="inlineStr">
        <is>
          <t>642W9810-505</t>
        </is>
      </c>
      <c r="P1913" s="31" t="inlineStr">
        <is>
          <t>SR Technics Switzerland</t>
        </is>
      </c>
    </row>
    <row r="1914">
      <c r="B1914" s="31" t="inlineStr">
        <is>
          <t>CFM56-5B</t>
        </is>
      </c>
      <c r="C1914" s="31" t="inlineStr">
        <is>
          <t>2025-2026</t>
        </is>
      </c>
      <c r="D1914" s="31" t="inlineStr">
        <is>
          <t>604567</t>
        </is>
      </c>
      <c r="E1914" s="31" t="inlineStr">
        <is>
          <t>71-50-03</t>
        </is>
      </c>
      <c r="F1914" s="31" t="inlineStr">
        <is>
          <t>D</t>
        </is>
      </c>
      <c r="G1914" s="31" t="inlineStr">
        <is>
          <t>Other / assembly</t>
        </is>
      </c>
      <c r="H1914" s="27" t="n">
        <v>1305</v>
      </c>
      <c r="I1914" s="27" t="n">
        <v>1385</v>
      </c>
      <c r="J1914" s="154">
        <f>I1914/H1914-1</f>
        <v/>
      </c>
      <c r="K1914" s="31" t="inlineStr">
        <is>
          <t>19</t>
        </is>
      </c>
      <c r="L1914" s="31" t="inlineStr">
        <is>
          <t>19</t>
        </is>
      </c>
      <c r="M1914" s="31" t="inlineStr">
        <is>
          <t>S2</t>
        </is>
      </c>
      <c r="N1914" s="31" t="inlineStr">
        <is>
          <t>S4</t>
        </is>
      </c>
      <c r="O1914" s="31" t="inlineStr">
        <is>
          <t>642W9810-505</t>
        </is>
      </c>
      <c r="P1914" s="31" t="inlineStr">
        <is>
          <t>SR Technics Switzerland</t>
        </is>
      </c>
    </row>
    <row r="1915">
      <c r="B1915" s="31" t="inlineStr">
        <is>
          <t>CFM56-5B</t>
        </is>
      </c>
      <c r="C1915" s="31" t="inlineStr">
        <is>
          <t>2025-2026</t>
        </is>
      </c>
      <c r="D1915" s="31" t="inlineStr">
        <is>
          <t>604567</t>
        </is>
      </c>
      <c r="E1915" s="31" t="inlineStr">
        <is>
          <t>71-50-03</t>
        </is>
      </c>
      <c r="F1915" s="31" t="inlineStr">
        <is>
          <t>E</t>
        </is>
      </c>
      <c r="G1915" s="31" t="inlineStr">
        <is>
          <t>Other / assembly</t>
        </is>
      </c>
      <c r="H1915" s="27" t="n">
        <v>4015</v>
      </c>
      <c r="I1915" s="27" t="n">
        <v>4260</v>
      </c>
      <c r="J1915" s="154">
        <f>I1915/H1915-1</f>
        <v/>
      </c>
      <c r="K1915" s="31" t="inlineStr">
        <is>
          <t>19</t>
        </is>
      </c>
      <c r="L1915" s="31" t="inlineStr">
        <is>
          <t>19</t>
        </is>
      </c>
      <c r="M1915" s="31" t="inlineStr">
        <is>
          <t>S2</t>
        </is>
      </c>
      <c r="N1915" s="31" t="inlineStr">
        <is>
          <t>S4</t>
        </is>
      </c>
      <c r="O1915" s="31" t="inlineStr">
        <is>
          <t>642W9810-505</t>
        </is>
      </c>
      <c r="P1915" s="31" t="inlineStr">
        <is>
          <t>SR Technics Switzerland</t>
        </is>
      </c>
    </row>
    <row r="1916">
      <c r="B1916" s="31" t="inlineStr">
        <is>
          <t>CFM56-5B</t>
        </is>
      </c>
      <c r="C1916" s="31" t="inlineStr">
        <is>
          <t>2025-2026</t>
        </is>
      </c>
      <c r="D1916" s="31" t="inlineStr">
        <is>
          <t>604567</t>
        </is>
      </c>
      <c r="E1916" s="31" t="inlineStr">
        <is>
          <t>71-50-03</t>
        </is>
      </c>
      <c r="F1916" s="31" t="inlineStr">
        <is>
          <t>F</t>
        </is>
      </c>
      <c r="G1916" s="31" t="inlineStr">
        <is>
          <t>Other / assembly</t>
        </is>
      </c>
      <c r="H1916" s="27" t="n">
        <v>7745</v>
      </c>
      <c r="I1916" s="27" t="n">
        <v>8210</v>
      </c>
      <c r="J1916" s="154">
        <f>I1916/H1916-1</f>
        <v/>
      </c>
      <c r="K1916" s="31" t="inlineStr">
        <is>
          <t>19</t>
        </is>
      </c>
      <c r="L1916" s="31" t="inlineStr">
        <is>
          <t>19</t>
        </is>
      </c>
      <c r="M1916" s="31" t="inlineStr">
        <is>
          <t>S2</t>
        </is>
      </c>
      <c r="N1916" s="31" t="inlineStr">
        <is>
          <t>S4</t>
        </is>
      </c>
      <c r="O1916" s="31" t="inlineStr">
        <is>
          <t>642W9810-505</t>
        </is>
      </c>
      <c r="P1916" s="31" t="inlineStr">
        <is>
          <t>SR Technics Switzerland</t>
        </is>
      </c>
    </row>
    <row r="1917">
      <c r="B1917" s="31" t="inlineStr">
        <is>
          <t>CFM56-5B</t>
        </is>
      </c>
      <c r="C1917" s="31" t="inlineStr">
        <is>
          <t>2025-2026</t>
        </is>
      </c>
      <c r="D1917" s="31" t="inlineStr">
        <is>
          <t>604600</t>
        </is>
      </c>
      <c r="E1917" s="31" t="inlineStr">
        <is>
          <t>71-50-03</t>
        </is>
      </c>
      <c r="F1917" s="31" t="inlineStr">
        <is>
          <t>C</t>
        </is>
      </c>
      <c r="G1917" s="31" t="inlineStr">
        <is>
          <t>Other / assembly</t>
        </is>
      </c>
      <c r="H1917" s="27" t="n">
        <v>385</v>
      </c>
      <c r="I1917" s="27" t="n">
        <v>410</v>
      </c>
      <c r="J1917" s="154">
        <f>I1917/H1917-1</f>
        <v/>
      </c>
      <c r="K1917" s="31" t="inlineStr">
        <is>
          <t>19</t>
        </is>
      </c>
      <c r="L1917" s="31" t="inlineStr">
        <is>
          <t>19</t>
        </is>
      </c>
      <c r="M1917" s="31" t="inlineStr">
        <is>
          <t>S2</t>
        </is>
      </c>
      <c r="N1917" s="31" t="inlineStr">
        <is>
          <t>S4</t>
        </is>
      </c>
      <c r="O1917" s="31" t="inlineStr">
        <is>
          <t>642W9811-505</t>
        </is>
      </c>
      <c r="P1917" s="31" t="inlineStr">
        <is>
          <t>SR Technics Switzerland</t>
        </is>
      </c>
    </row>
    <row r="1918">
      <c r="B1918" s="31" t="inlineStr">
        <is>
          <t>CFM56-5B</t>
        </is>
      </c>
      <c r="C1918" s="31" t="inlineStr">
        <is>
          <t>2025-2026</t>
        </is>
      </c>
      <c r="D1918" s="31" t="inlineStr">
        <is>
          <t>604600</t>
        </is>
      </c>
      <c r="E1918" s="31" t="inlineStr">
        <is>
          <t>71-50-03</t>
        </is>
      </c>
      <c r="F1918" s="31" t="inlineStr">
        <is>
          <t>D</t>
        </is>
      </c>
      <c r="G1918" s="31" t="inlineStr">
        <is>
          <t>Other / assembly</t>
        </is>
      </c>
      <c r="H1918" s="27" t="n">
        <v>1265</v>
      </c>
      <c r="I1918" s="27" t="n">
        <v>1345</v>
      </c>
      <c r="J1918" s="154">
        <f>I1918/H1918-1</f>
        <v/>
      </c>
      <c r="K1918" s="31" t="inlineStr">
        <is>
          <t>19</t>
        </is>
      </c>
      <c r="L1918" s="31" t="inlineStr">
        <is>
          <t>19</t>
        </is>
      </c>
      <c r="M1918" s="31" t="inlineStr">
        <is>
          <t>S2</t>
        </is>
      </c>
      <c r="N1918" s="31" t="inlineStr">
        <is>
          <t>S4</t>
        </is>
      </c>
      <c r="O1918" s="31" t="inlineStr">
        <is>
          <t>642W9811-505</t>
        </is>
      </c>
      <c r="P1918" s="31" t="inlineStr">
        <is>
          <t>SR Technics Switzerland</t>
        </is>
      </c>
    </row>
    <row r="1919">
      <c r="B1919" s="31" t="inlineStr">
        <is>
          <t>CFM56-5B</t>
        </is>
      </c>
      <c r="C1919" s="31" t="inlineStr">
        <is>
          <t>2025-2026</t>
        </is>
      </c>
      <c r="D1919" s="31" t="inlineStr">
        <is>
          <t>604600</t>
        </is>
      </c>
      <c r="E1919" s="31" t="inlineStr">
        <is>
          <t>71-50-03</t>
        </is>
      </c>
      <c r="F1919" s="31" t="inlineStr">
        <is>
          <t>E</t>
        </is>
      </c>
      <c r="G1919" s="31" t="inlineStr">
        <is>
          <t>Other / assembly</t>
        </is>
      </c>
      <c r="H1919" s="27" t="n">
        <v>4150</v>
      </c>
      <c r="I1919" s="27" t="n">
        <v>4400</v>
      </c>
      <c r="J1919" s="154">
        <f>I1919/H1919-1</f>
        <v/>
      </c>
      <c r="K1919" s="31" t="inlineStr">
        <is>
          <t>19</t>
        </is>
      </c>
      <c r="L1919" s="31" t="inlineStr">
        <is>
          <t>19</t>
        </is>
      </c>
      <c r="M1919" s="31" t="inlineStr">
        <is>
          <t>S2</t>
        </is>
      </c>
      <c r="N1919" s="31" t="inlineStr">
        <is>
          <t>S4</t>
        </is>
      </c>
      <c r="O1919" s="31" t="inlineStr">
        <is>
          <t>642W9811-505</t>
        </is>
      </c>
      <c r="P1919" s="31" t="inlineStr">
        <is>
          <t>SR Technics Switzerland</t>
        </is>
      </c>
    </row>
    <row r="1920">
      <c r="B1920" s="31" t="inlineStr">
        <is>
          <t>CFM56-5B</t>
        </is>
      </c>
      <c r="C1920" s="31" t="inlineStr">
        <is>
          <t>2025-2026</t>
        </is>
      </c>
      <c r="D1920" s="31" t="inlineStr">
        <is>
          <t>604600</t>
        </is>
      </c>
      <c r="E1920" s="31" t="inlineStr">
        <is>
          <t>71-50-03</t>
        </is>
      </c>
      <c r="F1920" s="31" t="inlineStr">
        <is>
          <t>F</t>
        </is>
      </c>
      <c r="G1920" s="31" t="inlineStr">
        <is>
          <t>Other / assembly</t>
        </is>
      </c>
      <c r="H1920" s="27" t="n">
        <v>8360</v>
      </c>
      <c r="I1920" s="27" t="n">
        <v>8865</v>
      </c>
      <c r="J1920" s="154">
        <f>I1920/H1920-1</f>
        <v/>
      </c>
      <c r="K1920" s="31" t="inlineStr">
        <is>
          <t>19</t>
        </is>
      </c>
      <c r="L1920" s="31" t="inlineStr">
        <is>
          <t>19</t>
        </is>
      </c>
      <c r="M1920" s="31" t="inlineStr">
        <is>
          <t>S2</t>
        </is>
      </c>
      <c r="N1920" s="31" t="inlineStr">
        <is>
          <t>S4</t>
        </is>
      </c>
      <c r="O1920" s="31" t="inlineStr">
        <is>
          <t>642W9811-505</t>
        </is>
      </c>
      <c r="P1920" s="31" t="inlineStr">
        <is>
          <t>SR Technics Switzerland</t>
        </is>
      </c>
    </row>
    <row r="1921">
      <c r="B1921" s="31" t="inlineStr">
        <is>
          <t>CFM56-5B</t>
        </is>
      </c>
      <c r="C1921" s="31" t="inlineStr">
        <is>
          <t>2025-2026</t>
        </is>
      </c>
      <c r="D1921" s="31" t="inlineStr">
        <is>
          <t>604601</t>
        </is>
      </c>
      <c r="E1921" s="31" t="inlineStr">
        <is>
          <t>71-50-03</t>
        </is>
      </c>
      <c r="F1921" s="31" t="inlineStr">
        <is>
          <t>C</t>
        </is>
      </c>
      <c r="G1921" s="31" t="inlineStr">
        <is>
          <t>Other / assembly</t>
        </is>
      </c>
      <c r="H1921" s="27" t="n">
        <v>385</v>
      </c>
      <c r="I1921" s="27" t="n">
        <v>410</v>
      </c>
      <c r="J1921" s="154">
        <f>I1921/H1921-1</f>
        <v/>
      </c>
      <c r="K1921" s="31" t="inlineStr">
        <is>
          <t>19</t>
        </is>
      </c>
      <c r="L1921" s="31" t="inlineStr">
        <is>
          <t>19</t>
        </is>
      </c>
      <c r="M1921" s="31" t="inlineStr">
        <is>
          <t>S2</t>
        </is>
      </c>
      <c r="N1921" s="31" t="inlineStr">
        <is>
          <t>S4</t>
        </is>
      </c>
      <c r="O1921" s="31" t="inlineStr">
        <is>
          <t>642W9812-505</t>
        </is>
      </c>
      <c r="P1921" s="31" t="inlineStr">
        <is>
          <t>SR Technics Switzerland</t>
        </is>
      </c>
    </row>
    <row r="1922">
      <c r="B1922" s="31" t="inlineStr">
        <is>
          <t>CFM56-5B</t>
        </is>
      </c>
      <c r="C1922" s="31" t="inlineStr">
        <is>
          <t>2025-2026</t>
        </is>
      </c>
      <c r="D1922" s="31" t="inlineStr">
        <is>
          <t>604601</t>
        </is>
      </c>
      <c r="E1922" s="31" t="inlineStr">
        <is>
          <t>71-50-03</t>
        </is>
      </c>
      <c r="F1922" s="31" t="inlineStr">
        <is>
          <t>D</t>
        </is>
      </c>
      <c r="G1922" s="31" t="inlineStr">
        <is>
          <t>Other / assembly</t>
        </is>
      </c>
      <c r="H1922" s="27" t="n">
        <v>1265</v>
      </c>
      <c r="I1922" s="27" t="n">
        <v>1345</v>
      </c>
      <c r="J1922" s="154">
        <f>I1922/H1922-1</f>
        <v/>
      </c>
      <c r="K1922" s="31" t="inlineStr">
        <is>
          <t>19</t>
        </is>
      </c>
      <c r="L1922" s="31" t="inlineStr">
        <is>
          <t>19</t>
        </is>
      </c>
      <c r="M1922" s="31" t="inlineStr">
        <is>
          <t>S2</t>
        </is>
      </c>
      <c r="N1922" s="31" t="inlineStr">
        <is>
          <t>S4</t>
        </is>
      </c>
      <c r="O1922" s="31" t="inlineStr">
        <is>
          <t>642W9812-505</t>
        </is>
      </c>
      <c r="P1922" s="31" t="inlineStr">
        <is>
          <t>SR Technics Switzerland</t>
        </is>
      </c>
    </row>
    <row r="1923">
      <c r="B1923" s="31" t="inlineStr">
        <is>
          <t>CFM56-5B</t>
        </is>
      </c>
      <c r="C1923" s="31" t="inlineStr">
        <is>
          <t>2025-2026</t>
        </is>
      </c>
      <c r="D1923" s="31" t="inlineStr">
        <is>
          <t>604601</t>
        </is>
      </c>
      <c r="E1923" s="31" t="inlineStr">
        <is>
          <t>71-50-03</t>
        </is>
      </c>
      <c r="F1923" s="31" t="inlineStr">
        <is>
          <t>E</t>
        </is>
      </c>
      <c r="G1923" s="31" t="inlineStr">
        <is>
          <t>Other / assembly</t>
        </is>
      </c>
      <c r="H1923" s="27" t="n">
        <v>3290</v>
      </c>
      <c r="I1923" s="27" t="n">
        <v>3490</v>
      </c>
      <c r="J1923" s="154">
        <f>I1923/H1923-1</f>
        <v/>
      </c>
      <c r="K1923" s="31" t="inlineStr">
        <is>
          <t>19</t>
        </is>
      </c>
      <c r="L1923" s="31" t="inlineStr">
        <is>
          <t>19</t>
        </is>
      </c>
      <c r="M1923" s="31" t="inlineStr">
        <is>
          <t>S2</t>
        </is>
      </c>
      <c r="N1923" s="31" t="inlineStr">
        <is>
          <t>S4</t>
        </is>
      </c>
      <c r="O1923" s="31" t="inlineStr">
        <is>
          <t>642W9812-505</t>
        </is>
      </c>
      <c r="P1923" s="31" t="inlineStr">
        <is>
          <t>SR Technics Switzerland</t>
        </is>
      </c>
    </row>
    <row r="1924">
      <c r="B1924" s="31" t="inlineStr">
        <is>
          <t>CFM56-5B</t>
        </is>
      </c>
      <c r="C1924" s="31" t="inlineStr">
        <is>
          <t>2025-2026</t>
        </is>
      </c>
      <c r="D1924" s="31" t="inlineStr">
        <is>
          <t>604601</t>
        </is>
      </c>
      <c r="E1924" s="31" t="inlineStr">
        <is>
          <t>71-50-03</t>
        </is>
      </c>
      <c r="F1924" s="31" t="inlineStr">
        <is>
          <t>F</t>
        </is>
      </c>
      <c r="G1924" s="31" t="inlineStr">
        <is>
          <t>Other / assembly</t>
        </is>
      </c>
      <c r="H1924" s="27" t="n">
        <v>3995</v>
      </c>
      <c r="I1924" s="27" t="n">
        <v>4235</v>
      </c>
      <c r="J1924" s="154">
        <f>I1924/H1924-1</f>
        <v/>
      </c>
      <c r="K1924" s="31" t="inlineStr">
        <is>
          <t>19</t>
        </is>
      </c>
      <c r="L1924" s="31" t="inlineStr">
        <is>
          <t>19</t>
        </is>
      </c>
      <c r="M1924" s="31" t="inlineStr">
        <is>
          <t>S2</t>
        </is>
      </c>
      <c r="N1924" s="31" t="inlineStr">
        <is>
          <t>S4</t>
        </is>
      </c>
      <c r="O1924" s="31" t="inlineStr">
        <is>
          <t>642W9812-505</t>
        </is>
      </c>
      <c r="P1924" s="31" t="inlineStr">
        <is>
          <t>SR Technics Switzerland</t>
        </is>
      </c>
    </row>
    <row r="1925">
      <c r="B1925" s="31" t="inlineStr">
        <is>
          <t>CFM56-5B</t>
        </is>
      </c>
      <c r="C1925" s="31" t="inlineStr">
        <is>
          <t>2025-2026</t>
        </is>
      </c>
      <c r="D1925" s="31" t="inlineStr">
        <is>
          <t>604602</t>
        </is>
      </c>
      <c r="E1925" s="31" t="inlineStr">
        <is>
          <t>71-50-03</t>
        </is>
      </c>
      <c r="F1925" s="31" t="inlineStr">
        <is>
          <t>C</t>
        </is>
      </c>
      <c r="G1925" s="31" t="inlineStr">
        <is>
          <t>Other / assembly</t>
        </is>
      </c>
      <c r="H1925" s="27" t="n">
        <v>385</v>
      </c>
      <c r="I1925" s="27" t="n">
        <v>410</v>
      </c>
      <c r="J1925" s="154">
        <f>I1925/H1925-1</f>
        <v/>
      </c>
      <c r="K1925" s="31" t="inlineStr">
        <is>
          <t>19</t>
        </is>
      </c>
      <c r="L1925" s="31" t="inlineStr">
        <is>
          <t>19</t>
        </is>
      </c>
      <c r="M1925" s="31" t="inlineStr">
        <is>
          <t>S2</t>
        </is>
      </c>
      <c r="N1925" s="31" t="inlineStr">
        <is>
          <t>S4</t>
        </is>
      </c>
      <c r="O1925" s="31" t="inlineStr">
        <is>
          <t>642W9813-505</t>
        </is>
      </c>
      <c r="P1925" s="31" t="inlineStr">
        <is>
          <t>SR Technics Switzerland</t>
        </is>
      </c>
    </row>
    <row r="1926">
      <c r="B1926" s="31" t="inlineStr">
        <is>
          <t>CFM56-5B</t>
        </is>
      </c>
      <c r="C1926" s="31" t="inlineStr">
        <is>
          <t>2025-2026</t>
        </is>
      </c>
      <c r="D1926" s="31" t="inlineStr">
        <is>
          <t>604602</t>
        </is>
      </c>
      <c r="E1926" s="31" t="inlineStr">
        <is>
          <t>71-50-03</t>
        </is>
      </c>
      <c r="F1926" s="31" t="inlineStr">
        <is>
          <t>D</t>
        </is>
      </c>
      <c r="G1926" s="31" t="inlineStr">
        <is>
          <t>Other / assembly</t>
        </is>
      </c>
      <c r="H1926" s="27" t="n">
        <v>1265</v>
      </c>
      <c r="I1926" s="27" t="n">
        <v>1345</v>
      </c>
      <c r="J1926" s="154">
        <f>I1926/H1926-1</f>
        <v/>
      </c>
      <c r="K1926" s="31" t="inlineStr">
        <is>
          <t>19</t>
        </is>
      </c>
      <c r="L1926" s="31" t="inlineStr">
        <is>
          <t>19</t>
        </is>
      </c>
      <c r="M1926" s="31" t="inlineStr">
        <is>
          <t>S2</t>
        </is>
      </c>
      <c r="N1926" s="31" t="inlineStr">
        <is>
          <t>S4</t>
        </is>
      </c>
      <c r="O1926" s="31" t="inlineStr">
        <is>
          <t>642W9813-505</t>
        </is>
      </c>
      <c r="P1926" s="31" t="inlineStr">
        <is>
          <t>SR Technics Switzerland</t>
        </is>
      </c>
    </row>
    <row r="1927">
      <c r="B1927" s="31" t="inlineStr">
        <is>
          <t>CFM56-5B</t>
        </is>
      </c>
      <c r="C1927" s="31" t="inlineStr">
        <is>
          <t>2025-2026</t>
        </is>
      </c>
      <c r="D1927" s="31" t="inlineStr">
        <is>
          <t>604602</t>
        </is>
      </c>
      <c r="E1927" s="31" t="inlineStr">
        <is>
          <t>71-50-03</t>
        </is>
      </c>
      <c r="F1927" s="31" t="inlineStr">
        <is>
          <t>E</t>
        </is>
      </c>
      <c r="G1927" s="31" t="inlineStr">
        <is>
          <t>Other / assembly</t>
        </is>
      </c>
      <c r="H1927" s="27" t="n">
        <v>3290</v>
      </c>
      <c r="I1927" s="27" t="n">
        <v>3490</v>
      </c>
      <c r="J1927" s="154">
        <f>I1927/H1927-1</f>
        <v/>
      </c>
      <c r="K1927" s="31" t="inlineStr">
        <is>
          <t>19</t>
        </is>
      </c>
      <c r="L1927" s="31" t="inlineStr">
        <is>
          <t>20</t>
        </is>
      </c>
      <c r="M1927" s="31" t="inlineStr">
        <is>
          <t>S2</t>
        </is>
      </c>
      <c r="N1927" s="31" t="inlineStr">
        <is>
          <t>S4</t>
        </is>
      </c>
      <c r="O1927" s="31" t="inlineStr">
        <is>
          <t>642W9813-505</t>
        </is>
      </c>
      <c r="P1927" s="31" t="inlineStr">
        <is>
          <t>SR Technics Switzerland</t>
        </is>
      </c>
    </row>
    <row r="1928">
      <c r="B1928" s="31" t="inlineStr">
        <is>
          <t>CFM56-5B</t>
        </is>
      </c>
      <c r="C1928" s="31" t="inlineStr">
        <is>
          <t>2025-2026</t>
        </is>
      </c>
      <c r="D1928" s="31" t="inlineStr">
        <is>
          <t>604602</t>
        </is>
      </c>
      <c r="E1928" s="31" t="inlineStr">
        <is>
          <t>71-50-03</t>
        </is>
      </c>
      <c r="F1928" s="31" t="inlineStr">
        <is>
          <t>F</t>
        </is>
      </c>
      <c r="G1928" s="31" t="inlineStr">
        <is>
          <t>Other / assembly</t>
        </is>
      </c>
      <c r="H1928" s="27" t="n">
        <v>3995</v>
      </c>
      <c r="I1928" s="27" t="n">
        <v>4235</v>
      </c>
      <c r="J1928" s="154">
        <f>I1928/H1928-1</f>
        <v/>
      </c>
      <c r="K1928" s="31" t="inlineStr">
        <is>
          <t>19</t>
        </is>
      </c>
      <c r="L1928" s="31" t="inlineStr">
        <is>
          <t>20</t>
        </is>
      </c>
      <c r="M1928" s="31" t="inlineStr">
        <is>
          <t>S2</t>
        </is>
      </c>
      <c r="N1928" s="31" t="inlineStr">
        <is>
          <t>S4</t>
        </is>
      </c>
      <c r="O1928" s="31" t="inlineStr">
        <is>
          <t>642W9813-505</t>
        </is>
      </c>
      <c r="P1928" s="31" t="inlineStr">
        <is>
          <t>SR Technics Switzerland</t>
        </is>
      </c>
    </row>
    <row r="1929">
      <c r="B1929" s="31" t="inlineStr">
        <is>
          <t>CFM56-5B</t>
        </is>
      </c>
      <c r="C1929" s="31" t="inlineStr">
        <is>
          <t>2025-2026</t>
        </is>
      </c>
      <c r="D1929" s="31" t="inlineStr">
        <is>
          <t>604603</t>
        </is>
      </c>
      <c r="E1929" s="31" t="inlineStr">
        <is>
          <t>71-50-03</t>
        </is>
      </c>
      <c r="F1929" s="31" t="inlineStr">
        <is>
          <t>C</t>
        </is>
      </c>
      <c r="G1929" s="31" t="inlineStr">
        <is>
          <t>Other / assembly</t>
        </is>
      </c>
      <c r="H1929" s="27" t="n">
        <v>385</v>
      </c>
      <c r="I1929" s="27" t="n">
        <v>410</v>
      </c>
      <c r="J1929" s="154">
        <f>I1929/H1929-1</f>
        <v/>
      </c>
      <c r="K1929" s="31" t="inlineStr">
        <is>
          <t>19</t>
        </is>
      </c>
      <c r="L1929" s="31" t="inlineStr">
        <is>
          <t>20</t>
        </is>
      </c>
      <c r="M1929" s="31" t="inlineStr">
        <is>
          <t>S2</t>
        </is>
      </c>
      <c r="N1929" s="31" t="inlineStr">
        <is>
          <t>S4</t>
        </is>
      </c>
      <c r="O1929" s="31" t="inlineStr">
        <is>
          <t>642W9814-503</t>
        </is>
      </c>
      <c r="P1929" s="31" t="inlineStr">
        <is>
          <t>SR Technics Switzerland</t>
        </is>
      </c>
    </row>
    <row r="1930">
      <c r="B1930" s="31" t="inlineStr">
        <is>
          <t>CFM56-5B</t>
        </is>
      </c>
      <c r="C1930" s="31" t="inlineStr">
        <is>
          <t>2025-2026</t>
        </is>
      </c>
      <c r="D1930" s="31" t="inlineStr">
        <is>
          <t>604603</t>
        </is>
      </c>
      <c r="E1930" s="31" t="inlineStr">
        <is>
          <t>71-50-03</t>
        </is>
      </c>
      <c r="F1930" s="31" t="inlineStr">
        <is>
          <t>D</t>
        </is>
      </c>
      <c r="G1930" s="31" t="inlineStr">
        <is>
          <t>Other / assembly</t>
        </is>
      </c>
      <c r="H1930" s="27" t="n">
        <v>1265</v>
      </c>
      <c r="I1930" s="27" t="n">
        <v>1345</v>
      </c>
      <c r="J1930" s="154">
        <f>I1930/H1930-1</f>
        <v/>
      </c>
      <c r="K1930" s="31" t="inlineStr">
        <is>
          <t>19</t>
        </is>
      </c>
      <c r="L1930" s="31" t="inlineStr">
        <is>
          <t>20</t>
        </is>
      </c>
      <c r="M1930" s="31" t="inlineStr">
        <is>
          <t>S2</t>
        </is>
      </c>
      <c r="N1930" s="31" t="inlineStr">
        <is>
          <t>S4</t>
        </is>
      </c>
      <c r="O1930" s="31" t="inlineStr">
        <is>
          <t>642W9814-503</t>
        </is>
      </c>
      <c r="P1930" s="31" t="inlineStr">
        <is>
          <t>SR Technics Switzerland</t>
        </is>
      </c>
    </row>
    <row r="1931">
      <c r="B1931" s="31" t="inlineStr">
        <is>
          <t>CFM56-5B</t>
        </is>
      </c>
      <c r="C1931" s="31" t="inlineStr">
        <is>
          <t>2025-2026</t>
        </is>
      </c>
      <c r="D1931" s="31" t="inlineStr">
        <is>
          <t>604603</t>
        </is>
      </c>
      <c r="E1931" s="31" t="inlineStr">
        <is>
          <t>71-50-03</t>
        </is>
      </c>
      <c r="F1931" s="31" t="inlineStr">
        <is>
          <t>E</t>
        </is>
      </c>
      <c r="G1931" s="31" t="inlineStr">
        <is>
          <t>Other / assembly</t>
        </is>
      </c>
      <c r="H1931" s="27" t="n">
        <v>5030</v>
      </c>
      <c r="I1931" s="27" t="n">
        <v>5335</v>
      </c>
      <c r="J1931" s="154">
        <f>I1931/H1931-1</f>
        <v/>
      </c>
      <c r="K1931" s="31" t="inlineStr">
        <is>
          <t>19</t>
        </is>
      </c>
      <c r="L1931" s="31" t="inlineStr">
        <is>
          <t>20</t>
        </is>
      </c>
      <c r="M1931" s="31" t="inlineStr">
        <is>
          <t>S2</t>
        </is>
      </c>
      <c r="N1931" s="31" t="inlineStr">
        <is>
          <t>S4</t>
        </is>
      </c>
      <c r="O1931" s="31" t="inlineStr">
        <is>
          <t>642W9814-503</t>
        </is>
      </c>
      <c r="P1931" s="31" t="inlineStr">
        <is>
          <t>SR Technics Switzerland</t>
        </is>
      </c>
    </row>
    <row r="1932">
      <c r="B1932" s="31" t="inlineStr">
        <is>
          <t>CFM56-5B</t>
        </is>
      </c>
      <c r="C1932" s="31" t="inlineStr">
        <is>
          <t>2025-2026</t>
        </is>
      </c>
      <c r="D1932" s="31" t="inlineStr">
        <is>
          <t>604603</t>
        </is>
      </c>
      <c r="E1932" s="31" t="inlineStr">
        <is>
          <t>71-50-03</t>
        </is>
      </c>
      <c r="F1932" s="31" t="inlineStr">
        <is>
          <t>F</t>
        </is>
      </c>
      <c r="G1932" s="31" t="inlineStr">
        <is>
          <t>Other / assembly</t>
        </is>
      </c>
      <c r="H1932" s="27" t="n">
        <v>7545</v>
      </c>
      <c r="I1932" s="27" t="n">
        <v>8000</v>
      </c>
      <c r="J1932" s="154">
        <f>I1932/H1932-1</f>
        <v/>
      </c>
      <c r="K1932" s="31" t="inlineStr">
        <is>
          <t>19</t>
        </is>
      </c>
      <c r="L1932" s="31" t="inlineStr">
        <is>
          <t>20</t>
        </is>
      </c>
      <c r="M1932" s="31" t="inlineStr">
        <is>
          <t>S2</t>
        </is>
      </c>
      <c r="N1932" s="31" t="inlineStr">
        <is>
          <t>S4</t>
        </is>
      </c>
      <c r="O1932" s="31" t="inlineStr">
        <is>
          <t>642W9814-503</t>
        </is>
      </c>
      <c r="P1932" s="31" t="inlineStr">
        <is>
          <t>SR Technics Switzerland</t>
        </is>
      </c>
    </row>
    <row r="1933">
      <c r="B1933" s="31" t="inlineStr">
        <is>
          <t>CFM56-5B</t>
        </is>
      </c>
      <c r="C1933" s="31" t="inlineStr">
        <is>
          <t>2025-2026</t>
        </is>
      </c>
      <c r="D1933" s="31" t="inlineStr">
        <is>
          <t>604604</t>
        </is>
      </c>
      <c r="E1933" s="31" t="inlineStr">
        <is>
          <t>71-50-03</t>
        </is>
      </c>
      <c r="F1933" s="31" t="inlineStr">
        <is>
          <t>C</t>
        </is>
      </c>
      <c r="G1933" s="31" t="inlineStr">
        <is>
          <t>Other / assembly</t>
        </is>
      </c>
      <c r="H1933" s="27" t="n">
        <v>420</v>
      </c>
      <c r="I1933" s="27" t="n">
        <v>450</v>
      </c>
      <c r="J1933" s="154">
        <f>I1933/H1933-1</f>
        <v/>
      </c>
      <c r="K1933" s="31" t="inlineStr">
        <is>
          <t>19</t>
        </is>
      </c>
      <c r="L1933" s="31" t="inlineStr">
        <is>
          <t>57</t>
        </is>
      </c>
      <c r="M1933" s="31" t="inlineStr">
        <is>
          <t>S2</t>
        </is>
      </c>
      <c r="N1933" s="31" t="inlineStr">
        <is>
          <t>S4</t>
        </is>
      </c>
      <c r="O1933" s="31" t="inlineStr">
        <is>
          <t>642W9815-503</t>
        </is>
      </c>
      <c r="P1933" s="31" t="inlineStr">
        <is>
          <t>SR Technics Switzerland</t>
        </is>
      </c>
    </row>
    <row r="1934">
      <c r="B1934" s="31" t="inlineStr">
        <is>
          <t>CFM56-5B</t>
        </is>
      </c>
      <c r="C1934" s="31" t="inlineStr">
        <is>
          <t>2025-2026</t>
        </is>
      </c>
      <c r="D1934" s="31" t="inlineStr">
        <is>
          <t>604604</t>
        </is>
      </c>
      <c r="E1934" s="31" t="inlineStr">
        <is>
          <t>71-50-03</t>
        </is>
      </c>
      <c r="F1934" s="31" t="inlineStr">
        <is>
          <t>D</t>
        </is>
      </c>
      <c r="G1934" s="31" t="inlineStr">
        <is>
          <t>Other / assembly</t>
        </is>
      </c>
      <c r="H1934" s="27" t="n">
        <v>1585</v>
      </c>
      <c r="I1934" s="27" t="n">
        <v>1685</v>
      </c>
      <c r="J1934" s="154">
        <f>I1934/H1934-1</f>
        <v/>
      </c>
      <c r="K1934" s="31" t="inlineStr">
        <is>
          <t>19</t>
        </is>
      </c>
      <c r="L1934" s="31" t="inlineStr">
        <is>
          <t>57</t>
        </is>
      </c>
      <c r="M1934" s="31" t="inlineStr">
        <is>
          <t>S2</t>
        </is>
      </c>
      <c r="N1934" s="31" t="inlineStr">
        <is>
          <t>S4</t>
        </is>
      </c>
      <c r="O1934" s="31" t="inlineStr">
        <is>
          <t>642W9815-503</t>
        </is>
      </c>
      <c r="P1934" s="31" t="inlineStr">
        <is>
          <t>SR Technics Switzerland</t>
        </is>
      </c>
    </row>
    <row r="1935">
      <c r="B1935" s="31" t="inlineStr">
        <is>
          <t>CFM56-5B</t>
        </is>
      </c>
      <c r="C1935" s="31" t="inlineStr">
        <is>
          <t>2025-2026</t>
        </is>
      </c>
      <c r="D1935" s="31" t="inlineStr">
        <is>
          <t>604604</t>
        </is>
      </c>
      <c r="E1935" s="31" t="inlineStr">
        <is>
          <t>71-50-03</t>
        </is>
      </c>
      <c r="F1935" s="31" t="inlineStr">
        <is>
          <t>E</t>
        </is>
      </c>
      <c r="G1935" s="31" t="inlineStr">
        <is>
          <t>Other / assembly</t>
        </is>
      </c>
      <c r="H1935" s="27" t="n">
        <v>5710</v>
      </c>
      <c r="I1935" s="27" t="n">
        <v>6055</v>
      </c>
      <c r="J1935" s="154">
        <f>I1935/H1935-1</f>
        <v/>
      </c>
      <c r="K1935" s="31" t="inlineStr">
        <is>
          <t>19</t>
        </is>
      </c>
      <c r="L1935" s="31" t="inlineStr">
        <is>
          <t>57</t>
        </is>
      </c>
      <c r="M1935" s="31" t="inlineStr">
        <is>
          <t>S2</t>
        </is>
      </c>
      <c r="N1935" s="31" t="inlineStr">
        <is>
          <t>S4</t>
        </is>
      </c>
      <c r="O1935" s="31" t="inlineStr">
        <is>
          <t>642W9815-503</t>
        </is>
      </c>
      <c r="P1935" s="31" t="inlineStr">
        <is>
          <t>SR Technics Switzerland</t>
        </is>
      </c>
    </row>
    <row r="1936">
      <c r="B1936" s="31" t="inlineStr">
        <is>
          <t>CFM56-5B</t>
        </is>
      </c>
      <c r="C1936" s="31" t="inlineStr">
        <is>
          <t>2025-2026</t>
        </is>
      </c>
      <c r="D1936" s="31" t="inlineStr">
        <is>
          <t>604604</t>
        </is>
      </c>
      <c r="E1936" s="31" t="inlineStr">
        <is>
          <t>71-50-03</t>
        </is>
      </c>
      <c r="F1936" s="31" t="inlineStr">
        <is>
          <t>F</t>
        </is>
      </c>
      <c r="G1936" s="31" t="inlineStr">
        <is>
          <t>Other / assembly</t>
        </is>
      </c>
      <c r="H1936" s="27" t="n">
        <v>7540</v>
      </c>
      <c r="I1936" s="27" t="n">
        <v>7995</v>
      </c>
      <c r="J1936" s="154">
        <f>I1936/H1936-1</f>
        <v/>
      </c>
      <c r="K1936" s="31" t="inlineStr">
        <is>
          <t>19</t>
        </is>
      </c>
      <c r="L1936" s="31" t="inlineStr">
        <is>
          <t>57</t>
        </is>
      </c>
      <c r="M1936" s="31" t="inlineStr">
        <is>
          <t>S2</t>
        </is>
      </c>
      <c r="N1936" s="31" t="inlineStr">
        <is>
          <t>S4</t>
        </is>
      </c>
      <c r="O1936" s="31" t="inlineStr">
        <is>
          <t>642W9815-503</t>
        </is>
      </c>
      <c r="P1936" s="31" t="inlineStr">
        <is>
          <t>SR Technics Switzerland</t>
        </is>
      </c>
    </row>
    <row r="1937">
      <c r="B1937" s="31" t="inlineStr">
        <is>
          <t>CFM56-5B</t>
        </is>
      </c>
      <c r="C1937" s="31" t="inlineStr">
        <is>
          <t>2025-2026</t>
        </is>
      </c>
      <c r="D1937" s="31" t="inlineStr">
        <is>
          <t>604605</t>
        </is>
      </c>
      <c r="E1937" s="31" t="inlineStr">
        <is>
          <t>71-50-03</t>
        </is>
      </c>
      <c r="F1937" s="31" t="inlineStr">
        <is>
          <t>C</t>
        </is>
      </c>
      <c r="G1937" s="31" t="inlineStr">
        <is>
          <t>Other / assembly</t>
        </is>
      </c>
      <c r="H1937" s="27" t="n">
        <v>385</v>
      </c>
      <c r="I1937" s="27" t="n">
        <v>410</v>
      </c>
      <c r="J1937" s="154">
        <f>I1937/H1937-1</f>
        <v/>
      </c>
      <c r="K1937" s="31" t="inlineStr">
        <is>
          <t>19</t>
        </is>
      </c>
      <c r="L1937" s="31" t="inlineStr">
        <is>
          <t>20</t>
        </is>
      </c>
      <c r="M1937" s="31" t="inlineStr">
        <is>
          <t>S2</t>
        </is>
      </c>
      <c r="N1937" s="31" t="inlineStr">
        <is>
          <t>S4</t>
        </is>
      </c>
      <c r="O1937" s="31" t="inlineStr">
        <is>
          <t>642W9817-501</t>
        </is>
      </c>
      <c r="P1937" s="31" t="inlineStr">
        <is>
          <t>SR Technics Switzerland</t>
        </is>
      </c>
    </row>
    <row r="1938">
      <c r="B1938" s="31" t="inlineStr">
        <is>
          <t>CFM56-5B</t>
        </is>
      </c>
      <c r="C1938" s="31" t="inlineStr">
        <is>
          <t>2025-2026</t>
        </is>
      </c>
      <c r="D1938" s="31" t="inlineStr">
        <is>
          <t>604605</t>
        </is>
      </c>
      <c r="E1938" s="31" t="inlineStr">
        <is>
          <t>71-50-03</t>
        </is>
      </c>
      <c r="F1938" s="31" t="inlineStr">
        <is>
          <t>D</t>
        </is>
      </c>
      <c r="G1938" s="31" t="inlineStr">
        <is>
          <t>Other / assembly</t>
        </is>
      </c>
      <c r="H1938" s="27" t="n">
        <v>895</v>
      </c>
      <c r="I1938" s="27" t="n">
        <v>950</v>
      </c>
      <c r="J1938" s="154">
        <f>I1938/H1938-1</f>
        <v/>
      </c>
      <c r="K1938" s="31" t="inlineStr">
        <is>
          <t>19</t>
        </is>
      </c>
      <c r="L1938" s="31" t="inlineStr">
        <is>
          <t>20</t>
        </is>
      </c>
      <c r="M1938" s="31" t="inlineStr">
        <is>
          <t>S2</t>
        </is>
      </c>
      <c r="N1938" s="31" t="inlineStr">
        <is>
          <t>S4</t>
        </is>
      </c>
      <c r="O1938" s="31" t="inlineStr">
        <is>
          <t>642W9817-501</t>
        </is>
      </c>
      <c r="P1938" s="31" t="inlineStr">
        <is>
          <t>SR Technics Switzerland</t>
        </is>
      </c>
    </row>
    <row r="1939">
      <c r="B1939" s="31" t="inlineStr">
        <is>
          <t>CFM56-5B</t>
        </is>
      </c>
      <c r="C1939" s="31" t="inlineStr">
        <is>
          <t>2025-2026</t>
        </is>
      </c>
      <c r="D1939" s="31" t="inlineStr">
        <is>
          <t>604605</t>
        </is>
      </c>
      <c r="E1939" s="31" t="inlineStr">
        <is>
          <t>71-50-03</t>
        </is>
      </c>
      <c r="F1939" s="31" t="inlineStr">
        <is>
          <t>E</t>
        </is>
      </c>
      <c r="G1939" s="31" t="inlineStr">
        <is>
          <t>Other / assembly</t>
        </is>
      </c>
      <c r="H1939" s="27" t="n">
        <v>1890</v>
      </c>
      <c r="I1939" s="27" t="n">
        <v>2005</v>
      </c>
      <c r="J1939" s="154">
        <f>I1939/H1939-1</f>
        <v/>
      </c>
      <c r="K1939" s="31" t="inlineStr">
        <is>
          <t>19</t>
        </is>
      </c>
      <c r="L1939" s="31" t="inlineStr">
        <is>
          <t>20</t>
        </is>
      </c>
      <c r="M1939" s="31" t="inlineStr">
        <is>
          <t>S2</t>
        </is>
      </c>
      <c r="N1939" s="31" t="inlineStr">
        <is>
          <t>S4</t>
        </is>
      </c>
      <c r="O1939" s="31" t="inlineStr">
        <is>
          <t>642W9817-501</t>
        </is>
      </c>
      <c r="P1939" s="31" t="inlineStr">
        <is>
          <t>SR Technics Switzerland</t>
        </is>
      </c>
    </row>
    <row r="1940">
      <c r="B1940" s="31" t="inlineStr">
        <is>
          <t>CFM56-5B</t>
        </is>
      </c>
      <c r="C1940" s="31" t="inlineStr">
        <is>
          <t>2025-2026</t>
        </is>
      </c>
      <c r="D1940" s="31" t="inlineStr">
        <is>
          <t>604605</t>
        </is>
      </c>
      <c r="E1940" s="31" t="inlineStr">
        <is>
          <t>71-50-03</t>
        </is>
      </c>
      <c r="F1940" s="31" t="inlineStr">
        <is>
          <t>F</t>
        </is>
      </c>
      <c r="G1940" s="31" t="inlineStr">
        <is>
          <t>Other / assembly</t>
        </is>
      </c>
      <c r="H1940" s="27" t="n">
        <v>3525</v>
      </c>
      <c r="I1940" s="27" t="n">
        <v>3740</v>
      </c>
      <c r="J1940" s="154">
        <f>I1940/H1940-1</f>
        <v/>
      </c>
      <c r="K1940" s="31" t="inlineStr">
        <is>
          <t>19</t>
        </is>
      </c>
      <c r="L1940" s="31" t="inlineStr">
        <is>
          <t>20</t>
        </is>
      </c>
      <c r="M1940" s="31" t="inlineStr">
        <is>
          <t>S2</t>
        </is>
      </c>
      <c r="N1940" s="31" t="inlineStr">
        <is>
          <t>S4</t>
        </is>
      </c>
      <c r="O1940" s="31" t="inlineStr">
        <is>
          <t>642W9817-501</t>
        </is>
      </c>
      <c r="P1940" s="31" t="inlineStr">
        <is>
          <t>SR Technics Switzerland</t>
        </is>
      </c>
    </row>
    <row r="1941">
      <c r="B1941" s="31" t="inlineStr">
        <is>
          <t>CFM56-5B</t>
        </is>
      </c>
      <c r="C1941" s="31" t="inlineStr">
        <is>
          <t>2025-2026</t>
        </is>
      </c>
      <c r="D1941" s="31" t="inlineStr">
        <is>
          <t>604606</t>
        </is>
      </c>
      <c r="E1941" s="31" t="inlineStr">
        <is>
          <t>71-50-03</t>
        </is>
      </c>
      <c r="F1941" s="31" t="inlineStr">
        <is>
          <t>C</t>
        </is>
      </c>
      <c r="G1941" s="31" t="inlineStr">
        <is>
          <t>Other / assembly</t>
        </is>
      </c>
      <c r="H1941" s="27" t="n">
        <v>385</v>
      </c>
      <c r="I1941" s="27" t="n">
        <v>410</v>
      </c>
      <c r="J1941" s="154">
        <f>I1941/H1941-1</f>
        <v/>
      </c>
      <c r="K1941" s="31" t="inlineStr">
        <is>
          <t>19</t>
        </is>
      </c>
      <c r="L1941" s="31" t="inlineStr">
        <is>
          <t>20</t>
        </is>
      </c>
      <c r="M1941" s="31" t="inlineStr">
        <is>
          <t>S2</t>
        </is>
      </c>
      <c r="N1941" s="31" t="inlineStr">
        <is>
          <t>S4</t>
        </is>
      </c>
      <c r="O1941" s="31" t="inlineStr">
        <is>
          <t>642W9818-503</t>
        </is>
      </c>
      <c r="P1941" s="31" t="inlineStr">
        <is>
          <t>SR Technics Switzerland</t>
        </is>
      </c>
    </row>
    <row r="1942">
      <c r="B1942" s="31" t="inlineStr">
        <is>
          <t>CFM56-5B</t>
        </is>
      </c>
      <c r="C1942" s="31" t="inlineStr">
        <is>
          <t>2025-2026</t>
        </is>
      </c>
      <c r="D1942" s="31" t="inlineStr">
        <is>
          <t>604606</t>
        </is>
      </c>
      <c r="E1942" s="31" t="inlineStr">
        <is>
          <t>71-50-03</t>
        </is>
      </c>
      <c r="F1942" s="31" t="inlineStr">
        <is>
          <t>D</t>
        </is>
      </c>
      <c r="G1942" s="31" t="inlineStr">
        <is>
          <t>Other / assembly</t>
        </is>
      </c>
      <c r="H1942" s="27" t="n">
        <v>1265</v>
      </c>
      <c r="I1942" s="27" t="n">
        <v>1345</v>
      </c>
      <c r="J1942" s="154">
        <f>I1942/H1942-1</f>
        <v/>
      </c>
      <c r="K1942" s="31" t="inlineStr">
        <is>
          <t>19</t>
        </is>
      </c>
      <c r="L1942" s="31" t="inlineStr">
        <is>
          <t>20</t>
        </is>
      </c>
      <c r="M1942" s="31" t="inlineStr">
        <is>
          <t>S2</t>
        </is>
      </c>
      <c r="N1942" s="31" t="inlineStr">
        <is>
          <t>S4</t>
        </is>
      </c>
      <c r="O1942" s="31" t="inlineStr">
        <is>
          <t>642W9818-503</t>
        </is>
      </c>
      <c r="P1942" s="31" t="inlineStr">
        <is>
          <t>SR Technics Switzerland</t>
        </is>
      </c>
    </row>
    <row r="1943">
      <c r="B1943" s="31" t="inlineStr">
        <is>
          <t>CFM56-5B</t>
        </is>
      </c>
      <c r="C1943" s="31" t="inlineStr">
        <is>
          <t>2025-2026</t>
        </is>
      </c>
      <c r="D1943" s="31" t="inlineStr">
        <is>
          <t>604606</t>
        </is>
      </c>
      <c r="E1943" s="31" t="inlineStr">
        <is>
          <t>71-50-03</t>
        </is>
      </c>
      <c r="F1943" s="31" t="inlineStr">
        <is>
          <t>E</t>
        </is>
      </c>
      <c r="G1943" s="31" t="inlineStr">
        <is>
          <t>Other / assembly</t>
        </is>
      </c>
      <c r="H1943" s="27" t="n">
        <v>2535</v>
      </c>
      <c r="I1943" s="27" t="n">
        <v>2690</v>
      </c>
      <c r="J1943" s="154">
        <f>I1943/H1943-1</f>
        <v/>
      </c>
      <c r="K1943" s="31" t="inlineStr">
        <is>
          <t>19</t>
        </is>
      </c>
      <c r="L1943" s="31" t="inlineStr">
        <is>
          <t>20</t>
        </is>
      </c>
      <c r="M1943" s="31" t="inlineStr">
        <is>
          <t>S2</t>
        </is>
      </c>
      <c r="N1943" s="31" t="inlineStr">
        <is>
          <t>S4</t>
        </is>
      </c>
      <c r="O1943" s="31" t="inlineStr">
        <is>
          <t>642W9818-503</t>
        </is>
      </c>
      <c r="P1943" s="31" t="inlineStr">
        <is>
          <t>SR Technics Switzerland</t>
        </is>
      </c>
    </row>
    <row r="1944">
      <c r="B1944" s="31" t="inlineStr">
        <is>
          <t>CFM56-5B</t>
        </is>
      </c>
      <c r="C1944" s="31" t="inlineStr">
        <is>
          <t>2025-2026</t>
        </is>
      </c>
      <c r="D1944" s="31" t="inlineStr">
        <is>
          <t>604606</t>
        </is>
      </c>
      <c r="E1944" s="31" t="inlineStr">
        <is>
          <t>71-50-03</t>
        </is>
      </c>
      <c r="F1944" s="31" t="inlineStr">
        <is>
          <t>F</t>
        </is>
      </c>
      <c r="G1944" s="31" t="inlineStr">
        <is>
          <t>Other / assembly</t>
        </is>
      </c>
      <c r="H1944" s="27" t="n">
        <v>2825</v>
      </c>
      <c r="I1944" s="27" t="n">
        <v>2995</v>
      </c>
      <c r="J1944" s="154">
        <f>I1944/H1944-1</f>
        <v/>
      </c>
      <c r="K1944" s="31" t="inlineStr">
        <is>
          <t>19</t>
        </is>
      </c>
      <c r="L1944" s="31" t="inlineStr">
        <is>
          <t>20</t>
        </is>
      </c>
      <c r="M1944" s="31" t="inlineStr">
        <is>
          <t>S2</t>
        </is>
      </c>
      <c r="N1944" s="31" t="inlineStr">
        <is>
          <t>S4</t>
        </is>
      </c>
      <c r="O1944" s="31" t="inlineStr">
        <is>
          <t>642W9818-503</t>
        </is>
      </c>
      <c r="P1944" s="31" t="inlineStr">
        <is>
          <t>SR Technics Switzerland</t>
        </is>
      </c>
    </row>
    <row r="1945">
      <c r="B1945" s="31" t="inlineStr">
        <is>
          <t>CFM56-5B</t>
        </is>
      </c>
      <c r="C1945" s="31" t="inlineStr">
        <is>
          <t>2025-2026</t>
        </is>
      </c>
      <c r="D1945" s="31" t="inlineStr">
        <is>
          <t>604607</t>
        </is>
      </c>
      <c r="E1945" s="31" t="inlineStr">
        <is>
          <t>71-50-03</t>
        </is>
      </c>
      <c r="F1945" s="31" t="inlineStr">
        <is>
          <t>C</t>
        </is>
      </c>
      <c r="G1945" s="31" t="inlineStr">
        <is>
          <t>Other / assembly</t>
        </is>
      </c>
      <c r="H1945" s="27" t="n">
        <v>385</v>
      </c>
      <c r="I1945" s="27" t="n">
        <v>410</v>
      </c>
      <c r="J1945" s="154">
        <f>I1945/H1945-1</f>
        <v/>
      </c>
      <c r="K1945" s="31" t="inlineStr">
        <is>
          <t>19</t>
        </is>
      </c>
      <c r="L1945" s="31" t="inlineStr">
        <is>
          <t>20</t>
        </is>
      </c>
      <c r="M1945" s="31" t="inlineStr">
        <is>
          <t>S2</t>
        </is>
      </c>
      <c r="N1945" s="31" t="inlineStr">
        <is>
          <t>S4</t>
        </is>
      </c>
      <c r="O1945" s="31" t="inlineStr">
        <is>
          <t>642W9819-503</t>
        </is>
      </c>
      <c r="P1945" s="31" t="inlineStr">
        <is>
          <t>SR Technics Switzerland</t>
        </is>
      </c>
    </row>
    <row r="1946">
      <c r="B1946" s="31" t="inlineStr">
        <is>
          <t>CFM56-5B</t>
        </is>
      </c>
      <c r="C1946" s="31" t="inlineStr">
        <is>
          <t>2025-2026</t>
        </is>
      </c>
      <c r="D1946" s="31" t="inlineStr">
        <is>
          <t>604607</t>
        </is>
      </c>
      <c r="E1946" s="31" t="inlineStr">
        <is>
          <t>71-50-03</t>
        </is>
      </c>
      <c r="F1946" s="31" t="inlineStr">
        <is>
          <t>D</t>
        </is>
      </c>
      <c r="G1946" s="31" t="inlineStr">
        <is>
          <t>Other / assembly</t>
        </is>
      </c>
      <c r="H1946" s="27" t="n">
        <v>1245</v>
      </c>
      <c r="I1946" s="27" t="n">
        <v>1320</v>
      </c>
      <c r="J1946" s="154">
        <f>I1946/H1946-1</f>
        <v/>
      </c>
      <c r="K1946" s="31" t="inlineStr">
        <is>
          <t>19</t>
        </is>
      </c>
      <c r="L1946" s="31" t="inlineStr">
        <is>
          <t>20</t>
        </is>
      </c>
      <c r="M1946" s="31" t="inlineStr">
        <is>
          <t>S2</t>
        </is>
      </c>
      <c r="N1946" s="31" t="inlineStr">
        <is>
          <t>S4</t>
        </is>
      </c>
      <c r="O1946" s="31" t="inlineStr">
        <is>
          <t>642W9819-503</t>
        </is>
      </c>
      <c r="P1946" s="31" t="inlineStr">
        <is>
          <t>SR Technics Switzerland</t>
        </is>
      </c>
    </row>
    <row r="1947">
      <c r="B1947" s="31" t="inlineStr">
        <is>
          <t>CFM56-5B</t>
        </is>
      </c>
      <c r="C1947" s="31" t="inlineStr">
        <is>
          <t>2025-2026</t>
        </is>
      </c>
      <c r="D1947" s="31" t="inlineStr">
        <is>
          <t>604607</t>
        </is>
      </c>
      <c r="E1947" s="31" t="inlineStr">
        <is>
          <t>71-50-03</t>
        </is>
      </c>
      <c r="F1947" s="31" t="inlineStr">
        <is>
          <t>E</t>
        </is>
      </c>
      <c r="G1947" s="31" t="inlineStr">
        <is>
          <t>Other / assembly</t>
        </is>
      </c>
      <c r="H1947" s="27" t="n">
        <v>1710</v>
      </c>
      <c r="I1947" s="27" t="n">
        <v>1815</v>
      </c>
      <c r="J1947" s="154">
        <f>I1947/H1947-1</f>
        <v/>
      </c>
      <c r="K1947" s="31" t="inlineStr">
        <is>
          <t>19</t>
        </is>
      </c>
      <c r="L1947" s="31" t="inlineStr">
        <is>
          <t>20</t>
        </is>
      </c>
      <c r="M1947" s="31" t="inlineStr">
        <is>
          <t>S2</t>
        </is>
      </c>
      <c r="N1947" s="31" t="inlineStr">
        <is>
          <t>S4</t>
        </is>
      </c>
      <c r="O1947" s="31" t="inlineStr">
        <is>
          <t>642W9819-503</t>
        </is>
      </c>
      <c r="P1947" s="31" t="inlineStr">
        <is>
          <t>SR Technics Switzerland</t>
        </is>
      </c>
    </row>
    <row r="1948">
      <c r="B1948" s="31" t="inlineStr">
        <is>
          <t>CFM56-5B</t>
        </is>
      </c>
      <c r="C1948" s="31" t="inlineStr">
        <is>
          <t>2025-2026</t>
        </is>
      </c>
      <c r="D1948" s="31" t="inlineStr">
        <is>
          <t>604607</t>
        </is>
      </c>
      <c r="E1948" s="31" t="inlineStr">
        <is>
          <t>71-50-03</t>
        </is>
      </c>
      <c r="F1948" s="31" t="inlineStr">
        <is>
          <t>F</t>
        </is>
      </c>
      <c r="G1948" s="31" t="inlineStr">
        <is>
          <t>Other / assembly</t>
        </is>
      </c>
      <c r="H1948" s="27" t="n">
        <v>3525</v>
      </c>
      <c r="I1948" s="27" t="n">
        <v>3740</v>
      </c>
      <c r="J1948" s="154">
        <f>I1948/H1948-1</f>
        <v/>
      </c>
      <c r="K1948" s="31" t="inlineStr">
        <is>
          <t>19</t>
        </is>
      </c>
      <c r="L1948" s="31" t="inlineStr">
        <is>
          <t>20</t>
        </is>
      </c>
      <c r="M1948" s="31" t="inlineStr">
        <is>
          <t>S2</t>
        </is>
      </c>
      <c r="N1948" s="31" t="inlineStr">
        <is>
          <t>S4</t>
        </is>
      </c>
      <c r="O1948" s="31" t="inlineStr">
        <is>
          <t>642W9819-503</t>
        </is>
      </c>
      <c r="P1948" s="31" t="inlineStr">
        <is>
          <t>SR Technics Switzerland</t>
        </is>
      </c>
    </row>
    <row r="1949">
      <c r="B1949" s="31" t="inlineStr">
        <is>
          <t>CFM56-5B</t>
        </is>
      </c>
      <c r="C1949" s="31" t="inlineStr">
        <is>
          <t>2025-2026</t>
        </is>
      </c>
      <c r="D1949" s="31" t="inlineStr">
        <is>
          <t>604608</t>
        </is>
      </c>
      <c r="E1949" s="31" t="inlineStr">
        <is>
          <t>71-50-03</t>
        </is>
      </c>
      <c r="F1949" s="31" t="inlineStr">
        <is>
          <t>C</t>
        </is>
      </c>
      <c r="G1949" s="31" t="inlineStr">
        <is>
          <t>Other / assembly</t>
        </is>
      </c>
      <c r="H1949" s="27" t="n">
        <v>385</v>
      </c>
      <c r="I1949" s="27" t="n">
        <v>410</v>
      </c>
      <c r="J1949" s="154">
        <f>I1949/H1949-1</f>
        <v/>
      </c>
      <c r="K1949" s="31" t="inlineStr">
        <is>
          <t>19</t>
        </is>
      </c>
      <c r="L1949" s="31" t="inlineStr">
        <is>
          <t>20</t>
        </is>
      </c>
      <c r="M1949" s="31" t="inlineStr">
        <is>
          <t>S2</t>
        </is>
      </c>
      <c r="N1949" s="31" t="inlineStr">
        <is>
          <t>S4</t>
        </is>
      </c>
      <c r="O1949" s="31" t="inlineStr">
        <is>
          <t>642W9820-503</t>
        </is>
      </c>
      <c r="P1949" s="31" t="inlineStr">
        <is>
          <t>SR Technics Switzerland</t>
        </is>
      </c>
    </row>
    <row r="1950">
      <c r="B1950" s="31" t="inlineStr">
        <is>
          <t>CFM56-5B</t>
        </is>
      </c>
      <c r="C1950" s="31" t="inlineStr">
        <is>
          <t>2025-2026</t>
        </is>
      </c>
      <c r="D1950" s="31" t="inlineStr">
        <is>
          <t>604608</t>
        </is>
      </c>
      <c r="E1950" s="31" t="inlineStr">
        <is>
          <t>71-50-03</t>
        </is>
      </c>
      <c r="F1950" s="31" t="inlineStr">
        <is>
          <t>D</t>
        </is>
      </c>
      <c r="G1950" s="31" t="inlineStr">
        <is>
          <t>Other / assembly</t>
        </is>
      </c>
      <c r="H1950" s="27" t="n">
        <v>1245</v>
      </c>
      <c r="I1950" s="27" t="n">
        <v>1320</v>
      </c>
      <c r="J1950" s="154">
        <f>I1950/H1950-1</f>
        <v/>
      </c>
      <c r="K1950" s="31" t="inlineStr">
        <is>
          <t>19</t>
        </is>
      </c>
      <c r="L1950" s="31" t="inlineStr">
        <is>
          <t>20</t>
        </is>
      </c>
      <c r="M1950" s="31" t="inlineStr">
        <is>
          <t>S2</t>
        </is>
      </c>
      <c r="N1950" s="31" t="inlineStr">
        <is>
          <t>S4</t>
        </is>
      </c>
      <c r="O1950" s="31" t="inlineStr">
        <is>
          <t>642W9820-503</t>
        </is>
      </c>
      <c r="P1950" s="31" t="inlineStr">
        <is>
          <t>SR Technics Switzerland</t>
        </is>
      </c>
    </row>
    <row r="1951">
      <c r="B1951" s="31" t="inlineStr">
        <is>
          <t>CFM56-5B</t>
        </is>
      </c>
      <c r="C1951" s="31" t="inlineStr">
        <is>
          <t>2025-2026</t>
        </is>
      </c>
      <c r="D1951" s="31" t="inlineStr">
        <is>
          <t>604608</t>
        </is>
      </c>
      <c r="E1951" s="31" t="inlineStr">
        <is>
          <t>71-50-03</t>
        </is>
      </c>
      <c r="F1951" s="31" t="inlineStr">
        <is>
          <t>E</t>
        </is>
      </c>
      <c r="G1951" s="31" t="inlineStr">
        <is>
          <t>Other / assembly</t>
        </is>
      </c>
      <c r="H1951" s="27" t="n">
        <v>1710</v>
      </c>
      <c r="I1951" s="27" t="n">
        <v>1815</v>
      </c>
      <c r="J1951" s="154">
        <f>I1951/H1951-1</f>
        <v/>
      </c>
      <c r="K1951" s="31" t="inlineStr">
        <is>
          <t>19</t>
        </is>
      </c>
      <c r="L1951" s="31" t="inlineStr">
        <is>
          <t>20</t>
        </is>
      </c>
      <c r="M1951" s="31" t="inlineStr">
        <is>
          <t>S2</t>
        </is>
      </c>
      <c r="N1951" s="31" t="inlineStr">
        <is>
          <t>S4</t>
        </is>
      </c>
      <c r="O1951" s="31" t="inlineStr">
        <is>
          <t>642W9820-503</t>
        </is>
      </c>
      <c r="P1951" s="31" t="inlineStr">
        <is>
          <t>SR Technics Switzerland</t>
        </is>
      </c>
    </row>
    <row r="1952">
      <c r="B1952" s="31" t="inlineStr">
        <is>
          <t>CFM56-5B</t>
        </is>
      </c>
      <c r="C1952" s="31" t="inlineStr">
        <is>
          <t>2025-2026</t>
        </is>
      </c>
      <c r="D1952" s="31" t="inlineStr">
        <is>
          <t>604608</t>
        </is>
      </c>
      <c r="E1952" s="31" t="inlineStr">
        <is>
          <t>71-50-03</t>
        </is>
      </c>
      <c r="F1952" s="31" t="inlineStr">
        <is>
          <t>F</t>
        </is>
      </c>
      <c r="G1952" s="31" t="inlineStr">
        <is>
          <t>Other / assembly</t>
        </is>
      </c>
      <c r="H1952" s="27" t="n">
        <v>3525</v>
      </c>
      <c r="I1952" s="27" t="n">
        <v>3740</v>
      </c>
      <c r="J1952" s="154">
        <f>I1952/H1952-1</f>
        <v/>
      </c>
      <c r="K1952" s="31" t="inlineStr">
        <is>
          <t>19</t>
        </is>
      </c>
      <c r="L1952" s="31" t="inlineStr">
        <is>
          <t>20</t>
        </is>
      </c>
      <c r="M1952" s="31" t="inlineStr">
        <is>
          <t>S2</t>
        </is>
      </c>
      <c r="N1952" s="31" t="inlineStr">
        <is>
          <t>S4</t>
        </is>
      </c>
      <c r="O1952" s="31" t="inlineStr">
        <is>
          <t>642W9820-503</t>
        </is>
      </c>
      <c r="P1952" s="31" t="inlineStr">
        <is>
          <t>SR Technics Switzerland</t>
        </is>
      </c>
    </row>
    <row r="1953">
      <c r="B1953" s="31" t="inlineStr">
        <is>
          <t>CFM56-5B</t>
        </is>
      </c>
      <c r="C1953" s="31" t="inlineStr">
        <is>
          <t>2025-2026</t>
        </is>
      </c>
      <c r="D1953" s="31" t="inlineStr">
        <is>
          <t>604609</t>
        </is>
      </c>
      <c r="E1953" s="31" t="inlineStr">
        <is>
          <t>71-50-03</t>
        </is>
      </c>
      <c r="F1953" s="31" t="inlineStr">
        <is>
          <t>C</t>
        </is>
      </c>
      <c r="G1953" s="31" t="inlineStr">
        <is>
          <t>Other / assembly</t>
        </is>
      </c>
      <c r="H1953" s="27" t="n">
        <v>385</v>
      </c>
      <c r="I1953" s="27" t="n">
        <v>410</v>
      </c>
      <c r="J1953" s="154">
        <f>I1953/H1953-1</f>
        <v/>
      </c>
      <c r="K1953" s="31" t="inlineStr">
        <is>
          <t>56</t>
        </is>
      </c>
      <c r="L1953" s="31" t="inlineStr">
        <is>
          <t>58</t>
        </is>
      </c>
      <c r="M1953" s="31" t="inlineStr">
        <is>
          <t>S2</t>
        </is>
      </c>
      <c r="N1953" s="31" t="inlineStr">
        <is>
          <t>S4</t>
        </is>
      </c>
      <c r="O1953" s="31" t="inlineStr">
        <is>
          <t>642W9821-501</t>
        </is>
      </c>
      <c r="P1953" s="31" t="inlineStr">
        <is>
          <t>SR Technics Switzerland</t>
        </is>
      </c>
    </row>
    <row r="1954">
      <c r="B1954" s="31" t="inlineStr">
        <is>
          <t>CFM56-5B</t>
        </is>
      </c>
      <c r="C1954" s="31" t="inlineStr">
        <is>
          <t>2025-2026</t>
        </is>
      </c>
      <c r="D1954" s="31" t="inlineStr">
        <is>
          <t>604609</t>
        </is>
      </c>
      <c r="E1954" s="31" t="inlineStr">
        <is>
          <t>71-50-03</t>
        </is>
      </c>
      <c r="F1954" s="31" t="inlineStr">
        <is>
          <t>D</t>
        </is>
      </c>
      <c r="G1954" s="31" t="inlineStr">
        <is>
          <t>Other / assembly</t>
        </is>
      </c>
      <c r="H1954" s="27" t="n">
        <v>1265</v>
      </c>
      <c r="I1954" s="27" t="n">
        <v>1345</v>
      </c>
      <c r="J1954" s="154">
        <f>I1954/H1954-1</f>
        <v/>
      </c>
      <c r="K1954" s="31" t="inlineStr">
        <is>
          <t>56</t>
        </is>
      </c>
      <c r="L1954" s="31" t="inlineStr">
        <is>
          <t>58</t>
        </is>
      </c>
      <c r="M1954" s="31" t="inlineStr">
        <is>
          <t>S2</t>
        </is>
      </c>
      <c r="N1954" s="31" t="inlineStr">
        <is>
          <t>S4</t>
        </is>
      </c>
      <c r="O1954" s="31" t="inlineStr">
        <is>
          <t>642W9821-501</t>
        </is>
      </c>
      <c r="P1954" s="31" t="inlineStr">
        <is>
          <t>SR Technics Switzerland</t>
        </is>
      </c>
    </row>
    <row r="1955">
      <c r="B1955" s="31" t="inlineStr">
        <is>
          <t>CFM56-5B</t>
        </is>
      </c>
      <c r="C1955" s="31" t="inlineStr">
        <is>
          <t>2025-2026</t>
        </is>
      </c>
      <c r="D1955" s="31" t="inlineStr">
        <is>
          <t>604609</t>
        </is>
      </c>
      <c r="E1955" s="31" t="inlineStr">
        <is>
          <t>71-50-03</t>
        </is>
      </c>
      <c r="F1955" s="31" t="inlineStr">
        <is>
          <t>E</t>
        </is>
      </c>
      <c r="G1955" s="31" t="inlineStr">
        <is>
          <t>Other / assembly</t>
        </is>
      </c>
      <c r="H1955" s="27" t="n">
        <v>3575</v>
      </c>
      <c r="I1955" s="27" t="n">
        <v>3790</v>
      </c>
      <c r="J1955" s="154">
        <f>I1955/H1955-1</f>
        <v/>
      </c>
      <c r="K1955" s="31" t="inlineStr">
        <is>
          <t>56</t>
        </is>
      </c>
      <c r="L1955" s="31" t="inlineStr">
        <is>
          <t>58</t>
        </is>
      </c>
      <c r="M1955" s="31" t="inlineStr">
        <is>
          <t>S2</t>
        </is>
      </c>
      <c r="N1955" s="31" t="inlineStr">
        <is>
          <t>S4</t>
        </is>
      </c>
      <c r="O1955" s="31" t="inlineStr">
        <is>
          <t>642W9821-501</t>
        </is>
      </c>
      <c r="P1955" s="31" t="inlineStr">
        <is>
          <t>SR Technics Switzerland</t>
        </is>
      </c>
    </row>
    <row r="1956">
      <c r="B1956" s="31" t="inlineStr">
        <is>
          <t>CFM56-5B</t>
        </is>
      </c>
      <c r="C1956" s="31" t="inlineStr">
        <is>
          <t>2025-2026</t>
        </is>
      </c>
      <c r="D1956" s="31" t="inlineStr">
        <is>
          <t>604609</t>
        </is>
      </c>
      <c r="E1956" s="31" t="inlineStr">
        <is>
          <t>71-50-03</t>
        </is>
      </c>
      <c r="F1956" s="31" t="inlineStr">
        <is>
          <t>F</t>
        </is>
      </c>
      <c r="G1956" s="31" t="inlineStr">
        <is>
          <t>Other / assembly</t>
        </is>
      </c>
      <c r="H1956" s="27" t="n">
        <v>4710</v>
      </c>
      <c r="I1956" s="27" t="n">
        <v>4995</v>
      </c>
      <c r="J1956" s="154">
        <f>I1956/H1956-1</f>
        <v/>
      </c>
      <c r="K1956" s="31" t="inlineStr">
        <is>
          <t>56</t>
        </is>
      </c>
      <c r="L1956" s="31" t="inlineStr">
        <is>
          <t>58</t>
        </is>
      </c>
      <c r="M1956" s="31" t="inlineStr">
        <is>
          <t>S2</t>
        </is>
      </c>
      <c r="N1956" s="31" t="inlineStr">
        <is>
          <t>S4</t>
        </is>
      </c>
      <c r="O1956" s="31" t="inlineStr">
        <is>
          <t>642W9821-501</t>
        </is>
      </c>
      <c r="P1956" s="31" t="inlineStr">
        <is>
          <t>SR Technics Switzerland</t>
        </is>
      </c>
    </row>
    <row r="1957">
      <c r="B1957" s="31" t="inlineStr">
        <is>
          <t>CFM56-5B</t>
        </is>
      </c>
      <c r="C1957" s="31" t="inlineStr">
        <is>
          <t>2025-2026</t>
        </is>
      </c>
      <c r="D1957" s="31" t="inlineStr">
        <is>
          <t>604610</t>
        </is>
      </c>
      <c r="E1957" s="31" t="inlineStr">
        <is>
          <t>71-50-03</t>
        </is>
      </c>
      <c r="F1957" s="31" t="inlineStr">
        <is>
          <t>C</t>
        </is>
      </c>
      <c r="G1957" s="31" t="inlineStr">
        <is>
          <t>Other / assembly</t>
        </is>
      </c>
      <c r="H1957" s="27" t="n">
        <v>345</v>
      </c>
      <c r="I1957" s="27" t="n">
        <v>370</v>
      </c>
      <c r="J1957" s="154">
        <f>I1957/H1957-1</f>
        <v/>
      </c>
      <c r="K1957" s="31" t="inlineStr">
        <is>
          <t>19</t>
        </is>
      </c>
      <c r="L1957" s="31" t="inlineStr">
        <is>
          <t>20</t>
        </is>
      </c>
      <c r="M1957" s="31" t="inlineStr">
        <is>
          <t>S2</t>
        </is>
      </c>
      <c r="N1957" s="31" t="inlineStr">
        <is>
          <t>S4</t>
        </is>
      </c>
      <c r="O1957" s="31" t="inlineStr">
        <is>
          <t>642W9945-505</t>
        </is>
      </c>
      <c r="P1957" s="31" t="inlineStr">
        <is>
          <t>SR Technics Switzerland</t>
        </is>
      </c>
    </row>
    <row r="1958">
      <c r="B1958" s="31" t="inlineStr">
        <is>
          <t>CFM56-5B</t>
        </is>
      </c>
      <c r="C1958" s="31" t="inlineStr">
        <is>
          <t>2025-2026</t>
        </is>
      </c>
      <c r="D1958" s="31" t="inlineStr">
        <is>
          <t>604610</t>
        </is>
      </c>
      <c r="E1958" s="31" t="inlineStr">
        <is>
          <t>71-50-03</t>
        </is>
      </c>
      <c r="F1958" s="31" t="inlineStr">
        <is>
          <t>D</t>
        </is>
      </c>
      <c r="G1958" s="31" t="inlineStr">
        <is>
          <t>Other / assembly</t>
        </is>
      </c>
      <c r="H1958" s="27" t="n">
        <v>1140</v>
      </c>
      <c r="I1958" s="27" t="n">
        <v>1210</v>
      </c>
      <c r="J1958" s="154">
        <f>I1958/H1958-1</f>
        <v/>
      </c>
      <c r="K1958" s="31" t="inlineStr">
        <is>
          <t>19</t>
        </is>
      </c>
      <c r="L1958" s="31" t="inlineStr">
        <is>
          <t>20</t>
        </is>
      </c>
      <c r="M1958" s="31" t="inlineStr">
        <is>
          <t>S2</t>
        </is>
      </c>
      <c r="N1958" s="31" t="inlineStr">
        <is>
          <t>S4</t>
        </is>
      </c>
      <c r="O1958" s="31" t="inlineStr">
        <is>
          <t>642W9945-505</t>
        </is>
      </c>
      <c r="P1958" s="31" t="inlineStr">
        <is>
          <t>SR Technics Switzerland</t>
        </is>
      </c>
    </row>
    <row r="1959">
      <c r="B1959" s="31" t="inlineStr">
        <is>
          <t>CFM56-5B</t>
        </is>
      </c>
      <c r="C1959" s="31" t="inlineStr">
        <is>
          <t>2025-2026</t>
        </is>
      </c>
      <c r="D1959" s="31" t="inlineStr">
        <is>
          <t>604610</t>
        </is>
      </c>
      <c r="E1959" s="31" t="inlineStr">
        <is>
          <t>71-50-03</t>
        </is>
      </c>
      <c r="F1959" s="31" t="inlineStr">
        <is>
          <t>E</t>
        </is>
      </c>
      <c r="G1959" s="31" t="inlineStr">
        <is>
          <t>Other / assembly</t>
        </is>
      </c>
      <c r="H1959" s="27" t="n">
        <v>1605</v>
      </c>
      <c r="I1959" s="27" t="n">
        <v>1705</v>
      </c>
      <c r="J1959" s="154">
        <f>I1959/H1959-1</f>
        <v/>
      </c>
      <c r="K1959" s="31" t="inlineStr">
        <is>
          <t>19</t>
        </is>
      </c>
      <c r="L1959" s="31" t="inlineStr">
        <is>
          <t>20</t>
        </is>
      </c>
      <c r="M1959" s="31" t="inlineStr">
        <is>
          <t>S2</t>
        </is>
      </c>
      <c r="N1959" s="31" t="inlineStr">
        <is>
          <t>S4</t>
        </is>
      </c>
      <c r="O1959" s="31" t="inlineStr">
        <is>
          <t>642W9945-505</t>
        </is>
      </c>
      <c r="P1959" s="31" t="inlineStr">
        <is>
          <t>SR Technics Switzerland</t>
        </is>
      </c>
    </row>
    <row r="1960">
      <c r="B1960" s="31" t="inlineStr">
        <is>
          <t>CFM56-5B</t>
        </is>
      </c>
      <c r="C1960" s="31" t="inlineStr">
        <is>
          <t>2025-2026</t>
        </is>
      </c>
      <c r="D1960" s="31" t="inlineStr">
        <is>
          <t>604610</t>
        </is>
      </c>
      <c r="E1960" s="31" t="inlineStr">
        <is>
          <t>71-50-03</t>
        </is>
      </c>
      <c r="F1960" s="31" t="inlineStr">
        <is>
          <t>F</t>
        </is>
      </c>
      <c r="G1960" s="31" t="inlineStr">
        <is>
          <t>Other / assembly</t>
        </is>
      </c>
      <c r="H1960" s="27" t="n">
        <v>2385</v>
      </c>
      <c r="I1960" s="27" t="n">
        <v>2530</v>
      </c>
      <c r="J1960" s="154">
        <f>I1960/H1960-1</f>
        <v/>
      </c>
      <c r="K1960" s="31" t="inlineStr">
        <is>
          <t>19</t>
        </is>
      </c>
      <c r="L1960" s="31" t="inlineStr">
        <is>
          <t>20</t>
        </is>
      </c>
      <c r="M1960" s="31" t="inlineStr">
        <is>
          <t>S2</t>
        </is>
      </c>
      <c r="N1960" s="31" t="inlineStr">
        <is>
          <t>S4</t>
        </is>
      </c>
      <c r="O1960" s="31" t="inlineStr">
        <is>
          <t>642W9945-505</t>
        </is>
      </c>
      <c r="P1960" s="31" t="inlineStr">
        <is>
          <t>SR Technics Switzerland</t>
        </is>
      </c>
    </row>
    <row r="1961">
      <c r="B1961" s="31" t="inlineStr">
        <is>
          <t>CFM56-5B</t>
        </is>
      </c>
      <c r="C1961" s="31" t="inlineStr">
        <is>
          <t>2025-2026</t>
        </is>
      </c>
      <c r="D1961" s="31" t="inlineStr">
        <is>
          <t>604611</t>
        </is>
      </c>
      <c r="E1961" s="31" t="inlineStr">
        <is>
          <t>71-50-03</t>
        </is>
      </c>
      <c r="F1961" s="31" t="inlineStr">
        <is>
          <t>C</t>
        </is>
      </c>
      <c r="G1961" s="31" t="inlineStr">
        <is>
          <t>Other / assembly</t>
        </is>
      </c>
      <c r="H1961" s="27" t="n">
        <v>395</v>
      </c>
      <c r="I1961" s="27" t="n">
        <v>420</v>
      </c>
      <c r="J1961" s="154">
        <f>I1961/H1961-1</f>
        <v/>
      </c>
      <c r="K1961" s="31" t="inlineStr">
        <is>
          <t>19</t>
        </is>
      </c>
      <c r="L1961" s="31" t="inlineStr">
        <is>
          <t>20</t>
        </is>
      </c>
      <c r="M1961" s="31" t="inlineStr">
        <is>
          <t>S2</t>
        </is>
      </c>
      <c r="N1961" s="31" t="inlineStr">
        <is>
          <t>S4</t>
        </is>
      </c>
      <c r="O1961" s="31" t="inlineStr">
        <is>
          <t>642W9946-505</t>
        </is>
      </c>
      <c r="P1961" s="31" t="inlineStr">
        <is>
          <t>SR Technics Switzerland</t>
        </is>
      </c>
    </row>
    <row r="1962">
      <c r="B1962" s="31" t="inlineStr">
        <is>
          <t>CFM56-5B</t>
        </is>
      </c>
      <c r="C1962" s="31" t="inlineStr">
        <is>
          <t>2025-2026</t>
        </is>
      </c>
      <c r="D1962" s="31" t="inlineStr">
        <is>
          <t>604612</t>
        </is>
      </c>
      <c r="E1962" s="31" t="inlineStr">
        <is>
          <t>71-50-03</t>
        </is>
      </c>
      <c r="F1962" s="31" t="inlineStr">
        <is>
          <t>B</t>
        </is>
      </c>
      <c r="G1962" s="31" t="inlineStr">
        <is>
          <t>Other / assembly</t>
        </is>
      </c>
      <c r="H1962" s="27" t="n">
        <v>325</v>
      </c>
      <c r="I1962" s="27" t="n">
        <v>345</v>
      </c>
      <c r="J1962" s="154">
        <f>I1962/H1962-1</f>
        <v/>
      </c>
      <c r="K1962" s="31" t="inlineStr">
        <is>
          <t>20</t>
        </is>
      </c>
      <c r="L1962" s="31" t="inlineStr">
        <is>
          <t>20</t>
        </is>
      </c>
      <c r="M1962" s="31" t="inlineStr">
        <is>
          <t>S2</t>
        </is>
      </c>
      <c r="N1962" s="31" t="inlineStr">
        <is>
          <t>S4</t>
        </is>
      </c>
      <c r="O1962" s="31" t="inlineStr">
        <is>
          <t>642W9947-505</t>
        </is>
      </c>
      <c r="P1962" s="31" t="inlineStr">
        <is>
          <t>SR Technics Switzerland</t>
        </is>
      </c>
    </row>
    <row r="1963">
      <c r="B1963" s="31" t="inlineStr">
        <is>
          <t>CFM56-5B</t>
        </is>
      </c>
      <c r="C1963" s="31" t="inlineStr">
        <is>
          <t>2025-2026</t>
        </is>
      </c>
      <c r="D1963" s="31" t="inlineStr">
        <is>
          <t>604612</t>
        </is>
      </c>
      <c r="E1963" s="31" t="inlineStr">
        <is>
          <t>71-50-03</t>
        </is>
      </c>
      <c r="F1963" s="31" t="inlineStr">
        <is>
          <t>C</t>
        </is>
      </c>
      <c r="G1963" s="31" t="inlineStr">
        <is>
          <t>Other / assembly</t>
        </is>
      </c>
      <c r="H1963" s="27" t="n">
        <v>1140</v>
      </c>
      <c r="I1963" s="27" t="n">
        <v>1210</v>
      </c>
      <c r="J1963" s="154">
        <f>I1963/H1963-1</f>
        <v/>
      </c>
      <c r="K1963" s="31" t="inlineStr">
        <is>
          <t>20</t>
        </is>
      </c>
      <c r="L1963" s="31" t="inlineStr">
        <is>
          <t>20</t>
        </is>
      </c>
      <c r="M1963" s="31" t="inlineStr">
        <is>
          <t>S2</t>
        </is>
      </c>
      <c r="N1963" s="31" t="inlineStr">
        <is>
          <t>S4</t>
        </is>
      </c>
      <c r="O1963" s="31" t="inlineStr">
        <is>
          <t>642W9947-505</t>
        </is>
      </c>
      <c r="P1963" s="31" t="inlineStr">
        <is>
          <t>SR Technics Switzerland</t>
        </is>
      </c>
    </row>
    <row r="1964">
      <c r="B1964" s="31" t="inlineStr">
        <is>
          <t>CFM56-5B</t>
        </is>
      </c>
      <c r="C1964" s="31" t="inlineStr">
        <is>
          <t>2025-2026</t>
        </is>
      </c>
      <c r="D1964" s="31" t="inlineStr">
        <is>
          <t>604612</t>
        </is>
      </c>
      <c r="E1964" s="31" t="inlineStr">
        <is>
          <t>71-50-03</t>
        </is>
      </c>
      <c r="F1964" s="31" t="inlineStr">
        <is>
          <t>D</t>
        </is>
      </c>
      <c r="G1964" s="31" t="inlineStr">
        <is>
          <t>Other / assembly</t>
        </is>
      </c>
      <c r="H1964" s="27" t="n">
        <v>1605</v>
      </c>
      <c r="I1964" s="27" t="n">
        <v>1705</v>
      </c>
      <c r="J1964" s="154">
        <f>I1964/H1964-1</f>
        <v/>
      </c>
      <c r="K1964" s="31" t="inlineStr">
        <is>
          <t>20</t>
        </is>
      </c>
      <c r="L1964" s="31" t="inlineStr">
        <is>
          <t>20</t>
        </is>
      </c>
      <c r="M1964" s="31" t="inlineStr">
        <is>
          <t>S2</t>
        </is>
      </c>
      <c r="N1964" s="31" t="inlineStr">
        <is>
          <t>S4</t>
        </is>
      </c>
      <c r="O1964" s="31" t="inlineStr">
        <is>
          <t>642W9947-505</t>
        </is>
      </c>
      <c r="P1964" s="31" t="inlineStr">
        <is>
          <t>SR Technics Switzerland</t>
        </is>
      </c>
    </row>
    <row r="1965">
      <c r="B1965" s="31" t="inlineStr">
        <is>
          <t>CFM56-5B</t>
        </is>
      </c>
      <c r="C1965" s="31" t="inlineStr">
        <is>
          <t>2025-2026</t>
        </is>
      </c>
      <c r="D1965" s="31" t="inlineStr">
        <is>
          <t>604612</t>
        </is>
      </c>
      <c r="E1965" s="31" t="inlineStr">
        <is>
          <t>71-50-03</t>
        </is>
      </c>
      <c r="F1965" s="31" t="inlineStr">
        <is>
          <t>E</t>
        </is>
      </c>
      <c r="G1965" s="31" t="inlineStr">
        <is>
          <t>Other / assembly</t>
        </is>
      </c>
      <c r="H1965" s="27" t="n">
        <v>2080</v>
      </c>
      <c r="I1965" s="27" t="n">
        <v>2205</v>
      </c>
      <c r="J1965" s="154">
        <f>I1965/H1965-1</f>
        <v/>
      </c>
      <c r="K1965" s="31" t="inlineStr">
        <is>
          <t>20</t>
        </is>
      </c>
      <c r="L1965" s="31" t="inlineStr">
        <is>
          <t>20</t>
        </is>
      </c>
      <c r="M1965" s="31" t="inlineStr">
        <is>
          <t>S2</t>
        </is>
      </c>
      <c r="N1965" s="31" t="inlineStr">
        <is>
          <t>S4</t>
        </is>
      </c>
      <c r="O1965" s="31" t="inlineStr">
        <is>
          <t>642W9947-505</t>
        </is>
      </c>
      <c r="P1965" s="31" t="inlineStr">
        <is>
          <t>SR Technics Switzerland</t>
        </is>
      </c>
    </row>
    <row r="1966">
      <c r="B1966" s="31" t="inlineStr">
        <is>
          <t>CFM56-5B</t>
        </is>
      </c>
      <c r="C1966" s="31" t="inlineStr">
        <is>
          <t>2025-2026</t>
        </is>
      </c>
      <c r="D1966" s="31" t="inlineStr">
        <is>
          <t>604613</t>
        </is>
      </c>
      <c r="E1966" s="31" t="inlineStr">
        <is>
          <t>71-50-03</t>
        </is>
      </c>
      <c r="F1966" s="31" t="inlineStr">
        <is>
          <t>C</t>
        </is>
      </c>
      <c r="G1966" s="31" t="inlineStr">
        <is>
          <t>Other / assembly</t>
        </is>
      </c>
      <c r="H1966" s="27" t="n">
        <v>335</v>
      </c>
      <c r="I1966" s="27" t="n">
        <v>360</v>
      </c>
      <c r="J1966" s="154">
        <f>I1966/H1966-1</f>
        <v/>
      </c>
      <c r="K1966" s="31" t="inlineStr">
        <is>
          <t>20</t>
        </is>
      </c>
      <c r="L1966" s="31" t="inlineStr">
        <is>
          <t>20</t>
        </is>
      </c>
      <c r="M1966" s="31" t="inlineStr">
        <is>
          <t>S2</t>
        </is>
      </c>
      <c r="N1966" s="31" t="inlineStr">
        <is>
          <t>S4</t>
        </is>
      </c>
      <c r="O1966" s="31" t="inlineStr">
        <is>
          <t>642W9948-505</t>
        </is>
      </c>
      <c r="P1966" s="31" t="inlineStr">
        <is>
          <t>SR Technics Switzerland</t>
        </is>
      </c>
    </row>
    <row r="1967">
      <c r="B1967" s="31" t="inlineStr">
        <is>
          <t>CFM56-5B</t>
        </is>
      </c>
      <c r="C1967" s="31" t="inlineStr">
        <is>
          <t>2025-2026</t>
        </is>
      </c>
      <c r="D1967" s="31" t="inlineStr">
        <is>
          <t>604613</t>
        </is>
      </c>
      <c r="E1967" s="31" t="inlineStr">
        <is>
          <t>71-50-03</t>
        </is>
      </c>
      <c r="F1967" s="31" t="inlineStr">
        <is>
          <t>D</t>
        </is>
      </c>
      <c r="G1967" s="31" t="inlineStr">
        <is>
          <t>Other / assembly</t>
        </is>
      </c>
      <c r="H1967" s="27" t="n">
        <v>1110</v>
      </c>
      <c r="I1967" s="27" t="n">
        <v>1180</v>
      </c>
      <c r="J1967" s="154">
        <f>I1967/H1967-1</f>
        <v/>
      </c>
      <c r="K1967" s="31" t="inlineStr">
        <is>
          <t>20</t>
        </is>
      </c>
      <c r="L1967" s="31" t="inlineStr">
        <is>
          <t>20</t>
        </is>
      </c>
      <c r="M1967" s="31" t="inlineStr">
        <is>
          <t>S2</t>
        </is>
      </c>
      <c r="N1967" s="31" t="inlineStr">
        <is>
          <t>S4</t>
        </is>
      </c>
      <c r="O1967" s="31" t="inlineStr">
        <is>
          <t>642W9948-505</t>
        </is>
      </c>
      <c r="P1967" s="31" t="inlineStr">
        <is>
          <t>SR Technics Switzerland</t>
        </is>
      </c>
    </row>
    <row r="1968">
      <c r="B1968" s="31" t="inlineStr">
        <is>
          <t>CFM56-5B</t>
        </is>
      </c>
      <c r="C1968" s="31" t="inlineStr">
        <is>
          <t>2025-2026</t>
        </is>
      </c>
      <c r="D1968" s="31" t="inlineStr">
        <is>
          <t>604613</t>
        </is>
      </c>
      <c r="E1968" s="31" t="inlineStr">
        <is>
          <t>71-50-03</t>
        </is>
      </c>
      <c r="F1968" s="31" t="inlineStr">
        <is>
          <t>E</t>
        </is>
      </c>
      <c r="G1968" s="31" t="inlineStr">
        <is>
          <t>Other / assembly</t>
        </is>
      </c>
      <c r="H1968" s="27" t="n">
        <v>3725</v>
      </c>
      <c r="I1968" s="27" t="n">
        <v>3950</v>
      </c>
      <c r="J1968" s="154">
        <f>I1968/H1968-1</f>
        <v/>
      </c>
      <c r="K1968" s="31" t="inlineStr">
        <is>
          <t>20</t>
        </is>
      </c>
      <c r="L1968" s="31" t="inlineStr">
        <is>
          <t>20</t>
        </is>
      </c>
      <c r="M1968" s="31" t="inlineStr">
        <is>
          <t>S2</t>
        </is>
      </c>
      <c r="N1968" s="31" t="inlineStr">
        <is>
          <t>S4</t>
        </is>
      </c>
      <c r="O1968" s="31" t="inlineStr">
        <is>
          <t>642W9948-505</t>
        </is>
      </c>
      <c r="P1968" s="31" t="inlineStr">
        <is>
          <t>SR Technics Switzerland</t>
        </is>
      </c>
    </row>
    <row r="1969">
      <c r="B1969" s="31" t="inlineStr">
        <is>
          <t>CFM56-5B</t>
        </is>
      </c>
      <c r="C1969" s="31" t="inlineStr">
        <is>
          <t>2025-2026</t>
        </is>
      </c>
      <c r="D1969" s="31" t="inlineStr">
        <is>
          <t>604613</t>
        </is>
      </c>
      <c r="E1969" s="31" t="inlineStr">
        <is>
          <t>71-50-03</t>
        </is>
      </c>
      <c r="F1969" s="31" t="inlineStr">
        <is>
          <t>F</t>
        </is>
      </c>
      <c r="G1969" s="31" t="inlineStr">
        <is>
          <t>Other / assembly</t>
        </is>
      </c>
      <c r="H1969" s="27" t="n">
        <v>5750</v>
      </c>
      <c r="I1969" s="27" t="n">
        <v>6095</v>
      </c>
      <c r="J1969" s="154">
        <f>I1969/H1969-1</f>
        <v/>
      </c>
      <c r="K1969" s="31" t="inlineStr">
        <is>
          <t>20</t>
        </is>
      </c>
      <c r="L1969" s="31" t="inlineStr">
        <is>
          <t>20</t>
        </is>
      </c>
      <c r="M1969" s="31" t="inlineStr">
        <is>
          <t>S2</t>
        </is>
      </c>
      <c r="N1969" s="31" t="inlineStr">
        <is>
          <t>S4</t>
        </is>
      </c>
      <c r="O1969" s="31" t="inlineStr">
        <is>
          <t>642W9948-505</t>
        </is>
      </c>
      <c r="P1969" s="31" t="inlineStr">
        <is>
          <t>SR Technics Switzerland</t>
        </is>
      </c>
    </row>
    <row r="1970">
      <c r="B1970" s="31" t="inlineStr">
        <is>
          <t>CFM56-5B</t>
        </is>
      </c>
      <c r="C1970" s="31" t="inlineStr">
        <is>
          <t>2025-2026</t>
        </is>
      </c>
      <c r="D1970" s="31" t="inlineStr">
        <is>
          <t>604614</t>
        </is>
      </c>
      <c r="E1970" s="31" t="inlineStr">
        <is>
          <t>71-50-03</t>
        </is>
      </c>
      <c r="F1970" s="31" t="inlineStr">
        <is>
          <t>C</t>
        </is>
      </c>
      <c r="G1970" s="31" t="inlineStr">
        <is>
          <t>Other / assembly</t>
        </is>
      </c>
      <c r="H1970" s="27" t="n">
        <v>385</v>
      </c>
      <c r="I1970" s="27" t="n">
        <v>410</v>
      </c>
      <c r="J1970" s="154">
        <f>I1970/H1970-1</f>
        <v/>
      </c>
      <c r="K1970" s="31" t="inlineStr">
        <is>
          <t>20</t>
        </is>
      </c>
      <c r="L1970" s="31" t="inlineStr">
        <is>
          <t>20</t>
        </is>
      </c>
      <c r="M1970" s="31" t="inlineStr">
        <is>
          <t>S2</t>
        </is>
      </c>
      <c r="N1970" s="31" t="inlineStr">
        <is>
          <t>S4</t>
        </is>
      </c>
      <c r="O1970" s="31" t="inlineStr">
        <is>
          <t>642W9985-501</t>
        </is>
      </c>
      <c r="P1970" s="31" t="inlineStr">
        <is>
          <t>SR Technics Switzerland</t>
        </is>
      </c>
    </row>
    <row r="1971">
      <c r="B1971" s="31" t="inlineStr">
        <is>
          <t>CFM56-5B</t>
        </is>
      </c>
      <c r="C1971" s="31" t="inlineStr">
        <is>
          <t>2025-2026</t>
        </is>
      </c>
      <c r="D1971" s="31" t="inlineStr">
        <is>
          <t>604614</t>
        </is>
      </c>
      <c r="E1971" s="31" t="inlineStr">
        <is>
          <t>71-50-03</t>
        </is>
      </c>
      <c r="F1971" s="31" t="inlineStr">
        <is>
          <t>D</t>
        </is>
      </c>
      <c r="G1971" s="31" t="inlineStr">
        <is>
          <t>Other / assembly</t>
        </is>
      </c>
      <c r="H1971" s="27" t="n">
        <v>770</v>
      </c>
      <c r="I1971" s="27" t="n">
        <v>820</v>
      </c>
      <c r="J1971" s="154">
        <f>I1971/H1971-1</f>
        <v/>
      </c>
      <c r="K1971" s="31" t="inlineStr">
        <is>
          <t>20</t>
        </is>
      </c>
      <c r="L1971" s="31" t="inlineStr">
        <is>
          <t>20</t>
        </is>
      </c>
      <c r="M1971" s="31" t="inlineStr">
        <is>
          <t>S2</t>
        </is>
      </c>
      <c r="N1971" s="31" t="inlineStr">
        <is>
          <t>S4</t>
        </is>
      </c>
      <c r="O1971" s="31" t="inlineStr">
        <is>
          <t>642W9985-501</t>
        </is>
      </c>
      <c r="P1971" s="31" t="inlineStr">
        <is>
          <t>SR Technics Switzerland</t>
        </is>
      </c>
    </row>
    <row r="1972">
      <c r="B1972" s="31" t="inlineStr">
        <is>
          <t>CFM56-5B</t>
        </is>
      </c>
      <c r="C1972" s="31" t="inlineStr">
        <is>
          <t>2025-2026</t>
        </is>
      </c>
      <c r="D1972" s="31" t="inlineStr">
        <is>
          <t>604614</t>
        </is>
      </c>
      <c r="E1972" s="31" t="inlineStr">
        <is>
          <t>71-50-03</t>
        </is>
      </c>
      <c r="F1972" s="31" t="inlineStr">
        <is>
          <t>E</t>
        </is>
      </c>
      <c r="G1972" s="31" t="inlineStr">
        <is>
          <t>Other / assembly</t>
        </is>
      </c>
      <c r="H1972" s="27" t="n">
        <v>1460</v>
      </c>
      <c r="I1972" s="27" t="n">
        <v>1550</v>
      </c>
      <c r="J1972" s="154">
        <f>I1972/H1972-1</f>
        <v/>
      </c>
      <c r="K1972" s="31" t="inlineStr">
        <is>
          <t>20</t>
        </is>
      </c>
      <c r="L1972" s="31" t="inlineStr">
        <is>
          <t>20</t>
        </is>
      </c>
      <c r="M1972" s="31" t="inlineStr">
        <is>
          <t>S2</t>
        </is>
      </c>
      <c r="N1972" s="31" t="inlineStr">
        <is>
          <t>S4</t>
        </is>
      </c>
      <c r="O1972" s="31" t="inlineStr">
        <is>
          <t>642W9985-501</t>
        </is>
      </c>
      <c r="P1972" s="31" t="inlineStr">
        <is>
          <t>SR Technics Switzerland</t>
        </is>
      </c>
    </row>
    <row r="1973">
      <c r="B1973" s="31" t="inlineStr">
        <is>
          <t>CFM56-5B</t>
        </is>
      </c>
      <c r="C1973" s="31" t="inlineStr">
        <is>
          <t>2025-2026</t>
        </is>
      </c>
      <c r="D1973" s="31" t="inlineStr">
        <is>
          <t>604614</t>
        </is>
      </c>
      <c r="E1973" s="31" t="inlineStr">
        <is>
          <t>71-50-03</t>
        </is>
      </c>
      <c r="F1973" s="31" t="inlineStr">
        <is>
          <t>F</t>
        </is>
      </c>
      <c r="G1973" s="31" t="inlineStr">
        <is>
          <t>Other / assembly</t>
        </is>
      </c>
      <c r="H1973" s="27" t="n">
        <v>1765</v>
      </c>
      <c r="I1973" s="27" t="n">
        <v>1875</v>
      </c>
      <c r="J1973" s="154">
        <f>I1973/H1973-1</f>
        <v/>
      </c>
      <c r="K1973" s="31" t="inlineStr">
        <is>
          <t>20</t>
        </is>
      </c>
      <c r="L1973" s="31" t="inlineStr">
        <is>
          <t>20</t>
        </is>
      </c>
      <c r="M1973" s="31" t="inlineStr">
        <is>
          <t>S2</t>
        </is>
      </c>
      <c r="N1973" s="31" t="inlineStr">
        <is>
          <t>S4</t>
        </is>
      </c>
      <c r="O1973" s="31" t="inlineStr">
        <is>
          <t>642W9985-501</t>
        </is>
      </c>
      <c r="P1973" s="31" t="inlineStr">
        <is>
          <t>SR Technics Switzerland</t>
        </is>
      </c>
    </row>
    <row r="1974">
      <c r="B1974" s="31" t="inlineStr">
        <is>
          <t>CFM56-5B</t>
        </is>
      </c>
      <c r="C1974" s="31" t="inlineStr">
        <is>
          <t>2025-2026</t>
        </is>
      </c>
      <c r="D1974" s="31" t="inlineStr">
        <is>
          <t>609271</t>
        </is>
      </c>
      <c r="E1974" s="31" t="inlineStr">
        <is>
          <t>73-22-97</t>
        </is>
      </c>
      <c r="F1974" s="31" t="inlineStr">
        <is>
          <t>C</t>
        </is>
      </c>
      <c r="G1974" s="31" t="inlineStr">
        <is>
          <t>Fuel system</t>
        </is>
      </c>
      <c r="H1974" s="27" t="n">
        <v>375</v>
      </c>
      <c r="I1974" s="27" t="n">
        <v>400</v>
      </c>
      <c r="J1974" s="154">
        <f>I1974/H1974-1</f>
        <v/>
      </c>
      <c r="K1974" s="31" t="inlineStr">
        <is>
          <t>20</t>
        </is>
      </c>
      <c r="L1974" s="31" t="inlineStr">
        <is>
          <t>20</t>
        </is>
      </c>
      <c r="M1974" s="31" t="inlineStr">
        <is>
          <t>S2</t>
        </is>
      </c>
      <c r="N1974" s="31" t="inlineStr">
        <is>
          <t>S4</t>
        </is>
      </c>
      <c r="O1974" s="31" t="inlineStr">
        <is>
          <t>320-402-301-0</t>
        </is>
      </c>
      <c r="P1974" s="31" t="inlineStr">
        <is>
          <t>SR Technics Switzerland</t>
        </is>
      </c>
    </row>
    <row r="1975">
      <c r="B1975" s="31" t="inlineStr">
        <is>
          <t>CFM56-5B</t>
        </is>
      </c>
      <c r="C1975" s="31" t="inlineStr">
        <is>
          <t>2025-2026</t>
        </is>
      </c>
      <c r="D1975" s="31" t="inlineStr">
        <is>
          <t>609271</t>
        </is>
      </c>
      <c r="E1975" s="31" t="inlineStr">
        <is>
          <t>73-22-97</t>
        </is>
      </c>
      <c r="F1975" s="31" t="inlineStr">
        <is>
          <t>D</t>
        </is>
      </c>
      <c r="G1975" s="31" t="inlineStr">
        <is>
          <t>Fuel system</t>
        </is>
      </c>
      <c r="H1975" s="27" t="n">
        <v>1280</v>
      </c>
      <c r="I1975" s="27" t="n">
        <v>1360</v>
      </c>
      <c r="J1975" s="154">
        <f>I1975/H1975-1</f>
        <v/>
      </c>
      <c r="K1975" s="31" t="inlineStr">
        <is>
          <t>20</t>
        </is>
      </c>
      <c r="L1975" s="31" t="inlineStr">
        <is>
          <t>20</t>
        </is>
      </c>
      <c r="M1975" s="31" t="inlineStr">
        <is>
          <t>S2</t>
        </is>
      </c>
      <c r="N1975" s="31" t="inlineStr">
        <is>
          <t>S4</t>
        </is>
      </c>
      <c r="O1975" s="31" t="inlineStr">
        <is>
          <t>320-402-301-0</t>
        </is>
      </c>
      <c r="P1975" s="31" t="inlineStr">
        <is>
          <t>SR Technics Switzerland</t>
        </is>
      </c>
    </row>
    <row r="1976">
      <c r="B1976" s="31" t="inlineStr">
        <is>
          <t>CFM56-5B</t>
        </is>
      </c>
      <c r="C1976" s="31" t="inlineStr">
        <is>
          <t>2025-2026</t>
        </is>
      </c>
      <c r="D1976" s="31" t="inlineStr">
        <is>
          <t>609271</t>
        </is>
      </c>
      <c r="E1976" s="31" t="inlineStr">
        <is>
          <t>73-22-97</t>
        </is>
      </c>
      <c r="F1976" s="31" t="inlineStr">
        <is>
          <t>E</t>
        </is>
      </c>
      <c r="G1976" s="31" t="inlineStr">
        <is>
          <t>Fuel system</t>
        </is>
      </c>
      <c r="H1976" s="27" t="n">
        <v>3750</v>
      </c>
      <c r="I1976" s="27" t="n">
        <v>3975</v>
      </c>
      <c r="J1976" s="154">
        <f>I1976/H1976-1</f>
        <v/>
      </c>
      <c r="K1976" s="31" t="inlineStr">
        <is>
          <t>20</t>
        </is>
      </c>
      <c r="L1976" s="31" t="inlineStr">
        <is>
          <t>20</t>
        </is>
      </c>
      <c r="M1976" s="31" t="inlineStr">
        <is>
          <t>S2</t>
        </is>
      </c>
      <c r="N1976" s="31" t="inlineStr">
        <is>
          <t>S4</t>
        </is>
      </c>
      <c r="O1976" s="31" t="inlineStr">
        <is>
          <t>320-402-301-0</t>
        </is>
      </c>
      <c r="P1976" s="31" t="inlineStr">
        <is>
          <t>SR Technics Switzerland</t>
        </is>
      </c>
    </row>
    <row r="1977">
      <c r="B1977" s="31" t="inlineStr">
        <is>
          <t>CFM56-5B</t>
        </is>
      </c>
      <c r="C1977" s="31" t="inlineStr">
        <is>
          <t>2025-2026</t>
        </is>
      </c>
      <c r="D1977" s="31" t="inlineStr">
        <is>
          <t>609271</t>
        </is>
      </c>
      <c r="E1977" s="31" t="inlineStr">
        <is>
          <t>73-22-97</t>
        </is>
      </c>
      <c r="F1977" s="31" t="inlineStr">
        <is>
          <t>F</t>
        </is>
      </c>
      <c r="G1977" s="31" t="inlineStr">
        <is>
          <t>Fuel system</t>
        </is>
      </c>
      <c r="H1977" s="27" t="n">
        <v>5360</v>
      </c>
      <c r="I1977" s="27" t="n">
        <v>5685</v>
      </c>
      <c r="J1977" s="154">
        <f>I1977/H1977-1</f>
        <v/>
      </c>
      <c r="K1977" s="31" t="inlineStr">
        <is>
          <t>20</t>
        </is>
      </c>
      <c r="L1977" s="31" t="inlineStr">
        <is>
          <t>20</t>
        </is>
      </c>
      <c r="M1977" s="31" t="inlineStr">
        <is>
          <t>S2</t>
        </is>
      </c>
      <c r="N1977" s="31" t="inlineStr">
        <is>
          <t>S4</t>
        </is>
      </c>
      <c r="O1977" s="31" t="inlineStr">
        <is>
          <t>320-402-301-0</t>
        </is>
      </c>
      <c r="P1977" s="31" t="inlineStr">
        <is>
          <t>SR Technics Switzerland</t>
        </is>
      </c>
    </row>
    <row r="1978">
      <c r="B1978" s="31" t="inlineStr">
        <is>
          <t>CFM56-5B</t>
        </is>
      </c>
      <c r="C1978" s="31" t="inlineStr">
        <is>
          <t>2025-2026</t>
        </is>
      </c>
      <c r="D1978" s="31" t="inlineStr">
        <is>
          <t>609410</t>
        </is>
      </c>
      <c r="E1978" s="31" t="inlineStr">
        <is>
          <t>73-22-83</t>
        </is>
      </c>
      <c r="F1978" s="31" t="inlineStr">
        <is>
          <t>C</t>
        </is>
      </c>
      <c r="G1978" s="31" t="inlineStr">
        <is>
          <t>Fuel system</t>
        </is>
      </c>
      <c r="H1978" s="27" t="n">
        <v>375</v>
      </c>
      <c r="I1978" s="27" t="n">
        <v>400</v>
      </c>
      <c r="J1978" s="154">
        <f>I1978/H1978-1</f>
        <v/>
      </c>
      <c r="K1978" s="31" t="inlineStr">
        <is>
          <t>20</t>
        </is>
      </c>
      <c r="L1978" s="31" t="inlineStr">
        <is>
          <t>21</t>
        </is>
      </c>
      <c r="M1978" s="31" t="inlineStr">
        <is>
          <t>S2</t>
        </is>
      </c>
      <c r="N1978" s="31" t="inlineStr">
        <is>
          <t>S4</t>
        </is>
      </c>
      <c r="O1978" s="31" t="inlineStr">
        <is>
          <t>320-282-901-0</t>
        </is>
      </c>
      <c r="P1978" s="31" t="inlineStr">
        <is>
          <t>SR Technics Switzerland</t>
        </is>
      </c>
    </row>
    <row r="1979">
      <c r="B1979" s="31" t="inlineStr">
        <is>
          <t>CFM56-5B</t>
        </is>
      </c>
      <c r="C1979" s="31" t="inlineStr">
        <is>
          <t>2025-2026</t>
        </is>
      </c>
      <c r="D1979" s="31" t="inlineStr">
        <is>
          <t>609410</t>
        </is>
      </c>
      <c r="E1979" s="31" t="inlineStr">
        <is>
          <t>73-22-83</t>
        </is>
      </c>
      <c r="F1979" s="31" t="inlineStr">
        <is>
          <t>D</t>
        </is>
      </c>
      <c r="G1979" s="31" t="inlineStr">
        <is>
          <t>Fuel system</t>
        </is>
      </c>
      <c r="H1979" s="27" t="n">
        <v>1280</v>
      </c>
      <c r="I1979" s="27" t="n">
        <v>1360</v>
      </c>
      <c r="J1979" s="154">
        <f>I1979/H1979-1</f>
        <v/>
      </c>
      <c r="K1979" s="31" t="inlineStr">
        <is>
          <t>20</t>
        </is>
      </c>
      <c r="L1979" s="31" t="inlineStr">
        <is>
          <t>21</t>
        </is>
      </c>
      <c r="M1979" s="31" t="inlineStr">
        <is>
          <t>S2</t>
        </is>
      </c>
      <c r="N1979" s="31" t="inlineStr">
        <is>
          <t>S4</t>
        </is>
      </c>
      <c r="O1979" s="31" t="inlineStr">
        <is>
          <t>320-282-901-0</t>
        </is>
      </c>
      <c r="P1979" s="31" t="inlineStr">
        <is>
          <t>SR Technics Switzerland</t>
        </is>
      </c>
    </row>
    <row r="1980">
      <c r="B1980" s="31" t="inlineStr">
        <is>
          <t>CFM56-5B</t>
        </is>
      </c>
      <c r="C1980" s="31" t="inlineStr">
        <is>
          <t>2025-2026</t>
        </is>
      </c>
      <c r="D1980" s="31" t="inlineStr">
        <is>
          <t>609410</t>
        </is>
      </c>
      <c r="E1980" s="31" t="inlineStr">
        <is>
          <t>73-22-83</t>
        </is>
      </c>
      <c r="F1980" s="31" t="inlineStr">
        <is>
          <t>E</t>
        </is>
      </c>
      <c r="G1980" s="31" t="inlineStr">
        <is>
          <t>Fuel system</t>
        </is>
      </c>
      <c r="H1980" s="27" t="n">
        <v>3750</v>
      </c>
      <c r="I1980" s="27" t="n">
        <v>3975</v>
      </c>
      <c r="J1980" s="154">
        <f>I1980/H1980-1</f>
        <v/>
      </c>
      <c r="K1980" s="31" t="inlineStr">
        <is>
          <t>20</t>
        </is>
      </c>
      <c r="L1980" s="31" t="inlineStr">
        <is>
          <t>21</t>
        </is>
      </c>
      <c r="M1980" s="31" t="inlineStr">
        <is>
          <t>S2</t>
        </is>
      </c>
      <c r="N1980" s="31" t="inlineStr">
        <is>
          <t>S4</t>
        </is>
      </c>
      <c r="O1980" s="31" t="inlineStr">
        <is>
          <t>320-282-901-0</t>
        </is>
      </c>
      <c r="P1980" s="31" t="inlineStr">
        <is>
          <t>SR Technics Switzerland</t>
        </is>
      </c>
    </row>
    <row r="1981">
      <c r="B1981" s="31" t="inlineStr">
        <is>
          <t>CFM56-5B</t>
        </is>
      </c>
      <c r="C1981" s="31" t="inlineStr">
        <is>
          <t>2025-2026</t>
        </is>
      </c>
      <c r="D1981" s="31" t="inlineStr">
        <is>
          <t>609410</t>
        </is>
      </c>
      <c r="E1981" s="31" t="inlineStr">
        <is>
          <t>73-22-83</t>
        </is>
      </c>
      <c r="F1981" s="31" t="inlineStr">
        <is>
          <t>F</t>
        </is>
      </c>
      <c r="G1981" s="31" t="inlineStr">
        <is>
          <t>Fuel system</t>
        </is>
      </c>
      <c r="H1981" s="27" t="n">
        <v>5360</v>
      </c>
      <c r="I1981" s="27" t="n">
        <v>5685</v>
      </c>
      <c r="J1981" s="154">
        <f>I1981/H1981-1</f>
        <v/>
      </c>
      <c r="K1981" s="31" t="inlineStr">
        <is>
          <t>20</t>
        </is>
      </c>
      <c r="L1981" s="31" t="inlineStr">
        <is>
          <t>21</t>
        </is>
      </c>
      <c r="M1981" s="31" t="inlineStr">
        <is>
          <t>S2</t>
        </is>
      </c>
      <c r="N1981" s="31" t="inlineStr">
        <is>
          <t>S4</t>
        </is>
      </c>
      <c r="O1981" s="31" t="inlineStr">
        <is>
          <t>320-282-901-0</t>
        </is>
      </c>
      <c r="P1981" s="31" t="inlineStr">
        <is>
          <t>SR Technics Switzerland</t>
        </is>
      </c>
    </row>
    <row r="1982">
      <c r="B1982" s="31" t="inlineStr">
        <is>
          <t>CFM56-5B</t>
        </is>
      </c>
      <c r="C1982" s="31" t="inlineStr">
        <is>
          <t>2025-2026</t>
        </is>
      </c>
      <c r="D1982" s="31" t="inlineStr">
        <is>
          <t>609411</t>
        </is>
      </c>
      <c r="E1982" s="31" t="inlineStr">
        <is>
          <t>73-22-98</t>
        </is>
      </c>
      <c r="F1982" s="31" t="inlineStr">
        <is>
          <t>C</t>
        </is>
      </c>
      <c r="G1982" s="31" t="inlineStr">
        <is>
          <t>Fuel system</t>
        </is>
      </c>
      <c r="H1982" s="27" t="n">
        <v>375</v>
      </c>
      <c r="I1982" s="27" t="n">
        <v>400</v>
      </c>
      <c r="J1982" s="154">
        <f>I1982/H1982-1</f>
        <v/>
      </c>
      <c r="K1982" s="31" t="inlineStr">
        <is>
          <t>20</t>
        </is>
      </c>
      <c r="L1982" s="31" t="inlineStr">
        <is>
          <t>21</t>
        </is>
      </c>
      <c r="M1982" s="31" t="inlineStr">
        <is>
          <t>S2</t>
        </is>
      </c>
      <c r="N1982" s="31" t="inlineStr">
        <is>
          <t>S4</t>
        </is>
      </c>
      <c r="O1982" s="31" t="inlineStr">
        <is>
          <t>320-402-401-0</t>
        </is>
      </c>
      <c r="P1982" s="31" t="inlineStr">
        <is>
          <t>SR Technics Switzerland</t>
        </is>
      </c>
    </row>
    <row r="1983">
      <c r="B1983" s="31" t="inlineStr">
        <is>
          <t>CFM56-5B</t>
        </is>
      </c>
      <c r="C1983" s="31" t="inlineStr">
        <is>
          <t>2025-2026</t>
        </is>
      </c>
      <c r="D1983" s="31" t="inlineStr">
        <is>
          <t>609411</t>
        </is>
      </c>
      <c r="E1983" s="31" t="inlineStr">
        <is>
          <t>73-22-98</t>
        </is>
      </c>
      <c r="F1983" s="31" t="inlineStr">
        <is>
          <t>D</t>
        </is>
      </c>
      <c r="G1983" s="31" t="inlineStr">
        <is>
          <t>Fuel system</t>
        </is>
      </c>
      <c r="H1983" s="27" t="n">
        <v>1280</v>
      </c>
      <c r="I1983" s="27" t="n">
        <v>1360</v>
      </c>
      <c r="J1983" s="154">
        <f>I1983/H1983-1</f>
        <v/>
      </c>
      <c r="K1983" s="31" t="inlineStr">
        <is>
          <t>20</t>
        </is>
      </c>
      <c r="L1983" s="31" t="inlineStr">
        <is>
          <t>21</t>
        </is>
      </c>
      <c r="M1983" s="31" t="inlineStr">
        <is>
          <t>S2</t>
        </is>
      </c>
      <c r="N1983" s="31" t="inlineStr">
        <is>
          <t>S4</t>
        </is>
      </c>
      <c r="O1983" s="31" t="inlineStr">
        <is>
          <t>320-402-401-0</t>
        </is>
      </c>
      <c r="P1983" s="31" t="inlineStr">
        <is>
          <t>SR Technics Switzerland</t>
        </is>
      </c>
    </row>
    <row r="1984">
      <c r="B1984" s="31" t="inlineStr">
        <is>
          <t>CFM56-5B</t>
        </is>
      </c>
      <c r="C1984" s="31" t="inlineStr">
        <is>
          <t>2025-2026</t>
        </is>
      </c>
      <c r="D1984" s="31" t="inlineStr">
        <is>
          <t>609411</t>
        </is>
      </c>
      <c r="E1984" s="31" t="inlineStr">
        <is>
          <t>73-22-98</t>
        </is>
      </c>
      <c r="F1984" s="31" t="inlineStr">
        <is>
          <t>E</t>
        </is>
      </c>
      <c r="G1984" s="31" t="inlineStr">
        <is>
          <t>Fuel system</t>
        </is>
      </c>
      <c r="H1984" s="27" t="n">
        <v>4015</v>
      </c>
      <c r="I1984" s="27" t="n">
        <v>4260</v>
      </c>
      <c r="J1984" s="154">
        <f>I1984/H1984-1</f>
        <v/>
      </c>
      <c r="K1984" s="31" t="inlineStr">
        <is>
          <t>20</t>
        </is>
      </c>
      <c r="L1984" s="31" t="inlineStr">
        <is>
          <t>21</t>
        </is>
      </c>
      <c r="M1984" s="31" t="inlineStr">
        <is>
          <t>S2</t>
        </is>
      </c>
      <c r="N1984" s="31" t="inlineStr">
        <is>
          <t>S4</t>
        </is>
      </c>
      <c r="O1984" s="31" t="inlineStr">
        <is>
          <t>320-402-401-0</t>
        </is>
      </c>
      <c r="P1984" s="31" t="inlineStr">
        <is>
          <t>SR Technics Switzerland</t>
        </is>
      </c>
    </row>
    <row r="1985">
      <c r="B1985" s="31" t="inlineStr">
        <is>
          <t>CFM56-5B</t>
        </is>
      </c>
      <c r="C1985" s="31" t="inlineStr">
        <is>
          <t>2025-2026</t>
        </is>
      </c>
      <c r="D1985" s="31" t="inlineStr">
        <is>
          <t>609411</t>
        </is>
      </c>
      <c r="E1985" s="31" t="inlineStr">
        <is>
          <t>73-22-98</t>
        </is>
      </c>
      <c r="F1985" s="31" t="inlineStr">
        <is>
          <t>F</t>
        </is>
      </c>
      <c r="G1985" s="31" t="inlineStr">
        <is>
          <t>Fuel system</t>
        </is>
      </c>
      <c r="H1985" s="27" t="n">
        <v>5430</v>
      </c>
      <c r="I1985" s="27" t="n">
        <v>5760</v>
      </c>
      <c r="J1985" s="154">
        <f>I1985/H1985-1</f>
        <v/>
      </c>
      <c r="K1985" s="31" t="inlineStr">
        <is>
          <t>20</t>
        </is>
      </c>
      <c r="L1985" s="31" t="inlineStr">
        <is>
          <t>21</t>
        </is>
      </c>
      <c r="M1985" s="31" t="inlineStr">
        <is>
          <t>S2</t>
        </is>
      </c>
      <c r="N1985" s="31" t="inlineStr">
        <is>
          <t>S4</t>
        </is>
      </c>
      <c r="O1985" s="31" t="inlineStr">
        <is>
          <t>320-402-401-0</t>
        </is>
      </c>
      <c r="P1985" s="31" t="inlineStr">
        <is>
          <t>SR Technics Switzerland</t>
        </is>
      </c>
    </row>
    <row r="1986">
      <c r="B1986" s="31" t="inlineStr">
        <is>
          <t>CFM56-5B</t>
        </is>
      </c>
      <c r="C1986" s="31" t="inlineStr">
        <is>
          <t>2025-2026</t>
        </is>
      </c>
      <c r="D1986" s="31" t="inlineStr">
        <is>
          <t>609412</t>
        </is>
      </c>
      <c r="E1986" s="31" t="inlineStr">
        <is>
          <t>73-22-85</t>
        </is>
      </c>
      <c r="F1986" s="31" t="inlineStr">
        <is>
          <t>C</t>
        </is>
      </c>
      <c r="G1986" s="31" t="inlineStr">
        <is>
          <t>Fuel system</t>
        </is>
      </c>
      <c r="H1986" s="27" t="n">
        <v>375</v>
      </c>
      <c r="I1986" s="27" t="n">
        <v>400</v>
      </c>
      <c r="J1986" s="154">
        <f>I1986/H1986-1</f>
        <v/>
      </c>
      <c r="K1986" s="31" t="inlineStr">
        <is>
          <t>20</t>
        </is>
      </c>
      <c r="L1986" s="31" t="inlineStr">
        <is>
          <t>21</t>
        </is>
      </c>
      <c r="M1986" s="31" t="inlineStr">
        <is>
          <t>S2</t>
        </is>
      </c>
      <c r="N1986" s="31" t="inlineStr">
        <is>
          <t>S4</t>
        </is>
      </c>
      <c r="O1986" s="31" t="inlineStr">
        <is>
          <t>320-290-201-0</t>
        </is>
      </c>
      <c r="P1986" s="31" t="inlineStr">
        <is>
          <t>SR Technics Switzerland</t>
        </is>
      </c>
    </row>
    <row r="1987">
      <c r="B1987" s="31" t="inlineStr">
        <is>
          <t>CFM56-5B</t>
        </is>
      </c>
      <c r="C1987" s="31" t="inlineStr">
        <is>
          <t>2025-2026</t>
        </is>
      </c>
      <c r="D1987" s="31" t="inlineStr">
        <is>
          <t>609412</t>
        </is>
      </c>
      <c r="E1987" s="31" t="inlineStr">
        <is>
          <t>73-22-85</t>
        </is>
      </c>
      <c r="F1987" s="31" t="inlineStr">
        <is>
          <t>D</t>
        </is>
      </c>
      <c r="G1987" s="31" t="inlineStr">
        <is>
          <t>Fuel system</t>
        </is>
      </c>
      <c r="H1987" s="27" t="n">
        <v>1280</v>
      </c>
      <c r="I1987" s="27" t="n">
        <v>1360</v>
      </c>
      <c r="J1987" s="154">
        <f>I1987/H1987-1</f>
        <v/>
      </c>
      <c r="K1987" s="31" t="inlineStr">
        <is>
          <t>20</t>
        </is>
      </c>
      <c r="L1987" s="31" t="inlineStr">
        <is>
          <t>21</t>
        </is>
      </c>
      <c r="M1987" s="31" t="inlineStr">
        <is>
          <t>S2</t>
        </is>
      </c>
      <c r="N1987" s="31" t="inlineStr">
        <is>
          <t>S4</t>
        </is>
      </c>
      <c r="O1987" s="31" t="inlineStr">
        <is>
          <t>320-290-201-0</t>
        </is>
      </c>
      <c r="P1987" s="31" t="inlineStr">
        <is>
          <t>SR Technics Switzerland</t>
        </is>
      </c>
    </row>
    <row r="1988">
      <c r="B1988" s="31" t="inlineStr">
        <is>
          <t>CFM56-5B</t>
        </is>
      </c>
      <c r="C1988" s="31" t="inlineStr">
        <is>
          <t>2025-2026</t>
        </is>
      </c>
      <c r="D1988" s="31" t="inlineStr">
        <is>
          <t>609412</t>
        </is>
      </c>
      <c r="E1988" s="31" t="inlineStr">
        <is>
          <t>73-22-85</t>
        </is>
      </c>
      <c r="F1988" s="31" t="inlineStr">
        <is>
          <t>E</t>
        </is>
      </c>
      <c r="G1988" s="31" t="inlineStr">
        <is>
          <t>Fuel system</t>
        </is>
      </c>
      <c r="H1988" s="27" t="n">
        <v>4015</v>
      </c>
      <c r="I1988" s="27" t="n">
        <v>4260</v>
      </c>
      <c r="J1988" s="154">
        <f>I1988/H1988-1</f>
        <v/>
      </c>
      <c r="K1988" s="31" t="inlineStr">
        <is>
          <t>20</t>
        </is>
      </c>
      <c r="L1988" s="31" t="inlineStr">
        <is>
          <t>21</t>
        </is>
      </c>
      <c r="M1988" s="31" t="inlineStr">
        <is>
          <t>S2</t>
        </is>
      </c>
      <c r="N1988" s="31" t="inlineStr">
        <is>
          <t>S4</t>
        </is>
      </c>
      <c r="O1988" s="31" t="inlineStr">
        <is>
          <t>320-290-201-0</t>
        </is>
      </c>
      <c r="P1988" s="31" t="inlineStr">
        <is>
          <t>SR Technics Switzerland</t>
        </is>
      </c>
    </row>
    <row r="1989">
      <c r="B1989" s="31" t="inlineStr">
        <is>
          <t>CFM56-5B</t>
        </is>
      </c>
      <c r="C1989" s="31" t="inlineStr">
        <is>
          <t>2025-2026</t>
        </is>
      </c>
      <c r="D1989" s="31" t="inlineStr">
        <is>
          <t>609412</t>
        </is>
      </c>
      <c r="E1989" s="31" t="inlineStr">
        <is>
          <t>73-22-85</t>
        </is>
      </c>
      <c r="F1989" s="31" t="inlineStr">
        <is>
          <t>F</t>
        </is>
      </c>
      <c r="G1989" s="31" t="inlineStr">
        <is>
          <t>Fuel system</t>
        </is>
      </c>
      <c r="H1989" s="27" t="n">
        <v>5430</v>
      </c>
      <c r="I1989" s="27" t="n">
        <v>5760</v>
      </c>
      <c r="J1989" s="154">
        <f>I1989/H1989-1</f>
        <v/>
      </c>
      <c r="K1989" s="31" t="inlineStr">
        <is>
          <t>20</t>
        </is>
      </c>
      <c r="L1989" s="31" t="inlineStr">
        <is>
          <t>21</t>
        </is>
      </c>
      <c r="M1989" s="31" t="inlineStr">
        <is>
          <t>S2</t>
        </is>
      </c>
      <c r="N1989" s="31" t="inlineStr">
        <is>
          <t>S4</t>
        </is>
      </c>
      <c r="O1989" s="31" t="inlineStr">
        <is>
          <t>320-290-201-0</t>
        </is>
      </c>
      <c r="P1989" s="31" t="inlineStr">
        <is>
          <t>SR Technics Switzerland</t>
        </is>
      </c>
    </row>
    <row r="1990">
      <c r="B1990" s="31" t="inlineStr">
        <is>
          <t>CFM56-5B</t>
        </is>
      </c>
      <c r="C1990" s="31" t="inlineStr">
        <is>
          <t>2025-2026</t>
        </is>
      </c>
      <c r="D1990" s="31" t="inlineStr">
        <is>
          <t>609413</t>
        </is>
      </c>
      <c r="E1990" s="31" t="inlineStr">
        <is>
          <t>73-22-74</t>
        </is>
      </c>
      <c r="F1990" s="31" t="inlineStr">
        <is>
          <t>C</t>
        </is>
      </c>
      <c r="G1990" s="31" t="inlineStr">
        <is>
          <t>Fuel system</t>
        </is>
      </c>
      <c r="H1990" s="27" t="n">
        <v>375</v>
      </c>
      <c r="I1990" s="27" t="n">
        <v>400</v>
      </c>
      <c r="J1990" s="154">
        <f>I1990/H1990-1</f>
        <v/>
      </c>
      <c r="K1990" s="31" t="inlineStr">
        <is>
          <t>20</t>
        </is>
      </c>
      <c r="L1990" s="31" t="inlineStr">
        <is>
          <t>21</t>
        </is>
      </c>
      <c r="M1990" s="31" t="inlineStr">
        <is>
          <t>S2</t>
        </is>
      </c>
      <c r="N1990" s="31" t="inlineStr">
        <is>
          <t>S4</t>
        </is>
      </c>
      <c r="O1990" s="31" t="inlineStr">
        <is>
          <t>320-364-201-0</t>
        </is>
      </c>
      <c r="P1990" s="31" t="inlineStr">
        <is>
          <t>SR Technics Switzerland</t>
        </is>
      </c>
    </row>
    <row r="1991">
      <c r="B1991" s="31" t="inlineStr">
        <is>
          <t>CFM56-5B</t>
        </is>
      </c>
      <c r="C1991" s="31" t="inlineStr">
        <is>
          <t>2025-2026</t>
        </is>
      </c>
      <c r="D1991" s="31" t="inlineStr">
        <is>
          <t>609413</t>
        </is>
      </c>
      <c r="E1991" s="31" t="inlineStr">
        <is>
          <t>73-22-74</t>
        </is>
      </c>
      <c r="F1991" s="31" t="inlineStr">
        <is>
          <t>D</t>
        </is>
      </c>
      <c r="G1991" s="31" t="inlineStr">
        <is>
          <t>Fuel system</t>
        </is>
      </c>
      <c r="H1991" s="27" t="n">
        <v>1280</v>
      </c>
      <c r="I1991" s="27" t="n">
        <v>1360</v>
      </c>
      <c r="J1991" s="154">
        <f>I1991/H1991-1</f>
        <v/>
      </c>
      <c r="K1991" s="31" t="inlineStr">
        <is>
          <t>20</t>
        </is>
      </c>
      <c r="L1991" s="31" t="inlineStr">
        <is>
          <t>21</t>
        </is>
      </c>
      <c r="M1991" s="31" t="inlineStr">
        <is>
          <t>S2</t>
        </is>
      </c>
      <c r="N1991" s="31" t="inlineStr">
        <is>
          <t>S4</t>
        </is>
      </c>
      <c r="O1991" s="31" t="inlineStr">
        <is>
          <t>320-364-201-0</t>
        </is>
      </c>
      <c r="P1991" s="31" t="inlineStr">
        <is>
          <t>SR Technics Switzerland</t>
        </is>
      </c>
    </row>
    <row r="1992">
      <c r="B1992" s="31" t="inlineStr">
        <is>
          <t>CFM56-5B</t>
        </is>
      </c>
      <c r="C1992" s="31" t="inlineStr">
        <is>
          <t>2025-2026</t>
        </is>
      </c>
      <c r="D1992" s="31" t="inlineStr">
        <is>
          <t>609413</t>
        </is>
      </c>
      <c r="E1992" s="31" t="inlineStr">
        <is>
          <t>73-22-74</t>
        </is>
      </c>
      <c r="F1992" s="31" t="inlineStr">
        <is>
          <t>E</t>
        </is>
      </c>
      <c r="G1992" s="31" t="inlineStr">
        <is>
          <t>Fuel system</t>
        </is>
      </c>
      <c r="H1992" s="27" t="n">
        <v>4015</v>
      </c>
      <c r="I1992" s="27" t="n">
        <v>4260</v>
      </c>
      <c r="J1992" s="154">
        <f>I1992/H1992-1</f>
        <v/>
      </c>
      <c r="K1992" s="31" t="inlineStr">
        <is>
          <t>20</t>
        </is>
      </c>
      <c r="L1992" s="31" t="inlineStr">
        <is>
          <t>21</t>
        </is>
      </c>
      <c r="M1992" s="31" t="inlineStr">
        <is>
          <t>S2</t>
        </is>
      </c>
      <c r="N1992" s="31" t="inlineStr">
        <is>
          <t>S4</t>
        </is>
      </c>
      <c r="O1992" s="31" t="inlineStr">
        <is>
          <t>320-364-201-0</t>
        </is>
      </c>
      <c r="P1992" s="31" t="inlineStr">
        <is>
          <t>SR Technics Switzerland</t>
        </is>
      </c>
    </row>
    <row r="1993">
      <c r="B1993" s="31" t="inlineStr">
        <is>
          <t>CFM56-5B</t>
        </is>
      </c>
      <c r="C1993" s="31" t="inlineStr">
        <is>
          <t>2025-2026</t>
        </is>
      </c>
      <c r="D1993" s="31" t="inlineStr">
        <is>
          <t>609413</t>
        </is>
      </c>
      <c r="E1993" s="31" t="inlineStr">
        <is>
          <t>73-22-74</t>
        </is>
      </c>
      <c r="F1993" s="31" t="inlineStr">
        <is>
          <t>F</t>
        </is>
      </c>
      <c r="G1993" s="31" t="inlineStr">
        <is>
          <t>Fuel system</t>
        </is>
      </c>
      <c r="H1993" s="27" t="n">
        <v>5430</v>
      </c>
      <c r="I1993" s="27" t="n">
        <v>5760</v>
      </c>
      <c r="J1993" s="154">
        <f>I1993/H1993-1</f>
        <v/>
      </c>
      <c r="K1993" s="31" t="inlineStr">
        <is>
          <t>20</t>
        </is>
      </c>
      <c r="L1993" s="31" t="inlineStr">
        <is>
          <t>21</t>
        </is>
      </c>
      <c r="M1993" s="31" t="inlineStr">
        <is>
          <t>S2</t>
        </is>
      </c>
      <c r="N1993" s="31" t="inlineStr">
        <is>
          <t>S4</t>
        </is>
      </c>
      <c r="O1993" s="31" t="inlineStr">
        <is>
          <t>320-364-201-0</t>
        </is>
      </c>
      <c r="P1993" s="31" t="inlineStr">
        <is>
          <t>SR Technics Switzerland</t>
        </is>
      </c>
    </row>
    <row r="1994">
      <c r="B1994" s="31" t="inlineStr">
        <is>
          <t>CFM56-5B</t>
        </is>
      </c>
      <c r="C1994" s="31" t="inlineStr">
        <is>
          <t>2025-2026</t>
        </is>
      </c>
      <c r="D1994" s="31" t="inlineStr">
        <is>
          <t>609413</t>
        </is>
      </c>
      <c r="E1994" s="31" t="inlineStr">
        <is>
          <t>73-22-74</t>
        </is>
      </c>
      <c r="F1994" s="31" t="inlineStr">
        <is>
          <t>SB00</t>
        </is>
      </c>
      <c r="G1994" s="31" t="inlineStr">
        <is>
          <t>Fuel system</t>
        </is>
      </c>
      <c r="H1994" s="27" t="n">
        <v>375</v>
      </c>
      <c r="I1994" s="27" t="n">
        <v>400</v>
      </c>
      <c r="J1994" s="154">
        <f>I1994/H1994-1</f>
        <v/>
      </c>
      <c r="K1994" s="31" t="inlineStr">
        <is>
          <t>20</t>
        </is>
      </c>
      <c r="L1994" s="31" t="inlineStr">
        <is>
          <t>21</t>
        </is>
      </c>
      <c r="M1994" s="31" t="inlineStr">
        <is>
          <t>S2</t>
        </is>
      </c>
      <c r="N1994" s="31" t="inlineStr">
        <is>
          <t>S4</t>
        </is>
      </c>
      <c r="O1994" s="31" t="inlineStr">
        <is>
          <t>320-364-201-0</t>
        </is>
      </c>
      <c r="P1994" s="31" t="inlineStr">
        <is>
          <t>SR Technics Switzerland</t>
        </is>
      </c>
    </row>
    <row r="1995">
      <c r="B1995" s="31" t="inlineStr">
        <is>
          <t>CFM56-5B</t>
        </is>
      </c>
      <c r="C1995" s="31" t="inlineStr">
        <is>
          <t>2025-2026</t>
        </is>
      </c>
      <c r="D1995" s="31" t="inlineStr">
        <is>
          <t>609413</t>
        </is>
      </c>
      <c r="E1995" s="31" t="inlineStr">
        <is>
          <t>73-22-74</t>
        </is>
      </c>
      <c r="F1995" s="31" t="inlineStr">
        <is>
          <t>SB01</t>
        </is>
      </c>
      <c r="G1995" s="31" t="inlineStr">
        <is>
          <t>Fuel system</t>
        </is>
      </c>
      <c r="H1995" s="27" t="n">
        <v>375</v>
      </c>
      <c r="I1995" s="27" t="n">
        <v>400</v>
      </c>
      <c r="J1995" s="154">
        <f>I1995/H1995-1</f>
        <v/>
      </c>
      <c r="K1995" s="31" t="inlineStr">
        <is>
          <t>20</t>
        </is>
      </c>
      <c r="L1995" s="31" t="inlineStr">
        <is>
          <t>21</t>
        </is>
      </c>
      <c r="M1995" s="31" t="inlineStr">
        <is>
          <t>S2</t>
        </is>
      </c>
      <c r="N1995" s="31" t="inlineStr">
        <is>
          <t>S4</t>
        </is>
      </c>
      <c r="O1995" s="31" t="inlineStr">
        <is>
          <t>320-364-201-0</t>
        </is>
      </c>
      <c r="P1995" s="31" t="inlineStr">
        <is>
          <t>SR Technics Switzerland</t>
        </is>
      </c>
    </row>
    <row r="1996">
      <c r="B1996" s="31" t="inlineStr">
        <is>
          <t>CFM56-5B</t>
        </is>
      </c>
      <c r="C1996" s="31" t="inlineStr">
        <is>
          <t>2025-2026</t>
        </is>
      </c>
      <c r="D1996" s="31" t="inlineStr">
        <is>
          <t>609414</t>
        </is>
      </c>
      <c r="E1996" s="31" t="inlineStr">
        <is>
          <t>73-22-96</t>
        </is>
      </c>
      <c r="F1996" s="31" t="inlineStr">
        <is>
          <t>C</t>
        </is>
      </c>
      <c r="G1996" s="31" t="inlineStr">
        <is>
          <t>Fuel system</t>
        </is>
      </c>
      <c r="H1996" s="27" t="n">
        <v>375</v>
      </c>
      <c r="I1996" s="27" t="n">
        <v>400</v>
      </c>
      <c r="J1996" s="154">
        <f>I1996/H1996-1</f>
        <v/>
      </c>
      <c r="K1996" s="31" t="inlineStr">
        <is>
          <t>20</t>
        </is>
      </c>
      <c r="L1996" s="31" t="inlineStr">
        <is>
          <t>21</t>
        </is>
      </c>
      <c r="M1996" s="31" t="inlineStr">
        <is>
          <t>S2</t>
        </is>
      </c>
      <c r="N1996" s="31" t="inlineStr">
        <is>
          <t>S4</t>
        </is>
      </c>
      <c r="O1996" s="31" t="inlineStr">
        <is>
          <t>320-366-601-0</t>
        </is>
      </c>
      <c r="P1996" s="31" t="inlineStr">
        <is>
          <t>SR Technics Switzerland</t>
        </is>
      </c>
    </row>
    <row r="1997">
      <c r="B1997" s="31" t="inlineStr">
        <is>
          <t>CFM56-5B</t>
        </is>
      </c>
      <c r="C1997" s="31" t="inlineStr">
        <is>
          <t>2025-2026</t>
        </is>
      </c>
      <c r="D1997" s="31" t="inlineStr">
        <is>
          <t>609414</t>
        </is>
      </c>
      <c r="E1997" s="31" t="inlineStr">
        <is>
          <t>73-22-96</t>
        </is>
      </c>
      <c r="F1997" s="31" t="inlineStr">
        <is>
          <t>D</t>
        </is>
      </c>
      <c r="G1997" s="31" t="inlineStr">
        <is>
          <t>Fuel system</t>
        </is>
      </c>
      <c r="H1997" s="27" t="n">
        <v>1280</v>
      </c>
      <c r="I1997" s="27" t="n">
        <v>1360</v>
      </c>
      <c r="J1997" s="154">
        <f>I1997/H1997-1</f>
        <v/>
      </c>
      <c r="K1997" s="31" t="inlineStr">
        <is>
          <t>20</t>
        </is>
      </c>
      <c r="L1997" s="31" t="inlineStr">
        <is>
          <t>21</t>
        </is>
      </c>
      <c r="M1997" s="31" t="inlineStr">
        <is>
          <t>S2</t>
        </is>
      </c>
      <c r="N1997" s="31" t="inlineStr">
        <is>
          <t>S4</t>
        </is>
      </c>
      <c r="O1997" s="31" t="inlineStr">
        <is>
          <t>320-366-601-0</t>
        </is>
      </c>
      <c r="P1997" s="31" t="inlineStr">
        <is>
          <t>SR Technics Switzerland</t>
        </is>
      </c>
    </row>
    <row r="1998">
      <c r="B1998" s="31" t="inlineStr">
        <is>
          <t>CFM56-5B</t>
        </is>
      </c>
      <c r="C1998" s="31" t="inlineStr">
        <is>
          <t>2025-2026</t>
        </is>
      </c>
      <c r="D1998" s="31" t="inlineStr">
        <is>
          <t>609414</t>
        </is>
      </c>
      <c r="E1998" s="31" t="inlineStr">
        <is>
          <t>73-22-96</t>
        </is>
      </c>
      <c r="F1998" s="31" t="inlineStr">
        <is>
          <t>E</t>
        </is>
      </c>
      <c r="G1998" s="31" t="inlineStr">
        <is>
          <t>Fuel system</t>
        </is>
      </c>
      <c r="H1998" s="27" t="n">
        <v>3690</v>
      </c>
      <c r="I1998" s="27" t="n">
        <v>3915</v>
      </c>
      <c r="J1998" s="154">
        <f>I1998/H1998-1</f>
        <v/>
      </c>
      <c r="K1998" s="31" t="inlineStr">
        <is>
          <t>20</t>
        </is>
      </c>
      <c r="L1998" s="31" t="inlineStr">
        <is>
          <t>21</t>
        </is>
      </c>
      <c r="M1998" s="31" t="inlineStr">
        <is>
          <t>S2</t>
        </is>
      </c>
      <c r="N1998" s="31" t="inlineStr">
        <is>
          <t>S4</t>
        </is>
      </c>
      <c r="O1998" s="31" t="inlineStr">
        <is>
          <t>320-366-601-0</t>
        </is>
      </c>
      <c r="P1998" s="31" t="inlineStr">
        <is>
          <t>SR Technics Switzerland</t>
        </is>
      </c>
    </row>
    <row r="1999">
      <c r="B1999" s="31" t="inlineStr">
        <is>
          <t>CFM56-5B</t>
        </is>
      </c>
      <c r="C1999" s="31" t="inlineStr">
        <is>
          <t>2025-2026</t>
        </is>
      </c>
      <c r="D1999" s="31" t="inlineStr">
        <is>
          <t>609414</t>
        </is>
      </c>
      <c r="E1999" s="31" t="inlineStr">
        <is>
          <t>73-22-96</t>
        </is>
      </c>
      <c r="F1999" s="31" t="inlineStr">
        <is>
          <t>F</t>
        </is>
      </c>
      <c r="G1999" s="31" t="inlineStr">
        <is>
          <t>Fuel system</t>
        </is>
      </c>
      <c r="H1999" s="27" t="n">
        <v>5170</v>
      </c>
      <c r="I1999" s="27" t="n">
        <v>5485</v>
      </c>
      <c r="J1999" s="154">
        <f>I1999/H1999-1</f>
        <v/>
      </c>
      <c r="K1999" s="31" t="inlineStr">
        <is>
          <t>20</t>
        </is>
      </c>
      <c r="L1999" s="31" t="inlineStr">
        <is>
          <t>21</t>
        </is>
      </c>
      <c r="M1999" s="31" t="inlineStr">
        <is>
          <t>S2</t>
        </is>
      </c>
      <c r="N1999" s="31" t="inlineStr">
        <is>
          <t>S4</t>
        </is>
      </c>
      <c r="O1999" s="31" t="inlineStr">
        <is>
          <t>320-366-601-0</t>
        </is>
      </c>
      <c r="P1999" s="31" t="inlineStr">
        <is>
          <t>SR Technics Switzerland</t>
        </is>
      </c>
    </row>
    <row r="2000">
      <c r="B2000" s="31" t="inlineStr">
        <is>
          <t>CFM56-5B</t>
        </is>
      </c>
      <c r="C2000" s="31" t="inlineStr">
        <is>
          <t>2025-2026</t>
        </is>
      </c>
      <c r="D2000" s="31" t="inlineStr">
        <is>
          <t>609415</t>
        </is>
      </c>
      <c r="E2000" s="31" t="inlineStr">
        <is>
          <t>73-22-86</t>
        </is>
      </c>
      <c r="F2000" s="31" t="inlineStr">
        <is>
          <t>C</t>
        </is>
      </c>
      <c r="G2000" s="31" t="inlineStr">
        <is>
          <t>Fuel system</t>
        </is>
      </c>
      <c r="H2000" s="27" t="n">
        <v>375</v>
      </c>
      <c r="I2000" s="27" t="n">
        <v>400</v>
      </c>
      <c r="J2000" s="154">
        <f>I2000/H2000-1</f>
        <v/>
      </c>
      <c r="K2000" s="31" t="inlineStr">
        <is>
          <t>20</t>
        </is>
      </c>
      <c r="L2000" s="31" t="inlineStr">
        <is>
          <t>21</t>
        </is>
      </c>
      <c r="M2000" s="31" t="inlineStr">
        <is>
          <t>S2</t>
        </is>
      </c>
      <c r="N2000" s="31" t="inlineStr">
        <is>
          <t>S4</t>
        </is>
      </c>
      <c r="O2000" s="31" t="inlineStr">
        <is>
          <t>320-290-301-0</t>
        </is>
      </c>
      <c r="P2000" s="31" t="inlineStr">
        <is>
          <t>SR Technics Switzerland</t>
        </is>
      </c>
    </row>
    <row r="2001">
      <c r="B2001" s="31" t="inlineStr">
        <is>
          <t>CFM56-5B</t>
        </is>
      </c>
      <c r="C2001" s="31" t="inlineStr">
        <is>
          <t>2025-2026</t>
        </is>
      </c>
      <c r="D2001" s="31" t="inlineStr">
        <is>
          <t>609415</t>
        </is>
      </c>
      <c r="E2001" s="31" t="inlineStr">
        <is>
          <t>73-22-86</t>
        </is>
      </c>
      <c r="F2001" s="31" t="inlineStr">
        <is>
          <t>D</t>
        </is>
      </c>
      <c r="G2001" s="31" t="inlineStr">
        <is>
          <t>Fuel system</t>
        </is>
      </c>
      <c r="H2001" s="27" t="n">
        <v>1280</v>
      </c>
      <c r="I2001" s="27" t="n">
        <v>1360</v>
      </c>
      <c r="J2001" s="154">
        <f>I2001/H2001-1</f>
        <v/>
      </c>
      <c r="K2001" s="31" t="inlineStr">
        <is>
          <t>20</t>
        </is>
      </c>
      <c r="L2001" s="31" t="inlineStr">
        <is>
          <t>21</t>
        </is>
      </c>
      <c r="M2001" s="31" t="inlineStr">
        <is>
          <t>S2</t>
        </is>
      </c>
      <c r="N2001" s="31" t="inlineStr">
        <is>
          <t>S4</t>
        </is>
      </c>
      <c r="O2001" s="31" t="inlineStr">
        <is>
          <t>320-290-301-0</t>
        </is>
      </c>
      <c r="P2001" s="31" t="inlineStr">
        <is>
          <t>SR Technics Switzerland</t>
        </is>
      </c>
    </row>
    <row r="2002">
      <c r="B2002" s="31" t="inlineStr">
        <is>
          <t>CFM56-5B</t>
        </is>
      </c>
      <c r="C2002" s="31" t="inlineStr">
        <is>
          <t>2025-2026</t>
        </is>
      </c>
      <c r="D2002" s="31" t="inlineStr">
        <is>
          <t>609415</t>
        </is>
      </c>
      <c r="E2002" s="31" t="inlineStr">
        <is>
          <t>73-22-86</t>
        </is>
      </c>
      <c r="F2002" s="31" t="inlineStr">
        <is>
          <t>E</t>
        </is>
      </c>
      <c r="G2002" s="31" t="inlineStr">
        <is>
          <t>Fuel system</t>
        </is>
      </c>
      <c r="H2002" s="27" t="n">
        <v>3690</v>
      </c>
      <c r="I2002" s="27" t="n">
        <v>3915</v>
      </c>
      <c r="J2002" s="154">
        <f>I2002/H2002-1</f>
        <v/>
      </c>
      <c r="K2002" s="31" t="inlineStr">
        <is>
          <t>20</t>
        </is>
      </c>
      <c r="L2002" s="31" t="inlineStr">
        <is>
          <t>21</t>
        </is>
      </c>
      <c r="M2002" s="31" t="inlineStr">
        <is>
          <t>S2</t>
        </is>
      </c>
      <c r="N2002" s="31" t="inlineStr">
        <is>
          <t>S4</t>
        </is>
      </c>
      <c r="O2002" s="31" t="inlineStr">
        <is>
          <t>320-290-301-0</t>
        </is>
      </c>
      <c r="P2002" s="31" t="inlineStr">
        <is>
          <t>SR Technics Switzerland</t>
        </is>
      </c>
    </row>
    <row r="2003">
      <c r="B2003" s="31" t="inlineStr">
        <is>
          <t>CFM56-5B</t>
        </is>
      </c>
      <c r="C2003" s="31" t="inlineStr">
        <is>
          <t>2025-2026</t>
        </is>
      </c>
      <c r="D2003" s="31" t="inlineStr">
        <is>
          <t>609415</t>
        </is>
      </c>
      <c r="E2003" s="31" t="inlineStr">
        <is>
          <t>73-22-86</t>
        </is>
      </c>
      <c r="F2003" s="31" t="inlineStr">
        <is>
          <t>F</t>
        </is>
      </c>
      <c r="G2003" s="31" t="inlineStr">
        <is>
          <t>Fuel system</t>
        </is>
      </c>
      <c r="H2003" s="27" t="n">
        <v>5170</v>
      </c>
      <c r="I2003" s="27" t="n">
        <v>5485</v>
      </c>
      <c r="J2003" s="154">
        <f>I2003/H2003-1</f>
        <v/>
      </c>
      <c r="K2003" s="31" t="inlineStr">
        <is>
          <t>20</t>
        </is>
      </c>
      <c r="L2003" s="31" t="inlineStr">
        <is>
          <t>21</t>
        </is>
      </c>
      <c r="M2003" s="31" t="inlineStr">
        <is>
          <t>S2</t>
        </is>
      </c>
      <c r="N2003" s="31" t="inlineStr">
        <is>
          <t>S4</t>
        </is>
      </c>
      <c r="O2003" s="31" t="inlineStr">
        <is>
          <t>320-290-301-0</t>
        </is>
      </c>
      <c r="P2003" s="31" t="inlineStr">
        <is>
          <t>SR Technics Switzerland</t>
        </is>
      </c>
    </row>
    <row r="2004">
      <c r="B2004" s="31" t="inlineStr">
        <is>
          <t>CFM56-5B</t>
        </is>
      </c>
      <c r="C2004" s="31" t="inlineStr">
        <is>
          <t>2025-2026</t>
        </is>
      </c>
      <c r="D2004" s="31" t="inlineStr">
        <is>
          <t>609416</t>
        </is>
      </c>
      <c r="E2004" s="31" t="inlineStr">
        <is>
          <t>73-22-95</t>
        </is>
      </c>
      <c r="F2004" s="31" t="inlineStr">
        <is>
          <t>C</t>
        </is>
      </c>
      <c r="G2004" s="31" t="inlineStr">
        <is>
          <t>Fuel system</t>
        </is>
      </c>
      <c r="H2004" s="27" t="n">
        <v>375</v>
      </c>
      <c r="I2004" s="27" t="n">
        <v>400</v>
      </c>
      <c r="J2004" s="154">
        <f>I2004/H2004-1</f>
        <v/>
      </c>
      <c r="K2004" s="31" t="inlineStr">
        <is>
          <t>20</t>
        </is>
      </c>
      <c r="L2004" s="31" t="inlineStr">
        <is>
          <t>21</t>
        </is>
      </c>
      <c r="M2004" s="31" t="inlineStr">
        <is>
          <t>S2</t>
        </is>
      </c>
      <c r="N2004" s="31" t="inlineStr">
        <is>
          <t>S4</t>
        </is>
      </c>
      <c r="O2004" s="31" t="inlineStr">
        <is>
          <t>320-366-501-0</t>
        </is>
      </c>
      <c r="P2004" s="31" t="inlineStr">
        <is>
          <t>SR Technics Switzerland</t>
        </is>
      </c>
    </row>
    <row r="2005">
      <c r="B2005" s="31" t="inlineStr">
        <is>
          <t>CFM56-5B</t>
        </is>
      </c>
      <c r="C2005" s="31" t="inlineStr">
        <is>
          <t>2025-2026</t>
        </is>
      </c>
      <c r="D2005" s="31" t="inlineStr">
        <is>
          <t>609416</t>
        </is>
      </c>
      <c r="E2005" s="31" t="inlineStr">
        <is>
          <t>73-22-95</t>
        </is>
      </c>
      <c r="F2005" s="31" t="inlineStr">
        <is>
          <t>D</t>
        </is>
      </c>
      <c r="G2005" s="31" t="inlineStr">
        <is>
          <t>Fuel system</t>
        </is>
      </c>
      <c r="H2005" s="27" t="n">
        <v>1280</v>
      </c>
      <c r="I2005" s="27" t="n">
        <v>1360</v>
      </c>
      <c r="J2005" s="154">
        <f>I2005/H2005-1</f>
        <v/>
      </c>
      <c r="K2005" s="31" t="inlineStr">
        <is>
          <t>20</t>
        </is>
      </c>
      <c r="L2005" s="31" t="inlineStr">
        <is>
          <t>21</t>
        </is>
      </c>
      <c r="M2005" s="31" t="inlineStr">
        <is>
          <t>S2</t>
        </is>
      </c>
      <c r="N2005" s="31" t="inlineStr">
        <is>
          <t>S4</t>
        </is>
      </c>
      <c r="O2005" s="31" t="inlineStr">
        <is>
          <t>320-366-501-0</t>
        </is>
      </c>
      <c r="P2005" s="31" t="inlineStr">
        <is>
          <t>SR Technics Switzerland</t>
        </is>
      </c>
    </row>
    <row r="2006">
      <c r="B2006" s="31" t="inlineStr">
        <is>
          <t>CFM56-5B</t>
        </is>
      </c>
      <c r="C2006" s="31" t="inlineStr">
        <is>
          <t>2025-2026</t>
        </is>
      </c>
      <c r="D2006" s="31" t="inlineStr">
        <is>
          <t>609416</t>
        </is>
      </c>
      <c r="E2006" s="31" t="inlineStr">
        <is>
          <t>73-22-95</t>
        </is>
      </c>
      <c r="F2006" s="31" t="inlineStr">
        <is>
          <t>E</t>
        </is>
      </c>
      <c r="G2006" s="31" t="inlineStr">
        <is>
          <t>Fuel system</t>
        </is>
      </c>
      <c r="H2006" s="27" t="n">
        <v>3880</v>
      </c>
      <c r="I2006" s="27" t="n">
        <v>4115</v>
      </c>
      <c r="J2006" s="154">
        <f>I2006/H2006-1</f>
        <v/>
      </c>
      <c r="K2006" s="31" t="inlineStr">
        <is>
          <t>20</t>
        </is>
      </c>
      <c r="L2006" s="31" t="inlineStr">
        <is>
          <t>21</t>
        </is>
      </c>
      <c r="M2006" s="31" t="inlineStr">
        <is>
          <t>S2</t>
        </is>
      </c>
      <c r="N2006" s="31" t="inlineStr">
        <is>
          <t>S4</t>
        </is>
      </c>
      <c r="O2006" s="31" t="inlineStr">
        <is>
          <t>320-366-501-0</t>
        </is>
      </c>
      <c r="P2006" s="31" t="inlineStr">
        <is>
          <t>SR Technics Switzerland</t>
        </is>
      </c>
    </row>
    <row r="2007">
      <c r="B2007" s="31" t="inlineStr">
        <is>
          <t>CFM56-5B</t>
        </is>
      </c>
      <c r="C2007" s="31" t="inlineStr">
        <is>
          <t>2025-2026</t>
        </is>
      </c>
      <c r="D2007" s="31" t="inlineStr">
        <is>
          <t>609416</t>
        </is>
      </c>
      <c r="E2007" s="31" t="inlineStr">
        <is>
          <t>73-22-95</t>
        </is>
      </c>
      <c r="F2007" s="31" t="inlineStr">
        <is>
          <t>F</t>
        </is>
      </c>
      <c r="G2007" s="31" t="inlineStr">
        <is>
          <t>Fuel system</t>
        </is>
      </c>
      <c r="H2007" s="27" t="n">
        <v>5025</v>
      </c>
      <c r="I2007" s="27" t="n">
        <v>5330</v>
      </c>
      <c r="J2007" s="154">
        <f>I2007/H2007-1</f>
        <v/>
      </c>
      <c r="K2007" s="31" t="inlineStr">
        <is>
          <t>20</t>
        </is>
      </c>
      <c r="L2007" s="31" t="inlineStr">
        <is>
          <t>21</t>
        </is>
      </c>
      <c r="M2007" s="31" t="inlineStr">
        <is>
          <t>S2</t>
        </is>
      </c>
      <c r="N2007" s="31" t="inlineStr">
        <is>
          <t>S4</t>
        </is>
      </c>
      <c r="O2007" s="31" t="inlineStr">
        <is>
          <t>320-366-501-0</t>
        </is>
      </c>
      <c r="P2007" s="31" t="inlineStr">
        <is>
          <t>SR Technics Switzerland</t>
        </is>
      </c>
    </row>
    <row r="2008">
      <c r="B2008" s="31" t="inlineStr">
        <is>
          <t>CFM56-5B</t>
        </is>
      </c>
      <c r="C2008" s="31" t="inlineStr">
        <is>
          <t>2025-2026</t>
        </is>
      </c>
      <c r="D2008" s="31" t="inlineStr">
        <is>
          <t>609417</t>
        </is>
      </c>
      <c r="E2008" s="31" t="inlineStr">
        <is>
          <t>73-22-84</t>
        </is>
      </c>
      <c r="F2008" s="31" t="inlineStr">
        <is>
          <t>C</t>
        </is>
      </c>
      <c r="G2008" s="31" t="inlineStr">
        <is>
          <t>Fuel system</t>
        </is>
      </c>
      <c r="H2008" s="27" t="n">
        <v>375</v>
      </c>
      <c r="I2008" s="27" t="n">
        <v>400</v>
      </c>
      <c r="J2008" s="154">
        <f>I2008/H2008-1</f>
        <v/>
      </c>
      <c r="K2008" s="31" t="inlineStr">
        <is>
          <t>20</t>
        </is>
      </c>
      <c r="L2008" s="31" t="inlineStr">
        <is>
          <t>21</t>
        </is>
      </c>
      <c r="M2008" s="31" t="inlineStr">
        <is>
          <t>S2</t>
        </is>
      </c>
      <c r="N2008" s="31" t="inlineStr">
        <is>
          <t>S4</t>
        </is>
      </c>
      <c r="O2008" s="31" t="inlineStr">
        <is>
          <t>320-290-101-0</t>
        </is>
      </c>
      <c r="P2008" s="31" t="inlineStr">
        <is>
          <t>SR Technics Switzerland</t>
        </is>
      </c>
    </row>
    <row r="2009">
      <c r="B2009" s="31" t="inlineStr">
        <is>
          <t>CFM56-5B</t>
        </is>
      </c>
      <c r="C2009" s="31" t="inlineStr">
        <is>
          <t>2025-2026</t>
        </is>
      </c>
      <c r="D2009" s="31" t="inlineStr">
        <is>
          <t>609417</t>
        </is>
      </c>
      <c r="E2009" s="31" t="inlineStr">
        <is>
          <t>73-22-84</t>
        </is>
      </c>
      <c r="F2009" s="31" t="inlineStr">
        <is>
          <t>D</t>
        </is>
      </c>
      <c r="G2009" s="31" t="inlineStr">
        <is>
          <t>Fuel system</t>
        </is>
      </c>
      <c r="H2009" s="27" t="n">
        <v>1280</v>
      </c>
      <c r="I2009" s="27" t="n">
        <v>1360</v>
      </c>
      <c r="J2009" s="154">
        <f>I2009/H2009-1</f>
        <v/>
      </c>
      <c r="K2009" s="31" t="inlineStr">
        <is>
          <t>21</t>
        </is>
      </c>
      <c r="L2009" s="31" t="inlineStr">
        <is>
          <t>21</t>
        </is>
      </c>
      <c r="M2009" s="31" t="inlineStr">
        <is>
          <t>S2</t>
        </is>
      </c>
      <c r="N2009" s="31" t="inlineStr">
        <is>
          <t>S4</t>
        </is>
      </c>
      <c r="O2009" s="31" t="inlineStr">
        <is>
          <t>320-290-101-0</t>
        </is>
      </c>
      <c r="P2009" s="31" t="inlineStr">
        <is>
          <t>SR Technics Switzerland</t>
        </is>
      </c>
    </row>
    <row r="2010">
      <c r="B2010" s="31" t="inlineStr">
        <is>
          <t>CFM56-5B</t>
        </is>
      </c>
      <c r="C2010" s="31" t="inlineStr">
        <is>
          <t>2025-2026</t>
        </is>
      </c>
      <c r="D2010" s="31" t="inlineStr">
        <is>
          <t>609417</t>
        </is>
      </c>
      <c r="E2010" s="31" t="inlineStr">
        <is>
          <t>73-22-84</t>
        </is>
      </c>
      <c r="F2010" s="31" t="inlineStr">
        <is>
          <t>E</t>
        </is>
      </c>
      <c r="G2010" s="31" t="inlineStr">
        <is>
          <t>Fuel system</t>
        </is>
      </c>
      <c r="H2010" s="27" t="n">
        <v>3880</v>
      </c>
      <c r="I2010" s="27" t="n">
        <v>4115</v>
      </c>
      <c r="J2010" s="154">
        <f>I2010/H2010-1</f>
        <v/>
      </c>
      <c r="K2010" s="31" t="inlineStr">
        <is>
          <t>21</t>
        </is>
      </c>
      <c r="L2010" s="31" t="inlineStr">
        <is>
          <t>21</t>
        </is>
      </c>
      <c r="M2010" s="31" t="inlineStr">
        <is>
          <t>S2</t>
        </is>
      </c>
      <c r="N2010" s="31" t="inlineStr">
        <is>
          <t>S4</t>
        </is>
      </c>
      <c r="O2010" s="31" t="inlineStr">
        <is>
          <t>320-290-101-0</t>
        </is>
      </c>
      <c r="P2010" s="31" t="inlineStr">
        <is>
          <t>SR Technics Switzerland</t>
        </is>
      </c>
    </row>
    <row r="2011">
      <c r="B2011" s="31" t="inlineStr">
        <is>
          <t>CFM56-5B</t>
        </is>
      </c>
      <c r="C2011" s="31" t="inlineStr">
        <is>
          <t>2025-2026</t>
        </is>
      </c>
      <c r="D2011" s="31" t="inlineStr">
        <is>
          <t>609417</t>
        </is>
      </c>
      <c r="E2011" s="31" t="inlineStr">
        <is>
          <t>73-22-84</t>
        </is>
      </c>
      <c r="F2011" s="31" t="inlineStr">
        <is>
          <t>F</t>
        </is>
      </c>
      <c r="G2011" s="31" t="inlineStr">
        <is>
          <t>Fuel system</t>
        </is>
      </c>
      <c r="H2011" s="27" t="n">
        <v>5025</v>
      </c>
      <c r="I2011" s="27" t="n">
        <v>5330</v>
      </c>
      <c r="J2011" s="154">
        <f>I2011/H2011-1</f>
        <v/>
      </c>
      <c r="K2011" s="31" t="inlineStr">
        <is>
          <t>21</t>
        </is>
      </c>
      <c r="L2011" s="31" t="inlineStr">
        <is>
          <t>21</t>
        </is>
      </c>
      <c r="M2011" s="31" t="inlineStr">
        <is>
          <t>S2</t>
        </is>
      </c>
      <c r="N2011" s="31" t="inlineStr">
        <is>
          <t>S4</t>
        </is>
      </c>
      <c r="O2011" s="31" t="inlineStr">
        <is>
          <t>320-290-101-0</t>
        </is>
      </c>
      <c r="P2011" s="31" t="inlineStr">
        <is>
          <t>SR Technics Switzerland</t>
        </is>
      </c>
    </row>
    <row r="2012">
      <c r="B2012" s="31" t="inlineStr">
        <is>
          <t>CFM56-5B</t>
        </is>
      </c>
      <c r="C2012" s="31" t="inlineStr">
        <is>
          <t>2025-2026</t>
        </is>
      </c>
      <c r="D2012" s="31" t="inlineStr">
        <is>
          <t>609418</t>
        </is>
      </c>
      <c r="E2012" s="31" t="inlineStr">
        <is>
          <t>73-22-94</t>
        </is>
      </c>
      <c r="F2012" s="31" t="inlineStr">
        <is>
          <t>C</t>
        </is>
      </c>
      <c r="G2012" s="31" t="inlineStr">
        <is>
          <t>Fuel system</t>
        </is>
      </c>
      <c r="H2012" s="27" t="n">
        <v>375</v>
      </c>
      <c r="I2012" s="27" t="n">
        <v>400</v>
      </c>
      <c r="J2012" s="154">
        <f>I2012/H2012-1</f>
        <v/>
      </c>
      <c r="K2012" s="31" t="inlineStr">
        <is>
          <t>21</t>
        </is>
      </c>
      <c r="L2012" s="31" t="inlineStr">
        <is>
          <t>21</t>
        </is>
      </c>
      <c r="M2012" s="31" t="inlineStr">
        <is>
          <t>S2</t>
        </is>
      </c>
      <c r="N2012" s="31" t="inlineStr">
        <is>
          <t>S4</t>
        </is>
      </c>
      <c r="O2012" s="31" t="inlineStr">
        <is>
          <t>320-366-301-0</t>
        </is>
      </c>
      <c r="P2012" s="31" t="inlineStr">
        <is>
          <t>SR Technics Switzerland</t>
        </is>
      </c>
    </row>
    <row r="2013">
      <c r="B2013" s="31" t="inlineStr">
        <is>
          <t>CFM56-5B</t>
        </is>
      </c>
      <c r="C2013" s="31" t="inlineStr">
        <is>
          <t>2025-2026</t>
        </is>
      </c>
      <c r="D2013" s="31" t="inlineStr">
        <is>
          <t>609418</t>
        </is>
      </c>
      <c r="E2013" s="31" t="inlineStr">
        <is>
          <t>73-22-94</t>
        </is>
      </c>
      <c r="F2013" s="31" t="inlineStr">
        <is>
          <t>D</t>
        </is>
      </c>
      <c r="G2013" s="31" t="inlineStr">
        <is>
          <t>Fuel system</t>
        </is>
      </c>
      <c r="H2013" s="27" t="n">
        <v>1280</v>
      </c>
      <c r="I2013" s="27" t="n">
        <v>1360</v>
      </c>
      <c r="J2013" s="154">
        <f>I2013/H2013-1</f>
        <v/>
      </c>
      <c r="K2013" s="31" t="inlineStr">
        <is>
          <t>21</t>
        </is>
      </c>
      <c r="L2013" s="31" t="inlineStr">
        <is>
          <t>21</t>
        </is>
      </c>
      <c r="M2013" s="31" t="inlineStr">
        <is>
          <t>S2</t>
        </is>
      </c>
      <c r="N2013" s="31" t="inlineStr">
        <is>
          <t>S4</t>
        </is>
      </c>
      <c r="O2013" s="31" t="inlineStr">
        <is>
          <t>320-366-301-0</t>
        </is>
      </c>
      <c r="P2013" s="31" t="inlineStr">
        <is>
          <t>SR Technics Switzerland</t>
        </is>
      </c>
    </row>
    <row r="2014">
      <c r="B2014" s="31" t="inlineStr">
        <is>
          <t>CFM56-5B</t>
        </is>
      </c>
      <c r="C2014" s="31" t="inlineStr">
        <is>
          <t>2025-2026</t>
        </is>
      </c>
      <c r="D2014" s="31" t="inlineStr">
        <is>
          <t>609418</t>
        </is>
      </c>
      <c r="E2014" s="31" t="inlineStr">
        <is>
          <t>73-22-94</t>
        </is>
      </c>
      <c r="F2014" s="31" t="inlineStr">
        <is>
          <t>E</t>
        </is>
      </c>
      <c r="G2014" s="31" t="inlineStr">
        <is>
          <t>Fuel system</t>
        </is>
      </c>
      <c r="H2014" s="27" t="n">
        <v>1880</v>
      </c>
      <c r="I2014" s="27" t="n">
        <v>1995</v>
      </c>
      <c r="J2014" s="154">
        <f>I2014/H2014-1</f>
        <v/>
      </c>
      <c r="K2014" s="31" t="inlineStr">
        <is>
          <t>21</t>
        </is>
      </c>
      <c r="L2014" s="31" t="inlineStr">
        <is>
          <t>21</t>
        </is>
      </c>
      <c r="M2014" s="31" t="inlineStr">
        <is>
          <t>S2</t>
        </is>
      </c>
      <c r="N2014" s="31" t="inlineStr">
        <is>
          <t>S4</t>
        </is>
      </c>
      <c r="O2014" s="31" t="inlineStr">
        <is>
          <t>320-366-301-0</t>
        </is>
      </c>
      <c r="P2014" s="31" t="inlineStr">
        <is>
          <t>SR Technics Switzerland</t>
        </is>
      </c>
    </row>
    <row r="2015">
      <c r="B2015" s="31" t="inlineStr">
        <is>
          <t>CFM56-5B</t>
        </is>
      </c>
      <c r="C2015" s="31" t="inlineStr">
        <is>
          <t>2025-2026</t>
        </is>
      </c>
      <c r="D2015" s="31" t="inlineStr">
        <is>
          <t>609418</t>
        </is>
      </c>
      <c r="E2015" s="31" t="inlineStr">
        <is>
          <t>73-22-94</t>
        </is>
      </c>
      <c r="F2015" s="31" t="inlineStr">
        <is>
          <t>F</t>
        </is>
      </c>
      <c r="G2015" s="31" t="inlineStr">
        <is>
          <t>Fuel system</t>
        </is>
      </c>
      <c r="H2015" s="27" t="n">
        <v>3750</v>
      </c>
      <c r="I2015" s="27" t="n">
        <v>3975</v>
      </c>
      <c r="J2015" s="154">
        <f>I2015/H2015-1</f>
        <v/>
      </c>
      <c r="K2015" s="31" t="inlineStr">
        <is>
          <t>21</t>
        </is>
      </c>
      <c r="L2015" s="31" t="inlineStr">
        <is>
          <t>21</t>
        </is>
      </c>
      <c r="M2015" s="31" t="inlineStr">
        <is>
          <t>S2</t>
        </is>
      </c>
      <c r="N2015" s="31" t="inlineStr">
        <is>
          <t>S4</t>
        </is>
      </c>
      <c r="O2015" s="31" t="inlineStr">
        <is>
          <t>320-366-301-0</t>
        </is>
      </c>
      <c r="P2015" s="31" t="inlineStr">
        <is>
          <t>SR Technics Switzerland</t>
        </is>
      </c>
    </row>
    <row r="2016">
      <c r="B2016" s="31" t="inlineStr">
        <is>
          <t>CFM56-5B</t>
        </is>
      </c>
      <c r="C2016" s="31" t="inlineStr">
        <is>
          <t>2025-2026</t>
        </is>
      </c>
      <c r="D2016" s="31" t="inlineStr">
        <is>
          <t>609419</t>
        </is>
      </c>
      <c r="E2016" s="31" t="inlineStr">
        <is>
          <t>73-22-78</t>
        </is>
      </c>
      <c r="F2016" s="31" t="inlineStr">
        <is>
          <t>C</t>
        </is>
      </c>
      <c r="G2016" s="31" t="inlineStr">
        <is>
          <t>Fuel system</t>
        </is>
      </c>
      <c r="H2016" s="27" t="n">
        <v>375</v>
      </c>
      <c r="I2016" s="27" t="n">
        <v>400</v>
      </c>
      <c r="J2016" s="154">
        <f>I2016/H2016-1</f>
        <v/>
      </c>
      <c r="K2016" s="31" t="inlineStr">
        <is>
          <t>21</t>
        </is>
      </c>
      <c r="L2016" s="31" t="inlineStr">
        <is>
          <t>21</t>
        </is>
      </c>
      <c r="M2016" s="31" t="inlineStr">
        <is>
          <t>S2</t>
        </is>
      </c>
      <c r="N2016" s="31" t="inlineStr">
        <is>
          <t>S4</t>
        </is>
      </c>
      <c r="O2016" s="31" t="inlineStr">
        <is>
          <t>320-296-801-0</t>
        </is>
      </c>
      <c r="P2016" s="31" t="inlineStr">
        <is>
          <t>SR Technics Switzerland</t>
        </is>
      </c>
    </row>
    <row r="2017">
      <c r="B2017" s="31" t="inlineStr">
        <is>
          <t>CFM56-5B</t>
        </is>
      </c>
      <c r="C2017" s="31" t="inlineStr">
        <is>
          <t>2025-2026</t>
        </is>
      </c>
      <c r="D2017" s="31" t="inlineStr">
        <is>
          <t>609419</t>
        </is>
      </c>
      <c r="E2017" s="31" t="inlineStr">
        <is>
          <t>73-22-78</t>
        </is>
      </c>
      <c r="F2017" s="31" t="inlineStr">
        <is>
          <t>D</t>
        </is>
      </c>
      <c r="G2017" s="31" t="inlineStr">
        <is>
          <t>Fuel system</t>
        </is>
      </c>
      <c r="H2017" s="27" t="n">
        <v>1280</v>
      </c>
      <c r="I2017" s="27" t="n">
        <v>1360</v>
      </c>
      <c r="J2017" s="154">
        <f>I2017/H2017-1</f>
        <v/>
      </c>
      <c r="K2017" s="31" t="inlineStr">
        <is>
          <t>21</t>
        </is>
      </c>
      <c r="L2017" s="31" t="inlineStr">
        <is>
          <t>21</t>
        </is>
      </c>
      <c r="M2017" s="31" t="inlineStr">
        <is>
          <t>S2</t>
        </is>
      </c>
      <c r="N2017" s="31" t="inlineStr">
        <is>
          <t>S4</t>
        </is>
      </c>
      <c r="O2017" s="31" t="inlineStr">
        <is>
          <t>320-296-801-0</t>
        </is>
      </c>
      <c r="P2017" s="31" t="inlineStr">
        <is>
          <t>SR Technics Switzerland</t>
        </is>
      </c>
    </row>
    <row r="2018">
      <c r="B2018" s="31" t="inlineStr">
        <is>
          <t>CFM56-5B</t>
        </is>
      </c>
      <c r="C2018" s="31" t="inlineStr">
        <is>
          <t>2025-2026</t>
        </is>
      </c>
      <c r="D2018" s="31" t="inlineStr">
        <is>
          <t>609419</t>
        </is>
      </c>
      <c r="E2018" s="31" t="inlineStr">
        <is>
          <t>73-22-78</t>
        </is>
      </c>
      <c r="F2018" s="31" t="inlineStr">
        <is>
          <t>E</t>
        </is>
      </c>
      <c r="G2018" s="31" t="inlineStr">
        <is>
          <t>Fuel system</t>
        </is>
      </c>
      <c r="H2018" s="27" t="n">
        <v>1880</v>
      </c>
      <c r="I2018" s="27" t="n">
        <v>1995</v>
      </c>
      <c r="J2018" s="154">
        <f>I2018/H2018-1</f>
        <v/>
      </c>
      <c r="K2018" s="31" t="inlineStr">
        <is>
          <t>21</t>
        </is>
      </c>
      <c r="L2018" s="31" t="inlineStr">
        <is>
          <t>22</t>
        </is>
      </c>
      <c r="M2018" s="31" t="inlineStr">
        <is>
          <t>S2</t>
        </is>
      </c>
      <c r="N2018" s="31" t="inlineStr">
        <is>
          <t>S4</t>
        </is>
      </c>
      <c r="O2018" s="31" t="inlineStr">
        <is>
          <t>320-296-801-0</t>
        </is>
      </c>
      <c r="P2018" s="31" t="inlineStr">
        <is>
          <t>SR Technics Switzerland</t>
        </is>
      </c>
    </row>
    <row r="2019">
      <c r="B2019" s="31" t="inlineStr">
        <is>
          <t>CFM56-5B</t>
        </is>
      </c>
      <c r="C2019" s="31" t="inlineStr">
        <is>
          <t>2025-2026</t>
        </is>
      </c>
      <c r="D2019" s="31" t="inlineStr">
        <is>
          <t>609419</t>
        </is>
      </c>
      <c r="E2019" s="31" t="inlineStr">
        <is>
          <t>73-22-78</t>
        </is>
      </c>
      <c r="F2019" s="31" t="inlineStr">
        <is>
          <t>F</t>
        </is>
      </c>
      <c r="G2019" s="31" t="inlineStr">
        <is>
          <t>Fuel system</t>
        </is>
      </c>
      <c r="H2019" s="27" t="n">
        <v>3750</v>
      </c>
      <c r="I2019" s="27" t="n">
        <v>3975</v>
      </c>
      <c r="J2019" s="154">
        <f>I2019/H2019-1</f>
        <v/>
      </c>
      <c r="K2019" s="31" t="inlineStr">
        <is>
          <t>21</t>
        </is>
      </c>
      <c r="L2019" s="31" t="inlineStr">
        <is>
          <t>22</t>
        </is>
      </c>
      <c r="M2019" s="31" t="inlineStr">
        <is>
          <t>S2</t>
        </is>
      </c>
      <c r="N2019" s="31" t="inlineStr">
        <is>
          <t>S4</t>
        </is>
      </c>
      <c r="O2019" s="31" t="inlineStr">
        <is>
          <t>320-296-801-0</t>
        </is>
      </c>
      <c r="P2019" s="31" t="inlineStr">
        <is>
          <t>SR Technics Switzerland</t>
        </is>
      </c>
    </row>
    <row r="2020">
      <c r="B2020" s="31" t="inlineStr">
        <is>
          <t>CFM56-5B</t>
        </is>
      </c>
      <c r="C2020" s="31" t="inlineStr">
        <is>
          <t>2025-2026</t>
        </is>
      </c>
      <c r="D2020" s="31" t="inlineStr">
        <is>
          <t>609420</t>
        </is>
      </c>
      <c r="E2020" s="31" t="inlineStr">
        <is>
          <t>73-22-91</t>
        </is>
      </c>
      <c r="F2020" s="31" t="inlineStr">
        <is>
          <t>C</t>
        </is>
      </c>
      <c r="G2020" s="31" t="inlineStr">
        <is>
          <t>Fuel system</t>
        </is>
      </c>
      <c r="H2020" s="27" t="n">
        <v>375</v>
      </c>
      <c r="I2020" s="27" t="n">
        <v>400</v>
      </c>
      <c r="J2020" s="154">
        <f>I2020/H2020-1</f>
        <v/>
      </c>
      <c r="K2020" s="31" t="inlineStr">
        <is>
          <t>21</t>
        </is>
      </c>
      <c r="L2020" s="31" t="inlineStr">
        <is>
          <t>22</t>
        </is>
      </c>
      <c r="M2020" s="31" t="inlineStr">
        <is>
          <t>S2</t>
        </is>
      </c>
      <c r="N2020" s="31" t="inlineStr">
        <is>
          <t>S4</t>
        </is>
      </c>
      <c r="O2020" s="31" t="inlineStr">
        <is>
          <t>320-392-801-0</t>
        </is>
      </c>
      <c r="P2020" s="31" t="inlineStr">
        <is>
          <t>SR Technics Switzerland</t>
        </is>
      </c>
    </row>
    <row r="2021">
      <c r="B2021" s="31" t="inlineStr">
        <is>
          <t>CFM56-5B</t>
        </is>
      </c>
      <c r="C2021" s="31" t="inlineStr">
        <is>
          <t>2025-2026</t>
        </is>
      </c>
      <c r="D2021" s="31" t="inlineStr">
        <is>
          <t>609420</t>
        </is>
      </c>
      <c r="E2021" s="31" t="inlineStr">
        <is>
          <t>73-22-91</t>
        </is>
      </c>
      <c r="F2021" s="31" t="inlineStr">
        <is>
          <t>D</t>
        </is>
      </c>
      <c r="G2021" s="31" t="inlineStr">
        <is>
          <t>Fuel system</t>
        </is>
      </c>
      <c r="H2021" s="27" t="n">
        <v>1280</v>
      </c>
      <c r="I2021" s="27" t="n">
        <v>1360</v>
      </c>
      <c r="J2021" s="154">
        <f>I2021/H2021-1</f>
        <v/>
      </c>
      <c r="K2021" s="31" t="inlineStr">
        <is>
          <t>21</t>
        </is>
      </c>
      <c r="L2021" s="31" t="inlineStr">
        <is>
          <t>22</t>
        </is>
      </c>
      <c r="M2021" s="31" t="inlineStr">
        <is>
          <t>S2</t>
        </is>
      </c>
      <c r="N2021" s="31" t="inlineStr">
        <is>
          <t>S4</t>
        </is>
      </c>
      <c r="O2021" s="31" t="inlineStr">
        <is>
          <t>320-392-801-0</t>
        </is>
      </c>
      <c r="P2021" s="31" t="inlineStr">
        <is>
          <t>SR Technics Switzerland</t>
        </is>
      </c>
    </row>
    <row r="2022">
      <c r="B2022" s="31" t="inlineStr">
        <is>
          <t>CFM56-5B</t>
        </is>
      </c>
      <c r="C2022" s="31" t="inlineStr">
        <is>
          <t>2025-2026</t>
        </is>
      </c>
      <c r="D2022" s="31" t="inlineStr">
        <is>
          <t>609420</t>
        </is>
      </c>
      <c r="E2022" s="31" t="inlineStr">
        <is>
          <t>73-22-91</t>
        </is>
      </c>
      <c r="F2022" s="31" t="inlineStr">
        <is>
          <t>E</t>
        </is>
      </c>
      <c r="G2022" s="31" t="inlineStr">
        <is>
          <t>Fuel system</t>
        </is>
      </c>
      <c r="H2022" s="27" t="n">
        <v>3750</v>
      </c>
      <c r="I2022" s="27" t="n">
        <v>3975</v>
      </c>
      <c r="J2022" s="154">
        <f>I2022/H2022-1</f>
        <v/>
      </c>
      <c r="K2022" s="31" t="inlineStr">
        <is>
          <t>21</t>
        </is>
      </c>
      <c r="L2022" s="31" t="inlineStr">
        <is>
          <t>22</t>
        </is>
      </c>
      <c r="M2022" s="31" t="inlineStr">
        <is>
          <t>S2</t>
        </is>
      </c>
      <c r="N2022" s="31" t="inlineStr">
        <is>
          <t>S4</t>
        </is>
      </c>
      <c r="O2022" s="31" t="inlineStr">
        <is>
          <t>320-392-801-0</t>
        </is>
      </c>
      <c r="P2022" s="31" t="inlineStr">
        <is>
          <t>SR Technics Switzerland</t>
        </is>
      </c>
    </row>
    <row r="2023">
      <c r="B2023" s="31" t="inlineStr">
        <is>
          <t>CFM56-5B</t>
        </is>
      </c>
      <c r="C2023" s="31" t="inlineStr">
        <is>
          <t>2025-2026</t>
        </is>
      </c>
      <c r="D2023" s="31" t="inlineStr">
        <is>
          <t>609420</t>
        </is>
      </c>
      <c r="E2023" s="31" t="inlineStr">
        <is>
          <t>73-22-91</t>
        </is>
      </c>
      <c r="F2023" s="31" t="inlineStr">
        <is>
          <t>F</t>
        </is>
      </c>
      <c r="G2023" s="31" t="inlineStr">
        <is>
          <t>Fuel system</t>
        </is>
      </c>
      <c r="H2023" s="27" t="n">
        <v>5170</v>
      </c>
      <c r="I2023" s="27" t="n">
        <v>5485</v>
      </c>
      <c r="J2023" s="154">
        <f>I2023/H2023-1</f>
        <v/>
      </c>
      <c r="K2023" s="31" t="inlineStr">
        <is>
          <t>21</t>
        </is>
      </c>
      <c r="L2023" s="31" t="inlineStr">
        <is>
          <t>22</t>
        </is>
      </c>
      <c r="M2023" s="31" t="inlineStr">
        <is>
          <t>S2</t>
        </is>
      </c>
      <c r="N2023" s="31" t="inlineStr">
        <is>
          <t>S4</t>
        </is>
      </c>
      <c r="O2023" s="31" t="inlineStr">
        <is>
          <t>320-392-801-0</t>
        </is>
      </c>
      <c r="P2023" s="31" t="inlineStr">
        <is>
          <t>SR Technics Switzerland</t>
        </is>
      </c>
    </row>
    <row r="2024">
      <c r="B2024" s="31" t="inlineStr">
        <is>
          <t>CFM56-5B</t>
        </is>
      </c>
      <c r="C2024" s="31" t="inlineStr">
        <is>
          <t>2025-2026</t>
        </is>
      </c>
      <c r="D2024" s="31" t="inlineStr">
        <is>
          <t>609421</t>
        </is>
      </c>
      <c r="E2024" s="31" t="inlineStr">
        <is>
          <t>73-22-72</t>
        </is>
      </c>
      <c r="F2024" s="31" t="inlineStr">
        <is>
          <t>C</t>
        </is>
      </c>
      <c r="G2024" s="31" t="inlineStr">
        <is>
          <t>Fuel system</t>
        </is>
      </c>
      <c r="H2024" s="27" t="n">
        <v>375</v>
      </c>
      <c r="I2024" s="27" t="n">
        <v>400</v>
      </c>
      <c r="J2024" s="154">
        <f>I2024/H2024-1</f>
        <v/>
      </c>
      <c r="K2024" s="31" t="inlineStr">
        <is>
          <t>21</t>
        </is>
      </c>
      <c r="L2024" s="31" t="inlineStr">
        <is>
          <t>22</t>
        </is>
      </c>
      <c r="M2024" s="31" t="inlineStr">
        <is>
          <t>S2</t>
        </is>
      </c>
      <c r="N2024" s="31" t="inlineStr">
        <is>
          <t>S4</t>
        </is>
      </c>
      <c r="O2024" s="31" t="inlineStr">
        <is>
          <t>320-364-001-0</t>
        </is>
      </c>
      <c r="P2024" s="31" t="inlineStr">
        <is>
          <t>SR Technics Switzerland</t>
        </is>
      </c>
    </row>
    <row r="2025">
      <c r="B2025" s="31" t="inlineStr">
        <is>
          <t>CFM56-5B</t>
        </is>
      </c>
      <c r="C2025" s="31" t="inlineStr">
        <is>
          <t>2025-2026</t>
        </is>
      </c>
      <c r="D2025" s="31" t="inlineStr">
        <is>
          <t>609421</t>
        </is>
      </c>
      <c r="E2025" s="31" t="inlineStr">
        <is>
          <t>73-22-72</t>
        </is>
      </c>
      <c r="F2025" s="31" t="inlineStr">
        <is>
          <t>D</t>
        </is>
      </c>
      <c r="G2025" s="31" t="inlineStr">
        <is>
          <t>Fuel system</t>
        </is>
      </c>
      <c r="H2025" s="27" t="n">
        <v>1280</v>
      </c>
      <c r="I2025" s="27" t="n">
        <v>1360</v>
      </c>
      <c r="J2025" s="154">
        <f>I2025/H2025-1</f>
        <v/>
      </c>
      <c r="K2025" s="31" t="inlineStr">
        <is>
          <t>21</t>
        </is>
      </c>
      <c r="L2025" s="31" t="inlineStr">
        <is>
          <t>22</t>
        </is>
      </c>
      <c r="M2025" s="31" t="inlineStr">
        <is>
          <t>S2</t>
        </is>
      </c>
      <c r="N2025" s="31" t="inlineStr">
        <is>
          <t>S4</t>
        </is>
      </c>
      <c r="O2025" s="31" t="inlineStr">
        <is>
          <t>320-364-001-0</t>
        </is>
      </c>
      <c r="P2025" s="31" t="inlineStr">
        <is>
          <t>SR Technics Switzerland</t>
        </is>
      </c>
    </row>
    <row r="2026">
      <c r="B2026" s="31" t="inlineStr">
        <is>
          <t>CFM56-5B</t>
        </is>
      </c>
      <c r="C2026" s="31" t="inlineStr">
        <is>
          <t>2025-2026</t>
        </is>
      </c>
      <c r="D2026" s="31" t="inlineStr">
        <is>
          <t>609421</t>
        </is>
      </c>
      <c r="E2026" s="31" t="inlineStr">
        <is>
          <t>73-22-72</t>
        </is>
      </c>
      <c r="F2026" s="31" t="inlineStr">
        <is>
          <t>E</t>
        </is>
      </c>
      <c r="G2026" s="31" t="inlineStr">
        <is>
          <t>Fuel system</t>
        </is>
      </c>
      <c r="H2026" s="27" t="n">
        <v>3750</v>
      </c>
      <c r="I2026" s="27" t="n">
        <v>3975</v>
      </c>
      <c r="J2026" s="154">
        <f>I2026/H2026-1</f>
        <v/>
      </c>
      <c r="K2026" s="31" t="inlineStr">
        <is>
          <t>21</t>
        </is>
      </c>
      <c r="L2026" s="31" t="inlineStr">
        <is>
          <t>22</t>
        </is>
      </c>
      <c r="M2026" s="31" t="inlineStr">
        <is>
          <t>S2</t>
        </is>
      </c>
      <c r="N2026" s="31" t="inlineStr">
        <is>
          <t>S4</t>
        </is>
      </c>
      <c r="O2026" s="31" t="inlineStr">
        <is>
          <t>320-364-001-0</t>
        </is>
      </c>
      <c r="P2026" s="31" t="inlineStr">
        <is>
          <t>SR Technics Switzerland</t>
        </is>
      </c>
    </row>
    <row r="2027">
      <c r="B2027" s="31" t="inlineStr">
        <is>
          <t>CFM56-5B</t>
        </is>
      </c>
      <c r="C2027" s="31" t="inlineStr">
        <is>
          <t>2025-2026</t>
        </is>
      </c>
      <c r="D2027" s="31" t="inlineStr">
        <is>
          <t>609421</t>
        </is>
      </c>
      <c r="E2027" s="31" t="inlineStr">
        <is>
          <t>73-22-72</t>
        </is>
      </c>
      <c r="F2027" s="31" t="inlineStr">
        <is>
          <t>F</t>
        </is>
      </c>
      <c r="G2027" s="31" t="inlineStr">
        <is>
          <t>Fuel system</t>
        </is>
      </c>
      <c r="H2027" s="27" t="n">
        <v>5170</v>
      </c>
      <c r="I2027" s="27" t="n">
        <v>5485</v>
      </c>
      <c r="J2027" s="154">
        <f>I2027/H2027-1</f>
        <v/>
      </c>
      <c r="K2027" s="31" t="inlineStr">
        <is>
          <t>21</t>
        </is>
      </c>
      <c r="L2027" s="31" t="inlineStr">
        <is>
          <t>22</t>
        </is>
      </c>
      <c r="M2027" s="31" t="inlineStr">
        <is>
          <t>S2</t>
        </is>
      </c>
      <c r="N2027" s="31" t="inlineStr">
        <is>
          <t>S4</t>
        </is>
      </c>
      <c r="O2027" s="31" t="inlineStr">
        <is>
          <t>320-364-001-0</t>
        </is>
      </c>
      <c r="P2027" s="31" t="inlineStr">
        <is>
          <t>SR Technics Switzerland</t>
        </is>
      </c>
    </row>
    <row r="2028">
      <c r="B2028" s="31" t="inlineStr">
        <is>
          <t>CFM56-5B</t>
        </is>
      </c>
      <c r="C2028" s="31" t="inlineStr">
        <is>
          <t>2025-2026</t>
        </is>
      </c>
      <c r="D2028" s="31" t="inlineStr">
        <is>
          <t>609422</t>
        </is>
      </c>
      <c r="E2028" s="31" t="inlineStr">
        <is>
          <t>73-22-92</t>
        </is>
      </c>
      <c r="F2028" s="31" t="inlineStr">
        <is>
          <t>C</t>
        </is>
      </c>
      <c r="G2028" s="31" t="inlineStr">
        <is>
          <t>Fuel system</t>
        </is>
      </c>
      <c r="H2028" s="27" t="n">
        <v>375</v>
      </c>
      <c r="I2028" s="27" t="n">
        <v>400</v>
      </c>
      <c r="J2028" s="154">
        <f>I2028/H2028-1</f>
        <v/>
      </c>
      <c r="K2028" s="31" t="inlineStr">
        <is>
          <t>21</t>
        </is>
      </c>
      <c r="L2028" s="31" t="inlineStr">
        <is>
          <t>22</t>
        </is>
      </c>
      <c r="M2028" s="31" t="inlineStr">
        <is>
          <t>S2</t>
        </is>
      </c>
      <c r="N2028" s="31" t="inlineStr">
        <is>
          <t>S4</t>
        </is>
      </c>
      <c r="O2028" s="31" t="inlineStr">
        <is>
          <t>320-392-901-0</t>
        </is>
      </c>
      <c r="P2028" s="31" t="inlineStr">
        <is>
          <t>SR Technics Switzerland</t>
        </is>
      </c>
    </row>
    <row r="2029">
      <c r="B2029" s="31" t="inlineStr">
        <is>
          <t>CFM56-5B</t>
        </is>
      </c>
      <c r="C2029" s="31" t="inlineStr">
        <is>
          <t>2025-2026</t>
        </is>
      </c>
      <c r="D2029" s="31" t="inlineStr">
        <is>
          <t>609422</t>
        </is>
      </c>
      <c r="E2029" s="31" t="inlineStr">
        <is>
          <t>73-22-92</t>
        </is>
      </c>
      <c r="F2029" s="31" t="inlineStr">
        <is>
          <t>D</t>
        </is>
      </c>
      <c r="G2029" s="31" t="inlineStr">
        <is>
          <t>Fuel system</t>
        </is>
      </c>
      <c r="H2029" s="27" t="n">
        <v>1280</v>
      </c>
      <c r="I2029" s="27" t="n">
        <v>1360</v>
      </c>
      <c r="J2029" s="154">
        <f>I2029/H2029-1</f>
        <v/>
      </c>
      <c r="K2029" s="31" t="inlineStr">
        <is>
          <t>21</t>
        </is>
      </c>
      <c r="L2029" s="31" t="inlineStr">
        <is>
          <t>22</t>
        </is>
      </c>
      <c r="M2029" s="31" t="inlineStr">
        <is>
          <t>S2</t>
        </is>
      </c>
      <c r="N2029" s="31" t="inlineStr">
        <is>
          <t>S4</t>
        </is>
      </c>
      <c r="O2029" s="31" t="inlineStr">
        <is>
          <t>320-392-901-0</t>
        </is>
      </c>
      <c r="P2029" s="31" t="inlineStr">
        <is>
          <t>SR Technics Switzerland</t>
        </is>
      </c>
    </row>
    <row r="2030">
      <c r="B2030" s="31" t="inlineStr">
        <is>
          <t>CFM56-5B</t>
        </is>
      </c>
      <c r="C2030" s="31" t="inlineStr">
        <is>
          <t>2025-2026</t>
        </is>
      </c>
      <c r="D2030" s="31" t="inlineStr">
        <is>
          <t>609422</t>
        </is>
      </c>
      <c r="E2030" s="31" t="inlineStr">
        <is>
          <t>73-22-92</t>
        </is>
      </c>
      <c r="F2030" s="31" t="inlineStr">
        <is>
          <t>E</t>
        </is>
      </c>
      <c r="G2030" s="31" t="inlineStr">
        <is>
          <t>Fuel system</t>
        </is>
      </c>
      <c r="H2030" s="27" t="n">
        <v>3900</v>
      </c>
      <c r="I2030" s="27" t="n">
        <v>4135</v>
      </c>
      <c r="J2030" s="154">
        <f>I2030/H2030-1</f>
        <v/>
      </c>
      <c r="K2030" s="31" t="inlineStr">
        <is>
          <t>21</t>
        </is>
      </c>
      <c r="L2030" s="31" t="inlineStr">
        <is>
          <t>22</t>
        </is>
      </c>
      <c r="M2030" s="31" t="inlineStr">
        <is>
          <t>S2</t>
        </is>
      </c>
      <c r="N2030" s="31" t="inlineStr">
        <is>
          <t>S4</t>
        </is>
      </c>
      <c r="O2030" s="31" t="inlineStr">
        <is>
          <t>320-392-901-0</t>
        </is>
      </c>
      <c r="P2030" s="31" t="inlineStr">
        <is>
          <t>SR Technics Switzerland</t>
        </is>
      </c>
    </row>
    <row r="2031">
      <c r="B2031" s="31" t="inlineStr">
        <is>
          <t>CFM56-5B</t>
        </is>
      </c>
      <c r="C2031" s="31" t="inlineStr">
        <is>
          <t>2025-2026</t>
        </is>
      </c>
      <c r="D2031" s="31" t="inlineStr">
        <is>
          <t>609422</t>
        </is>
      </c>
      <c r="E2031" s="31" t="inlineStr">
        <is>
          <t>73-22-92</t>
        </is>
      </c>
      <c r="F2031" s="31" t="inlineStr">
        <is>
          <t>F</t>
        </is>
      </c>
      <c r="G2031" s="31" t="inlineStr">
        <is>
          <t>Fuel system</t>
        </is>
      </c>
      <c r="H2031" s="27" t="n">
        <v>5625</v>
      </c>
      <c r="I2031" s="27" t="n">
        <v>5965</v>
      </c>
      <c r="J2031" s="154">
        <f>I2031/H2031-1</f>
        <v/>
      </c>
      <c r="K2031" s="31" t="inlineStr">
        <is>
          <t>21</t>
        </is>
      </c>
      <c r="L2031" s="31" t="inlineStr">
        <is>
          <t>22</t>
        </is>
      </c>
      <c r="M2031" s="31" t="inlineStr">
        <is>
          <t>S2</t>
        </is>
      </c>
      <c r="N2031" s="31" t="inlineStr">
        <is>
          <t>S4</t>
        </is>
      </c>
      <c r="O2031" s="31" t="inlineStr">
        <is>
          <t>320-392-901-0</t>
        </is>
      </c>
      <c r="P2031" s="31" t="inlineStr">
        <is>
          <t>SR Technics Switzerland</t>
        </is>
      </c>
    </row>
    <row r="2032">
      <c r="B2032" s="31" t="inlineStr">
        <is>
          <t>CFM56-5B</t>
        </is>
      </c>
      <c r="C2032" s="31" t="inlineStr">
        <is>
          <t>2025-2026</t>
        </is>
      </c>
      <c r="D2032" s="31" t="inlineStr">
        <is>
          <t>609422</t>
        </is>
      </c>
      <c r="E2032" s="31" t="inlineStr">
        <is>
          <t>73-22-92</t>
        </is>
      </c>
      <c r="F2032" s="31" t="inlineStr">
        <is>
          <t>SB00</t>
        </is>
      </c>
      <c r="G2032" s="31" t="inlineStr">
        <is>
          <t>Fuel system</t>
        </is>
      </c>
      <c r="H2032" s="27" t="n">
        <v>275</v>
      </c>
      <c r="I2032" s="27" t="n">
        <v>295</v>
      </c>
      <c r="J2032" s="154">
        <f>I2032/H2032-1</f>
        <v/>
      </c>
      <c r="K2032" s="31" t="inlineStr">
        <is>
          <t>21</t>
        </is>
      </c>
      <c r="L2032" s="31" t="inlineStr">
        <is>
          <t>22</t>
        </is>
      </c>
      <c r="M2032" s="31" t="inlineStr">
        <is>
          <t>S2</t>
        </is>
      </c>
      <c r="N2032" s="31" t="inlineStr">
        <is>
          <t>S4</t>
        </is>
      </c>
      <c r="O2032" s="31" t="inlineStr">
        <is>
          <t>320-392-901-0</t>
        </is>
      </c>
      <c r="P2032" s="31" t="inlineStr">
        <is>
          <t>SR Technics Switzerland</t>
        </is>
      </c>
    </row>
    <row r="2033">
      <c r="B2033" s="31" t="inlineStr">
        <is>
          <t>CFM56-5B</t>
        </is>
      </c>
      <c r="C2033" s="31" t="inlineStr">
        <is>
          <t>2025-2026</t>
        </is>
      </c>
      <c r="D2033" s="31" t="inlineStr">
        <is>
          <t>609423</t>
        </is>
      </c>
      <c r="E2033" s="31" t="inlineStr">
        <is>
          <t>73-22-73</t>
        </is>
      </c>
      <c r="F2033" s="31" t="inlineStr">
        <is>
          <t>C</t>
        </is>
      </c>
      <c r="G2033" s="31" t="inlineStr">
        <is>
          <t>Fuel system</t>
        </is>
      </c>
      <c r="H2033" s="27" t="n">
        <v>510</v>
      </c>
      <c r="I2033" s="27" t="n">
        <v>545</v>
      </c>
      <c r="J2033" s="154">
        <f>I2033/H2033-1</f>
        <v/>
      </c>
      <c r="K2033" s="31" t="inlineStr">
        <is>
          <t>21</t>
        </is>
      </c>
      <c r="L2033" s="31" t="inlineStr">
        <is>
          <t>22</t>
        </is>
      </c>
      <c r="M2033" s="31" t="inlineStr">
        <is>
          <t>S2</t>
        </is>
      </c>
      <c r="N2033" s="31" t="inlineStr">
        <is>
          <t>S4</t>
        </is>
      </c>
      <c r="O2033" s="31" t="inlineStr">
        <is>
          <t>320-392-701-0</t>
        </is>
      </c>
      <c r="P2033" s="31" t="inlineStr">
        <is>
          <t>SR Technics Switzerland</t>
        </is>
      </c>
    </row>
    <row r="2034">
      <c r="B2034" s="31" t="inlineStr">
        <is>
          <t>CFM56-5B</t>
        </is>
      </c>
      <c r="C2034" s="31" t="inlineStr">
        <is>
          <t>2025-2026</t>
        </is>
      </c>
      <c r="D2034" s="31" t="inlineStr">
        <is>
          <t>609423</t>
        </is>
      </c>
      <c r="E2034" s="31" t="inlineStr">
        <is>
          <t>73-22-73</t>
        </is>
      </c>
      <c r="F2034" s="31" t="inlineStr">
        <is>
          <t>D</t>
        </is>
      </c>
      <c r="G2034" s="31" t="inlineStr">
        <is>
          <t>Fuel system</t>
        </is>
      </c>
      <c r="H2034" s="27" t="n">
        <v>1280</v>
      </c>
      <c r="I2034" s="27" t="n">
        <v>1360</v>
      </c>
      <c r="J2034" s="154">
        <f>I2034/H2034-1</f>
        <v/>
      </c>
      <c r="K2034" s="31" t="inlineStr">
        <is>
          <t>21</t>
        </is>
      </c>
      <c r="L2034" s="31" t="inlineStr">
        <is>
          <t>22</t>
        </is>
      </c>
      <c r="M2034" s="31" t="inlineStr">
        <is>
          <t>S2</t>
        </is>
      </c>
      <c r="N2034" s="31" t="inlineStr">
        <is>
          <t>S4</t>
        </is>
      </c>
      <c r="O2034" s="31" t="inlineStr">
        <is>
          <t>320-392-701-0</t>
        </is>
      </c>
      <c r="P2034" s="31" t="inlineStr">
        <is>
          <t>SR Technics Switzerland</t>
        </is>
      </c>
    </row>
    <row r="2035">
      <c r="B2035" s="31" t="inlineStr">
        <is>
          <t>CFM56-5B</t>
        </is>
      </c>
      <c r="C2035" s="31" t="inlineStr">
        <is>
          <t>2025-2026</t>
        </is>
      </c>
      <c r="D2035" s="31" t="inlineStr">
        <is>
          <t>609423</t>
        </is>
      </c>
      <c r="E2035" s="31" t="inlineStr">
        <is>
          <t>73-22-73</t>
        </is>
      </c>
      <c r="F2035" s="31" t="inlineStr">
        <is>
          <t>E</t>
        </is>
      </c>
      <c r="G2035" s="31" t="inlineStr">
        <is>
          <t>Fuel system</t>
        </is>
      </c>
      <c r="H2035" s="27" t="n">
        <v>4135</v>
      </c>
      <c r="I2035" s="27" t="n">
        <v>4385</v>
      </c>
      <c r="J2035" s="154">
        <f>I2035/H2035-1</f>
        <v/>
      </c>
      <c r="K2035" s="31" t="inlineStr">
        <is>
          <t>21</t>
        </is>
      </c>
      <c r="L2035" s="31" t="inlineStr">
        <is>
          <t>22</t>
        </is>
      </c>
      <c r="M2035" s="31" t="inlineStr">
        <is>
          <t>S2</t>
        </is>
      </c>
      <c r="N2035" s="31" t="inlineStr">
        <is>
          <t>S4</t>
        </is>
      </c>
      <c r="O2035" s="31" t="inlineStr">
        <is>
          <t>320-392-701-0</t>
        </is>
      </c>
      <c r="P2035" s="31" t="inlineStr">
        <is>
          <t>SR Technics Switzerland</t>
        </is>
      </c>
    </row>
    <row r="2036">
      <c r="B2036" s="31" t="inlineStr">
        <is>
          <t>CFM56-5B</t>
        </is>
      </c>
      <c r="C2036" s="31" t="inlineStr">
        <is>
          <t>2025-2026</t>
        </is>
      </c>
      <c r="D2036" s="31" t="inlineStr">
        <is>
          <t>609423</t>
        </is>
      </c>
      <c r="E2036" s="31" t="inlineStr">
        <is>
          <t>73-22-73</t>
        </is>
      </c>
      <c r="F2036" s="31" t="inlineStr">
        <is>
          <t>F</t>
        </is>
      </c>
      <c r="G2036" s="31" t="inlineStr">
        <is>
          <t>Fuel system</t>
        </is>
      </c>
      <c r="H2036" s="27" t="n">
        <v>8400</v>
      </c>
      <c r="I2036" s="27" t="n">
        <v>8905</v>
      </c>
      <c r="J2036" s="154">
        <f>I2036/H2036-1</f>
        <v/>
      </c>
      <c r="K2036" s="31" t="inlineStr">
        <is>
          <t>21</t>
        </is>
      </c>
      <c r="L2036" s="31" t="inlineStr">
        <is>
          <t>22</t>
        </is>
      </c>
      <c r="M2036" s="31" t="inlineStr">
        <is>
          <t>S2</t>
        </is>
      </c>
      <c r="N2036" s="31" t="inlineStr">
        <is>
          <t>S4</t>
        </is>
      </c>
      <c r="O2036" s="31" t="inlineStr">
        <is>
          <t>320-392-701-0</t>
        </is>
      </c>
      <c r="P2036" s="31" t="inlineStr">
        <is>
          <t>SR Technics Switzerland</t>
        </is>
      </c>
    </row>
    <row r="2037">
      <c r="B2037" s="31" t="inlineStr">
        <is>
          <t>CFM56-5B</t>
        </is>
      </c>
      <c r="C2037" s="31" t="inlineStr">
        <is>
          <t>2025-2026</t>
        </is>
      </c>
      <c r="D2037" s="31" t="inlineStr">
        <is>
          <t>609423</t>
        </is>
      </c>
      <c r="E2037" s="31" t="inlineStr">
        <is>
          <t>73-22-73</t>
        </is>
      </c>
      <c r="F2037" s="31" t="inlineStr">
        <is>
          <t>SB00</t>
        </is>
      </c>
      <c r="G2037" s="31" t="inlineStr">
        <is>
          <t>Fuel system</t>
        </is>
      </c>
      <c r="H2037" s="27" t="n">
        <v>275</v>
      </c>
      <c r="I2037" s="27" t="n">
        <v>295</v>
      </c>
      <c r="J2037" s="154">
        <f>I2037/H2037-1</f>
        <v/>
      </c>
      <c r="K2037" s="31" t="inlineStr">
        <is>
          <t>21</t>
        </is>
      </c>
      <c r="L2037" s="31" t="inlineStr">
        <is>
          <t>22</t>
        </is>
      </c>
      <c r="M2037" s="31" t="inlineStr">
        <is>
          <t>S2</t>
        </is>
      </c>
      <c r="N2037" s="31" t="inlineStr">
        <is>
          <t>S4</t>
        </is>
      </c>
      <c r="O2037" s="31" t="inlineStr">
        <is>
          <t>320-392-701-0</t>
        </is>
      </c>
      <c r="P2037" s="31" t="inlineStr">
        <is>
          <t>SR Technics Switzerland</t>
        </is>
      </c>
    </row>
    <row r="2038">
      <c r="B2038" s="31" t="inlineStr">
        <is>
          <t>CFM56-5B</t>
        </is>
      </c>
      <c r="C2038" s="31" t="inlineStr">
        <is>
          <t>2025-2026</t>
        </is>
      </c>
      <c r="D2038" s="31" t="inlineStr">
        <is>
          <t>609424</t>
        </is>
      </c>
      <c r="E2038" s="31" t="inlineStr">
        <is>
          <t>73-22-79</t>
        </is>
      </c>
      <c r="F2038" s="31" t="inlineStr">
        <is>
          <t>C</t>
        </is>
      </c>
      <c r="G2038" s="31" t="inlineStr">
        <is>
          <t>Fuel system</t>
        </is>
      </c>
      <c r="H2038" s="27" t="n">
        <v>375</v>
      </c>
      <c r="I2038" s="27" t="n">
        <v>400</v>
      </c>
      <c r="J2038" s="154">
        <f>I2038/H2038-1</f>
        <v/>
      </c>
      <c r="K2038" s="31" t="inlineStr">
        <is>
          <t>21</t>
        </is>
      </c>
      <c r="L2038" s="31" t="inlineStr">
        <is>
          <t>22</t>
        </is>
      </c>
      <c r="M2038" s="31" t="inlineStr">
        <is>
          <t>S2</t>
        </is>
      </c>
      <c r="N2038" s="31" t="inlineStr">
        <is>
          <t>S4</t>
        </is>
      </c>
      <c r="O2038" s="31" t="inlineStr">
        <is>
          <t>320-364-501-0</t>
        </is>
      </c>
      <c r="P2038" s="31" t="inlineStr">
        <is>
          <t>SR Technics Switzerland</t>
        </is>
      </c>
    </row>
    <row r="2039">
      <c r="B2039" s="31" t="inlineStr">
        <is>
          <t>CFM56-5B</t>
        </is>
      </c>
      <c r="C2039" s="31" t="inlineStr">
        <is>
          <t>2025-2026</t>
        </is>
      </c>
      <c r="D2039" s="31" t="inlineStr">
        <is>
          <t>609424</t>
        </is>
      </c>
      <c r="E2039" s="31" t="inlineStr">
        <is>
          <t>73-22-79</t>
        </is>
      </c>
      <c r="F2039" s="31" t="inlineStr">
        <is>
          <t>D</t>
        </is>
      </c>
      <c r="G2039" s="31" t="inlineStr">
        <is>
          <t>Fuel system</t>
        </is>
      </c>
      <c r="H2039" s="27" t="n">
        <v>1280</v>
      </c>
      <c r="I2039" s="27" t="n">
        <v>1360</v>
      </c>
      <c r="J2039" s="154">
        <f>I2039/H2039-1</f>
        <v/>
      </c>
      <c r="K2039" s="31" t="inlineStr">
        <is>
          <t>21</t>
        </is>
      </c>
      <c r="L2039" s="31" t="inlineStr">
        <is>
          <t>22</t>
        </is>
      </c>
      <c r="M2039" s="31" t="inlineStr">
        <is>
          <t>S2</t>
        </is>
      </c>
      <c r="N2039" s="31" t="inlineStr">
        <is>
          <t>S4</t>
        </is>
      </c>
      <c r="O2039" s="31" t="inlineStr">
        <is>
          <t>320-364-501-0</t>
        </is>
      </c>
      <c r="P2039" s="31" t="inlineStr">
        <is>
          <t>SR Technics Switzerland</t>
        </is>
      </c>
    </row>
    <row r="2040">
      <c r="B2040" s="31" t="inlineStr">
        <is>
          <t>CFM56-5B</t>
        </is>
      </c>
      <c r="C2040" s="31" t="inlineStr">
        <is>
          <t>2025-2026</t>
        </is>
      </c>
      <c r="D2040" s="31" t="inlineStr">
        <is>
          <t>609424</t>
        </is>
      </c>
      <c r="E2040" s="31" t="inlineStr">
        <is>
          <t>73-22-79</t>
        </is>
      </c>
      <c r="F2040" s="31" t="inlineStr">
        <is>
          <t>E</t>
        </is>
      </c>
      <c r="G2040" s="31" t="inlineStr">
        <is>
          <t>Fuel system</t>
        </is>
      </c>
      <c r="H2040" s="27" t="n">
        <v>5430</v>
      </c>
      <c r="I2040" s="27" t="n">
        <v>5760</v>
      </c>
      <c r="J2040" s="154">
        <f>I2040/H2040-1</f>
        <v/>
      </c>
      <c r="K2040" s="31" t="inlineStr">
        <is>
          <t>21</t>
        </is>
      </c>
      <c r="L2040" s="31" t="inlineStr">
        <is>
          <t>22</t>
        </is>
      </c>
      <c r="M2040" s="31" t="inlineStr">
        <is>
          <t>S2</t>
        </is>
      </c>
      <c r="N2040" s="31" t="inlineStr">
        <is>
          <t>S4</t>
        </is>
      </c>
      <c r="O2040" s="31" t="inlineStr">
        <is>
          <t>320-364-501-0</t>
        </is>
      </c>
      <c r="P2040" s="31" t="inlineStr">
        <is>
          <t>SR Technics Switzerland</t>
        </is>
      </c>
    </row>
    <row r="2041">
      <c r="B2041" s="31" t="inlineStr">
        <is>
          <t>CFM56-5B</t>
        </is>
      </c>
      <c r="C2041" s="31" t="inlineStr">
        <is>
          <t>2025-2026</t>
        </is>
      </c>
      <c r="D2041" s="31" t="inlineStr">
        <is>
          <t>609424</t>
        </is>
      </c>
      <c r="E2041" s="31" t="inlineStr">
        <is>
          <t>73-22-79</t>
        </is>
      </c>
      <c r="F2041" s="31" t="inlineStr">
        <is>
          <t>F</t>
        </is>
      </c>
      <c r="G2041" s="31" t="inlineStr">
        <is>
          <t>Fuel system</t>
        </is>
      </c>
      <c r="H2041" s="27" t="n">
        <v>8075</v>
      </c>
      <c r="I2041" s="27" t="n">
        <v>8560</v>
      </c>
      <c r="J2041" s="154">
        <f>I2041/H2041-1</f>
        <v/>
      </c>
      <c r="K2041" s="31" t="inlineStr">
        <is>
          <t>21</t>
        </is>
      </c>
      <c r="L2041" s="31" t="inlineStr">
        <is>
          <t>22</t>
        </is>
      </c>
      <c r="M2041" s="31" t="inlineStr">
        <is>
          <t>S2</t>
        </is>
      </c>
      <c r="N2041" s="31" t="inlineStr">
        <is>
          <t>S4</t>
        </is>
      </c>
      <c r="O2041" s="31" t="inlineStr">
        <is>
          <t>320-364-501-0</t>
        </is>
      </c>
      <c r="P2041" s="31" t="inlineStr">
        <is>
          <t>SR Technics Switzerland</t>
        </is>
      </c>
    </row>
    <row r="2042">
      <c r="B2042" s="31" t="inlineStr">
        <is>
          <t>CFM56-5B</t>
        </is>
      </c>
      <c r="C2042" s="31" t="inlineStr">
        <is>
          <t>2025-2026</t>
        </is>
      </c>
      <c r="D2042" s="31" t="inlineStr">
        <is>
          <t>609424</t>
        </is>
      </c>
      <c r="E2042" s="31" t="inlineStr">
        <is>
          <t>73-22-79</t>
        </is>
      </c>
      <c r="F2042" s="31" t="inlineStr">
        <is>
          <t>SB00</t>
        </is>
      </c>
      <c r="G2042" s="31" t="inlineStr">
        <is>
          <t>Fuel system</t>
        </is>
      </c>
      <c r="H2042" s="27" t="n">
        <v>275</v>
      </c>
      <c r="I2042" s="27" t="n">
        <v>295</v>
      </c>
      <c r="J2042" s="154">
        <f>I2042/H2042-1</f>
        <v/>
      </c>
      <c r="K2042" s="31" t="inlineStr">
        <is>
          <t>21</t>
        </is>
      </c>
      <c r="L2042" s="31" t="inlineStr">
        <is>
          <t>22</t>
        </is>
      </c>
      <c r="M2042" s="31" t="inlineStr">
        <is>
          <t>S2</t>
        </is>
      </c>
      <c r="N2042" s="31" t="inlineStr">
        <is>
          <t>S4</t>
        </is>
      </c>
      <c r="O2042" s="31" t="inlineStr">
        <is>
          <t>320-364-501-0</t>
        </is>
      </c>
      <c r="P2042" s="31" t="inlineStr">
        <is>
          <t>SR Technics Switzerland</t>
        </is>
      </c>
    </row>
    <row r="2043">
      <c r="B2043" s="31" t="inlineStr">
        <is>
          <t>CFM56-5B</t>
        </is>
      </c>
      <c r="C2043" s="31" t="inlineStr">
        <is>
          <t>2025-2026</t>
        </is>
      </c>
      <c r="D2043" s="31" t="inlineStr">
        <is>
          <t>609438</t>
        </is>
      </c>
      <c r="E2043" s="31" t="inlineStr">
        <is>
          <t>73-22-75</t>
        </is>
      </c>
      <c r="F2043" s="31" t="inlineStr">
        <is>
          <t>C</t>
        </is>
      </c>
      <c r="G2043" s="31" t="inlineStr">
        <is>
          <t>Fuel system</t>
        </is>
      </c>
      <c r="H2043" s="27" t="n">
        <v>375</v>
      </c>
      <c r="I2043" s="27" t="n">
        <v>400</v>
      </c>
      <c r="J2043" s="154">
        <f>I2043/H2043-1</f>
        <v/>
      </c>
      <c r="K2043" s="31" t="inlineStr">
        <is>
          <t>21</t>
        </is>
      </c>
      <c r="L2043" s="31" t="inlineStr">
        <is>
          <t>22</t>
        </is>
      </c>
      <c r="M2043" s="31" t="inlineStr">
        <is>
          <t>S2</t>
        </is>
      </c>
      <c r="N2043" s="31" t="inlineStr">
        <is>
          <t>S4</t>
        </is>
      </c>
      <c r="O2043" s="31" t="inlineStr">
        <is>
          <t>320-372-601-0</t>
        </is>
      </c>
      <c r="P2043" s="31" t="inlineStr">
        <is>
          <t>SR Technics Switzerland</t>
        </is>
      </c>
    </row>
    <row r="2044">
      <c r="B2044" s="31" t="inlineStr">
        <is>
          <t>CFM56-5B</t>
        </is>
      </c>
      <c r="C2044" s="31" t="inlineStr">
        <is>
          <t>2025-2026</t>
        </is>
      </c>
      <c r="D2044" s="31" t="inlineStr">
        <is>
          <t>609438</t>
        </is>
      </c>
      <c r="E2044" s="31" t="inlineStr">
        <is>
          <t>73-22-75</t>
        </is>
      </c>
      <c r="F2044" s="31" t="inlineStr">
        <is>
          <t>D</t>
        </is>
      </c>
      <c r="G2044" s="31" t="inlineStr">
        <is>
          <t>Fuel system</t>
        </is>
      </c>
      <c r="H2044" s="27" t="n">
        <v>1280</v>
      </c>
      <c r="I2044" s="27" t="n">
        <v>1360</v>
      </c>
      <c r="J2044" s="154">
        <f>I2044/H2044-1</f>
        <v/>
      </c>
      <c r="K2044" s="31" t="inlineStr">
        <is>
          <t>21</t>
        </is>
      </c>
      <c r="L2044" s="31" t="inlineStr">
        <is>
          <t>22</t>
        </is>
      </c>
      <c r="M2044" s="31" t="inlineStr">
        <is>
          <t>S2</t>
        </is>
      </c>
      <c r="N2044" s="31" t="inlineStr">
        <is>
          <t>S4</t>
        </is>
      </c>
      <c r="O2044" s="31" t="inlineStr">
        <is>
          <t>320-372-601-0</t>
        </is>
      </c>
      <c r="P2044" s="31" t="inlineStr">
        <is>
          <t>SR Technics Switzerland</t>
        </is>
      </c>
    </row>
    <row r="2045">
      <c r="B2045" s="31" t="inlineStr">
        <is>
          <t>CFM56-5B</t>
        </is>
      </c>
      <c r="C2045" s="31" t="inlineStr">
        <is>
          <t>2025-2026</t>
        </is>
      </c>
      <c r="D2045" s="31" t="inlineStr">
        <is>
          <t>609438</t>
        </is>
      </c>
      <c r="E2045" s="31" t="inlineStr">
        <is>
          <t>73-22-75</t>
        </is>
      </c>
      <c r="F2045" s="31" t="inlineStr">
        <is>
          <t>E</t>
        </is>
      </c>
      <c r="G2045" s="31" t="inlineStr">
        <is>
          <t>Fuel system</t>
        </is>
      </c>
      <c r="H2045" s="27" t="n">
        <v>4015</v>
      </c>
      <c r="I2045" s="27" t="n">
        <v>4260</v>
      </c>
      <c r="J2045" s="154">
        <f>I2045/H2045-1</f>
        <v/>
      </c>
      <c r="K2045" s="31" t="inlineStr">
        <is>
          <t>21</t>
        </is>
      </c>
      <c r="L2045" s="31" t="inlineStr">
        <is>
          <t>22</t>
        </is>
      </c>
      <c r="M2045" s="31" t="inlineStr">
        <is>
          <t>S2</t>
        </is>
      </c>
      <c r="N2045" s="31" t="inlineStr">
        <is>
          <t>S4</t>
        </is>
      </c>
      <c r="O2045" s="31" t="inlineStr">
        <is>
          <t>320-372-601-0</t>
        </is>
      </c>
      <c r="P2045" s="31" t="inlineStr">
        <is>
          <t>SR Technics Switzerland</t>
        </is>
      </c>
    </row>
    <row r="2046">
      <c r="B2046" s="31" t="inlineStr">
        <is>
          <t>CFM56-5B</t>
        </is>
      </c>
      <c r="C2046" s="31" t="inlineStr">
        <is>
          <t>2025-2026</t>
        </is>
      </c>
      <c r="D2046" s="31" t="inlineStr">
        <is>
          <t>609438</t>
        </is>
      </c>
      <c r="E2046" s="31" t="inlineStr">
        <is>
          <t>73-22-75</t>
        </is>
      </c>
      <c r="F2046" s="31" t="inlineStr">
        <is>
          <t>F</t>
        </is>
      </c>
      <c r="G2046" s="31" t="inlineStr">
        <is>
          <t>Fuel system</t>
        </is>
      </c>
      <c r="H2046" s="27" t="n">
        <v>5555</v>
      </c>
      <c r="I2046" s="27" t="n">
        <v>5890</v>
      </c>
      <c r="J2046" s="154">
        <f>I2046/H2046-1</f>
        <v/>
      </c>
      <c r="K2046" s="31" t="inlineStr">
        <is>
          <t>21</t>
        </is>
      </c>
      <c r="L2046" s="31" t="inlineStr">
        <is>
          <t>22</t>
        </is>
      </c>
      <c r="M2046" s="31" t="inlineStr">
        <is>
          <t>S2</t>
        </is>
      </c>
      <c r="N2046" s="31" t="inlineStr">
        <is>
          <t>S4</t>
        </is>
      </c>
      <c r="O2046" s="31" t="inlineStr">
        <is>
          <t>320-372-601-0</t>
        </is>
      </c>
      <c r="P2046" s="31" t="inlineStr">
        <is>
          <t>SR Technics Switzerland</t>
        </is>
      </c>
    </row>
    <row r="2047">
      <c r="B2047" s="31" t="inlineStr">
        <is>
          <t>CFM56-5B</t>
        </is>
      </c>
      <c r="C2047" s="31" t="inlineStr">
        <is>
          <t>2025-2026</t>
        </is>
      </c>
      <c r="D2047" s="31" t="inlineStr">
        <is>
          <t>609438</t>
        </is>
      </c>
      <c r="E2047" s="31" t="inlineStr">
        <is>
          <t>73-22-75</t>
        </is>
      </c>
      <c r="F2047" s="31" t="inlineStr">
        <is>
          <t>SB00</t>
        </is>
      </c>
      <c r="G2047" s="31" t="inlineStr">
        <is>
          <t>Fuel system</t>
        </is>
      </c>
      <c r="H2047" s="27" t="n">
        <v>375</v>
      </c>
      <c r="I2047" s="27" t="n">
        <v>400</v>
      </c>
      <c r="J2047" s="154">
        <f>I2047/H2047-1</f>
        <v/>
      </c>
      <c r="K2047" s="31" t="inlineStr">
        <is>
          <t>21</t>
        </is>
      </c>
      <c r="L2047" s="31" t="inlineStr">
        <is>
          <t>22</t>
        </is>
      </c>
      <c r="M2047" s="31" t="inlineStr">
        <is>
          <t>S2</t>
        </is>
      </c>
      <c r="N2047" s="31" t="inlineStr">
        <is>
          <t>S4</t>
        </is>
      </c>
      <c r="O2047" s="31" t="inlineStr">
        <is>
          <t>320-372-601-0</t>
        </is>
      </c>
      <c r="P2047" s="31" t="inlineStr">
        <is>
          <t>SR Technics Switzerland</t>
        </is>
      </c>
    </row>
    <row r="2048">
      <c r="B2048" s="31" t="inlineStr">
        <is>
          <t>CFM56-5B</t>
        </is>
      </c>
      <c r="C2048" s="31" t="inlineStr">
        <is>
          <t>2025-2026</t>
        </is>
      </c>
      <c r="D2048" s="31" t="inlineStr">
        <is>
          <t>609439</t>
        </is>
      </c>
      <c r="E2048" s="31" t="inlineStr">
        <is>
          <t>73-22-82</t>
        </is>
      </c>
      <c r="F2048" s="31" t="inlineStr">
        <is>
          <t>C</t>
        </is>
      </c>
      <c r="G2048" s="31" t="inlineStr">
        <is>
          <t>Fuel system</t>
        </is>
      </c>
      <c r="H2048" s="27" t="n">
        <v>375</v>
      </c>
      <c r="I2048" s="27" t="n">
        <v>400</v>
      </c>
      <c r="J2048" s="154">
        <f>I2048/H2048-1</f>
        <v/>
      </c>
      <c r="K2048" s="31" t="inlineStr">
        <is>
          <t>21</t>
        </is>
      </c>
      <c r="L2048" s="31" t="inlineStr">
        <is>
          <t>22</t>
        </is>
      </c>
      <c r="M2048" s="31" t="inlineStr">
        <is>
          <t>S2</t>
        </is>
      </c>
      <c r="N2048" s="31" t="inlineStr">
        <is>
          <t>S4</t>
        </is>
      </c>
      <c r="O2048" s="31" t="inlineStr">
        <is>
          <t>320-298-101-0</t>
        </is>
      </c>
      <c r="P2048" s="31" t="inlineStr">
        <is>
          <t>SR Technics Switzerland</t>
        </is>
      </c>
    </row>
    <row r="2049">
      <c r="B2049" s="31" t="inlineStr">
        <is>
          <t>CFM56-5B</t>
        </is>
      </c>
      <c r="C2049" s="31" t="inlineStr">
        <is>
          <t>2025-2026</t>
        </is>
      </c>
      <c r="D2049" s="31" t="inlineStr">
        <is>
          <t>609439</t>
        </is>
      </c>
      <c r="E2049" s="31" t="inlineStr">
        <is>
          <t>73-22-82</t>
        </is>
      </c>
      <c r="F2049" s="31" t="inlineStr">
        <is>
          <t>D</t>
        </is>
      </c>
      <c r="G2049" s="31" t="inlineStr">
        <is>
          <t>Fuel system</t>
        </is>
      </c>
      <c r="H2049" s="27" t="n">
        <v>1280</v>
      </c>
      <c r="I2049" s="27" t="n">
        <v>1360</v>
      </c>
      <c r="J2049" s="154">
        <f>I2049/H2049-1</f>
        <v/>
      </c>
      <c r="K2049" s="31" t="inlineStr">
        <is>
          <t>21</t>
        </is>
      </c>
      <c r="L2049" s="31" t="inlineStr">
        <is>
          <t>22</t>
        </is>
      </c>
      <c r="M2049" s="31" t="inlineStr">
        <is>
          <t>S2</t>
        </is>
      </c>
      <c r="N2049" s="31" t="inlineStr">
        <is>
          <t>S4</t>
        </is>
      </c>
      <c r="O2049" s="31" t="inlineStr">
        <is>
          <t>320-298-101-0</t>
        </is>
      </c>
      <c r="P2049" s="31" t="inlineStr">
        <is>
          <t>SR Technics Switzerland</t>
        </is>
      </c>
    </row>
    <row r="2050">
      <c r="B2050" s="31" t="inlineStr">
        <is>
          <t>CFM56-5B</t>
        </is>
      </c>
      <c r="C2050" s="31" t="inlineStr">
        <is>
          <t>2025-2026</t>
        </is>
      </c>
      <c r="D2050" s="31" t="inlineStr">
        <is>
          <t>609439</t>
        </is>
      </c>
      <c r="E2050" s="31" t="inlineStr">
        <is>
          <t>73-22-82</t>
        </is>
      </c>
      <c r="F2050" s="31" t="inlineStr">
        <is>
          <t>E</t>
        </is>
      </c>
      <c r="G2050" s="31" t="inlineStr">
        <is>
          <t>Fuel system</t>
        </is>
      </c>
      <c r="H2050" s="27" t="n">
        <v>3820</v>
      </c>
      <c r="I2050" s="27" t="n">
        <v>4050</v>
      </c>
      <c r="J2050" s="154">
        <f>I2050/H2050-1</f>
        <v/>
      </c>
      <c r="K2050" s="31" t="inlineStr">
        <is>
          <t>21</t>
        </is>
      </c>
      <c r="L2050" s="31" t="inlineStr">
        <is>
          <t>22</t>
        </is>
      </c>
      <c r="M2050" s="31" t="inlineStr">
        <is>
          <t>S2</t>
        </is>
      </c>
      <c r="N2050" s="31" t="inlineStr">
        <is>
          <t>S4</t>
        </is>
      </c>
      <c r="O2050" s="31" t="inlineStr">
        <is>
          <t>320-298-101-0</t>
        </is>
      </c>
      <c r="P2050" s="31" t="inlineStr">
        <is>
          <t>SR Technics Switzerland</t>
        </is>
      </c>
    </row>
    <row r="2051">
      <c r="B2051" s="31" t="inlineStr">
        <is>
          <t>CFM56-5B</t>
        </is>
      </c>
      <c r="C2051" s="31" t="inlineStr">
        <is>
          <t>2025-2026</t>
        </is>
      </c>
      <c r="D2051" s="31" t="inlineStr">
        <is>
          <t>609439</t>
        </is>
      </c>
      <c r="E2051" s="31" t="inlineStr">
        <is>
          <t>73-22-82</t>
        </is>
      </c>
      <c r="F2051" s="31" t="inlineStr">
        <is>
          <t>F</t>
        </is>
      </c>
      <c r="G2051" s="31" t="inlineStr">
        <is>
          <t>Fuel system</t>
        </is>
      </c>
      <c r="H2051" s="27" t="n">
        <v>4655</v>
      </c>
      <c r="I2051" s="27" t="n">
        <v>4935</v>
      </c>
      <c r="J2051" s="154">
        <f>I2051/H2051-1</f>
        <v/>
      </c>
      <c r="K2051" s="31" t="inlineStr">
        <is>
          <t>21</t>
        </is>
      </c>
      <c r="L2051" s="31" t="inlineStr">
        <is>
          <t>22</t>
        </is>
      </c>
      <c r="M2051" s="31" t="inlineStr">
        <is>
          <t>S2</t>
        </is>
      </c>
      <c r="N2051" s="31" t="inlineStr">
        <is>
          <t>S4</t>
        </is>
      </c>
      <c r="O2051" s="31" t="inlineStr">
        <is>
          <t>320-298-101-0</t>
        </is>
      </c>
      <c r="P2051" s="31" t="inlineStr">
        <is>
          <t>SR Technics Switzerland</t>
        </is>
      </c>
    </row>
    <row r="2052">
      <c r="B2052" s="31" t="inlineStr">
        <is>
          <t>CFM56-5B</t>
        </is>
      </c>
      <c r="C2052" s="31" t="inlineStr">
        <is>
          <t>2025-2026</t>
        </is>
      </c>
      <c r="D2052" s="31" t="inlineStr">
        <is>
          <t>609445</t>
        </is>
      </c>
      <c r="E2052" s="31" t="inlineStr">
        <is>
          <t>73-22-76</t>
        </is>
      </c>
      <c r="F2052" s="31" t="inlineStr">
        <is>
          <t>C</t>
        </is>
      </c>
      <c r="G2052" s="31" t="inlineStr">
        <is>
          <t>Fuel system</t>
        </is>
      </c>
      <c r="H2052" s="27" t="n">
        <v>400</v>
      </c>
      <c r="I2052" s="27" t="n">
        <v>425</v>
      </c>
      <c r="J2052" s="154">
        <f>I2052/H2052-1</f>
        <v/>
      </c>
      <c r="K2052" s="31" t="inlineStr">
        <is>
          <t>21</t>
        </is>
      </c>
      <c r="L2052" s="31" t="inlineStr">
        <is>
          <t>22</t>
        </is>
      </c>
      <c r="M2052" s="31" t="inlineStr">
        <is>
          <t>S2</t>
        </is>
      </c>
      <c r="N2052" s="31" t="inlineStr">
        <is>
          <t>S4</t>
        </is>
      </c>
      <c r="O2052" s="31" t="inlineStr">
        <is>
          <t>320-364-401-0</t>
        </is>
      </c>
      <c r="P2052" s="31" t="inlineStr">
        <is>
          <t>SR Technics Switzerland</t>
        </is>
      </c>
    </row>
    <row r="2053">
      <c r="B2053" s="31" t="inlineStr">
        <is>
          <t>CFM56-5B</t>
        </is>
      </c>
      <c r="C2053" s="31" t="inlineStr">
        <is>
          <t>2025-2026</t>
        </is>
      </c>
      <c r="D2053" s="31" t="inlineStr">
        <is>
          <t>609445</t>
        </is>
      </c>
      <c r="E2053" s="31" t="inlineStr">
        <is>
          <t>73-22-76</t>
        </is>
      </c>
      <c r="F2053" s="31" t="inlineStr">
        <is>
          <t>D</t>
        </is>
      </c>
      <c r="G2053" s="31" t="inlineStr">
        <is>
          <t>Fuel system</t>
        </is>
      </c>
      <c r="H2053" s="27" t="n">
        <v>1140</v>
      </c>
      <c r="I2053" s="27" t="n">
        <v>1210</v>
      </c>
      <c r="J2053" s="154">
        <f>I2053/H2053-1</f>
        <v/>
      </c>
      <c r="K2053" s="31" t="inlineStr">
        <is>
          <t>21</t>
        </is>
      </c>
      <c r="L2053" s="31" t="inlineStr">
        <is>
          <t>22</t>
        </is>
      </c>
      <c r="M2053" s="31" t="inlineStr">
        <is>
          <t>S2</t>
        </is>
      </c>
      <c r="N2053" s="31" t="inlineStr">
        <is>
          <t>S4</t>
        </is>
      </c>
      <c r="O2053" s="31" t="inlineStr">
        <is>
          <t>320-364-401-0</t>
        </is>
      </c>
      <c r="P2053" s="31" t="inlineStr">
        <is>
          <t>SR Technics Switzerland</t>
        </is>
      </c>
    </row>
    <row r="2054">
      <c r="B2054" s="31" t="inlineStr">
        <is>
          <t>CFM56-5B</t>
        </is>
      </c>
      <c r="C2054" s="31" t="inlineStr">
        <is>
          <t>2025-2026</t>
        </is>
      </c>
      <c r="D2054" s="31" t="inlineStr">
        <is>
          <t>609445</t>
        </is>
      </c>
      <c r="E2054" s="31" t="inlineStr">
        <is>
          <t>73-22-76</t>
        </is>
      </c>
      <c r="F2054" s="31" t="inlineStr">
        <is>
          <t>E</t>
        </is>
      </c>
      <c r="G2054" s="31" t="inlineStr">
        <is>
          <t>Fuel system</t>
        </is>
      </c>
      <c r="H2054" s="27" t="n">
        <v>3785</v>
      </c>
      <c r="I2054" s="27" t="n">
        <v>4015</v>
      </c>
      <c r="J2054" s="154">
        <f>I2054/H2054-1</f>
        <v/>
      </c>
      <c r="K2054" s="31" t="inlineStr">
        <is>
          <t>22</t>
        </is>
      </c>
      <c r="L2054" s="31" t="inlineStr">
        <is>
          <t>22</t>
        </is>
      </c>
      <c r="M2054" s="31" t="inlineStr">
        <is>
          <t>S2</t>
        </is>
      </c>
      <c r="N2054" s="31" t="inlineStr">
        <is>
          <t>S4</t>
        </is>
      </c>
      <c r="O2054" s="31" t="inlineStr">
        <is>
          <t>320-364-401-0</t>
        </is>
      </c>
      <c r="P2054" s="31" t="inlineStr">
        <is>
          <t>SR Technics Switzerland</t>
        </is>
      </c>
    </row>
    <row r="2055">
      <c r="B2055" s="31" t="inlineStr">
        <is>
          <t>CFM56-5B</t>
        </is>
      </c>
      <c r="C2055" s="31" t="inlineStr">
        <is>
          <t>2025-2026</t>
        </is>
      </c>
      <c r="D2055" s="31" t="inlineStr">
        <is>
          <t>609445</t>
        </is>
      </c>
      <c r="E2055" s="31" t="inlineStr">
        <is>
          <t>73-22-76</t>
        </is>
      </c>
      <c r="F2055" s="31" t="inlineStr">
        <is>
          <t>F</t>
        </is>
      </c>
      <c r="G2055" s="31" t="inlineStr">
        <is>
          <t>Fuel system</t>
        </is>
      </c>
      <c r="H2055" s="27" t="n">
        <v>5360</v>
      </c>
      <c r="I2055" s="27" t="n">
        <v>5685</v>
      </c>
      <c r="J2055" s="154">
        <f>I2055/H2055-1</f>
        <v/>
      </c>
      <c r="K2055" s="31" t="inlineStr">
        <is>
          <t>22</t>
        </is>
      </c>
      <c r="L2055" s="31" t="inlineStr">
        <is>
          <t>22</t>
        </is>
      </c>
      <c r="M2055" s="31" t="inlineStr">
        <is>
          <t>S2</t>
        </is>
      </c>
      <c r="N2055" s="31" t="inlineStr">
        <is>
          <t>S4</t>
        </is>
      </c>
      <c r="O2055" s="31" t="inlineStr">
        <is>
          <t>320-364-401-0</t>
        </is>
      </c>
      <c r="P2055" s="31" t="inlineStr">
        <is>
          <t>SR Technics Switzerland</t>
        </is>
      </c>
    </row>
    <row r="2056">
      <c r="B2056" s="31" t="inlineStr">
        <is>
          <t>CFM56-5B</t>
        </is>
      </c>
      <c r="C2056" s="31" t="inlineStr">
        <is>
          <t>2025-2026</t>
        </is>
      </c>
      <c r="D2056" s="31" t="inlineStr">
        <is>
          <t>609446</t>
        </is>
      </c>
      <c r="E2056" s="31" t="inlineStr">
        <is>
          <t>73-22-87</t>
        </is>
      </c>
      <c r="F2056" s="31" t="inlineStr">
        <is>
          <t>C</t>
        </is>
      </c>
      <c r="G2056" s="31" t="inlineStr">
        <is>
          <t>Fuel system</t>
        </is>
      </c>
      <c r="H2056" s="27" t="n">
        <v>375</v>
      </c>
      <c r="I2056" s="27" t="n">
        <v>400</v>
      </c>
      <c r="J2056" s="154">
        <f>I2056/H2056-1</f>
        <v/>
      </c>
      <c r="K2056" s="31" t="inlineStr">
        <is>
          <t>22</t>
        </is>
      </c>
      <c r="L2056" s="31" t="inlineStr">
        <is>
          <t>22</t>
        </is>
      </c>
      <c r="M2056" s="31" t="inlineStr">
        <is>
          <t>S2</t>
        </is>
      </c>
      <c r="N2056" s="31" t="inlineStr">
        <is>
          <t>S4</t>
        </is>
      </c>
      <c r="O2056" s="31" t="inlineStr">
        <is>
          <t>320-366-701-0</t>
        </is>
      </c>
      <c r="P2056" s="31" t="inlineStr">
        <is>
          <t>SR Technics Switzerland</t>
        </is>
      </c>
    </row>
    <row r="2057">
      <c r="B2057" s="31" t="inlineStr">
        <is>
          <t>CFM56-5B</t>
        </is>
      </c>
      <c r="C2057" s="31" t="inlineStr">
        <is>
          <t>2025-2026</t>
        </is>
      </c>
      <c r="D2057" s="31" t="inlineStr">
        <is>
          <t>609446</t>
        </is>
      </c>
      <c r="E2057" s="31" t="inlineStr">
        <is>
          <t>73-22-87</t>
        </is>
      </c>
      <c r="F2057" s="31" t="inlineStr">
        <is>
          <t>D</t>
        </is>
      </c>
      <c r="G2057" s="31" t="inlineStr">
        <is>
          <t>Fuel system</t>
        </is>
      </c>
      <c r="H2057" s="27" t="n">
        <v>1280</v>
      </c>
      <c r="I2057" s="27" t="n">
        <v>1360</v>
      </c>
      <c r="J2057" s="154">
        <f>I2057/H2057-1</f>
        <v/>
      </c>
      <c r="K2057" s="31" t="inlineStr">
        <is>
          <t>22</t>
        </is>
      </c>
      <c r="L2057" s="31" t="inlineStr">
        <is>
          <t>22</t>
        </is>
      </c>
      <c r="M2057" s="31" t="inlineStr">
        <is>
          <t>S2</t>
        </is>
      </c>
      <c r="N2057" s="31" t="inlineStr">
        <is>
          <t>S4</t>
        </is>
      </c>
      <c r="O2057" s="31" t="inlineStr">
        <is>
          <t>320-366-701-0</t>
        </is>
      </c>
      <c r="P2057" s="31" t="inlineStr">
        <is>
          <t>SR Technics Switzerland</t>
        </is>
      </c>
    </row>
    <row r="2058">
      <c r="B2058" s="31" t="inlineStr">
        <is>
          <t>CFM56-5B</t>
        </is>
      </c>
      <c r="C2058" s="31" t="inlineStr">
        <is>
          <t>2025-2026</t>
        </is>
      </c>
      <c r="D2058" s="31" t="inlineStr">
        <is>
          <t>609446</t>
        </is>
      </c>
      <c r="E2058" s="31" t="inlineStr">
        <is>
          <t>73-22-87</t>
        </is>
      </c>
      <c r="F2058" s="31" t="inlineStr">
        <is>
          <t>E</t>
        </is>
      </c>
      <c r="G2058" s="31" t="inlineStr">
        <is>
          <t>Fuel system</t>
        </is>
      </c>
      <c r="H2058" s="27" t="n">
        <v>5430</v>
      </c>
      <c r="I2058" s="27" t="n">
        <v>5760</v>
      </c>
      <c r="J2058" s="154">
        <f>I2058/H2058-1</f>
        <v/>
      </c>
      <c r="K2058" s="31" t="inlineStr">
        <is>
          <t>22</t>
        </is>
      </c>
      <c r="L2058" s="31" t="inlineStr">
        <is>
          <t>22</t>
        </is>
      </c>
      <c r="M2058" s="31" t="inlineStr">
        <is>
          <t>S2</t>
        </is>
      </c>
      <c r="N2058" s="31" t="inlineStr">
        <is>
          <t>S4</t>
        </is>
      </c>
      <c r="O2058" s="31" t="inlineStr">
        <is>
          <t>320-366-701-0</t>
        </is>
      </c>
      <c r="P2058" s="31" t="inlineStr">
        <is>
          <t>SR Technics Switzerland</t>
        </is>
      </c>
    </row>
    <row r="2059">
      <c r="B2059" s="31" t="inlineStr">
        <is>
          <t>CFM56-5B</t>
        </is>
      </c>
      <c r="C2059" s="31" t="inlineStr">
        <is>
          <t>2025-2026</t>
        </is>
      </c>
      <c r="D2059" s="31" t="inlineStr">
        <is>
          <t>609446</t>
        </is>
      </c>
      <c r="E2059" s="31" t="inlineStr">
        <is>
          <t>73-22-87</t>
        </is>
      </c>
      <c r="F2059" s="31" t="inlineStr">
        <is>
          <t>F</t>
        </is>
      </c>
      <c r="G2059" s="31" t="inlineStr">
        <is>
          <t>Fuel system</t>
        </is>
      </c>
      <c r="H2059" s="27" t="n">
        <v>8075</v>
      </c>
      <c r="I2059" s="27" t="n">
        <v>8560</v>
      </c>
      <c r="J2059" s="154">
        <f>I2059/H2059-1</f>
        <v/>
      </c>
      <c r="K2059" s="31" t="inlineStr">
        <is>
          <t>22</t>
        </is>
      </c>
      <c r="L2059" s="31" t="inlineStr">
        <is>
          <t>22</t>
        </is>
      </c>
      <c r="M2059" s="31" t="inlineStr">
        <is>
          <t>S2</t>
        </is>
      </c>
      <c r="N2059" s="31" t="inlineStr">
        <is>
          <t>S4</t>
        </is>
      </c>
      <c r="O2059" s="31" t="inlineStr">
        <is>
          <t>320-366-701-0</t>
        </is>
      </c>
      <c r="P2059" s="31" t="inlineStr">
        <is>
          <t>SR Technics Switzerland</t>
        </is>
      </c>
    </row>
    <row r="2060">
      <c r="B2060" s="31" t="inlineStr">
        <is>
          <t>CFM56-5B</t>
        </is>
      </c>
      <c r="C2060" s="31" t="inlineStr">
        <is>
          <t>2025-2026</t>
        </is>
      </c>
      <c r="D2060" s="31" t="inlineStr">
        <is>
          <t>609447</t>
        </is>
      </c>
      <c r="E2060" s="31" t="inlineStr">
        <is>
          <t>73-22-93</t>
        </is>
      </c>
      <c r="F2060" s="31" t="inlineStr">
        <is>
          <t>C</t>
        </is>
      </c>
      <c r="G2060" s="31" t="inlineStr">
        <is>
          <t>Fuel system</t>
        </is>
      </c>
      <c r="H2060" s="27" t="n">
        <v>390</v>
      </c>
      <c r="I2060" s="27" t="n">
        <v>415</v>
      </c>
      <c r="J2060" s="154">
        <f>I2060/H2060-1</f>
        <v/>
      </c>
      <c r="K2060" s="31" t="inlineStr">
        <is>
          <t>22</t>
        </is>
      </c>
      <c r="L2060" s="31" t="inlineStr">
        <is>
          <t>22</t>
        </is>
      </c>
      <c r="M2060" s="31" t="inlineStr">
        <is>
          <t>S2</t>
        </is>
      </c>
      <c r="N2060" s="31" t="inlineStr">
        <is>
          <t>S4</t>
        </is>
      </c>
      <c r="O2060" s="31" t="inlineStr">
        <is>
          <t>320-366-201-0</t>
        </is>
      </c>
      <c r="P2060" s="31" t="inlineStr">
        <is>
          <t>SR Technics Switzerland</t>
        </is>
      </c>
    </row>
    <row r="2061">
      <c r="B2061" s="31" t="inlineStr">
        <is>
          <t>CFM56-5B</t>
        </is>
      </c>
      <c r="C2061" s="31" t="inlineStr">
        <is>
          <t>2025-2026</t>
        </is>
      </c>
      <c r="D2061" s="31" t="inlineStr">
        <is>
          <t>609447</t>
        </is>
      </c>
      <c r="E2061" s="31" t="inlineStr">
        <is>
          <t>73-22-93</t>
        </is>
      </c>
      <c r="F2061" s="31" t="inlineStr">
        <is>
          <t>D</t>
        </is>
      </c>
      <c r="G2061" s="31" t="inlineStr">
        <is>
          <t>Fuel system</t>
        </is>
      </c>
      <c r="H2061" s="27" t="n">
        <v>1140</v>
      </c>
      <c r="I2061" s="27" t="n">
        <v>1210</v>
      </c>
      <c r="J2061" s="154">
        <f>I2061/H2061-1</f>
        <v/>
      </c>
      <c r="K2061" s="31" t="inlineStr">
        <is>
          <t>22</t>
        </is>
      </c>
      <c r="L2061" s="31" t="inlineStr">
        <is>
          <t>22</t>
        </is>
      </c>
      <c r="M2061" s="31" t="inlineStr">
        <is>
          <t>S2</t>
        </is>
      </c>
      <c r="N2061" s="31" t="inlineStr">
        <is>
          <t>S4</t>
        </is>
      </c>
      <c r="O2061" s="31" t="inlineStr">
        <is>
          <t>320-366-201-0</t>
        </is>
      </c>
      <c r="P2061" s="31" t="inlineStr">
        <is>
          <t>SR Technics Switzerland</t>
        </is>
      </c>
    </row>
    <row r="2062">
      <c r="B2062" s="31" t="inlineStr">
        <is>
          <t>CFM56-5B</t>
        </is>
      </c>
      <c r="C2062" s="31" t="inlineStr">
        <is>
          <t>2025-2026</t>
        </is>
      </c>
      <c r="D2062" s="31" t="inlineStr">
        <is>
          <t>609447</t>
        </is>
      </c>
      <c r="E2062" s="31" t="inlineStr">
        <is>
          <t>73-22-93</t>
        </is>
      </c>
      <c r="F2062" s="31" t="inlineStr">
        <is>
          <t>E</t>
        </is>
      </c>
      <c r="G2062" s="31" t="inlineStr">
        <is>
          <t>Fuel system</t>
        </is>
      </c>
      <c r="H2062" s="27" t="n">
        <v>3785</v>
      </c>
      <c r="I2062" s="27" t="n">
        <v>4015</v>
      </c>
      <c r="J2062" s="154">
        <f>I2062/H2062-1</f>
        <v/>
      </c>
      <c r="K2062" s="31" t="inlineStr">
        <is>
          <t>22</t>
        </is>
      </c>
      <c r="L2062" s="31" t="inlineStr">
        <is>
          <t>23</t>
        </is>
      </c>
      <c r="M2062" s="31" t="inlineStr">
        <is>
          <t>S2</t>
        </is>
      </c>
      <c r="N2062" s="31" t="inlineStr">
        <is>
          <t>S4</t>
        </is>
      </c>
      <c r="O2062" s="31" t="inlineStr">
        <is>
          <t>320-366-201-0</t>
        </is>
      </c>
      <c r="P2062" s="31" t="inlineStr">
        <is>
          <t>SR Technics Switzerland</t>
        </is>
      </c>
    </row>
    <row r="2063">
      <c r="B2063" s="31" t="inlineStr">
        <is>
          <t>CFM56-5B</t>
        </is>
      </c>
      <c r="C2063" s="31" t="inlineStr">
        <is>
          <t>2025-2026</t>
        </is>
      </c>
      <c r="D2063" s="31" t="inlineStr">
        <is>
          <t>609447</t>
        </is>
      </c>
      <c r="E2063" s="31" t="inlineStr">
        <is>
          <t>73-22-93</t>
        </is>
      </c>
      <c r="F2063" s="31" t="inlineStr">
        <is>
          <t>F</t>
        </is>
      </c>
      <c r="G2063" s="31" t="inlineStr">
        <is>
          <t>Fuel system</t>
        </is>
      </c>
      <c r="H2063" s="27" t="n">
        <v>5360</v>
      </c>
      <c r="I2063" s="27" t="n">
        <v>5685</v>
      </c>
      <c r="J2063" s="154">
        <f>I2063/H2063-1</f>
        <v/>
      </c>
      <c r="K2063" s="31" t="inlineStr">
        <is>
          <t>22</t>
        </is>
      </c>
      <c r="L2063" s="31" t="inlineStr">
        <is>
          <t>23</t>
        </is>
      </c>
      <c r="M2063" s="31" t="inlineStr">
        <is>
          <t>S2</t>
        </is>
      </c>
      <c r="N2063" s="31" t="inlineStr">
        <is>
          <t>S4</t>
        </is>
      </c>
      <c r="O2063" s="31" t="inlineStr">
        <is>
          <t>320-366-201-0</t>
        </is>
      </c>
      <c r="P2063" s="31" t="inlineStr">
        <is>
          <t>SR Technics Switzerland</t>
        </is>
      </c>
    </row>
    <row r="2064">
      <c r="B2064" s="31" t="inlineStr">
        <is>
          <t>CFM56-5B</t>
        </is>
      </c>
      <c r="C2064" s="31" t="inlineStr">
        <is>
          <t>2025-2026</t>
        </is>
      </c>
      <c r="D2064" s="31" t="inlineStr">
        <is>
          <t>610350</t>
        </is>
      </c>
      <c r="E2064" s="31" t="inlineStr">
        <is>
          <t>73-11-14</t>
        </is>
      </c>
      <c r="F2064" s="31" t="inlineStr">
        <is>
          <t>B</t>
        </is>
      </c>
      <c r="G2064" s="31" t="inlineStr">
        <is>
          <t>Fuel system</t>
        </is>
      </c>
      <c r="H2064" s="27" t="n">
        <v>2150</v>
      </c>
      <c r="I2064" s="27" t="n">
        <v>2280</v>
      </c>
      <c r="J2064" s="154">
        <f>I2064/H2064-1</f>
        <v/>
      </c>
      <c r="K2064" s="31" t="inlineStr">
        <is>
          <t>22</t>
        </is>
      </c>
      <c r="L2064" s="31" t="inlineStr">
        <is>
          <t>23</t>
        </is>
      </c>
      <c r="M2064" s="31" t="inlineStr">
        <is>
          <t>S2</t>
        </is>
      </c>
      <c r="N2064" s="31" t="inlineStr">
        <is>
          <t>S4</t>
        </is>
      </c>
      <c r="O2064" s="31" t="inlineStr">
        <is>
          <t>301-797-401-0</t>
        </is>
      </c>
      <c r="P2064" s="31" t="inlineStr">
        <is>
          <t>SR Technics Switzerland</t>
        </is>
      </c>
    </row>
    <row r="2065">
      <c r="B2065" s="31" t="inlineStr">
        <is>
          <t>CFM56-5B</t>
        </is>
      </c>
      <c r="C2065" s="31" t="inlineStr">
        <is>
          <t>2025-2026</t>
        </is>
      </c>
      <c r="D2065" s="31" t="inlineStr">
        <is>
          <t>610350</t>
        </is>
      </c>
      <c r="E2065" s="31" t="inlineStr">
        <is>
          <t>73-11-14</t>
        </is>
      </c>
      <c r="F2065" s="31" t="inlineStr">
        <is>
          <t>C</t>
        </is>
      </c>
      <c r="G2065" s="31" t="inlineStr">
        <is>
          <t>Fuel system</t>
        </is>
      </c>
      <c r="H2065" s="27" t="n">
        <v>160</v>
      </c>
      <c r="I2065" s="27" t="n">
        <v>170</v>
      </c>
      <c r="J2065" s="154">
        <f>I2065/H2065-1</f>
        <v/>
      </c>
      <c r="K2065" s="31" t="inlineStr">
        <is>
          <t>22</t>
        </is>
      </c>
      <c r="L2065" s="31" t="inlineStr">
        <is>
          <t>23</t>
        </is>
      </c>
      <c r="M2065" s="31" t="inlineStr">
        <is>
          <t>S2</t>
        </is>
      </c>
      <c r="N2065" s="31" t="inlineStr">
        <is>
          <t>S4</t>
        </is>
      </c>
      <c r="O2065" s="31" t="inlineStr">
        <is>
          <t>301-797-401-0</t>
        </is>
      </c>
      <c r="P2065" s="31" t="inlineStr">
        <is>
          <t>SR Technics Switzerland</t>
        </is>
      </c>
    </row>
    <row r="2066">
      <c r="B2066" s="31" t="inlineStr">
        <is>
          <t>CFM56-5B</t>
        </is>
      </c>
      <c r="C2066" s="31" t="inlineStr">
        <is>
          <t>2025-2026</t>
        </is>
      </c>
      <c r="D2066" s="31" t="inlineStr">
        <is>
          <t>610350</t>
        </is>
      </c>
      <c r="E2066" s="31" t="inlineStr">
        <is>
          <t>73-11-14</t>
        </is>
      </c>
      <c r="F2066" s="31" t="inlineStr">
        <is>
          <t>G</t>
        </is>
      </c>
      <c r="G2066" s="31" t="inlineStr">
        <is>
          <t>Fuel system</t>
        </is>
      </c>
      <c r="H2066" s="27" t="n">
        <v>8810</v>
      </c>
      <c r="I2066" s="27" t="n">
        <v>9340</v>
      </c>
      <c r="J2066" s="154">
        <f>I2066/H2066-1</f>
        <v/>
      </c>
      <c r="K2066" s="31" t="inlineStr">
        <is>
          <t>22</t>
        </is>
      </c>
      <c r="L2066" s="31" t="inlineStr">
        <is>
          <t>23</t>
        </is>
      </c>
      <c r="M2066" s="31" t="inlineStr">
        <is>
          <t>S2</t>
        </is>
      </c>
      <c r="N2066" s="31" t="inlineStr">
        <is>
          <t>S4</t>
        </is>
      </c>
      <c r="O2066" s="31" t="inlineStr">
        <is>
          <t>301-797-401-0</t>
        </is>
      </c>
      <c r="P2066" s="31" t="inlineStr">
        <is>
          <t>SR Technics Switzerland</t>
        </is>
      </c>
    </row>
    <row r="2067">
      <c r="B2067" s="31" t="inlineStr">
        <is>
          <t>CFM56-5B</t>
        </is>
      </c>
      <c r="C2067" s="31" t="inlineStr">
        <is>
          <t>2025-2026</t>
        </is>
      </c>
      <c r="D2067" s="31" t="inlineStr">
        <is>
          <t>610350</t>
        </is>
      </c>
      <c r="E2067" s="31" t="inlineStr">
        <is>
          <t>73-11-14</t>
        </is>
      </c>
      <c r="F2067" s="31" t="inlineStr">
        <is>
          <t>SB02</t>
        </is>
      </c>
      <c r="G2067" s="31" t="inlineStr">
        <is>
          <t>Fuel system</t>
        </is>
      </c>
      <c r="H2067" s="27" t="n">
        <v>245</v>
      </c>
      <c r="I2067" s="27" t="n">
        <v>260</v>
      </c>
      <c r="J2067" s="154">
        <f>I2067/H2067-1</f>
        <v/>
      </c>
      <c r="K2067" s="31" t="inlineStr">
        <is>
          <t>22</t>
        </is>
      </c>
      <c r="L2067" s="31" t="inlineStr">
        <is>
          <t>23</t>
        </is>
      </c>
      <c r="M2067" s="31" t="inlineStr">
        <is>
          <t>S2</t>
        </is>
      </c>
      <c r="N2067" s="31" t="inlineStr">
        <is>
          <t>S4</t>
        </is>
      </c>
      <c r="O2067" s="31" t="inlineStr">
        <is>
          <t>301-797-401-0</t>
        </is>
      </c>
      <c r="P2067" s="31" t="inlineStr">
        <is>
          <t>SR Technics Switzerland</t>
        </is>
      </c>
    </row>
    <row r="2068">
      <c r="B2068" s="31" t="inlineStr">
        <is>
          <t>CFM56-5B</t>
        </is>
      </c>
      <c r="C2068" s="31" t="inlineStr">
        <is>
          <t>2025-2026</t>
        </is>
      </c>
      <c r="D2068" s="31" t="inlineStr">
        <is>
          <t>610350</t>
        </is>
      </c>
      <c r="E2068" s="31" t="inlineStr">
        <is>
          <t>73-11-14</t>
        </is>
      </c>
      <c r="F2068" s="31" t="inlineStr">
        <is>
          <t>SB04</t>
        </is>
      </c>
      <c r="G2068" s="31" t="inlineStr">
        <is>
          <t>Fuel system</t>
        </is>
      </c>
      <c r="H2068" s="27" t="n">
        <v>245</v>
      </c>
      <c r="I2068" s="27" t="n">
        <v>260</v>
      </c>
      <c r="J2068" s="154">
        <f>I2068/H2068-1</f>
        <v/>
      </c>
      <c r="K2068" s="31" t="inlineStr">
        <is>
          <t>22</t>
        </is>
      </c>
      <c r="L2068" s="31" t="inlineStr">
        <is>
          <t>23</t>
        </is>
      </c>
      <c r="M2068" s="31" t="inlineStr">
        <is>
          <t>S2</t>
        </is>
      </c>
      <c r="N2068" s="31" t="inlineStr">
        <is>
          <t>S4</t>
        </is>
      </c>
      <c r="O2068" s="31" t="inlineStr">
        <is>
          <t>301-797-401-0</t>
        </is>
      </c>
      <c r="P2068" s="31" t="inlineStr">
        <is>
          <t>SR Technics Switzerland</t>
        </is>
      </c>
    </row>
    <row r="2069">
      <c r="B2069" s="31" t="inlineStr">
        <is>
          <t>CFM56-5B</t>
        </is>
      </c>
      <c r="C2069" s="31" t="inlineStr">
        <is>
          <t>2025-2026</t>
        </is>
      </c>
      <c r="D2069" s="31" t="inlineStr">
        <is>
          <t>610350</t>
        </is>
      </c>
      <c r="E2069" s="31" t="inlineStr">
        <is>
          <t>73-11-14</t>
        </is>
      </c>
      <c r="F2069" s="31" t="inlineStr">
        <is>
          <t>SB05</t>
        </is>
      </c>
      <c r="G2069" s="31" t="inlineStr">
        <is>
          <t>Fuel system</t>
        </is>
      </c>
      <c r="H2069" s="27" t="n">
        <v>245</v>
      </c>
      <c r="I2069" s="27" t="n">
        <v>260</v>
      </c>
      <c r="J2069" s="154">
        <f>I2069/H2069-1</f>
        <v/>
      </c>
      <c r="K2069" s="31" t="inlineStr">
        <is>
          <t>22</t>
        </is>
      </c>
      <c r="L2069" s="31" t="inlineStr">
        <is>
          <t>23</t>
        </is>
      </c>
      <c r="M2069" s="31" t="inlineStr">
        <is>
          <t>S2</t>
        </is>
      </c>
      <c r="N2069" s="31" t="inlineStr">
        <is>
          <t>S4</t>
        </is>
      </c>
      <c r="O2069" s="31" t="inlineStr">
        <is>
          <t>301-797-401-0</t>
        </is>
      </c>
      <c r="P2069" s="31" t="inlineStr">
        <is>
          <t>SR Technics Switzerland</t>
        </is>
      </c>
    </row>
    <row r="2070">
      <c r="B2070" s="31" t="inlineStr">
        <is>
          <t>CFM56-5B</t>
        </is>
      </c>
      <c r="C2070" s="31" t="inlineStr">
        <is>
          <t>2025-2026</t>
        </is>
      </c>
      <c r="D2070" s="31" t="inlineStr">
        <is>
          <t>610350</t>
        </is>
      </c>
      <c r="E2070" s="31" t="inlineStr">
        <is>
          <t>73-11-14</t>
        </is>
      </c>
      <c r="F2070" s="31" t="inlineStr">
        <is>
          <t>SB06</t>
        </is>
      </c>
      <c r="G2070" s="31" t="inlineStr">
        <is>
          <t>Fuel system</t>
        </is>
      </c>
      <c r="H2070" s="27" t="n">
        <v>245</v>
      </c>
      <c r="I2070" s="27" t="n">
        <v>260</v>
      </c>
      <c r="J2070" s="154">
        <f>I2070/H2070-1</f>
        <v/>
      </c>
      <c r="K2070" s="31" t="inlineStr">
        <is>
          <t>22</t>
        </is>
      </c>
      <c r="L2070" s="31" t="inlineStr">
        <is>
          <t>23</t>
        </is>
      </c>
      <c r="M2070" s="31" t="inlineStr">
        <is>
          <t>S2</t>
        </is>
      </c>
      <c r="N2070" s="31" t="inlineStr">
        <is>
          <t>S4</t>
        </is>
      </c>
      <c r="O2070" s="31" t="inlineStr">
        <is>
          <t>301-797-401-0</t>
        </is>
      </c>
      <c r="P2070" s="31" t="inlineStr">
        <is>
          <t>SR Technics Switzerland</t>
        </is>
      </c>
    </row>
    <row r="2071">
      <c r="B2071" s="31" t="inlineStr">
        <is>
          <t>CFM56-5B</t>
        </is>
      </c>
      <c r="C2071" s="31" t="inlineStr">
        <is>
          <t>2025-2026</t>
        </is>
      </c>
      <c r="D2071" s="31" t="inlineStr">
        <is>
          <t>610350</t>
        </is>
      </c>
      <c r="E2071" s="31" t="inlineStr">
        <is>
          <t>73-11-14</t>
        </is>
      </c>
      <c r="F2071" s="31" t="inlineStr">
        <is>
          <t>SB07</t>
        </is>
      </c>
      <c r="G2071" s="31" t="inlineStr">
        <is>
          <t>Fuel system</t>
        </is>
      </c>
      <c r="H2071" s="27" t="n">
        <v>245</v>
      </c>
      <c r="I2071" s="27" t="n">
        <v>260</v>
      </c>
      <c r="J2071" s="154">
        <f>I2071/H2071-1</f>
        <v/>
      </c>
      <c r="K2071" s="31" t="inlineStr">
        <is>
          <t>22</t>
        </is>
      </c>
      <c r="L2071" s="31" t="inlineStr">
        <is>
          <t>23</t>
        </is>
      </c>
      <c r="M2071" s="31" t="inlineStr">
        <is>
          <t>S2</t>
        </is>
      </c>
      <c r="N2071" s="31" t="inlineStr">
        <is>
          <t>S4</t>
        </is>
      </c>
      <c r="O2071" s="31" t="inlineStr">
        <is>
          <t>301-797-401-0</t>
        </is>
      </c>
      <c r="P2071" s="31" t="inlineStr">
        <is>
          <t>SR Technics Switzerland</t>
        </is>
      </c>
    </row>
    <row r="2072">
      <c r="B2072" s="31" t="inlineStr">
        <is>
          <t>CFM56-5B</t>
        </is>
      </c>
      <c r="C2072" s="31" t="inlineStr">
        <is>
          <t>2025-2026</t>
        </is>
      </c>
      <c r="D2072" s="31" t="inlineStr">
        <is>
          <t>613126</t>
        </is>
      </c>
      <c r="E2072" s="31" t="inlineStr">
        <is>
          <t>72-53-02</t>
        </is>
      </c>
      <c r="F2072" s="31" t="inlineStr">
        <is>
          <t>A</t>
        </is>
      </c>
      <c r="G2072" s="31" t="inlineStr">
        <is>
          <t>HPT / nozzle</t>
        </is>
      </c>
      <c r="H2072" s="27" t="n">
        <v>450</v>
      </c>
      <c r="I2072" s="27" t="n">
        <v>475</v>
      </c>
      <c r="J2072" s="154">
        <f>I2072/H2072-1</f>
        <v/>
      </c>
      <c r="K2072" s="31" t="inlineStr">
        <is>
          <t>22</t>
        </is>
      </c>
      <c r="L2072" s="31" t="inlineStr">
        <is>
          <t>23</t>
        </is>
      </c>
      <c r="M2072" s="31" t="inlineStr">
        <is>
          <t>S2</t>
        </is>
      </c>
      <c r="N2072" s="31" t="inlineStr">
        <is>
          <t>S4</t>
        </is>
      </c>
      <c r="O2072" s="31" t="inlineStr">
        <is>
          <t>1523M69P01</t>
        </is>
      </c>
      <c r="P2072" s="31" t="inlineStr">
        <is>
          <t>SR Technics Switzerland</t>
        </is>
      </c>
    </row>
    <row r="2073">
      <c r="B2073" s="31" t="inlineStr">
        <is>
          <t>CFM56-5B</t>
        </is>
      </c>
      <c r="C2073" s="31" t="inlineStr">
        <is>
          <t>2025-2026</t>
        </is>
      </c>
      <c r="D2073" s="31" t="inlineStr">
        <is>
          <t>613126</t>
        </is>
      </c>
      <c r="E2073" s="31" t="inlineStr">
        <is>
          <t>72-53-02</t>
        </is>
      </c>
      <c r="F2073" s="31" t="inlineStr">
        <is>
          <t>B</t>
        </is>
      </c>
      <c r="G2073" s="31" t="inlineStr">
        <is>
          <t>HPT / nozzle</t>
        </is>
      </c>
      <c r="H2073" s="27" t="n">
        <v>375</v>
      </c>
      <c r="I2073" s="27" t="n">
        <v>400</v>
      </c>
      <c r="J2073" s="154">
        <f>I2073/H2073-1</f>
        <v/>
      </c>
      <c r="K2073" s="31" t="inlineStr">
        <is>
          <t>22</t>
        </is>
      </c>
      <c r="L2073" s="31" t="inlineStr">
        <is>
          <t>23</t>
        </is>
      </c>
      <c r="M2073" s="31" t="inlineStr">
        <is>
          <t>S2</t>
        </is>
      </c>
      <c r="N2073" s="31" t="inlineStr">
        <is>
          <t>S4</t>
        </is>
      </c>
      <c r="O2073" s="31" t="inlineStr">
        <is>
          <t>1523M69P01</t>
        </is>
      </c>
      <c r="P2073" s="31" t="inlineStr">
        <is>
          <t>SR Technics Switzerland</t>
        </is>
      </c>
    </row>
    <row r="2074">
      <c r="B2074" s="31" t="inlineStr">
        <is>
          <t>CFM56-5B</t>
        </is>
      </c>
      <c r="C2074" s="31" t="inlineStr">
        <is>
          <t>2025-2026</t>
        </is>
      </c>
      <c r="D2074" s="31" t="inlineStr">
        <is>
          <t>613126</t>
        </is>
      </c>
      <c r="E2074" s="31" t="inlineStr">
        <is>
          <t>72-53-02</t>
        </is>
      </c>
      <c r="F2074" s="31" t="inlineStr">
        <is>
          <t>Z</t>
        </is>
      </c>
      <c r="G2074" s="31" t="inlineStr">
        <is>
          <t>HPT / nozzle</t>
        </is>
      </c>
      <c r="H2074" s="27" t="n">
        <v>690</v>
      </c>
      <c r="I2074" s="27" t="n">
        <v>735</v>
      </c>
      <c r="J2074" s="154">
        <f>I2074/H2074-1</f>
        <v/>
      </c>
      <c r="K2074" s="31" t="inlineStr">
        <is>
          <t>22</t>
        </is>
      </c>
      <c r="L2074" s="31" t="inlineStr">
        <is>
          <t>23</t>
        </is>
      </c>
      <c r="M2074" s="31" t="inlineStr">
        <is>
          <t>S2</t>
        </is>
      </c>
      <c r="N2074" s="31" t="inlineStr">
        <is>
          <t>S4</t>
        </is>
      </c>
      <c r="O2074" s="31" t="inlineStr">
        <is>
          <t>1523M69P01</t>
        </is>
      </c>
      <c r="P2074" s="31" t="inlineStr">
        <is>
          <t>SR Technics Switzerland</t>
        </is>
      </c>
    </row>
    <row r="2075">
      <c r="B2075" s="31" t="inlineStr">
        <is>
          <t>CFM56-5B</t>
        </is>
      </c>
      <c r="C2075" s="31" t="inlineStr">
        <is>
          <t>2025-2026</t>
        </is>
      </c>
      <c r="D2075" s="31" t="inlineStr">
        <is>
          <t>613853</t>
        </is>
      </c>
      <c r="E2075" s="31" t="inlineStr">
        <is>
          <t>72-23-06</t>
        </is>
      </c>
      <c r="F2075" s="31" t="inlineStr">
        <is>
          <t>B</t>
        </is>
      </c>
      <c r="G2075" s="31" t="inlineStr">
        <is>
          <t>Fan / booster</t>
        </is>
      </c>
      <c r="H2075" s="27" t="n">
        <v>685</v>
      </c>
      <c r="I2075" s="27" t="n">
        <v>730</v>
      </c>
      <c r="J2075" s="154">
        <f>I2075/H2075-1</f>
        <v/>
      </c>
      <c r="K2075" s="31" t="inlineStr">
        <is>
          <t>22</t>
        </is>
      </c>
      <c r="L2075" s="31" t="inlineStr">
        <is>
          <t>23</t>
        </is>
      </c>
      <c r="M2075" s="31" t="inlineStr">
        <is>
          <t>S2</t>
        </is>
      </c>
      <c r="N2075" s="31" t="inlineStr">
        <is>
          <t>S4</t>
        </is>
      </c>
      <c r="O2075" s="31" t="inlineStr">
        <is>
          <t>301-547-206-0</t>
        </is>
      </c>
      <c r="P2075" s="31" t="inlineStr">
        <is>
          <t>SR Technics Switzerland</t>
        </is>
      </c>
    </row>
    <row r="2076">
      <c r="B2076" s="31" t="inlineStr">
        <is>
          <t>CFM56-5B</t>
        </is>
      </c>
      <c r="C2076" s="31" t="inlineStr">
        <is>
          <t>2025-2026</t>
        </is>
      </c>
      <c r="D2076" s="31" t="inlineStr">
        <is>
          <t>61388</t>
        </is>
      </c>
      <c r="E2076" s="31" t="inlineStr">
        <is>
          <t>73-21-78</t>
        </is>
      </c>
      <c r="F2076" s="31" t="inlineStr">
        <is>
          <t>B</t>
        </is>
      </c>
      <c r="G2076" s="31" t="inlineStr">
        <is>
          <t>Fuel system</t>
        </is>
      </c>
      <c r="H2076" s="27" t="n">
        <v>3635</v>
      </c>
      <c r="I2076" s="27" t="n">
        <v>3855</v>
      </c>
      <c r="J2076" s="154">
        <f>I2076/H2076-1</f>
        <v/>
      </c>
      <c r="K2076" s="31" t="inlineStr">
        <is>
          <t>7</t>
        </is>
      </c>
      <c r="L2076" s="31" t="inlineStr">
        <is>
          <t>7</t>
        </is>
      </c>
      <c r="M2076" s="31" t="inlineStr">
        <is>
          <t>S2</t>
        </is>
      </c>
      <c r="N2076" s="31" t="inlineStr">
        <is>
          <t>S4</t>
        </is>
      </c>
      <c r="O2076" s="31" t="inlineStr">
        <is>
          <t>1348M79P09</t>
        </is>
      </c>
      <c r="P2076" s="31" t="inlineStr">
        <is>
          <t>SR Technics Switzerland</t>
        </is>
      </c>
    </row>
    <row r="2077">
      <c r="B2077" s="31" t="inlineStr">
        <is>
          <t>CFM56-5B</t>
        </is>
      </c>
      <c r="C2077" s="31" t="inlineStr">
        <is>
          <t>2025-2026</t>
        </is>
      </c>
      <c r="D2077" s="31" t="inlineStr">
        <is>
          <t>61388</t>
        </is>
      </c>
      <c r="E2077" s="31" t="inlineStr">
        <is>
          <t>73-21-78</t>
        </is>
      </c>
      <c r="F2077" s="31" t="inlineStr">
        <is>
          <t>G</t>
        </is>
      </c>
      <c r="G2077" s="31" t="inlineStr">
        <is>
          <t>Fuel system</t>
        </is>
      </c>
      <c r="H2077" s="27" t="n">
        <v>10935</v>
      </c>
      <c r="I2077" s="27" t="n">
        <v>11595</v>
      </c>
      <c r="J2077" s="154">
        <f>I2077/H2077-1</f>
        <v/>
      </c>
      <c r="K2077" s="31" t="inlineStr">
        <is>
          <t>7</t>
        </is>
      </c>
      <c r="L2077" s="31" t="inlineStr">
        <is>
          <t>7</t>
        </is>
      </c>
      <c r="M2077" s="31" t="inlineStr">
        <is>
          <t>S2</t>
        </is>
      </c>
      <c r="N2077" s="31" t="inlineStr">
        <is>
          <t>S4</t>
        </is>
      </c>
      <c r="O2077" s="31" t="inlineStr">
        <is>
          <t>1348M79P09</t>
        </is>
      </c>
      <c r="P2077" s="31" t="inlineStr">
        <is>
          <t>SR Technics Switzerland</t>
        </is>
      </c>
    </row>
    <row r="2078">
      <c r="B2078" s="31" t="inlineStr">
        <is>
          <t>CFM56-5B</t>
        </is>
      </c>
      <c r="C2078" s="31" t="inlineStr">
        <is>
          <t>2025-2026</t>
        </is>
      </c>
      <c r="D2078" s="31" t="inlineStr">
        <is>
          <t>61388</t>
        </is>
      </c>
      <c r="E2078" s="31" t="inlineStr">
        <is>
          <t>73-21-78</t>
        </is>
      </c>
      <c r="F2078" s="31" t="inlineStr">
        <is>
          <t>SB01</t>
        </is>
      </c>
      <c r="G2078" s="31" t="inlineStr">
        <is>
          <t>Fuel system</t>
        </is>
      </c>
      <c r="H2078" s="27" t="n">
        <v>700</v>
      </c>
      <c r="I2078" s="27" t="n">
        <v>745</v>
      </c>
      <c r="J2078" s="154">
        <f>I2078/H2078-1</f>
        <v/>
      </c>
      <c r="K2078" s="31" t="inlineStr">
        <is>
          <t>7</t>
        </is>
      </c>
      <c r="L2078" s="31" t="inlineStr">
        <is>
          <t>7</t>
        </is>
      </c>
      <c r="M2078" s="31" t="inlineStr">
        <is>
          <t>S2</t>
        </is>
      </c>
      <c r="N2078" s="31" t="inlineStr">
        <is>
          <t>S4</t>
        </is>
      </c>
      <c r="O2078" s="31" t="inlineStr">
        <is>
          <t>1348M79P09</t>
        </is>
      </c>
      <c r="P2078" s="31" t="inlineStr">
        <is>
          <t>SR Technics Switzerland</t>
        </is>
      </c>
    </row>
    <row r="2079">
      <c r="B2079" s="31" t="inlineStr">
        <is>
          <t>CFM56-5B</t>
        </is>
      </c>
      <c r="C2079" s="31" t="inlineStr">
        <is>
          <t>2025-2026</t>
        </is>
      </c>
      <c r="D2079" s="31" t="inlineStr">
        <is>
          <t>61388</t>
        </is>
      </c>
      <c r="E2079" s="31" t="inlineStr">
        <is>
          <t>73-21-78</t>
        </is>
      </c>
      <c r="F2079" s="31" t="inlineStr">
        <is>
          <t>SB03</t>
        </is>
      </c>
      <c r="G2079" s="31" t="inlineStr">
        <is>
          <t>Fuel system</t>
        </is>
      </c>
      <c r="H2079" s="27" t="n">
        <v>700</v>
      </c>
      <c r="I2079" s="27" t="n">
        <v>745</v>
      </c>
      <c r="J2079" s="154">
        <f>I2079/H2079-1</f>
        <v/>
      </c>
      <c r="K2079" s="31" t="inlineStr">
        <is>
          <t>7</t>
        </is>
      </c>
      <c r="L2079" s="31" t="inlineStr">
        <is>
          <t>7</t>
        </is>
      </c>
      <c r="M2079" s="31" t="inlineStr">
        <is>
          <t>S2</t>
        </is>
      </c>
      <c r="N2079" s="31" t="inlineStr">
        <is>
          <t>S4</t>
        </is>
      </c>
      <c r="O2079" s="31" t="inlineStr">
        <is>
          <t>1348M79P09</t>
        </is>
      </c>
      <c r="P2079" s="31" t="inlineStr">
        <is>
          <t>SR Technics Switzerland</t>
        </is>
      </c>
    </row>
    <row r="2080">
      <c r="B2080" s="31" t="inlineStr">
        <is>
          <t>CFM56-5B</t>
        </is>
      </c>
      <c r="C2080" s="31" t="inlineStr">
        <is>
          <t>2025-2026</t>
        </is>
      </c>
      <c r="D2080" s="31" t="inlineStr">
        <is>
          <t>61388</t>
        </is>
      </c>
      <c r="E2080" s="31" t="inlineStr">
        <is>
          <t>73-21-78</t>
        </is>
      </c>
      <c r="F2080" s="31" t="inlineStr">
        <is>
          <t>SB05</t>
        </is>
      </c>
      <c r="G2080" s="31" t="inlineStr">
        <is>
          <t>Fuel system</t>
        </is>
      </c>
      <c r="H2080" s="27" t="n">
        <v>2070</v>
      </c>
      <c r="I2080" s="27" t="n">
        <v>2195</v>
      </c>
      <c r="J2080" s="154">
        <f>I2080/H2080-1</f>
        <v/>
      </c>
      <c r="K2080" s="31" t="inlineStr">
        <is>
          <t>7</t>
        </is>
      </c>
      <c r="L2080" s="31" t="inlineStr">
        <is>
          <t>7</t>
        </is>
      </c>
      <c r="M2080" s="31" t="inlineStr">
        <is>
          <t>S2</t>
        </is>
      </c>
      <c r="N2080" s="31" t="inlineStr">
        <is>
          <t>S4</t>
        </is>
      </c>
      <c r="O2080" s="31" t="inlineStr">
        <is>
          <t>1348M79P09</t>
        </is>
      </c>
      <c r="P2080" s="31" t="inlineStr">
        <is>
          <t>SR Technics Switzerland</t>
        </is>
      </c>
    </row>
    <row r="2081">
      <c r="B2081" s="31" t="inlineStr">
        <is>
          <t>CFM56-5B</t>
        </is>
      </c>
      <c r="C2081" s="31" t="inlineStr">
        <is>
          <t>2025-2026</t>
        </is>
      </c>
      <c r="D2081" s="31" t="inlineStr">
        <is>
          <t>61388</t>
        </is>
      </c>
      <c r="E2081" s="31" t="inlineStr">
        <is>
          <t>73-21-78</t>
        </is>
      </c>
      <c r="F2081" s="31" t="inlineStr">
        <is>
          <t>SB07</t>
        </is>
      </c>
      <c r="G2081" s="31" t="inlineStr">
        <is>
          <t>Fuel system</t>
        </is>
      </c>
      <c r="H2081" s="27" t="n">
        <v>2070</v>
      </c>
      <c r="I2081" s="27" t="n">
        <v>2195</v>
      </c>
      <c r="J2081" s="154">
        <f>I2081/H2081-1</f>
        <v/>
      </c>
      <c r="K2081" s="31" t="inlineStr">
        <is>
          <t>7</t>
        </is>
      </c>
      <c r="L2081" s="31" t="inlineStr">
        <is>
          <t>7</t>
        </is>
      </c>
      <c r="M2081" s="31" t="inlineStr">
        <is>
          <t>S2</t>
        </is>
      </c>
      <c r="N2081" s="31" t="inlineStr">
        <is>
          <t>S4</t>
        </is>
      </c>
      <c r="O2081" s="31" t="inlineStr">
        <is>
          <t>1348M79P09</t>
        </is>
      </c>
      <c r="P2081" s="31" t="inlineStr">
        <is>
          <t>SR Technics Switzerland</t>
        </is>
      </c>
    </row>
    <row r="2082">
      <c r="B2082" s="31" t="inlineStr">
        <is>
          <t>CFM56-5B</t>
        </is>
      </c>
      <c r="C2082" s="31" t="inlineStr">
        <is>
          <t>2025-2026</t>
        </is>
      </c>
      <c r="D2082" s="31" t="inlineStr">
        <is>
          <t>61388</t>
        </is>
      </c>
      <c r="E2082" s="31" t="inlineStr">
        <is>
          <t>73-21-78</t>
        </is>
      </c>
      <c r="F2082" s="31" t="inlineStr">
        <is>
          <t>SB08</t>
        </is>
      </c>
      <c r="G2082" s="31" t="inlineStr">
        <is>
          <t>Fuel system</t>
        </is>
      </c>
      <c r="H2082" s="27" t="n">
        <v>2070</v>
      </c>
      <c r="I2082" s="27" t="n">
        <v>2195</v>
      </c>
      <c r="J2082" s="154">
        <f>I2082/H2082-1</f>
        <v/>
      </c>
      <c r="K2082" s="31" t="inlineStr">
        <is>
          <t>7</t>
        </is>
      </c>
      <c r="L2082" s="31" t="inlineStr">
        <is>
          <t>7</t>
        </is>
      </c>
      <c r="M2082" s="31" t="inlineStr">
        <is>
          <t>S2</t>
        </is>
      </c>
      <c r="N2082" s="31" t="inlineStr">
        <is>
          <t>S4</t>
        </is>
      </c>
      <c r="O2082" s="31" t="inlineStr">
        <is>
          <t>1348M79P09</t>
        </is>
      </c>
      <c r="P2082" s="31" t="inlineStr">
        <is>
          <t>SR Technics Switzerland</t>
        </is>
      </c>
    </row>
    <row r="2083">
      <c r="B2083" s="31" t="inlineStr">
        <is>
          <t>CFM56-5B</t>
        </is>
      </c>
      <c r="C2083" s="31" t="inlineStr">
        <is>
          <t>2025-2026</t>
        </is>
      </c>
      <c r="D2083" s="31" t="inlineStr">
        <is>
          <t>61388</t>
        </is>
      </c>
      <c r="E2083" s="31" t="inlineStr">
        <is>
          <t>73-21-78</t>
        </is>
      </c>
      <c r="F2083" s="31" t="inlineStr">
        <is>
          <t>SB12</t>
        </is>
      </c>
      <c r="G2083" s="31" t="inlineStr">
        <is>
          <t>Fuel system</t>
        </is>
      </c>
      <c r="H2083" s="27" t="n">
        <v>6305</v>
      </c>
      <c r="I2083" s="27" t="n">
        <v>6685</v>
      </c>
      <c r="J2083" s="154">
        <f>I2083/H2083-1</f>
        <v/>
      </c>
      <c r="K2083" s="31" t="inlineStr">
        <is>
          <t>7</t>
        </is>
      </c>
      <c r="L2083" s="31" t="inlineStr">
        <is>
          <t>7</t>
        </is>
      </c>
      <c r="M2083" s="31" t="inlineStr">
        <is>
          <t>S2</t>
        </is>
      </c>
      <c r="N2083" s="31" t="inlineStr">
        <is>
          <t>S4</t>
        </is>
      </c>
      <c r="O2083" s="31" t="inlineStr">
        <is>
          <t>1348M79P09</t>
        </is>
      </c>
      <c r="P2083" s="31" t="inlineStr">
        <is>
          <t>SR Technics Switzerland</t>
        </is>
      </c>
    </row>
    <row r="2084">
      <c r="B2084" s="31" t="inlineStr">
        <is>
          <t>CFM56-5B</t>
        </is>
      </c>
      <c r="C2084" s="31" t="inlineStr">
        <is>
          <t>2025-2026</t>
        </is>
      </c>
      <c r="D2084" s="31" t="inlineStr">
        <is>
          <t>61388</t>
        </is>
      </c>
      <c r="E2084" s="31" t="inlineStr">
        <is>
          <t>73-21-78</t>
        </is>
      </c>
      <c r="F2084" s="31" t="inlineStr">
        <is>
          <t>SB14</t>
        </is>
      </c>
      <c r="G2084" s="31" t="inlineStr">
        <is>
          <t>Fuel system</t>
        </is>
      </c>
      <c r="H2084" s="27" t="n">
        <v>6305</v>
      </c>
      <c r="I2084" s="27" t="n">
        <v>6685</v>
      </c>
      <c r="J2084" s="154">
        <f>I2084/H2084-1</f>
        <v/>
      </c>
      <c r="K2084" s="31" t="inlineStr">
        <is>
          <t>7</t>
        </is>
      </c>
      <c r="L2084" s="31" t="inlineStr">
        <is>
          <t>7</t>
        </is>
      </c>
      <c r="M2084" s="31" t="inlineStr">
        <is>
          <t>S2</t>
        </is>
      </c>
      <c r="N2084" s="31" t="inlineStr">
        <is>
          <t>S4</t>
        </is>
      </c>
      <c r="O2084" s="31" t="inlineStr">
        <is>
          <t>1348M79P09</t>
        </is>
      </c>
      <c r="P2084" s="31" t="inlineStr">
        <is>
          <t>SR Technics Switzerland</t>
        </is>
      </c>
    </row>
    <row r="2085">
      <c r="B2085" s="31" t="inlineStr">
        <is>
          <t>CFM56-5B</t>
        </is>
      </c>
      <c r="C2085" s="31" t="inlineStr">
        <is>
          <t>2025-2026</t>
        </is>
      </c>
      <c r="D2085" s="31" t="inlineStr">
        <is>
          <t>61388</t>
        </is>
      </c>
      <c r="E2085" s="31" t="inlineStr">
        <is>
          <t>73-21-78</t>
        </is>
      </c>
      <c r="F2085" s="31" t="inlineStr">
        <is>
          <t>SB15</t>
        </is>
      </c>
      <c r="G2085" s="31" t="inlineStr">
        <is>
          <t>Fuel system</t>
        </is>
      </c>
      <c r="H2085" s="27" t="n">
        <v>6305</v>
      </c>
      <c r="I2085" s="27" t="n">
        <v>6685</v>
      </c>
      <c r="J2085" s="154">
        <f>I2085/H2085-1</f>
        <v/>
      </c>
      <c r="K2085" s="31" t="inlineStr">
        <is>
          <t>7</t>
        </is>
      </c>
      <c r="L2085" s="31" t="inlineStr">
        <is>
          <t>7</t>
        </is>
      </c>
      <c r="M2085" s="31" t="inlineStr">
        <is>
          <t>S2</t>
        </is>
      </c>
      <c r="N2085" s="31" t="inlineStr">
        <is>
          <t>S4</t>
        </is>
      </c>
      <c r="O2085" s="31" t="inlineStr">
        <is>
          <t>1348M79P09</t>
        </is>
      </c>
      <c r="P2085" s="31" t="inlineStr">
        <is>
          <t>SR Technics Switzerland</t>
        </is>
      </c>
    </row>
    <row r="2086">
      <c r="B2086" s="31" t="inlineStr">
        <is>
          <t>CFM56-5B</t>
        </is>
      </c>
      <c r="C2086" s="31" t="inlineStr">
        <is>
          <t>2025-2026</t>
        </is>
      </c>
      <c r="D2086" s="31" t="inlineStr">
        <is>
          <t>61388</t>
        </is>
      </c>
      <c r="E2086" s="31" t="inlineStr">
        <is>
          <t>73-21-78</t>
        </is>
      </c>
      <c r="F2086" s="31" t="inlineStr">
        <is>
          <t>SB19</t>
        </is>
      </c>
      <c r="G2086" s="31" t="inlineStr">
        <is>
          <t>Fuel system</t>
        </is>
      </c>
      <c r="H2086" s="27" t="n">
        <v>6305</v>
      </c>
      <c r="I2086" s="27" t="n">
        <v>6685</v>
      </c>
      <c r="J2086" s="154">
        <f>I2086/H2086-1</f>
        <v/>
      </c>
      <c r="K2086" s="31" t="inlineStr">
        <is>
          <t>8</t>
        </is>
      </c>
      <c r="L2086" s="31" t="inlineStr">
        <is>
          <t>7</t>
        </is>
      </c>
      <c r="M2086" s="31" t="inlineStr">
        <is>
          <t>S2</t>
        </is>
      </c>
      <c r="N2086" s="31" t="inlineStr">
        <is>
          <t>S4</t>
        </is>
      </c>
      <c r="O2086" s="31" t="inlineStr">
        <is>
          <t>1348M79P09</t>
        </is>
      </c>
      <c r="P2086" s="31" t="inlineStr">
        <is>
          <t>SR Technics Switzerland</t>
        </is>
      </c>
    </row>
    <row r="2087">
      <c r="B2087" s="31" t="inlineStr">
        <is>
          <t>CFM56-5B</t>
        </is>
      </c>
      <c r="C2087" s="31" t="inlineStr">
        <is>
          <t>2025-2026</t>
        </is>
      </c>
      <c r="D2087" s="31" t="inlineStr">
        <is>
          <t>614086</t>
        </is>
      </c>
      <c r="E2087" s="31" t="inlineStr">
        <is>
          <t>72-56-04</t>
        </is>
      </c>
      <c r="F2087" s="31" t="inlineStr">
        <is>
          <t>B</t>
        </is>
      </c>
      <c r="G2087" s="31" t="inlineStr">
        <is>
          <t>LPT</t>
        </is>
      </c>
      <c r="H2087" s="27" t="n">
        <v>495</v>
      </c>
      <c r="I2087" s="27" t="n">
        <v>525</v>
      </c>
      <c r="J2087" s="154">
        <f>I2087/H2087-1</f>
        <v/>
      </c>
      <c r="K2087" s="31" t="inlineStr">
        <is>
          <t>22</t>
        </is>
      </c>
      <c r="L2087" s="31" t="inlineStr">
        <is>
          <t>23</t>
        </is>
      </c>
      <c r="M2087" s="31" t="inlineStr">
        <is>
          <t>S2</t>
        </is>
      </c>
      <c r="N2087" s="31" t="inlineStr">
        <is>
          <t>S4</t>
        </is>
      </c>
      <c r="O2087" s="31" t="inlineStr">
        <is>
          <t>340-165-503-0</t>
        </is>
      </c>
      <c r="P2087" s="31" t="inlineStr">
        <is>
          <t>SR Technics Switzerland</t>
        </is>
      </c>
    </row>
    <row r="2088">
      <c r="B2088" s="31" t="inlineStr">
        <is>
          <t>CFM56-5B</t>
        </is>
      </c>
      <c r="C2088" s="31" t="inlineStr">
        <is>
          <t>2025-2026</t>
        </is>
      </c>
      <c r="D2088" s="31" t="inlineStr">
        <is>
          <t>614157</t>
        </is>
      </c>
      <c r="E2088" s="31" t="inlineStr">
        <is>
          <t>72-61-13</t>
        </is>
      </c>
      <c r="F2088" s="31" t="inlineStr">
        <is>
          <t>A</t>
        </is>
      </c>
      <c r="G2088" s="31" t="inlineStr">
        <is>
          <t>Gearbox</t>
        </is>
      </c>
      <c r="H2088" s="27" t="n">
        <v>1115</v>
      </c>
      <c r="I2088" s="27" t="n">
        <v>1175</v>
      </c>
      <c r="J2088" s="154">
        <f>I2088/H2088-1</f>
        <v/>
      </c>
      <c r="K2088" s="31" t="inlineStr">
        <is>
          <t>56</t>
        </is>
      </c>
      <c r="L2088" s="31" t="inlineStr">
        <is>
          <t>58</t>
        </is>
      </c>
      <c r="M2088" s="31" t="inlineStr">
        <is>
          <t>S2</t>
        </is>
      </c>
      <c r="N2088" s="31" t="inlineStr">
        <is>
          <t>S4</t>
        </is>
      </c>
      <c r="O2088" s="31" t="inlineStr">
        <is>
          <t>9542M62P02</t>
        </is>
      </c>
      <c r="P2088" s="31" t="inlineStr">
        <is>
          <t>SR Technics Switzerland</t>
        </is>
      </c>
    </row>
    <row r="2089">
      <c r="B2089" s="31" t="inlineStr">
        <is>
          <t>CFM56-5B</t>
        </is>
      </c>
      <c r="C2089" s="31" t="inlineStr">
        <is>
          <t>2025-2026</t>
        </is>
      </c>
      <c r="D2089" s="31" t="inlineStr">
        <is>
          <t>618701</t>
        </is>
      </c>
      <c r="E2089" s="31" t="inlineStr">
        <is>
          <t>72-56-02</t>
        </is>
      </c>
      <c r="F2089" s="31" t="inlineStr">
        <is>
          <t>A</t>
        </is>
      </c>
      <c r="G2089" s="31" t="inlineStr">
        <is>
          <t>LPT</t>
        </is>
      </c>
      <c r="H2089" s="27" t="n">
        <v>905</v>
      </c>
      <c r="I2089" s="27" t="n">
        <v>955</v>
      </c>
      <c r="J2089" s="154">
        <f>I2089/H2089-1</f>
        <v/>
      </c>
      <c r="K2089" s="31" t="inlineStr">
        <is>
          <t>22</t>
        </is>
      </c>
      <c r="L2089" s="31" t="inlineStr">
        <is>
          <t>23</t>
        </is>
      </c>
      <c r="M2089" s="31" t="inlineStr">
        <is>
          <t>S2</t>
        </is>
      </c>
      <c r="N2089" s="31" t="inlineStr">
        <is>
          <t>S4</t>
        </is>
      </c>
      <c r="O2089" s="31" t="inlineStr">
        <is>
          <t>336-026-806-0</t>
        </is>
      </c>
      <c r="P2089" s="31" t="inlineStr">
        <is>
          <t>SR Technics Switzerland</t>
        </is>
      </c>
    </row>
    <row r="2090">
      <c r="B2090" s="31" t="inlineStr">
        <is>
          <t>CFM56-5B</t>
        </is>
      </c>
      <c r="C2090" s="31" t="inlineStr">
        <is>
          <t>2025-2026</t>
        </is>
      </c>
      <c r="D2090" s="31" t="inlineStr">
        <is>
          <t>618701</t>
        </is>
      </c>
      <c r="E2090" s="31" t="inlineStr">
        <is>
          <t>72-56-02</t>
        </is>
      </c>
      <c r="F2090" s="31" t="inlineStr">
        <is>
          <t>C</t>
        </is>
      </c>
      <c r="G2090" s="31" t="inlineStr">
        <is>
          <t>LPT</t>
        </is>
      </c>
      <c r="H2090" s="27" t="n">
        <v>3240</v>
      </c>
      <c r="I2090" s="27" t="n">
        <v>3435</v>
      </c>
      <c r="J2090" s="154">
        <f>I2090/H2090-1</f>
        <v/>
      </c>
      <c r="K2090" s="31" t="inlineStr">
        <is>
          <t>22</t>
        </is>
      </c>
      <c r="L2090" s="31" t="inlineStr">
        <is>
          <t>23</t>
        </is>
      </c>
      <c r="M2090" s="31" t="inlineStr">
        <is>
          <t>S2</t>
        </is>
      </c>
      <c r="N2090" s="31" t="inlineStr">
        <is>
          <t>S4</t>
        </is>
      </c>
      <c r="O2090" s="31" t="inlineStr">
        <is>
          <t>336-026-806-0</t>
        </is>
      </c>
      <c r="P2090" s="31" t="inlineStr">
        <is>
          <t>SR Technics Switzerland</t>
        </is>
      </c>
    </row>
    <row r="2091">
      <c r="B2091" s="31" t="inlineStr">
        <is>
          <t>CFM56-5B</t>
        </is>
      </c>
      <c r="C2091" s="31" t="inlineStr">
        <is>
          <t>2025-2026</t>
        </is>
      </c>
      <c r="D2091" s="31" t="inlineStr">
        <is>
          <t>618701</t>
        </is>
      </c>
      <c r="E2091" s="31" t="inlineStr">
        <is>
          <t>72-56-02</t>
        </is>
      </c>
      <c r="F2091" s="31" t="inlineStr">
        <is>
          <t>G</t>
        </is>
      </c>
      <c r="G2091" s="31" t="inlineStr">
        <is>
          <t>LPT</t>
        </is>
      </c>
      <c r="H2091" s="27" t="n">
        <v>2865</v>
      </c>
      <c r="I2091" s="27" t="n">
        <v>3040</v>
      </c>
      <c r="J2091" s="154">
        <f>I2091/H2091-1</f>
        <v/>
      </c>
      <c r="K2091" s="31" t="inlineStr">
        <is>
          <t>22</t>
        </is>
      </c>
      <c r="L2091" s="31" t="inlineStr">
        <is>
          <t>23</t>
        </is>
      </c>
      <c r="M2091" s="31" t="inlineStr">
        <is>
          <t>S2</t>
        </is>
      </c>
      <c r="N2091" s="31" t="inlineStr">
        <is>
          <t>S4</t>
        </is>
      </c>
      <c r="O2091" s="31" t="inlineStr">
        <is>
          <t>336-026-806-0</t>
        </is>
      </c>
      <c r="P2091" s="31" t="inlineStr">
        <is>
          <t>SR Technics Switzerland</t>
        </is>
      </c>
    </row>
    <row r="2092">
      <c r="B2092" s="31" t="inlineStr">
        <is>
          <t>CFM56-5B</t>
        </is>
      </c>
      <c r="C2092" s="31" t="inlineStr">
        <is>
          <t>2025-2026</t>
        </is>
      </c>
      <c r="D2092" s="31" t="inlineStr">
        <is>
          <t>618701</t>
        </is>
      </c>
      <c r="E2092" s="31" t="inlineStr">
        <is>
          <t>72-56-02</t>
        </is>
      </c>
      <c r="F2092" s="31" t="inlineStr">
        <is>
          <t>J</t>
        </is>
      </c>
      <c r="G2092" s="31" t="inlineStr">
        <is>
          <t>LPT</t>
        </is>
      </c>
      <c r="H2092" s="27" t="n">
        <v>5060</v>
      </c>
      <c r="I2092" s="27" t="n">
        <v>5365</v>
      </c>
      <c r="J2092" s="154">
        <f>I2092/H2092-1</f>
        <v/>
      </c>
      <c r="K2092" s="31" t="inlineStr">
        <is>
          <t>22</t>
        </is>
      </c>
      <c r="L2092" s="31" t="inlineStr">
        <is>
          <t>23</t>
        </is>
      </c>
      <c r="M2092" s="31" t="inlineStr">
        <is>
          <t>S2</t>
        </is>
      </c>
      <c r="N2092" s="31" t="inlineStr">
        <is>
          <t>S4</t>
        </is>
      </c>
      <c r="O2092" s="31" t="inlineStr">
        <is>
          <t>336-026-806-0</t>
        </is>
      </c>
      <c r="P2092" s="31" t="inlineStr">
        <is>
          <t>SR Technics Switzerland</t>
        </is>
      </c>
    </row>
    <row r="2093">
      <c r="B2093" s="31" t="inlineStr">
        <is>
          <t>CFM56-5B</t>
        </is>
      </c>
      <c r="C2093" s="31" t="inlineStr">
        <is>
          <t>2025-2026</t>
        </is>
      </c>
      <c r="D2093" s="31" t="inlineStr">
        <is>
          <t>618701</t>
        </is>
      </c>
      <c r="E2093" s="31" t="inlineStr">
        <is>
          <t>72-56-02</t>
        </is>
      </c>
      <c r="F2093" s="31" t="inlineStr">
        <is>
          <t>M</t>
        </is>
      </c>
      <c r="G2093" s="31" t="inlineStr">
        <is>
          <t>LPT</t>
        </is>
      </c>
      <c r="H2093" s="27" t="n">
        <v>3760</v>
      </c>
      <c r="I2093" s="27" t="n">
        <v>3990</v>
      </c>
      <c r="J2093" s="154">
        <f>I2093/H2093-1</f>
        <v/>
      </c>
      <c r="K2093" s="31" t="inlineStr">
        <is>
          <t>22</t>
        </is>
      </c>
      <c r="L2093" s="31" t="inlineStr">
        <is>
          <t>23</t>
        </is>
      </c>
      <c r="M2093" s="31" t="inlineStr">
        <is>
          <t>S2</t>
        </is>
      </c>
      <c r="N2093" s="31" t="inlineStr">
        <is>
          <t>S4</t>
        </is>
      </c>
      <c r="O2093" s="31" t="inlineStr">
        <is>
          <t>336-026-806-0</t>
        </is>
      </c>
      <c r="P2093" s="31" t="inlineStr">
        <is>
          <t>SR Technics Switzerland</t>
        </is>
      </c>
    </row>
    <row r="2094">
      <c r="B2094" s="31" t="inlineStr">
        <is>
          <t>CFM56-5B</t>
        </is>
      </c>
      <c r="C2094" s="31" t="inlineStr">
        <is>
          <t>2025-2026</t>
        </is>
      </c>
      <c r="D2094" s="31" t="inlineStr">
        <is>
          <t>618701</t>
        </is>
      </c>
      <c r="E2094" s="31" t="inlineStr">
        <is>
          <t>72-56-02</t>
        </is>
      </c>
      <c r="F2094" s="31" t="inlineStr">
        <is>
          <t>N</t>
        </is>
      </c>
      <c r="G2094" s="31" t="inlineStr">
        <is>
          <t>LPT</t>
        </is>
      </c>
      <c r="H2094" s="27" t="n">
        <v>1955</v>
      </c>
      <c r="I2094" s="27" t="n">
        <v>2075</v>
      </c>
      <c r="J2094" s="154">
        <f>I2094/H2094-1</f>
        <v/>
      </c>
      <c r="K2094" s="31" t="inlineStr">
        <is>
          <t>22</t>
        </is>
      </c>
      <c r="L2094" s="31" t="inlineStr">
        <is>
          <t>23</t>
        </is>
      </c>
      <c r="M2094" s="31" t="inlineStr">
        <is>
          <t>S2</t>
        </is>
      </c>
      <c r="N2094" s="31" t="inlineStr">
        <is>
          <t>S4</t>
        </is>
      </c>
      <c r="O2094" s="31" t="inlineStr">
        <is>
          <t>336-026-806-0</t>
        </is>
      </c>
      <c r="P2094" s="31" t="inlineStr">
        <is>
          <t>SR Technics Switzerland</t>
        </is>
      </c>
    </row>
    <row r="2095">
      <c r="B2095" s="31" t="inlineStr">
        <is>
          <t>CFM56-5B</t>
        </is>
      </c>
      <c r="C2095" s="31" t="inlineStr">
        <is>
          <t>2025-2026</t>
        </is>
      </c>
      <c r="D2095" s="31" t="inlineStr">
        <is>
          <t>618701</t>
        </is>
      </c>
      <c r="E2095" s="31" t="inlineStr">
        <is>
          <t>72-56-02</t>
        </is>
      </c>
      <c r="F2095" s="31" t="inlineStr">
        <is>
          <t>SB00</t>
        </is>
      </c>
      <c r="G2095" s="31" t="inlineStr">
        <is>
          <t>LPT</t>
        </is>
      </c>
      <c r="H2095" s="27" t="n">
        <v>1180</v>
      </c>
      <c r="I2095" s="27" t="n">
        <v>1255</v>
      </c>
      <c r="J2095" s="154">
        <f>I2095/H2095-1</f>
        <v/>
      </c>
      <c r="K2095" s="31" t="inlineStr">
        <is>
          <t>22</t>
        </is>
      </c>
      <c r="L2095" s="31" t="inlineStr">
        <is>
          <t>23</t>
        </is>
      </c>
      <c r="M2095" s="31" t="inlineStr">
        <is>
          <t>S2</t>
        </is>
      </c>
      <c r="N2095" s="31" t="inlineStr">
        <is>
          <t>S4</t>
        </is>
      </c>
      <c r="O2095" s="31" t="inlineStr">
        <is>
          <t>336-026-806-0</t>
        </is>
      </c>
      <c r="P2095" s="31" t="inlineStr">
        <is>
          <t>SR Technics Switzerland</t>
        </is>
      </c>
    </row>
    <row r="2096">
      <c r="B2096" s="31" t="inlineStr">
        <is>
          <t>CFM56-5B</t>
        </is>
      </c>
      <c r="C2096" s="31" t="inlineStr">
        <is>
          <t>2025-2026</t>
        </is>
      </c>
      <c r="D2096" s="31" t="inlineStr">
        <is>
          <t>618701</t>
        </is>
      </c>
      <c r="E2096" s="31" t="inlineStr">
        <is>
          <t>72-56-02</t>
        </is>
      </c>
      <c r="F2096" s="31" t="inlineStr">
        <is>
          <t>SB03</t>
        </is>
      </c>
      <c r="G2096" s="31" t="inlineStr">
        <is>
          <t>LPT</t>
        </is>
      </c>
      <c r="H2096" s="27" t="n">
        <v>1350</v>
      </c>
      <c r="I2096" s="27" t="n">
        <v>1435</v>
      </c>
      <c r="J2096" s="154">
        <f>I2096/H2096-1</f>
        <v/>
      </c>
      <c r="K2096" s="31" t="inlineStr">
        <is>
          <t>22</t>
        </is>
      </c>
      <c r="L2096" s="31" t="inlineStr">
        <is>
          <t>23</t>
        </is>
      </c>
      <c r="M2096" s="31" t="inlineStr">
        <is>
          <t>S2</t>
        </is>
      </c>
      <c r="N2096" s="31" t="inlineStr">
        <is>
          <t>S4</t>
        </is>
      </c>
      <c r="O2096" s="31" t="inlineStr">
        <is>
          <t>336-026-806-0</t>
        </is>
      </c>
      <c r="P2096" s="31" t="inlineStr">
        <is>
          <t>SR Technics Switzerland</t>
        </is>
      </c>
    </row>
    <row r="2097">
      <c r="B2097" s="31" t="inlineStr">
        <is>
          <t>CFM56-5B</t>
        </is>
      </c>
      <c r="C2097" s="31" t="inlineStr">
        <is>
          <t>2025-2026</t>
        </is>
      </c>
      <c r="D2097" s="31" t="inlineStr">
        <is>
          <t>618701</t>
        </is>
      </c>
      <c r="E2097" s="31" t="inlineStr">
        <is>
          <t>72-56-02</t>
        </is>
      </c>
      <c r="F2097" s="31" t="inlineStr">
        <is>
          <t>U</t>
        </is>
      </c>
      <c r="G2097" s="31" t="inlineStr">
        <is>
          <t>LPT</t>
        </is>
      </c>
      <c r="H2097" s="27" t="n">
        <v>2540</v>
      </c>
      <c r="I2097" s="27" t="n">
        <v>2695</v>
      </c>
      <c r="J2097" s="154">
        <f>I2097/H2097-1</f>
        <v/>
      </c>
      <c r="K2097" s="31" t="inlineStr">
        <is>
          <t>22</t>
        </is>
      </c>
      <c r="L2097" s="31" t="inlineStr">
        <is>
          <t>23</t>
        </is>
      </c>
      <c r="M2097" s="31" t="inlineStr">
        <is>
          <t>S2</t>
        </is>
      </c>
      <c r="N2097" s="31" t="inlineStr">
        <is>
          <t>S4</t>
        </is>
      </c>
      <c r="O2097" s="31" t="inlineStr">
        <is>
          <t>336-026-806-0</t>
        </is>
      </c>
      <c r="P2097" s="31" t="inlineStr">
        <is>
          <t>SR Technics Switzerland</t>
        </is>
      </c>
    </row>
    <row r="2098">
      <c r="B2098" s="31" t="inlineStr">
        <is>
          <t>CFM56-5B</t>
        </is>
      </c>
      <c r="C2098" s="31" t="inlineStr">
        <is>
          <t>2025-2026</t>
        </is>
      </c>
      <c r="D2098" s="31" t="inlineStr">
        <is>
          <t>619936</t>
        </is>
      </c>
      <c r="E2098" s="31" t="inlineStr">
        <is>
          <t>72-56-07</t>
        </is>
      </c>
      <c r="F2098" s="31" t="inlineStr">
        <is>
          <t>B</t>
        </is>
      </c>
      <c r="G2098" s="31" t="inlineStr">
        <is>
          <t>LPT</t>
        </is>
      </c>
      <c r="H2098" s="27" t="n">
        <v>985</v>
      </c>
      <c r="I2098" s="27" t="n">
        <v>1045</v>
      </c>
      <c r="J2098" s="154">
        <f>I2098/H2098-1</f>
        <v/>
      </c>
      <c r="K2098" s="31" t="inlineStr">
        <is>
          <t>56</t>
        </is>
      </c>
      <c r="L2098" s="31" t="inlineStr">
        <is>
          <t>58</t>
        </is>
      </c>
      <c r="M2098" s="31" t="inlineStr">
        <is>
          <t>S2</t>
        </is>
      </c>
      <c r="N2098" s="31" t="inlineStr">
        <is>
          <t>S4</t>
        </is>
      </c>
      <c r="O2098" s="31" t="inlineStr">
        <is>
          <t>336-031-901-0</t>
        </is>
      </c>
      <c r="P2098" s="31" t="inlineStr">
        <is>
          <t>SR Technics Switzerland</t>
        </is>
      </c>
    </row>
    <row r="2099">
      <c r="B2099" s="31" t="inlineStr">
        <is>
          <t>CFM56-5B</t>
        </is>
      </c>
      <c r="C2099" s="31" t="inlineStr">
        <is>
          <t>2025-2026</t>
        </is>
      </c>
      <c r="D2099" s="31" t="inlineStr">
        <is>
          <t>619936</t>
        </is>
      </c>
      <c r="E2099" s="31" t="inlineStr">
        <is>
          <t>72-56-07</t>
        </is>
      </c>
      <c r="F2099" s="31" t="inlineStr">
        <is>
          <t>C</t>
        </is>
      </c>
      <c r="G2099" s="31" t="inlineStr">
        <is>
          <t>LPT</t>
        </is>
      </c>
      <c r="H2099" s="27" t="n">
        <v>3510</v>
      </c>
      <c r="I2099" s="27" t="n">
        <v>3725</v>
      </c>
      <c r="J2099" s="154">
        <f>I2099/H2099-1</f>
        <v/>
      </c>
      <c r="K2099" s="31" t="inlineStr">
        <is>
          <t>56</t>
        </is>
      </c>
      <c r="L2099" s="31" t="inlineStr">
        <is>
          <t>58</t>
        </is>
      </c>
      <c r="M2099" s="31" t="inlineStr">
        <is>
          <t>S2</t>
        </is>
      </c>
      <c r="N2099" s="31" t="inlineStr">
        <is>
          <t>S4</t>
        </is>
      </c>
      <c r="O2099" s="31" t="inlineStr">
        <is>
          <t>336-031-901-0</t>
        </is>
      </c>
      <c r="P2099" s="31" t="inlineStr">
        <is>
          <t>SR Technics Switzerland</t>
        </is>
      </c>
    </row>
    <row r="2100">
      <c r="B2100" s="31" t="inlineStr">
        <is>
          <t>CFM56-5B</t>
        </is>
      </c>
      <c r="C2100" s="31" t="inlineStr">
        <is>
          <t>2025-2026</t>
        </is>
      </c>
      <c r="D2100" s="31" t="inlineStr">
        <is>
          <t>619936</t>
        </is>
      </c>
      <c r="E2100" s="31" t="inlineStr">
        <is>
          <t>72-56-07</t>
        </is>
      </c>
      <c r="F2100" s="31" t="inlineStr">
        <is>
          <t>D</t>
        </is>
      </c>
      <c r="G2100" s="31" t="inlineStr">
        <is>
          <t>LPT</t>
        </is>
      </c>
      <c r="H2100" s="27" t="n">
        <v>730</v>
      </c>
      <c r="I2100" s="27" t="n">
        <v>775</v>
      </c>
      <c r="J2100" s="154">
        <f>I2100/H2100-1</f>
        <v/>
      </c>
      <c r="K2100" s="31" t="inlineStr">
        <is>
          <t>56</t>
        </is>
      </c>
      <c r="L2100" s="31" t="inlineStr">
        <is>
          <t>58</t>
        </is>
      </c>
      <c r="M2100" s="31" t="inlineStr">
        <is>
          <t>S2</t>
        </is>
      </c>
      <c r="N2100" s="31" t="inlineStr">
        <is>
          <t>S4</t>
        </is>
      </c>
      <c r="O2100" s="31" t="inlineStr">
        <is>
          <t>336-031-901-0</t>
        </is>
      </c>
      <c r="P2100" s="31" t="inlineStr">
        <is>
          <t>SR Technics Switzerland</t>
        </is>
      </c>
    </row>
    <row r="2101">
      <c r="B2101" s="31" t="inlineStr">
        <is>
          <t>CFM56-5B</t>
        </is>
      </c>
      <c r="C2101" s="31" t="inlineStr">
        <is>
          <t>2025-2026</t>
        </is>
      </c>
      <c r="D2101" s="31" t="inlineStr">
        <is>
          <t>619936</t>
        </is>
      </c>
      <c r="E2101" s="31" t="inlineStr">
        <is>
          <t>72-56-07</t>
        </is>
      </c>
      <c r="F2101" s="31" t="inlineStr">
        <is>
          <t>E</t>
        </is>
      </c>
      <c r="G2101" s="31" t="inlineStr">
        <is>
          <t>LPT</t>
        </is>
      </c>
      <c r="H2101" s="27" t="n">
        <v>470</v>
      </c>
      <c r="I2101" s="27" t="n">
        <v>500</v>
      </c>
      <c r="J2101" s="154">
        <f>I2101/H2101-1</f>
        <v/>
      </c>
      <c r="K2101" s="31" t="inlineStr">
        <is>
          <t>56</t>
        </is>
      </c>
      <c r="L2101" s="31" t="inlineStr">
        <is>
          <t>58</t>
        </is>
      </c>
      <c r="M2101" s="31" t="inlineStr">
        <is>
          <t>S2</t>
        </is>
      </c>
      <c r="N2101" s="31" t="inlineStr">
        <is>
          <t>S4</t>
        </is>
      </c>
      <c r="O2101" s="31" t="inlineStr">
        <is>
          <t>336-031-901-0</t>
        </is>
      </c>
      <c r="P2101" s="31" t="inlineStr">
        <is>
          <t>SR Technics Switzerland</t>
        </is>
      </c>
    </row>
    <row r="2102">
      <c r="B2102" s="31" t="inlineStr">
        <is>
          <t>CFM56-5B</t>
        </is>
      </c>
      <c r="C2102" s="31" t="inlineStr">
        <is>
          <t>2025-2026</t>
        </is>
      </c>
      <c r="D2102" s="31" t="inlineStr">
        <is>
          <t>619936</t>
        </is>
      </c>
      <c r="E2102" s="31" t="inlineStr">
        <is>
          <t>72-56-07</t>
        </is>
      </c>
      <c r="F2102" s="31" t="inlineStr">
        <is>
          <t>F</t>
        </is>
      </c>
      <c r="G2102" s="31" t="inlineStr">
        <is>
          <t>LPT</t>
        </is>
      </c>
      <c r="H2102" s="27" t="n">
        <v>510</v>
      </c>
      <c r="I2102" s="27" t="n">
        <v>545</v>
      </c>
      <c r="J2102" s="154">
        <f>I2102/H2102-1</f>
        <v/>
      </c>
      <c r="K2102" s="31" t="inlineStr">
        <is>
          <t>56</t>
        </is>
      </c>
      <c r="L2102" s="31" t="inlineStr">
        <is>
          <t>58</t>
        </is>
      </c>
      <c r="M2102" s="31" t="inlineStr">
        <is>
          <t>S2</t>
        </is>
      </c>
      <c r="N2102" s="31" t="inlineStr">
        <is>
          <t>S4</t>
        </is>
      </c>
      <c r="O2102" s="31" t="inlineStr">
        <is>
          <t>336-031-901-0</t>
        </is>
      </c>
      <c r="P2102" s="31" t="inlineStr">
        <is>
          <t>SR Technics Switzerland</t>
        </is>
      </c>
    </row>
    <row r="2103">
      <c r="B2103" s="31" t="inlineStr">
        <is>
          <t>CFM56-5B</t>
        </is>
      </c>
      <c r="C2103" s="31" t="inlineStr">
        <is>
          <t>2025-2026</t>
        </is>
      </c>
      <c r="D2103" s="31" t="inlineStr">
        <is>
          <t>62366</t>
        </is>
      </c>
      <c r="E2103" s="31" t="inlineStr">
        <is>
          <t>73-11-13</t>
        </is>
      </c>
      <c r="F2103" s="31" t="inlineStr">
        <is>
          <t>A</t>
        </is>
      </c>
      <c r="G2103" s="31" t="inlineStr">
        <is>
          <t>Fuel system</t>
        </is>
      </c>
      <c r="H2103" s="27" t="n">
        <v>415</v>
      </c>
      <c r="I2103" s="27" t="n">
        <v>440</v>
      </c>
      <c r="J2103" s="154">
        <f>I2103/H2103-1</f>
        <v/>
      </c>
      <c r="K2103" s="31" t="inlineStr">
        <is>
          <t>8</t>
        </is>
      </c>
      <c r="L2103" s="31" t="inlineStr">
        <is>
          <t>7</t>
        </is>
      </c>
      <c r="M2103" s="31" t="inlineStr">
        <is>
          <t>S2</t>
        </is>
      </c>
      <c r="N2103" s="31" t="inlineStr">
        <is>
          <t>S4</t>
        </is>
      </c>
      <c r="O2103" s="31" t="inlineStr">
        <is>
          <t>301-785-501-0</t>
        </is>
      </c>
      <c r="P2103" s="31" t="inlineStr">
        <is>
          <t>SR Technics Switzerland</t>
        </is>
      </c>
    </row>
    <row r="2104">
      <c r="B2104" s="31" t="inlineStr">
        <is>
          <t>CFM56-5B</t>
        </is>
      </c>
      <c r="C2104" s="31" t="inlineStr">
        <is>
          <t>2025-2026</t>
        </is>
      </c>
      <c r="D2104" s="31" t="inlineStr">
        <is>
          <t>62366</t>
        </is>
      </c>
      <c r="E2104" s="31" t="inlineStr">
        <is>
          <t>73-11-13</t>
        </is>
      </c>
      <c r="F2104" s="31" t="inlineStr">
        <is>
          <t>B</t>
        </is>
      </c>
      <c r="G2104" s="31" t="inlineStr">
        <is>
          <t>Fuel system</t>
        </is>
      </c>
      <c r="H2104" s="27" t="n">
        <v>2220</v>
      </c>
      <c r="I2104" s="27" t="n">
        <v>2355</v>
      </c>
      <c r="J2104" s="154">
        <f>I2104/H2104-1</f>
        <v/>
      </c>
      <c r="K2104" s="31" t="inlineStr">
        <is>
          <t>8</t>
        </is>
      </c>
      <c r="L2104" s="31" t="inlineStr">
        <is>
          <t>7</t>
        </is>
      </c>
      <c r="M2104" s="31" t="inlineStr">
        <is>
          <t>S2</t>
        </is>
      </c>
      <c r="N2104" s="31" t="inlineStr">
        <is>
          <t>S4</t>
        </is>
      </c>
      <c r="O2104" s="31" t="inlineStr">
        <is>
          <t>301-785-501-0</t>
        </is>
      </c>
      <c r="P2104" s="31" t="inlineStr">
        <is>
          <t>SR Technics Switzerland</t>
        </is>
      </c>
    </row>
    <row r="2105">
      <c r="B2105" s="31" t="inlineStr">
        <is>
          <t>CFM56-5B</t>
        </is>
      </c>
      <c r="C2105" s="31" t="inlineStr">
        <is>
          <t>2025-2026</t>
        </is>
      </c>
      <c r="D2105" s="31" t="inlineStr">
        <is>
          <t>62366</t>
        </is>
      </c>
      <c r="E2105" s="31" t="inlineStr">
        <is>
          <t>73-11-13</t>
        </is>
      </c>
      <c r="F2105" s="31" t="inlineStr">
        <is>
          <t>E</t>
        </is>
      </c>
      <c r="G2105" s="31" t="inlineStr">
        <is>
          <t>Fuel system</t>
        </is>
      </c>
      <c r="H2105" s="27" t="n">
        <v>5145</v>
      </c>
      <c r="I2105" s="27" t="n">
        <v>5455</v>
      </c>
      <c r="J2105" s="154">
        <f>I2105/H2105-1</f>
        <v/>
      </c>
      <c r="K2105" s="31" t="inlineStr">
        <is>
          <t>8</t>
        </is>
      </c>
      <c r="L2105" s="31" t="inlineStr">
        <is>
          <t>7</t>
        </is>
      </c>
      <c r="M2105" s="31" t="inlineStr">
        <is>
          <t>S2</t>
        </is>
      </c>
      <c r="N2105" s="31" t="inlineStr">
        <is>
          <t>S4</t>
        </is>
      </c>
      <c r="O2105" s="31" t="inlineStr">
        <is>
          <t>301-785-501-0</t>
        </is>
      </c>
      <c r="P2105" s="31" t="inlineStr">
        <is>
          <t>SR Technics Switzerland</t>
        </is>
      </c>
    </row>
    <row r="2106">
      <c r="B2106" s="31" t="inlineStr">
        <is>
          <t>CFM56-5B</t>
        </is>
      </c>
      <c r="C2106" s="31" t="inlineStr">
        <is>
          <t>2025-2026</t>
        </is>
      </c>
      <c r="D2106" s="31" t="inlineStr">
        <is>
          <t>62366</t>
        </is>
      </c>
      <c r="E2106" s="31" t="inlineStr">
        <is>
          <t>73-11-13</t>
        </is>
      </c>
      <c r="F2106" s="31" t="inlineStr">
        <is>
          <t>G</t>
        </is>
      </c>
      <c r="G2106" s="31" t="inlineStr">
        <is>
          <t>Fuel system</t>
        </is>
      </c>
      <c r="H2106" s="27" t="n">
        <v>9525</v>
      </c>
      <c r="I2106" s="27" t="n">
        <v>10100</v>
      </c>
      <c r="J2106" s="154">
        <f>I2106/H2106-1</f>
        <v/>
      </c>
      <c r="K2106" s="31" t="inlineStr">
        <is>
          <t>8</t>
        </is>
      </c>
      <c r="L2106" s="31" t="inlineStr">
        <is>
          <t>8</t>
        </is>
      </c>
      <c r="M2106" s="31" t="inlineStr">
        <is>
          <t>S2</t>
        </is>
      </c>
      <c r="N2106" s="31" t="inlineStr">
        <is>
          <t>S4</t>
        </is>
      </c>
      <c r="O2106" s="31" t="inlineStr">
        <is>
          <t>301-785-501-0</t>
        </is>
      </c>
      <c r="P2106" s="31" t="inlineStr">
        <is>
          <t>SR Technics Switzerland</t>
        </is>
      </c>
    </row>
    <row r="2107">
      <c r="B2107" s="31" t="inlineStr">
        <is>
          <t>CFM56-5B</t>
        </is>
      </c>
      <c r="C2107" s="31" t="inlineStr">
        <is>
          <t>2025-2026</t>
        </is>
      </c>
      <c r="D2107" s="31" t="inlineStr">
        <is>
          <t>62366</t>
        </is>
      </c>
      <c r="E2107" s="31" t="inlineStr">
        <is>
          <t>73-11-13</t>
        </is>
      </c>
      <c r="F2107" s="31" t="inlineStr">
        <is>
          <t>SB01</t>
        </is>
      </c>
      <c r="G2107" s="31" t="inlineStr">
        <is>
          <t>Fuel system</t>
        </is>
      </c>
      <c r="H2107" s="27" t="n">
        <v>470</v>
      </c>
      <c r="I2107" s="27" t="n">
        <v>500</v>
      </c>
      <c r="J2107" s="154">
        <f>I2107/H2107-1</f>
        <v/>
      </c>
      <c r="K2107" s="31" t="inlineStr">
        <is>
          <t>8</t>
        </is>
      </c>
      <c r="L2107" s="31" t="inlineStr">
        <is>
          <t>8</t>
        </is>
      </c>
      <c r="M2107" s="31" t="inlineStr">
        <is>
          <t>S2</t>
        </is>
      </c>
      <c r="N2107" s="31" t="inlineStr">
        <is>
          <t>S4</t>
        </is>
      </c>
      <c r="O2107" s="31" t="inlineStr">
        <is>
          <t>301-785-501-0</t>
        </is>
      </c>
      <c r="P2107" s="31" t="inlineStr">
        <is>
          <t>SR Technics Switzerland</t>
        </is>
      </c>
    </row>
    <row r="2108">
      <c r="B2108" s="31" t="inlineStr">
        <is>
          <t>CFM56-5B</t>
        </is>
      </c>
      <c r="C2108" s="31" t="inlineStr">
        <is>
          <t>2025-2026</t>
        </is>
      </c>
      <c r="D2108" s="31" t="inlineStr">
        <is>
          <t>62366</t>
        </is>
      </c>
      <c r="E2108" s="31" t="inlineStr">
        <is>
          <t>73-11-13</t>
        </is>
      </c>
      <c r="F2108" s="31" t="inlineStr">
        <is>
          <t>SB02</t>
        </is>
      </c>
      <c r="G2108" s="31" t="inlineStr">
        <is>
          <t>Fuel system</t>
        </is>
      </c>
      <c r="H2108" s="27" t="n">
        <v>4665</v>
      </c>
      <c r="I2108" s="27" t="n">
        <v>4945</v>
      </c>
      <c r="J2108" s="154">
        <f>I2108/H2108-1</f>
        <v/>
      </c>
      <c r="K2108" s="31" t="inlineStr">
        <is>
          <t>8</t>
        </is>
      </c>
      <c r="L2108" s="31" t="inlineStr">
        <is>
          <t>8</t>
        </is>
      </c>
      <c r="M2108" s="31" t="inlineStr">
        <is>
          <t>S2</t>
        </is>
      </c>
      <c r="N2108" s="31" t="inlineStr">
        <is>
          <t>S4</t>
        </is>
      </c>
      <c r="O2108" s="31" t="inlineStr">
        <is>
          <t>301-785-501-0</t>
        </is>
      </c>
      <c r="P2108" s="31" t="inlineStr">
        <is>
          <t>SR Technics Switzerland</t>
        </is>
      </c>
    </row>
    <row r="2109">
      <c r="B2109" s="31" t="inlineStr">
        <is>
          <t>CFM56-5B</t>
        </is>
      </c>
      <c r="C2109" s="31" t="inlineStr">
        <is>
          <t>2025-2026</t>
        </is>
      </c>
      <c r="D2109" s="31" t="inlineStr">
        <is>
          <t>62366</t>
        </is>
      </c>
      <c r="E2109" s="31" t="inlineStr">
        <is>
          <t>73-11-13</t>
        </is>
      </c>
      <c r="F2109" s="31" t="inlineStr">
        <is>
          <t>SB04</t>
        </is>
      </c>
      <c r="G2109" s="31" t="inlineStr">
        <is>
          <t>Fuel system</t>
        </is>
      </c>
      <c r="H2109" s="27" t="n">
        <v>470</v>
      </c>
      <c r="I2109" s="27" t="n">
        <v>500</v>
      </c>
      <c r="J2109" s="154">
        <f>I2109/H2109-1</f>
        <v/>
      </c>
      <c r="K2109" s="31" t="inlineStr">
        <is>
          <t>8</t>
        </is>
      </c>
      <c r="L2109" s="31" t="inlineStr">
        <is>
          <t>8</t>
        </is>
      </c>
      <c r="M2109" s="31" t="inlineStr">
        <is>
          <t>S2</t>
        </is>
      </c>
      <c r="N2109" s="31" t="inlineStr">
        <is>
          <t>S4</t>
        </is>
      </c>
      <c r="O2109" s="31" t="inlineStr">
        <is>
          <t>301-785-501-0</t>
        </is>
      </c>
      <c r="P2109" s="31" t="inlineStr">
        <is>
          <t>SR Technics Switzerland</t>
        </is>
      </c>
    </row>
    <row r="2110">
      <c r="B2110" s="31" t="inlineStr">
        <is>
          <t>CFM56-5B</t>
        </is>
      </c>
      <c r="C2110" s="31" t="inlineStr">
        <is>
          <t>2025-2026</t>
        </is>
      </c>
      <c r="D2110" s="31" t="inlineStr">
        <is>
          <t>62366</t>
        </is>
      </c>
      <c r="E2110" s="31" t="inlineStr">
        <is>
          <t>73-11-13</t>
        </is>
      </c>
      <c r="F2110" s="31" t="inlineStr">
        <is>
          <t>SB06</t>
        </is>
      </c>
      <c r="G2110" s="31" t="inlineStr">
        <is>
          <t>Fuel system</t>
        </is>
      </c>
      <c r="H2110" s="27" t="n">
        <v>4665</v>
      </c>
      <c r="I2110" s="27" t="n">
        <v>4945</v>
      </c>
      <c r="J2110" s="154">
        <f>I2110/H2110-1</f>
        <v/>
      </c>
      <c r="K2110" s="31" t="inlineStr">
        <is>
          <t>8</t>
        </is>
      </c>
      <c r="L2110" s="31" t="inlineStr">
        <is>
          <t>8</t>
        </is>
      </c>
      <c r="M2110" s="31" t="inlineStr">
        <is>
          <t>S2</t>
        </is>
      </c>
      <c r="N2110" s="31" t="inlineStr">
        <is>
          <t>S4</t>
        </is>
      </c>
      <c r="O2110" s="31" t="inlineStr">
        <is>
          <t>301-785-501-0</t>
        </is>
      </c>
      <c r="P2110" s="31" t="inlineStr">
        <is>
          <t>SR Technics Switzerland</t>
        </is>
      </c>
    </row>
    <row r="2111">
      <c r="B2111" s="31" t="inlineStr">
        <is>
          <t>CFM56-5B</t>
        </is>
      </c>
      <c r="C2111" s="31" t="inlineStr">
        <is>
          <t>2025-2026</t>
        </is>
      </c>
      <c r="D2111" s="31" t="inlineStr">
        <is>
          <t>62366</t>
        </is>
      </c>
      <c r="E2111" s="31" t="inlineStr">
        <is>
          <t>73-11-13</t>
        </is>
      </c>
      <c r="F2111" s="31" t="inlineStr">
        <is>
          <t>SB07</t>
        </is>
      </c>
      <c r="G2111" s="31" t="inlineStr">
        <is>
          <t>Fuel system</t>
        </is>
      </c>
      <c r="H2111" s="27" t="n">
        <v>4665</v>
      </c>
      <c r="I2111" s="27" t="n">
        <v>4945</v>
      </c>
      <c r="J2111" s="154">
        <f>I2111/H2111-1</f>
        <v/>
      </c>
      <c r="K2111" s="31" t="inlineStr">
        <is>
          <t>8</t>
        </is>
      </c>
      <c r="L2111" s="31" t="inlineStr">
        <is>
          <t>8</t>
        </is>
      </c>
      <c r="M2111" s="31" t="inlineStr">
        <is>
          <t>S2</t>
        </is>
      </c>
      <c r="N2111" s="31" t="inlineStr">
        <is>
          <t>S4</t>
        </is>
      </c>
      <c r="O2111" s="31" t="inlineStr">
        <is>
          <t>301-785-501-0</t>
        </is>
      </c>
      <c r="P2111" s="31" t="inlineStr">
        <is>
          <t>SR Technics Switzerland</t>
        </is>
      </c>
    </row>
    <row r="2112">
      <c r="B2112" s="31" t="inlineStr">
        <is>
          <t>CFM56-5B</t>
        </is>
      </c>
      <c r="C2112" s="31" t="inlineStr">
        <is>
          <t>2025-2026</t>
        </is>
      </c>
      <c r="D2112" s="31" t="inlineStr">
        <is>
          <t>62366</t>
        </is>
      </c>
      <c r="E2112" s="31" t="inlineStr">
        <is>
          <t>73-11-13</t>
        </is>
      </c>
      <c r="F2112" s="31" t="inlineStr">
        <is>
          <t>SB09</t>
        </is>
      </c>
      <c r="G2112" s="31" t="inlineStr">
        <is>
          <t>Fuel system</t>
        </is>
      </c>
      <c r="H2112" s="27" t="n">
        <v>4150</v>
      </c>
      <c r="I2112" s="27" t="n">
        <v>4400</v>
      </c>
      <c r="J2112" s="154">
        <f>I2112/H2112-1</f>
        <v/>
      </c>
      <c r="K2112" s="31" t="inlineStr">
        <is>
          <t>8</t>
        </is>
      </c>
      <c r="L2112" s="31" t="inlineStr">
        <is>
          <t>8</t>
        </is>
      </c>
      <c r="M2112" s="31" t="inlineStr">
        <is>
          <t>S2</t>
        </is>
      </c>
      <c r="N2112" s="31" t="inlineStr">
        <is>
          <t>S4</t>
        </is>
      </c>
      <c r="O2112" s="31" t="inlineStr">
        <is>
          <t>301-785-501-0</t>
        </is>
      </c>
      <c r="P2112" s="31" t="inlineStr">
        <is>
          <t>SR Technics Switzerland</t>
        </is>
      </c>
    </row>
    <row r="2113">
      <c r="B2113" s="31" t="inlineStr">
        <is>
          <t>CFM56-5B</t>
        </is>
      </c>
      <c r="C2113" s="31" t="inlineStr">
        <is>
          <t>2025-2026</t>
        </is>
      </c>
      <c r="D2113" s="31" t="inlineStr">
        <is>
          <t>62366</t>
        </is>
      </c>
      <c r="E2113" s="31" t="inlineStr">
        <is>
          <t>73-11-13</t>
        </is>
      </c>
      <c r="F2113" s="31" t="inlineStr">
        <is>
          <t>SB10</t>
        </is>
      </c>
      <c r="G2113" s="31" t="inlineStr">
        <is>
          <t>Fuel system</t>
        </is>
      </c>
      <c r="H2113" s="27" t="n">
        <v>4150</v>
      </c>
      <c r="I2113" s="27" t="n">
        <v>4400</v>
      </c>
      <c r="J2113" s="154">
        <f>I2113/H2113-1</f>
        <v/>
      </c>
      <c r="K2113" s="31" t="inlineStr">
        <is>
          <t>8</t>
        </is>
      </c>
      <c r="L2113" s="31" t="inlineStr">
        <is>
          <t>8</t>
        </is>
      </c>
      <c r="M2113" s="31" t="inlineStr">
        <is>
          <t>S2</t>
        </is>
      </c>
      <c r="N2113" s="31" t="inlineStr">
        <is>
          <t>S4</t>
        </is>
      </c>
      <c r="O2113" s="31" t="inlineStr">
        <is>
          <t>301-785-501-0</t>
        </is>
      </c>
      <c r="P2113" s="31" t="inlineStr">
        <is>
          <t>SR Technics Switzerland</t>
        </is>
      </c>
    </row>
    <row r="2114">
      <c r="B2114" s="31" t="inlineStr">
        <is>
          <t>CFM56-5B</t>
        </is>
      </c>
      <c r="C2114" s="31" t="inlineStr">
        <is>
          <t>2025-2026</t>
        </is>
      </c>
      <c r="D2114" s="31" t="inlineStr">
        <is>
          <t>62366</t>
        </is>
      </c>
      <c r="E2114" s="31" t="inlineStr">
        <is>
          <t>73-11-13</t>
        </is>
      </c>
      <c r="F2114" s="31" t="inlineStr">
        <is>
          <t>SB11</t>
        </is>
      </c>
      <c r="G2114" s="31" t="inlineStr">
        <is>
          <t>Fuel system</t>
        </is>
      </c>
      <c r="H2114" s="27" t="n">
        <v>4150</v>
      </c>
      <c r="I2114" s="27" t="n">
        <v>4400</v>
      </c>
      <c r="J2114" s="154">
        <f>I2114/H2114-1</f>
        <v/>
      </c>
      <c r="K2114" s="31" t="inlineStr">
        <is>
          <t>8</t>
        </is>
      </c>
      <c r="L2114" s="31" t="inlineStr">
        <is>
          <t>8</t>
        </is>
      </c>
      <c r="M2114" s="31" t="inlineStr">
        <is>
          <t>S2</t>
        </is>
      </c>
      <c r="N2114" s="31" t="inlineStr">
        <is>
          <t>S4</t>
        </is>
      </c>
      <c r="O2114" s="31" t="inlineStr">
        <is>
          <t>301-785-501-0</t>
        </is>
      </c>
      <c r="P2114" s="31" t="inlineStr">
        <is>
          <t>SR Technics Switzerland</t>
        </is>
      </c>
    </row>
    <row r="2115">
      <c r="B2115" s="31" t="inlineStr">
        <is>
          <t>CFM56-5B</t>
        </is>
      </c>
      <c r="C2115" s="31" t="inlineStr">
        <is>
          <t>2025-2026</t>
        </is>
      </c>
      <c r="D2115" s="31" t="inlineStr">
        <is>
          <t>62366</t>
        </is>
      </c>
      <c r="E2115" s="31" t="inlineStr">
        <is>
          <t>73-11-13</t>
        </is>
      </c>
      <c r="F2115" s="31" t="inlineStr">
        <is>
          <t>SB12</t>
        </is>
      </c>
      <c r="G2115" s="31" t="inlineStr">
        <is>
          <t>Fuel system</t>
        </is>
      </c>
      <c r="H2115" s="27" t="n">
        <v>470</v>
      </c>
      <c r="I2115" s="27" t="n">
        <v>500</v>
      </c>
      <c r="J2115" s="154">
        <f>I2115/H2115-1</f>
        <v/>
      </c>
      <c r="K2115" s="31" t="inlineStr">
        <is>
          <t>8</t>
        </is>
      </c>
      <c r="L2115" s="31" t="inlineStr">
        <is>
          <t>8</t>
        </is>
      </c>
      <c r="M2115" s="31" t="inlineStr">
        <is>
          <t>S2</t>
        </is>
      </c>
      <c r="N2115" s="31" t="inlineStr">
        <is>
          <t>S4</t>
        </is>
      </c>
      <c r="O2115" s="31" t="inlineStr">
        <is>
          <t>301-785-501-0</t>
        </is>
      </c>
      <c r="P2115" s="31" t="inlineStr">
        <is>
          <t>SR Technics Switzerland</t>
        </is>
      </c>
    </row>
    <row r="2116">
      <c r="B2116" s="31" t="inlineStr">
        <is>
          <t>CFM56-5B</t>
        </is>
      </c>
      <c r="C2116" s="31" t="inlineStr">
        <is>
          <t>2025-2026</t>
        </is>
      </c>
      <c r="D2116" s="31" t="inlineStr">
        <is>
          <t>62366</t>
        </is>
      </c>
      <c r="E2116" s="31" t="inlineStr">
        <is>
          <t>73-11-13</t>
        </is>
      </c>
      <c r="F2116" s="31" t="inlineStr">
        <is>
          <t>SB13</t>
        </is>
      </c>
      <c r="G2116" s="31" t="inlineStr">
        <is>
          <t>Fuel system</t>
        </is>
      </c>
      <c r="H2116" s="27" t="n">
        <v>470</v>
      </c>
      <c r="I2116" s="27" t="n">
        <v>500</v>
      </c>
      <c r="J2116" s="154">
        <f>I2116/H2116-1</f>
        <v/>
      </c>
      <c r="K2116" s="31" t="inlineStr">
        <is>
          <t>8</t>
        </is>
      </c>
      <c r="L2116" s="31" t="inlineStr">
        <is>
          <t>8</t>
        </is>
      </c>
      <c r="M2116" s="31" t="inlineStr">
        <is>
          <t>S2</t>
        </is>
      </c>
      <c r="N2116" s="31" t="inlineStr">
        <is>
          <t>S4</t>
        </is>
      </c>
      <c r="O2116" s="31" t="inlineStr">
        <is>
          <t>301-785-501-0</t>
        </is>
      </c>
      <c r="P2116" s="31" t="inlineStr">
        <is>
          <t>SR Technics Switzerland</t>
        </is>
      </c>
    </row>
    <row r="2117">
      <c r="B2117" s="31" t="inlineStr">
        <is>
          <t>CFM56-5B</t>
        </is>
      </c>
      <c r="C2117" s="31" t="inlineStr">
        <is>
          <t>2025-2026</t>
        </is>
      </c>
      <c r="D2117" s="31" t="inlineStr">
        <is>
          <t>624071</t>
        </is>
      </c>
      <c r="E2117" s="31" t="inlineStr">
        <is>
          <t>72-23-14</t>
        </is>
      </c>
      <c r="F2117" s="31" t="inlineStr">
        <is>
          <t>K</t>
        </is>
      </c>
      <c r="G2117" s="31" t="inlineStr">
        <is>
          <t>Fan / booster</t>
        </is>
      </c>
      <c r="H2117" s="27" t="n">
        <v>960</v>
      </c>
      <c r="I2117" s="27" t="n">
        <v>1020</v>
      </c>
      <c r="J2117" s="154">
        <f>I2117/H2117-1</f>
        <v/>
      </c>
      <c r="K2117" s="31" t="inlineStr">
        <is>
          <t>56</t>
        </is>
      </c>
      <c r="L2117" s="31" t="inlineStr">
        <is>
          <t>58</t>
        </is>
      </c>
      <c r="M2117" s="31" t="inlineStr">
        <is>
          <t>S2</t>
        </is>
      </c>
      <c r="N2117" s="31" t="inlineStr">
        <is>
          <t>S4</t>
        </is>
      </c>
      <c r="O2117" s="31" t="inlineStr">
        <is>
          <t>301-360-006-0</t>
        </is>
      </c>
      <c r="P2117" s="31" t="inlineStr">
        <is>
          <t>SR Technics Switzerland</t>
        </is>
      </c>
    </row>
    <row r="2118">
      <c r="B2118" s="31" t="inlineStr">
        <is>
          <t>CFM56-5B</t>
        </is>
      </c>
      <c r="C2118" s="31" t="inlineStr">
        <is>
          <t>2025-2026</t>
        </is>
      </c>
      <c r="D2118" s="31" t="inlineStr">
        <is>
          <t>629938</t>
        </is>
      </c>
      <c r="E2118" s="31" t="inlineStr">
        <is>
          <t>72-32-14</t>
        </is>
      </c>
      <c r="F2118" s="31" t="inlineStr">
        <is>
          <t>A</t>
        </is>
      </c>
      <c r="G2118" s="31" t="inlineStr">
        <is>
          <t>Compressor</t>
        </is>
      </c>
      <c r="H2118" s="27" t="n">
        <v>165</v>
      </c>
      <c r="I2118" s="27" t="n">
        <v>175</v>
      </c>
      <c r="J2118" s="154">
        <f>I2118/H2118-1</f>
        <v/>
      </c>
      <c r="K2118" s="31" t="inlineStr">
        <is>
          <t>57</t>
        </is>
      </c>
      <c r="L2118" s="31" t="inlineStr">
        <is>
          <t>59</t>
        </is>
      </c>
      <c r="M2118" s="31" t="inlineStr">
        <is>
          <t>S2</t>
        </is>
      </c>
      <c r="N2118" s="31" t="inlineStr">
        <is>
          <t>S4</t>
        </is>
      </c>
      <c r="O2118" s="31" t="inlineStr">
        <is>
          <t>1318M40G02</t>
        </is>
      </c>
      <c r="P2118" s="31" t="inlineStr">
        <is>
          <t>SR Technics Switzerland</t>
        </is>
      </c>
    </row>
    <row r="2119">
      <c r="B2119" s="31" t="inlineStr">
        <is>
          <t>CFM56-5B</t>
        </is>
      </c>
      <c r="C2119" s="31" t="inlineStr">
        <is>
          <t>2025-2026</t>
        </is>
      </c>
      <c r="D2119" s="31" t="inlineStr">
        <is>
          <t>629938</t>
        </is>
      </c>
      <c r="E2119" s="31" t="inlineStr">
        <is>
          <t>72-32-14</t>
        </is>
      </c>
      <c r="F2119" s="31" t="inlineStr">
        <is>
          <t>C</t>
        </is>
      </c>
      <c r="G2119" s="31" t="inlineStr">
        <is>
          <t>Compressor</t>
        </is>
      </c>
      <c r="H2119" s="27" t="n">
        <v>560</v>
      </c>
      <c r="I2119" s="27" t="n">
        <v>595</v>
      </c>
      <c r="J2119" s="154">
        <f>I2119/H2119-1</f>
        <v/>
      </c>
      <c r="K2119" s="31" t="inlineStr">
        <is>
          <t>57</t>
        </is>
      </c>
      <c r="L2119" s="31" t="inlineStr">
        <is>
          <t>59</t>
        </is>
      </c>
      <c r="M2119" s="31" t="inlineStr">
        <is>
          <t>S2</t>
        </is>
      </c>
      <c r="N2119" s="31" t="inlineStr">
        <is>
          <t>S4</t>
        </is>
      </c>
      <c r="O2119" s="31" t="inlineStr">
        <is>
          <t>1318M40G02</t>
        </is>
      </c>
      <c r="P2119" s="31" t="inlineStr">
        <is>
          <t>SR Technics Switzerland</t>
        </is>
      </c>
    </row>
    <row r="2120">
      <c r="B2120" s="31" t="inlineStr">
        <is>
          <t>CFM56-5B</t>
        </is>
      </c>
      <c r="C2120" s="31" t="inlineStr">
        <is>
          <t>2025-2026</t>
        </is>
      </c>
      <c r="D2120" s="31" t="inlineStr">
        <is>
          <t>630864</t>
        </is>
      </c>
      <c r="E2120" s="31" t="inlineStr">
        <is>
          <t>72-42-02</t>
        </is>
      </c>
      <c r="F2120" s="31" t="inlineStr">
        <is>
          <t>A</t>
        </is>
      </c>
      <c r="G2120" s="31" t="inlineStr">
        <is>
          <t>Combustor</t>
        </is>
      </c>
      <c r="H2120" s="27" t="n">
        <v>930</v>
      </c>
      <c r="I2120" s="27" t="n">
        <v>980</v>
      </c>
      <c r="J2120" s="154">
        <f>I2120/H2120-1</f>
        <v/>
      </c>
      <c r="K2120" s="31" t="inlineStr">
        <is>
          <t>23</t>
        </is>
      </c>
      <c r="L2120" s="31" t="inlineStr">
        <is>
          <t>23</t>
        </is>
      </c>
      <c r="M2120" s="31" t="inlineStr">
        <is>
          <t>S2</t>
        </is>
      </c>
      <c r="N2120" s="31" t="inlineStr">
        <is>
          <t>S4</t>
        </is>
      </c>
      <c r="O2120" s="31" t="inlineStr">
        <is>
          <t>1561M26G01</t>
        </is>
      </c>
      <c r="P2120" s="31" t="inlineStr">
        <is>
          <t>SR Technics Switzerland</t>
        </is>
      </c>
    </row>
    <row r="2121">
      <c r="B2121" s="31" t="inlineStr">
        <is>
          <t>CFM56-5B</t>
        </is>
      </c>
      <c r="C2121" s="31" t="inlineStr">
        <is>
          <t>2025-2026</t>
        </is>
      </c>
      <c r="D2121" s="31" t="inlineStr">
        <is>
          <t>630864</t>
        </is>
      </c>
      <c r="E2121" s="31" t="inlineStr">
        <is>
          <t>72-42-02</t>
        </is>
      </c>
      <c r="F2121" s="31" t="inlineStr">
        <is>
          <t>G</t>
        </is>
      </c>
      <c r="G2121" s="31" t="inlineStr">
        <is>
          <t>Combustor</t>
        </is>
      </c>
      <c r="H2121" s="27" t="n">
        <v>5725</v>
      </c>
      <c r="I2121" s="27" t="n">
        <v>6070</v>
      </c>
      <c r="J2121" s="154">
        <f>I2121/H2121-1</f>
        <v/>
      </c>
      <c r="K2121" s="31" t="inlineStr">
        <is>
          <t>23</t>
        </is>
      </c>
      <c r="L2121" s="31" t="inlineStr">
        <is>
          <t>24</t>
        </is>
      </c>
      <c r="M2121" s="31" t="inlineStr">
        <is>
          <t>S2</t>
        </is>
      </c>
      <c r="N2121" s="31" t="inlineStr">
        <is>
          <t>S4</t>
        </is>
      </c>
      <c r="O2121" s="31" t="inlineStr">
        <is>
          <t>1561M26G01</t>
        </is>
      </c>
      <c r="P2121" s="31" t="inlineStr">
        <is>
          <t>SR Technics Switzerland</t>
        </is>
      </c>
    </row>
    <row r="2122">
      <c r="B2122" s="31" t="inlineStr">
        <is>
          <t>CFM56-5B</t>
        </is>
      </c>
      <c r="C2122" s="31" t="inlineStr">
        <is>
          <t>2025-2026</t>
        </is>
      </c>
      <c r="D2122" s="31" t="inlineStr">
        <is>
          <t>630864</t>
        </is>
      </c>
      <c r="E2122" s="31" t="inlineStr">
        <is>
          <t>72-42-02</t>
        </is>
      </c>
      <c r="F2122" s="31" t="inlineStr">
        <is>
          <t>K</t>
        </is>
      </c>
      <c r="G2122" s="31" t="inlineStr">
        <is>
          <t>Combustor</t>
        </is>
      </c>
      <c r="H2122" s="27" t="n">
        <v>5650</v>
      </c>
      <c r="I2122" s="27" t="n">
        <v>5990</v>
      </c>
      <c r="J2122" s="154">
        <f>I2122/H2122-1</f>
        <v/>
      </c>
      <c r="K2122" s="31" t="inlineStr">
        <is>
          <t>23</t>
        </is>
      </c>
      <c r="L2122" s="31" t="inlineStr">
        <is>
          <t>24</t>
        </is>
      </c>
      <c r="M2122" s="31" t="inlineStr">
        <is>
          <t>S2</t>
        </is>
      </c>
      <c r="N2122" s="31" t="inlineStr">
        <is>
          <t>S4</t>
        </is>
      </c>
      <c r="O2122" s="31" t="inlineStr">
        <is>
          <t>1561M26G01</t>
        </is>
      </c>
      <c r="P2122" s="31" t="inlineStr">
        <is>
          <t>SR Technics Switzerland</t>
        </is>
      </c>
    </row>
    <row r="2123">
      <c r="B2123" s="31" t="inlineStr">
        <is>
          <t>CFM56-5B</t>
        </is>
      </c>
      <c r="C2123" s="31" t="inlineStr">
        <is>
          <t>2025-2026</t>
        </is>
      </c>
      <c r="D2123" s="31" t="inlineStr">
        <is>
          <t>630864</t>
        </is>
      </c>
      <c r="E2123" s="31" t="inlineStr">
        <is>
          <t>72-42-02</t>
        </is>
      </c>
      <c r="F2123" s="31" t="inlineStr">
        <is>
          <t>M</t>
        </is>
      </c>
      <c r="G2123" s="31" t="inlineStr">
        <is>
          <t>Combustor</t>
        </is>
      </c>
      <c r="H2123" s="27" t="n">
        <v>6325</v>
      </c>
      <c r="I2123" s="27" t="n">
        <v>6705</v>
      </c>
      <c r="J2123" s="154">
        <f>I2123/H2123-1</f>
        <v/>
      </c>
      <c r="K2123" s="31" t="inlineStr">
        <is>
          <t>23</t>
        </is>
      </c>
      <c r="L2123" s="31" t="inlineStr">
        <is>
          <t>24</t>
        </is>
      </c>
      <c r="M2123" s="31" t="inlineStr">
        <is>
          <t>S2</t>
        </is>
      </c>
      <c r="N2123" s="31" t="inlineStr">
        <is>
          <t>S4</t>
        </is>
      </c>
      <c r="O2123" s="31" t="inlineStr">
        <is>
          <t>1561M26G01</t>
        </is>
      </c>
      <c r="P2123" s="31" t="inlineStr">
        <is>
          <t>SR Technics Switzerland</t>
        </is>
      </c>
    </row>
    <row r="2124">
      <c r="B2124" s="31" t="inlineStr">
        <is>
          <t>CFM56-5B</t>
        </is>
      </c>
      <c r="C2124" s="31" t="inlineStr">
        <is>
          <t>2025-2026</t>
        </is>
      </c>
      <c r="D2124" s="31" t="inlineStr">
        <is>
          <t>630864</t>
        </is>
      </c>
      <c r="E2124" s="31" t="inlineStr">
        <is>
          <t>72-42-02</t>
        </is>
      </c>
      <c r="F2124" s="31" t="inlineStr">
        <is>
          <t>O</t>
        </is>
      </c>
      <c r="G2124" s="31" t="inlineStr">
        <is>
          <t>Combustor</t>
        </is>
      </c>
      <c r="H2124" s="27" t="n">
        <v>7740</v>
      </c>
      <c r="I2124" s="27" t="n">
        <v>8205</v>
      </c>
      <c r="J2124" s="154">
        <f>I2124/H2124-1</f>
        <v/>
      </c>
      <c r="K2124" s="31" t="inlineStr">
        <is>
          <t>23</t>
        </is>
      </c>
      <c r="L2124" s="31" t="inlineStr">
        <is>
          <t>24</t>
        </is>
      </c>
      <c r="M2124" s="31" t="inlineStr">
        <is>
          <t>S2</t>
        </is>
      </c>
      <c r="N2124" s="31" t="inlineStr">
        <is>
          <t>S4</t>
        </is>
      </c>
      <c r="O2124" s="31" t="inlineStr">
        <is>
          <t>1561M26G01</t>
        </is>
      </c>
      <c r="P2124" s="31" t="inlineStr">
        <is>
          <t>SR Technics Switzerland</t>
        </is>
      </c>
    </row>
    <row r="2125">
      <c r="B2125" s="31" t="inlineStr">
        <is>
          <t>CFM56-5B</t>
        </is>
      </c>
      <c r="C2125" s="31" t="inlineStr">
        <is>
          <t>2025-2026</t>
        </is>
      </c>
      <c r="D2125" s="31" t="inlineStr">
        <is>
          <t>630864</t>
        </is>
      </c>
      <c r="E2125" s="31" t="inlineStr">
        <is>
          <t>72-42-02</t>
        </is>
      </c>
      <c r="F2125" s="31" t="inlineStr">
        <is>
          <t>Q</t>
        </is>
      </c>
      <c r="G2125" s="31" t="inlineStr">
        <is>
          <t>Combustor</t>
        </is>
      </c>
      <c r="H2125" s="27" t="n">
        <v>4390</v>
      </c>
      <c r="I2125" s="27" t="n">
        <v>4655</v>
      </c>
      <c r="J2125" s="154">
        <f>I2125/H2125-1</f>
        <v/>
      </c>
      <c r="K2125" s="31" t="inlineStr">
        <is>
          <t>23</t>
        </is>
      </c>
      <c r="L2125" s="31" t="inlineStr">
        <is>
          <t>24</t>
        </is>
      </c>
      <c r="M2125" s="31" t="inlineStr">
        <is>
          <t>S2</t>
        </is>
      </c>
      <c r="N2125" s="31" t="inlineStr">
        <is>
          <t>S4</t>
        </is>
      </c>
      <c r="O2125" s="31" t="inlineStr">
        <is>
          <t>1561M26G01</t>
        </is>
      </c>
      <c r="P2125" s="31" t="inlineStr">
        <is>
          <t>SR Technics Switzerland</t>
        </is>
      </c>
    </row>
    <row r="2126">
      <c r="B2126" s="31" t="inlineStr">
        <is>
          <t>CFM56-5B</t>
        </is>
      </c>
      <c r="C2126" s="31" t="inlineStr">
        <is>
          <t>2025-2026</t>
        </is>
      </c>
      <c r="D2126" s="31" t="inlineStr">
        <is>
          <t>630864</t>
        </is>
      </c>
      <c r="E2126" s="31" t="inlineStr">
        <is>
          <t>72-42-02</t>
        </is>
      </c>
      <c r="F2126" s="31" t="inlineStr">
        <is>
          <t>R</t>
        </is>
      </c>
      <c r="G2126" s="31" t="inlineStr">
        <is>
          <t>Combustor</t>
        </is>
      </c>
      <c r="H2126" s="27" t="n">
        <v>2425</v>
      </c>
      <c r="I2126" s="27" t="n">
        <v>2575</v>
      </c>
      <c r="J2126" s="154">
        <f>I2126/H2126-1</f>
        <v/>
      </c>
      <c r="K2126" s="31" t="inlineStr">
        <is>
          <t>23</t>
        </is>
      </c>
      <c r="L2126" s="31" t="inlineStr">
        <is>
          <t>24</t>
        </is>
      </c>
      <c r="M2126" s="31" t="inlineStr">
        <is>
          <t>S2</t>
        </is>
      </c>
      <c r="N2126" s="31" t="inlineStr">
        <is>
          <t>S4</t>
        </is>
      </c>
      <c r="O2126" s="31" t="inlineStr">
        <is>
          <t>1561M26G01</t>
        </is>
      </c>
      <c r="P2126" s="31" t="inlineStr">
        <is>
          <t>SR Technics Switzerland</t>
        </is>
      </c>
    </row>
    <row r="2127">
      <c r="B2127" s="31" t="inlineStr">
        <is>
          <t>CFM56-5B</t>
        </is>
      </c>
      <c r="C2127" s="31" t="inlineStr">
        <is>
          <t>2025-2026</t>
        </is>
      </c>
      <c r="D2127" s="31" t="inlineStr">
        <is>
          <t>630864</t>
        </is>
      </c>
      <c r="E2127" s="31" t="inlineStr">
        <is>
          <t>72-42-02</t>
        </is>
      </c>
      <c r="F2127" s="31" t="inlineStr">
        <is>
          <t>S</t>
        </is>
      </c>
      <c r="G2127" s="31" t="inlineStr">
        <is>
          <t>Combustor</t>
        </is>
      </c>
      <c r="H2127" s="27" t="n">
        <v>3375</v>
      </c>
      <c r="I2127" s="27" t="n">
        <v>3580</v>
      </c>
      <c r="J2127" s="154">
        <f>I2127/H2127-1</f>
        <v/>
      </c>
      <c r="K2127" s="31" t="inlineStr">
        <is>
          <t>23</t>
        </is>
      </c>
      <c r="L2127" s="31" t="inlineStr">
        <is>
          <t>24</t>
        </is>
      </c>
      <c r="M2127" s="31" t="inlineStr">
        <is>
          <t>S2</t>
        </is>
      </c>
      <c r="N2127" s="31" t="inlineStr">
        <is>
          <t>S4</t>
        </is>
      </c>
      <c r="O2127" s="31" t="inlineStr">
        <is>
          <t>1561M26G01</t>
        </is>
      </c>
      <c r="P2127" s="31" t="inlineStr">
        <is>
          <t>SR Technics Switzerland</t>
        </is>
      </c>
    </row>
    <row r="2128">
      <c r="B2128" s="31" t="inlineStr">
        <is>
          <t>CFM56-5B</t>
        </is>
      </c>
      <c r="C2128" s="31" t="inlineStr">
        <is>
          <t>2025-2026</t>
        </is>
      </c>
      <c r="D2128" s="31" t="inlineStr">
        <is>
          <t>630864</t>
        </is>
      </c>
      <c r="E2128" s="31" t="inlineStr">
        <is>
          <t>72-42-02</t>
        </is>
      </c>
      <c r="F2128" s="31" t="inlineStr">
        <is>
          <t>SB03</t>
        </is>
      </c>
      <c r="G2128" s="31" t="inlineStr">
        <is>
          <t>Combustor</t>
        </is>
      </c>
      <c r="H2128" s="27" t="n">
        <v>8285</v>
      </c>
      <c r="I2128" s="27" t="n">
        <v>8785</v>
      </c>
      <c r="J2128" s="154">
        <f>I2128/H2128-1</f>
        <v/>
      </c>
      <c r="K2128" s="31" t="inlineStr">
        <is>
          <t>23</t>
        </is>
      </c>
      <c r="L2128" s="31" t="inlineStr">
        <is>
          <t>24</t>
        </is>
      </c>
      <c r="M2128" s="31" t="inlineStr">
        <is>
          <t>S2</t>
        </is>
      </c>
      <c r="N2128" s="31" t="inlineStr">
        <is>
          <t>S4</t>
        </is>
      </c>
      <c r="O2128" s="31" t="inlineStr">
        <is>
          <t>1561M26G01</t>
        </is>
      </c>
      <c r="P2128" s="31" t="inlineStr">
        <is>
          <t>SR Technics Switzerland</t>
        </is>
      </c>
    </row>
    <row r="2129">
      <c r="B2129" s="31" t="inlineStr">
        <is>
          <t>CFM56-5B</t>
        </is>
      </c>
      <c r="C2129" s="31" t="inlineStr">
        <is>
          <t>2025-2026</t>
        </is>
      </c>
      <c r="D2129" s="31" t="inlineStr">
        <is>
          <t>630864</t>
        </is>
      </c>
      <c r="E2129" s="31" t="inlineStr">
        <is>
          <t>72-42-02</t>
        </is>
      </c>
      <c r="F2129" s="31" t="inlineStr">
        <is>
          <t>SB04</t>
        </is>
      </c>
      <c r="G2129" s="31" t="inlineStr">
        <is>
          <t>Combustor</t>
        </is>
      </c>
      <c r="H2129" s="27" t="n">
        <v>8285</v>
      </c>
      <c r="I2129" s="27" t="n">
        <v>8785</v>
      </c>
      <c r="J2129" s="154">
        <f>I2129/H2129-1</f>
        <v/>
      </c>
      <c r="K2129" s="31" t="inlineStr">
        <is>
          <t>23</t>
        </is>
      </c>
      <c r="L2129" s="31" t="inlineStr">
        <is>
          <t>24</t>
        </is>
      </c>
      <c r="M2129" s="31" t="inlineStr">
        <is>
          <t>S2</t>
        </is>
      </c>
      <c r="N2129" s="31" t="inlineStr">
        <is>
          <t>S4</t>
        </is>
      </c>
      <c r="O2129" s="31" t="inlineStr">
        <is>
          <t>1561M26G01</t>
        </is>
      </c>
      <c r="P2129" s="31" t="inlineStr">
        <is>
          <t>SR Technics Switzerland</t>
        </is>
      </c>
    </row>
    <row r="2130">
      <c r="B2130" s="31" t="inlineStr">
        <is>
          <t>CFM56-5B</t>
        </is>
      </c>
      <c r="C2130" s="31" t="inlineStr">
        <is>
          <t>2025-2026</t>
        </is>
      </c>
      <c r="D2130" s="31" t="inlineStr">
        <is>
          <t>631146</t>
        </is>
      </c>
      <c r="E2130" s="31" t="inlineStr">
        <is>
          <t>72-42-03</t>
        </is>
      </c>
      <c r="F2130" s="31" t="inlineStr">
        <is>
          <t>A</t>
        </is>
      </c>
      <c r="G2130" s="31" t="inlineStr">
        <is>
          <t>Combustor</t>
        </is>
      </c>
      <c r="H2130" s="27" t="n">
        <v>505</v>
      </c>
      <c r="I2130" s="27" t="n">
        <v>1575</v>
      </c>
      <c r="J2130" s="154">
        <f>I2130/H2130-1</f>
        <v/>
      </c>
      <c r="K2130" s="31" t="inlineStr">
        <is>
          <t>23</t>
        </is>
      </c>
      <c r="L2130" s="31" t="inlineStr">
        <is>
          <t>24</t>
        </is>
      </c>
      <c r="M2130" s="31" t="inlineStr">
        <is>
          <t>S2</t>
        </is>
      </c>
      <c r="N2130" s="31" t="inlineStr">
        <is>
          <t>S4</t>
        </is>
      </c>
      <c r="O2130" s="31" t="inlineStr">
        <is>
          <t>1317M57G02</t>
        </is>
      </c>
      <c r="P2130" s="31" t="inlineStr">
        <is>
          <t>SR Technics Switzerland</t>
        </is>
      </c>
    </row>
    <row r="2131">
      <c r="B2131" s="31" t="inlineStr">
        <is>
          <t>CFM56-5B</t>
        </is>
      </c>
      <c r="C2131" s="31" t="inlineStr">
        <is>
          <t>2025-2026</t>
        </is>
      </c>
      <c r="D2131" s="31" t="inlineStr">
        <is>
          <t>631146</t>
        </is>
      </c>
      <c r="E2131" s="31" t="inlineStr">
        <is>
          <t>72-42-03</t>
        </is>
      </c>
      <c r="F2131" s="31" t="inlineStr">
        <is>
          <t>AN</t>
        </is>
      </c>
      <c r="G2131" s="31" t="inlineStr">
        <is>
          <t>Combustor</t>
        </is>
      </c>
      <c r="H2131" s="27" t="n">
        <v>3240</v>
      </c>
      <c r="I2131" s="27" t="n">
        <v>3435</v>
      </c>
      <c r="J2131" s="154">
        <f>I2131/H2131-1</f>
        <v/>
      </c>
      <c r="K2131" s="31" t="inlineStr">
        <is>
          <t>23</t>
        </is>
      </c>
      <c r="L2131" s="31" t="inlineStr">
        <is>
          <t>24</t>
        </is>
      </c>
      <c r="M2131" s="31" t="inlineStr">
        <is>
          <t>S2</t>
        </is>
      </c>
      <c r="N2131" s="31" t="inlineStr">
        <is>
          <t>S4</t>
        </is>
      </c>
      <c r="O2131" s="31" t="inlineStr">
        <is>
          <t>1317M57G02</t>
        </is>
      </c>
      <c r="P2131" s="31" t="inlineStr">
        <is>
          <t>SR Technics Switzerland</t>
        </is>
      </c>
    </row>
    <row r="2132">
      <c r="B2132" s="31" t="inlineStr">
        <is>
          <t>CFM56-5B</t>
        </is>
      </c>
      <c r="C2132" s="31" t="inlineStr">
        <is>
          <t>2025-2026</t>
        </is>
      </c>
      <c r="D2132" s="31" t="inlineStr">
        <is>
          <t>631146</t>
        </is>
      </c>
      <c r="E2132" s="31" t="inlineStr">
        <is>
          <t>72-42-03</t>
        </is>
      </c>
      <c r="F2132" s="31" t="inlineStr">
        <is>
          <t>C</t>
        </is>
      </c>
      <c r="G2132" s="31" t="inlineStr">
        <is>
          <t>Combustor</t>
        </is>
      </c>
      <c r="H2132" s="27" t="n">
        <v>4115</v>
      </c>
      <c r="I2132" s="27" t="n">
        <v>4365</v>
      </c>
      <c r="J2132" s="154">
        <f>I2132/H2132-1</f>
        <v/>
      </c>
      <c r="K2132" s="31" t="inlineStr">
        <is>
          <t>23</t>
        </is>
      </c>
      <c r="L2132" s="31" t="inlineStr">
        <is>
          <t>24</t>
        </is>
      </c>
      <c r="M2132" s="31" t="inlineStr">
        <is>
          <t>S2</t>
        </is>
      </c>
      <c r="N2132" s="31" t="inlineStr">
        <is>
          <t>S4</t>
        </is>
      </c>
      <c r="O2132" s="31" t="inlineStr">
        <is>
          <t>1317M57G02</t>
        </is>
      </c>
      <c r="P2132" s="31" t="inlineStr">
        <is>
          <t>SR Technics Switzerland</t>
        </is>
      </c>
    </row>
    <row r="2133">
      <c r="B2133" s="31" t="inlineStr">
        <is>
          <t>CFM56-5B</t>
        </is>
      </c>
      <c r="C2133" s="31" t="inlineStr">
        <is>
          <t>2025-2026</t>
        </is>
      </c>
      <c r="D2133" s="31" t="inlineStr">
        <is>
          <t>631146</t>
        </is>
      </c>
      <c r="E2133" s="31" t="inlineStr">
        <is>
          <t>72-42-03</t>
        </is>
      </c>
      <c r="F2133" s="31" t="inlineStr">
        <is>
          <t>I</t>
        </is>
      </c>
      <c r="G2133" s="31" t="inlineStr">
        <is>
          <t>Combustor</t>
        </is>
      </c>
      <c r="H2133" s="27" t="n">
        <v>3240</v>
      </c>
      <c r="I2133" s="27" t="n">
        <v>3435</v>
      </c>
      <c r="J2133" s="154">
        <f>I2133/H2133-1</f>
        <v/>
      </c>
      <c r="K2133" s="31" t="inlineStr">
        <is>
          <t>23</t>
        </is>
      </c>
      <c r="L2133" s="31" t="inlineStr">
        <is>
          <t>24</t>
        </is>
      </c>
      <c r="M2133" s="31" t="inlineStr">
        <is>
          <t>S2</t>
        </is>
      </c>
      <c r="N2133" s="31" t="inlineStr">
        <is>
          <t>S4</t>
        </is>
      </c>
      <c r="O2133" s="31" t="inlineStr">
        <is>
          <t>1317M57G02</t>
        </is>
      </c>
      <c r="P2133" s="31" t="inlineStr">
        <is>
          <t>SR Technics Switzerland</t>
        </is>
      </c>
    </row>
    <row r="2134">
      <c r="B2134" s="31" t="inlineStr">
        <is>
          <t>CFM56-5B</t>
        </is>
      </c>
      <c r="C2134" s="31" t="inlineStr">
        <is>
          <t>2025-2026</t>
        </is>
      </c>
      <c r="D2134" s="31" t="inlineStr">
        <is>
          <t>631146</t>
        </is>
      </c>
      <c r="E2134" s="31" t="inlineStr">
        <is>
          <t>72-42-03</t>
        </is>
      </c>
      <c r="F2134" s="31" t="inlineStr">
        <is>
          <t>M</t>
        </is>
      </c>
      <c r="G2134" s="31" t="inlineStr">
        <is>
          <t>Combustor</t>
        </is>
      </c>
      <c r="H2134" s="27" t="n">
        <v>1350</v>
      </c>
      <c r="I2134" s="27" t="n">
        <v>1435</v>
      </c>
      <c r="J2134" s="154">
        <f>I2134/H2134-1</f>
        <v/>
      </c>
      <c r="K2134" s="31" t="inlineStr">
        <is>
          <t>23</t>
        </is>
      </c>
      <c r="L2134" s="31" t="inlineStr">
        <is>
          <t>24</t>
        </is>
      </c>
      <c r="M2134" s="31" t="inlineStr">
        <is>
          <t>S2</t>
        </is>
      </c>
      <c r="N2134" s="31" t="inlineStr">
        <is>
          <t>S4</t>
        </is>
      </c>
      <c r="O2134" s="31" t="inlineStr">
        <is>
          <t>1317M57G02</t>
        </is>
      </c>
      <c r="P2134" s="31" t="inlineStr">
        <is>
          <t>SR Technics Switzerland</t>
        </is>
      </c>
    </row>
    <row r="2135">
      <c r="B2135" s="31" t="inlineStr">
        <is>
          <t>CFM56-5B</t>
        </is>
      </c>
      <c r="C2135" s="31" t="inlineStr">
        <is>
          <t>2025-2026</t>
        </is>
      </c>
      <c r="D2135" s="31" t="inlineStr">
        <is>
          <t>631146</t>
        </is>
      </c>
      <c r="E2135" s="31" t="inlineStr">
        <is>
          <t>72-42-03</t>
        </is>
      </c>
      <c r="F2135" s="31" t="inlineStr">
        <is>
          <t>N</t>
        </is>
      </c>
      <c r="G2135" s="31" t="inlineStr">
        <is>
          <t>Combustor</t>
        </is>
      </c>
      <c r="H2135" s="27" t="n">
        <v>8825</v>
      </c>
      <c r="I2135" s="27" t="n">
        <v>9355</v>
      </c>
      <c r="J2135" s="154">
        <f>I2135/H2135-1</f>
        <v/>
      </c>
      <c r="K2135" s="31" t="inlineStr">
        <is>
          <t>23</t>
        </is>
      </c>
      <c r="L2135" s="31" t="inlineStr">
        <is>
          <t>24</t>
        </is>
      </c>
      <c r="M2135" s="31" t="inlineStr">
        <is>
          <t>S2</t>
        </is>
      </c>
      <c r="N2135" s="31" t="inlineStr">
        <is>
          <t>S4</t>
        </is>
      </c>
      <c r="O2135" s="31" t="inlineStr">
        <is>
          <t>1317M57G02</t>
        </is>
      </c>
      <c r="P2135" s="31" t="inlineStr">
        <is>
          <t>SR Technics Switzerland</t>
        </is>
      </c>
    </row>
    <row r="2136">
      <c r="B2136" s="31" t="inlineStr">
        <is>
          <t>CFM56-5B</t>
        </is>
      </c>
      <c r="C2136" s="31" t="inlineStr">
        <is>
          <t>2025-2026</t>
        </is>
      </c>
      <c r="D2136" s="31" t="inlineStr">
        <is>
          <t>631146</t>
        </is>
      </c>
      <c r="E2136" s="31" t="inlineStr">
        <is>
          <t>72-42-03</t>
        </is>
      </c>
      <c r="F2136" s="31" t="inlineStr">
        <is>
          <t>P</t>
        </is>
      </c>
      <c r="G2136" s="31" t="inlineStr">
        <is>
          <t>Combustor</t>
        </is>
      </c>
      <c r="H2136" s="27" t="n">
        <v>4385</v>
      </c>
      <c r="I2136" s="27" t="n">
        <v>4650</v>
      </c>
      <c r="J2136" s="154">
        <f>I2136/H2136-1</f>
        <v/>
      </c>
      <c r="K2136" s="31" t="inlineStr">
        <is>
          <t>23</t>
        </is>
      </c>
      <c r="L2136" s="31" t="inlineStr">
        <is>
          <t>24</t>
        </is>
      </c>
      <c r="M2136" s="31" t="inlineStr">
        <is>
          <t>S2</t>
        </is>
      </c>
      <c r="N2136" s="31" t="inlineStr">
        <is>
          <t>S4</t>
        </is>
      </c>
      <c r="O2136" s="31" t="inlineStr">
        <is>
          <t>1317M57G02</t>
        </is>
      </c>
      <c r="P2136" s="31" t="inlineStr">
        <is>
          <t>SR Technics Switzerland</t>
        </is>
      </c>
    </row>
    <row r="2137">
      <c r="B2137" s="31" t="inlineStr">
        <is>
          <t>CFM56-5B</t>
        </is>
      </c>
      <c r="C2137" s="31" t="inlineStr">
        <is>
          <t>2025-2026</t>
        </is>
      </c>
      <c r="D2137" s="31" t="inlineStr">
        <is>
          <t>631146</t>
        </is>
      </c>
      <c r="E2137" s="31" t="inlineStr">
        <is>
          <t>72-42-03</t>
        </is>
      </c>
      <c r="F2137" s="31" t="inlineStr">
        <is>
          <t>SB00</t>
        </is>
      </c>
      <c r="G2137" s="31" t="inlineStr">
        <is>
          <t>Combustor</t>
        </is>
      </c>
      <c r="H2137" s="27" t="n">
        <v>2505</v>
      </c>
      <c r="I2137" s="27" t="n">
        <v>2660</v>
      </c>
      <c r="J2137" s="154">
        <f>I2137/H2137-1</f>
        <v/>
      </c>
      <c r="K2137" s="31" t="inlineStr">
        <is>
          <t>23</t>
        </is>
      </c>
      <c r="L2137" s="31" t="inlineStr">
        <is>
          <t>24</t>
        </is>
      </c>
      <c r="M2137" s="31" t="inlineStr">
        <is>
          <t>S2</t>
        </is>
      </c>
      <c r="N2137" s="31" t="inlineStr">
        <is>
          <t>S4</t>
        </is>
      </c>
      <c r="O2137" s="31" t="inlineStr">
        <is>
          <t>1317M57G02</t>
        </is>
      </c>
      <c r="P2137" s="31" t="inlineStr">
        <is>
          <t>SR Technics Switzerland</t>
        </is>
      </c>
    </row>
    <row r="2138">
      <c r="B2138" s="31" t="inlineStr">
        <is>
          <t>CFM56-5B</t>
        </is>
      </c>
      <c r="C2138" s="31" t="inlineStr">
        <is>
          <t>2025-2026</t>
        </is>
      </c>
      <c r="D2138" s="31" t="inlineStr">
        <is>
          <t>631146</t>
        </is>
      </c>
      <c r="E2138" s="31" t="inlineStr">
        <is>
          <t>72-42-03</t>
        </is>
      </c>
      <c r="F2138" s="31" t="inlineStr">
        <is>
          <t>SB03</t>
        </is>
      </c>
      <c r="G2138" s="31" t="inlineStr">
        <is>
          <t>Combustor</t>
        </is>
      </c>
      <c r="H2138" s="27" t="n">
        <v>545</v>
      </c>
      <c r="I2138" s="27" t="n">
        <v>580</v>
      </c>
      <c r="J2138" s="154">
        <f>I2138/H2138-1</f>
        <v/>
      </c>
      <c r="K2138" s="31" t="inlineStr">
        <is>
          <t>23</t>
        </is>
      </c>
      <c r="L2138" s="31" t="inlineStr">
        <is>
          <t>24</t>
        </is>
      </c>
      <c r="M2138" s="31" t="inlineStr">
        <is>
          <t>S2</t>
        </is>
      </c>
      <c r="N2138" s="31" t="inlineStr">
        <is>
          <t>S4</t>
        </is>
      </c>
      <c r="O2138" s="31" t="inlineStr">
        <is>
          <t>1317M57G02</t>
        </is>
      </c>
      <c r="P2138" s="31" t="inlineStr">
        <is>
          <t>SR Technics Switzerland</t>
        </is>
      </c>
    </row>
    <row r="2139">
      <c r="B2139" s="31" t="inlineStr">
        <is>
          <t>CFM56-5B</t>
        </is>
      </c>
      <c r="C2139" s="31" t="inlineStr">
        <is>
          <t>2025-2026</t>
        </is>
      </c>
      <c r="D2139" s="31" t="inlineStr">
        <is>
          <t>631146</t>
        </is>
      </c>
      <c r="E2139" s="31" t="inlineStr">
        <is>
          <t>72-42-03</t>
        </is>
      </c>
      <c r="F2139" s="31" t="inlineStr">
        <is>
          <t>SB05</t>
        </is>
      </c>
      <c r="G2139" s="31" t="inlineStr">
        <is>
          <t>Combustor</t>
        </is>
      </c>
      <c r="H2139" s="27" t="n">
        <v>10120</v>
      </c>
      <c r="I2139" s="27" t="n">
        <v>10730</v>
      </c>
      <c r="J2139" s="154">
        <f>I2139/H2139-1</f>
        <v/>
      </c>
      <c r="K2139" s="31" t="inlineStr">
        <is>
          <t>23</t>
        </is>
      </c>
      <c r="L2139" s="31" t="inlineStr">
        <is>
          <t>24</t>
        </is>
      </c>
      <c r="M2139" s="31" t="inlineStr">
        <is>
          <t>S2</t>
        </is>
      </c>
      <c r="N2139" s="31" t="inlineStr">
        <is>
          <t>S4</t>
        </is>
      </c>
      <c r="O2139" s="31" t="inlineStr">
        <is>
          <t>1317M57G02</t>
        </is>
      </c>
      <c r="P2139" s="31" t="inlineStr">
        <is>
          <t>SR Technics Switzerland</t>
        </is>
      </c>
    </row>
    <row r="2140">
      <c r="B2140" s="31" t="inlineStr">
        <is>
          <t>CFM56-5B</t>
        </is>
      </c>
      <c r="C2140" s="31" t="inlineStr">
        <is>
          <t>2025-2026</t>
        </is>
      </c>
      <c r="D2140" s="31" t="inlineStr">
        <is>
          <t>631146</t>
        </is>
      </c>
      <c r="E2140" s="31" t="inlineStr">
        <is>
          <t>72-42-03</t>
        </is>
      </c>
      <c r="F2140" s="31" t="inlineStr">
        <is>
          <t>U</t>
        </is>
      </c>
      <c r="G2140" s="31" t="inlineStr">
        <is>
          <t>Combustor</t>
        </is>
      </c>
      <c r="H2140" s="27" t="n">
        <v>7480</v>
      </c>
      <c r="I2140" s="27" t="n">
        <v>7930</v>
      </c>
      <c r="J2140" s="154">
        <f>I2140/H2140-1</f>
        <v/>
      </c>
      <c r="K2140" s="31" t="inlineStr">
        <is>
          <t>23</t>
        </is>
      </c>
      <c r="L2140" s="31" t="inlineStr">
        <is>
          <t>24</t>
        </is>
      </c>
      <c r="M2140" s="31" t="inlineStr">
        <is>
          <t>S2</t>
        </is>
      </c>
      <c r="N2140" s="31" t="inlineStr">
        <is>
          <t>S4</t>
        </is>
      </c>
      <c r="O2140" s="31" t="inlineStr">
        <is>
          <t>1317M57G02</t>
        </is>
      </c>
      <c r="P2140" s="31" t="inlineStr">
        <is>
          <t>SR Technics Switzerland</t>
        </is>
      </c>
    </row>
    <row r="2141">
      <c r="B2141" s="31" t="inlineStr">
        <is>
          <t>CFM56-5B</t>
        </is>
      </c>
      <c r="C2141" s="31" t="inlineStr">
        <is>
          <t>2025-2026</t>
        </is>
      </c>
      <c r="D2141" s="31" t="inlineStr">
        <is>
          <t>631146</t>
        </is>
      </c>
      <c r="E2141" s="31" t="inlineStr">
        <is>
          <t>72-42-03</t>
        </is>
      </c>
      <c r="F2141" s="31" t="inlineStr">
        <is>
          <t>W</t>
        </is>
      </c>
      <c r="G2141" s="31" t="inlineStr">
        <is>
          <t>Combustor</t>
        </is>
      </c>
      <c r="H2141" s="27" t="n">
        <v>9095</v>
      </c>
      <c r="I2141" s="27" t="n">
        <v>9645</v>
      </c>
      <c r="J2141" s="154">
        <f>I2141/H2141-1</f>
        <v/>
      </c>
      <c r="K2141" s="31" t="inlineStr">
        <is>
          <t>23</t>
        </is>
      </c>
      <c r="L2141" s="31" t="inlineStr">
        <is>
          <t>24</t>
        </is>
      </c>
      <c r="M2141" s="31" t="inlineStr">
        <is>
          <t>S2</t>
        </is>
      </c>
      <c r="N2141" s="31" t="inlineStr">
        <is>
          <t>S4</t>
        </is>
      </c>
      <c r="O2141" s="31" t="inlineStr">
        <is>
          <t>1317M57G02</t>
        </is>
      </c>
      <c r="P2141" s="31" t="inlineStr">
        <is>
          <t>SR Technics Switzerland</t>
        </is>
      </c>
    </row>
    <row r="2142">
      <c r="B2142" s="31" t="inlineStr">
        <is>
          <t>CFM56-5B</t>
        </is>
      </c>
      <c r="C2142" s="31" t="inlineStr">
        <is>
          <t>2025-2026</t>
        </is>
      </c>
      <c r="D2142" s="31" t="inlineStr">
        <is>
          <t>631393</t>
        </is>
      </c>
      <c r="E2142" s="31" t="inlineStr">
        <is>
          <t>72-41-03</t>
        </is>
      </c>
      <c r="F2142" s="31" t="inlineStr">
        <is>
          <t>A</t>
        </is>
      </c>
      <c r="G2142" s="31" t="inlineStr">
        <is>
          <t>Combustor</t>
        </is>
      </c>
      <c r="H2142" s="27" t="n">
        <v>60</v>
      </c>
      <c r="I2142" s="27" t="n">
        <v>65</v>
      </c>
      <c r="J2142" s="154">
        <f>I2142/H2142-1</f>
        <v/>
      </c>
      <c r="K2142" s="31" t="inlineStr">
        <is>
          <t>24</t>
        </is>
      </c>
      <c r="L2142" s="31" t="inlineStr">
        <is>
          <t>24</t>
        </is>
      </c>
      <c r="M2142" s="31" t="inlineStr">
        <is>
          <t>S2</t>
        </is>
      </c>
      <c r="N2142" s="31" t="inlineStr">
        <is>
          <t>S4</t>
        </is>
      </c>
      <c r="O2142" s="31" t="inlineStr">
        <is>
          <t>1498M58P01</t>
        </is>
      </c>
      <c r="P2142" s="31" t="inlineStr">
        <is>
          <t>SR Technics Switzerland</t>
        </is>
      </c>
    </row>
    <row r="2143">
      <c r="B2143" s="31" t="inlineStr">
        <is>
          <t>CFM56-5B</t>
        </is>
      </c>
      <c r="C2143" s="31" t="inlineStr">
        <is>
          <t>2025-2026</t>
        </is>
      </c>
      <c r="D2143" s="31" t="inlineStr">
        <is>
          <t>631393</t>
        </is>
      </c>
      <c r="E2143" s="31" t="inlineStr">
        <is>
          <t>72-41-03</t>
        </is>
      </c>
      <c r="F2143" s="31" t="inlineStr">
        <is>
          <t>C</t>
        </is>
      </c>
      <c r="G2143" s="31" t="inlineStr">
        <is>
          <t>Combustor</t>
        </is>
      </c>
      <c r="H2143" s="27" t="n">
        <v>130</v>
      </c>
      <c r="I2143" s="27" t="n">
        <v>140</v>
      </c>
      <c r="J2143" s="154">
        <f>I2143/H2143-1</f>
        <v/>
      </c>
      <c r="K2143" s="31" t="inlineStr">
        <is>
          <t>24</t>
        </is>
      </c>
      <c r="L2143" s="31" t="inlineStr">
        <is>
          <t>24</t>
        </is>
      </c>
      <c r="M2143" s="31" t="inlineStr">
        <is>
          <t>S2</t>
        </is>
      </c>
      <c r="N2143" s="31" t="inlineStr">
        <is>
          <t>S4</t>
        </is>
      </c>
      <c r="O2143" s="31" t="inlineStr">
        <is>
          <t>1498M58P01</t>
        </is>
      </c>
      <c r="P2143" s="31" t="inlineStr">
        <is>
          <t>SR Technics Switzerland</t>
        </is>
      </c>
    </row>
    <row r="2144">
      <c r="B2144" s="31" t="inlineStr">
        <is>
          <t>CFM56-5B</t>
        </is>
      </c>
      <c r="C2144" s="31" t="inlineStr">
        <is>
          <t>2025-2026</t>
        </is>
      </c>
      <c r="D2144" s="31" t="inlineStr">
        <is>
          <t>631917</t>
        </is>
      </c>
      <c r="E2144" s="31" t="inlineStr">
        <is>
          <t>71-21-08</t>
        </is>
      </c>
      <c r="F2144" s="31" t="inlineStr">
        <is>
          <t>A</t>
        </is>
      </c>
      <c r="G2144" s="31" t="inlineStr">
        <is>
          <t>Other / assembly</t>
        </is>
      </c>
      <c r="H2144" s="27" t="n">
        <v>365</v>
      </c>
      <c r="I2144" s="27" t="n">
        <v>385</v>
      </c>
      <c r="J2144" s="154">
        <f>I2144/H2144-1</f>
        <v/>
      </c>
      <c r="K2144" s="31" t="inlineStr">
        <is>
          <t>57</t>
        </is>
      </c>
      <c r="L2144" s="31" t="inlineStr">
        <is>
          <t>59</t>
        </is>
      </c>
      <c r="M2144" s="31" t="inlineStr">
        <is>
          <t>S2</t>
        </is>
      </c>
      <c r="N2144" s="31" t="inlineStr">
        <is>
          <t>S4</t>
        </is>
      </c>
      <c r="O2144" s="31" t="inlineStr">
        <is>
          <t>642-2003-501</t>
        </is>
      </c>
      <c r="P2144" s="31" t="inlineStr">
        <is>
          <t>SR Technics Switzerland</t>
        </is>
      </c>
    </row>
    <row r="2145">
      <c r="B2145" s="31" t="inlineStr">
        <is>
          <t>CFM56-5B</t>
        </is>
      </c>
      <c r="C2145" s="31" t="inlineStr">
        <is>
          <t>2025-2026</t>
        </is>
      </c>
      <c r="D2145" s="31" t="inlineStr">
        <is>
          <t>634072</t>
        </is>
      </c>
      <c r="E2145" s="31" t="inlineStr">
        <is>
          <t>72-54-07</t>
        </is>
      </c>
      <c r="F2145" s="31" t="inlineStr">
        <is>
          <t>A</t>
        </is>
      </c>
      <c r="G2145" s="31" t="inlineStr">
        <is>
          <t>LPT</t>
        </is>
      </c>
      <c r="H2145" s="27" t="n">
        <v>1685</v>
      </c>
      <c r="I2145" s="27" t="n">
        <v>1770</v>
      </c>
      <c r="J2145" s="154">
        <f>I2145/H2145-1</f>
        <v/>
      </c>
      <c r="K2145" s="31" t="inlineStr">
        <is>
          <t>24</t>
        </is>
      </c>
      <c r="L2145" s="31" t="inlineStr">
        <is>
          <t>24</t>
        </is>
      </c>
      <c r="M2145" s="31" t="inlineStr">
        <is>
          <t>S2</t>
        </is>
      </c>
      <c r="N2145" s="31" t="inlineStr">
        <is>
          <t>S4</t>
        </is>
      </c>
      <c r="O2145" s="31" t="inlineStr">
        <is>
          <t>338-065-603-0</t>
        </is>
      </c>
      <c r="P2145" s="31" t="inlineStr">
        <is>
          <t>SR Technics Switzerland</t>
        </is>
      </c>
    </row>
    <row r="2146">
      <c r="B2146" s="31" t="inlineStr">
        <is>
          <t>CFM56-5B</t>
        </is>
      </c>
      <c r="C2146" s="31" t="inlineStr">
        <is>
          <t>2025-2026</t>
        </is>
      </c>
      <c r="D2146" s="31" t="inlineStr">
        <is>
          <t>634072</t>
        </is>
      </c>
      <c r="E2146" s="31" t="inlineStr">
        <is>
          <t>72-54-07</t>
        </is>
      </c>
      <c r="F2146" s="31" t="inlineStr">
        <is>
          <t>B</t>
        </is>
      </c>
      <c r="G2146" s="31" t="inlineStr">
        <is>
          <t>LPT</t>
        </is>
      </c>
      <c r="H2146" s="27" t="n">
        <v>2220</v>
      </c>
      <c r="I2146" s="27" t="n">
        <v>2355</v>
      </c>
      <c r="J2146" s="154">
        <f>I2146/H2146-1</f>
        <v/>
      </c>
      <c r="K2146" s="31" t="inlineStr">
        <is>
          <t>24</t>
        </is>
      </c>
      <c r="L2146" s="31" t="inlineStr">
        <is>
          <t>25</t>
        </is>
      </c>
      <c r="M2146" s="31" t="inlineStr">
        <is>
          <t>S2</t>
        </is>
      </c>
      <c r="N2146" s="31" t="inlineStr">
        <is>
          <t>S4</t>
        </is>
      </c>
      <c r="O2146" s="31" t="inlineStr">
        <is>
          <t>338-065-603-0</t>
        </is>
      </c>
      <c r="P2146" s="31" t="inlineStr">
        <is>
          <t>SR Technics Switzerland</t>
        </is>
      </c>
    </row>
    <row r="2147">
      <c r="B2147" s="31" t="inlineStr">
        <is>
          <t>CFM56-5B</t>
        </is>
      </c>
      <c r="C2147" s="31" t="inlineStr">
        <is>
          <t>2025-2026</t>
        </is>
      </c>
      <c r="D2147" s="31" t="inlineStr">
        <is>
          <t>634072</t>
        </is>
      </c>
      <c r="E2147" s="31" t="inlineStr">
        <is>
          <t>72-54-07</t>
        </is>
      </c>
      <c r="F2147" s="31" t="inlineStr">
        <is>
          <t>C</t>
        </is>
      </c>
      <c r="G2147" s="31" t="inlineStr">
        <is>
          <t>LPT</t>
        </is>
      </c>
      <c r="H2147" s="27" t="n">
        <v>4530</v>
      </c>
      <c r="I2147" s="27" t="n">
        <v>4805</v>
      </c>
      <c r="J2147" s="154">
        <f>I2147/H2147-1</f>
        <v/>
      </c>
      <c r="K2147" s="31" t="inlineStr">
        <is>
          <t>24</t>
        </is>
      </c>
      <c r="L2147" s="31" t="inlineStr">
        <is>
          <t>25</t>
        </is>
      </c>
      <c r="M2147" s="31" t="inlineStr">
        <is>
          <t>S2</t>
        </is>
      </c>
      <c r="N2147" s="31" t="inlineStr">
        <is>
          <t>S4</t>
        </is>
      </c>
      <c r="O2147" s="31" t="inlineStr">
        <is>
          <t>338-065-603-0</t>
        </is>
      </c>
      <c r="P2147" s="31" t="inlineStr">
        <is>
          <t>SR Technics Switzerland</t>
        </is>
      </c>
    </row>
    <row r="2148">
      <c r="B2148" s="31" t="inlineStr">
        <is>
          <t>CFM56-5B</t>
        </is>
      </c>
      <c r="C2148" s="31" t="inlineStr">
        <is>
          <t>2025-2026</t>
        </is>
      </c>
      <c r="D2148" s="31" t="inlineStr">
        <is>
          <t>634072</t>
        </is>
      </c>
      <c r="E2148" s="31" t="inlineStr">
        <is>
          <t>72-54-07</t>
        </is>
      </c>
      <c r="F2148" s="31" t="inlineStr">
        <is>
          <t>D</t>
        </is>
      </c>
      <c r="G2148" s="31" t="inlineStr">
        <is>
          <t>LPT</t>
        </is>
      </c>
      <c r="H2148" s="27" t="n">
        <v>1660</v>
      </c>
      <c r="I2148" s="27" t="n">
        <v>1760</v>
      </c>
      <c r="J2148" s="154">
        <f>I2148/H2148-1</f>
        <v/>
      </c>
      <c r="K2148" s="31" t="inlineStr">
        <is>
          <t>24</t>
        </is>
      </c>
      <c r="L2148" s="31" t="inlineStr">
        <is>
          <t>25</t>
        </is>
      </c>
      <c r="M2148" s="31" t="inlineStr">
        <is>
          <t>S2</t>
        </is>
      </c>
      <c r="N2148" s="31" t="inlineStr">
        <is>
          <t>S4</t>
        </is>
      </c>
      <c r="O2148" s="31" t="inlineStr">
        <is>
          <t>338-065-603-0</t>
        </is>
      </c>
      <c r="P2148" s="31" t="inlineStr">
        <is>
          <t>SR Technics Switzerland</t>
        </is>
      </c>
    </row>
    <row r="2149">
      <c r="B2149" s="31" t="inlineStr">
        <is>
          <t>CFM56-5B</t>
        </is>
      </c>
      <c r="C2149" s="31" t="inlineStr">
        <is>
          <t>2025-2026</t>
        </is>
      </c>
      <c r="D2149" s="31" t="inlineStr">
        <is>
          <t>634072</t>
        </is>
      </c>
      <c r="E2149" s="31" t="inlineStr">
        <is>
          <t>72-54-07</t>
        </is>
      </c>
      <c r="F2149" s="31" t="inlineStr">
        <is>
          <t>H</t>
        </is>
      </c>
      <c r="G2149" s="31" t="inlineStr">
        <is>
          <t>LPT</t>
        </is>
      </c>
      <c r="H2149" s="27" t="n">
        <v>6165</v>
      </c>
      <c r="I2149" s="27" t="n">
        <v>6535</v>
      </c>
      <c r="J2149" s="154">
        <f>I2149/H2149-1</f>
        <v/>
      </c>
      <c r="K2149" s="31" t="inlineStr">
        <is>
          <t>24</t>
        </is>
      </c>
      <c r="L2149" s="31" t="inlineStr">
        <is>
          <t>25</t>
        </is>
      </c>
      <c r="M2149" s="31" t="inlineStr">
        <is>
          <t>S2</t>
        </is>
      </c>
      <c r="N2149" s="31" t="inlineStr">
        <is>
          <t>S4</t>
        </is>
      </c>
      <c r="O2149" s="31" t="inlineStr">
        <is>
          <t>338-065-603-0</t>
        </is>
      </c>
      <c r="P2149" s="31" t="inlineStr">
        <is>
          <t>SR Technics Switzerland</t>
        </is>
      </c>
    </row>
    <row r="2150">
      <c r="B2150" s="31" t="inlineStr">
        <is>
          <t>CFM56-5B</t>
        </is>
      </c>
      <c r="C2150" s="31" t="inlineStr">
        <is>
          <t>2025-2026</t>
        </is>
      </c>
      <c r="D2150" s="31" t="inlineStr">
        <is>
          <t>634072</t>
        </is>
      </c>
      <c r="E2150" s="31" t="inlineStr">
        <is>
          <t>72-54-07</t>
        </is>
      </c>
      <c r="F2150" s="31" t="inlineStr">
        <is>
          <t>J</t>
        </is>
      </c>
      <c r="G2150" s="31" t="inlineStr">
        <is>
          <t>LPT</t>
        </is>
      </c>
      <c r="H2150" s="27" t="n">
        <v>6165</v>
      </c>
      <c r="I2150" s="27" t="n">
        <v>6535</v>
      </c>
      <c r="J2150" s="154">
        <f>I2150/H2150-1</f>
        <v/>
      </c>
      <c r="K2150" s="31" t="inlineStr">
        <is>
          <t>24</t>
        </is>
      </c>
      <c r="L2150" s="31" t="inlineStr">
        <is>
          <t>25</t>
        </is>
      </c>
      <c r="M2150" s="31" t="inlineStr">
        <is>
          <t>S2</t>
        </is>
      </c>
      <c r="N2150" s="31" t="inlineStr">
        <is>
          <t>S4</t>
        </is>
      </c>
      <c r="O2150" s="31" t="inlineStr">
        <is>
          <t>338-065-603-0</t>
        </is>
      </c>
      <c r="P2150" s="31" t="inlineStr">
        <is>
          <t>SR Technics Switzerland</t>
        </is>
      </c>
    </row>
    <row r="2151">
      <c r="B2151" s="31" t="inlineStr">
        <is>
          <t>CFM56-5B</t>
        </is>
      </c>
      <c r="C2151" s="31" t="inlineStr">
        <is>
          <t>2025-2026</t>
        </is>
      </c>
      <c r="D2151" s="31" t="inlineStr">
        <is>
          <t>634072</t>
        </is>
      </c>
      <c r="E2151" s="31" t="inlineStr">
        <is>
          <t>72-54-07</t>
        </is>
      </c>
      <c r="F2151" s="31" t="inlineStr">
        <is>
          <t>P</t>
        </is>
      </c>
      <c r="G2151" s="31" t="inlineStr">
        <is>
          <t>LPT</t>
        </is>
      </c>
      <c r="H2151" s="27" t="n">
        <v>450</v>
      </c>
      <c r="I2151" s="27" t="n">
        <v>480</v>
      </c>
      <c r="J2151" s="154">
        <f>I2151/H2151-1</f>
        <v/>
      </c>
      <c r="K2151" s="31" t="inlineStr">
        <is>
          <t>24</t>
        </is>
      </c>
      <c r="L2151" s="31" t="inlineStr">
        <is>
          <t>25</t>
        </is>
      </c>
      <c r="M2151" s="31" t="inlineStr">
        <is>
          <t>S2</t>
        </is>
      </c>
      <c r="N2151" s="31" t="inlineStr">
        <is>
          <t>S4</t>
        </is>
      </c>
      <c r="O2151" s="31" t="inlineStr">
        <is>
          <t>338-065-603-0</t>
        </is>
      </c>
      <c r="P2151" s="31" t="inlineStr">
        <is>
          <t>SR Technics Switzerland</t>
        </is>
      </c>
    </row>
    <row r="2152">
      <c r="B2152" s="31" t="inlineStr">
        <is>
          <t>CFM56-5B</t>
        </is>
      </c>
      <c r="C2152" s="31" t="inlineStr">
        <is>
          <t>2025-2026</t>
        </is>
      </c>
      <c r="D2152" s="31" t="inlineStr">
        <is>
          <t>634072</t>
        </is>
      </c>
      <c r="E2152" s="31" t="inlineStr">
        <is>
          <t>72-54-07</t>
        </is>
      </c>
      <c r="F2152" s="31" t="inlineStr">
        <is>
          <t>Q</t>
        </is>
      </c>
      <c r="G2152" s="31" t="inlineStr">
        <is>
          <t>LPT</t>
        </is>
      </c>
      <c r="H2152" s="27" t="n">
        <v>16575</v>
      </c>
      <c r="I2152" s="27" t="n">
        <v>17570</v>
      </c>
      <c r="J2152" s="154">
        <f>I2152/H2152-1</f>
        <v/>
      </c>
      <c r="K2152" s="31" t="inlineStr">
        <is>
          <t>24</t>
        </is>
      </c>
      <c r="L2152" s="31" t="inlineStr">
        <is>
          <t>25</t>
        </is>
      </c>
      <c r="M2152" s="31" t="inlineStr">
        <is>
          <t>S2</t>
        </is>
      </c>
      <c r="N2152" s="31" t="inlineStr">
        <is>
          <t>S4</t>
        </is>
      </c>
      <c r="O2152" s="31" t="inlineStr">
        <is>
          <t>338-065-603-0</t>
        </is>
      </c>
      <c r="P2152" s="31" t="inlineStr">
        <is>
          <t>SR Technics Switzerland</t>
        </is>
      </c>
    </row>
    <row r="2153">
      <c r="B2153" s="31" t="inlineStr">
        <is>
          <t>CFM56-5B</t>
        </is>
      </c>
      <c r="C2153" s="31" t="inlineStr">
        <is>
          <t>2025-2026</t>
        </is>
      </c>
      <c r="D2153" s="31" t="inlineStr">
        <is>
          <t>634072</t>
        </is>
      </c>
      <c r="E2153" s="31" t="inlineStr">
        <is>
          <t>72-54-07</t>
        </is>
      </c>
      <c r="F2153" s="31" t="inlineStr">
        <is>
          <t>R</t>
        </is>
      </c>
      <c r="G2153" s="31" t="inlineStr">
        <is>
          <t>LPT</t>
        </is>
      </c>
      <c r="H2153" s="27" t="n">
        <v>1790</v>
      </c>
      <c r="I2153" s="27" t="n">
        <v>1900</v>
      </c>
      <c r="J2153" s="154">
        <f>I2153/H2153-1</f>
        <v/>
      </c>
      <c r="K2153" s="31" t="inlineStr">
        <is>
          <t>24</t>
        </is>
      </c>
      <c r="L2153" s="31" t="inlineStr">
        <is>
          <t>25</t>
        </is>
      </c>
      <c r="M2153" s="31" t="inlineStr">
        <is>
          <t>S2</t>
        </is>
      </c>
      <c r="N2153" s="31" t="inlineStr">
        <is>
          <t>S4</t>
        </is>
      </c>
      <c r="O2153" s="31" t="inlineStr">
        <is>
          <t>338-065-603-0</t>
        </is>
      </c>
      <c r="P2153" s="31" t="inlineStr">
        <is>
          <t>SR Technics Switzerland</t>
        </is>
      </c>
    </row>
    <row r="2154">
      <c r="B2154" s="31" t="inlineStr">
        <is>
          <t>CFM56-5B</t>
        </is>
      </c>
      <c r="C2154" s="31" t="inlineStr">
        <is>
          <t>2025-2026</t>
        </is>
      </c>
      <c r="D2154" s="31" t="inlineStr">
        <is>
          <t>634072</t>
        </is>
      </c>
      <c r="E2154" s="31" t="inlineStr">
        <is>
          <t>72-54-07</t>
        </is>
      </c>
      <c r="F2154" s="31" t="inlineStr">
        <is>
          <t>S</t>
        </is>
      </c>
      <c r="G2154" s="31" t="inlineStr">
        <is>
          <t>LPT</t>
        </is>
      </c>
      <c r="H2154" s="27" t="n">
        <v>21945</v>
      </c>
      <c r="I2154" s="27" t="n">
        <v>23265</v>
      </c>
      <c r="J2154" s="154">
        <f>I2154/H2154-1</f>
        <v/>
      </c>
      <c r="K2154" s="31" t="inlineStr">
        <is>
          <t>24</t>
        </is>
      </c>
      <c r="L2154" s="31" t="inlineStr">
        <is>
          <t>25</t>
        </is>
      </c>
      <c r="M2154" s="31" t="inlineStr">
        <is>
          <t>S2</t>
        </is>
      </c>
      <c r="N2154" s="31" t="inlineStr">
        <is>
          <t>S4</t>
        </is>
      </c>
      <c r="O2154" s="31" t="inlineStr">
        <is>
          <t>338-065-603-0</t>
        </is>
      </c>
      <c r="P2154" s="31" t="inlineStr">
        <is>
          <t>SR Technics Switzerland</t>
        </is>
      </c>
    </row>
    <row r="2155">
      <c r="B2155" s="31" t="inlineStr">
        <is>
          <t>CFM56-5B</t>
        </is>
      </c>
      <c r="C2155" s="31" t="inlineStr">
        <is>
          <t>2025-2026</t>
        </is>
      </c>
      <c r="D2155" s="31" t="inlineStr">
        <is>
          <t>634072</t>
        </is>
      </c>
      <c r="E2155" s="31" t="inlineStr">
        <is>
          <t>72-54-07</t>
        </is>
      </c>
      <c r="F2155" s="31" t="inlineStr">
        <is>
          <t>SB00</t>
        </is>
      </c>
      <c r="G2155" s="31" t="inlineStr">
        <is>
          <t>LPT</t>
        </is>
      </c>
      <c r="H2155" s="27" t="n">
        <v>245</v>
      </c>
      <c r="I2155" s="27" t="n">
        <v>260</v>
      </c>
      <c r="J2155" s="154">
        <f>I2155/H2155-1</f>
        <v/>
      </c>
      <c r="K2155" s="31" t="inlineStr">
        <is>
          <t>24</t>
        </is>
      </c>
      <c r="L2155" s="31" t="inlineStr">
        <is>
          <t>25</t>
        </is>
      </c>
      <c r="M2155" s="31" t="inlineStr">
        <is>
          <t>S2</t>
        </is>
      </c>
      <c r="N2155" s="31" t="inlineStr">
        <is>
          <t>S4</t>
        </is>
      </c>
      <c r="O2155" s="31" t="inlineStr">
        <is>
          <t>338-065-603-0</t>
        </is>
      </c>
      <c r="P2155" s="31" t="inlineStr">
        <is>
          <t>SR Technics Switzerland</t>
        </is>
      </c>
    </row>
    <row r="2156">
      <c r="B2156" s="31" t="inlineStr">
        <is>
          <t>CFM56-5B</t>
        </is>
      </c>
      <c r="C2156" s="31" t="inlineStr">
        <is>
          <t>2025-2026</t>
        </is>
      </c>
      <c r="D2156" s="31" t="inlineStr">
        <is>
          <t>634072</t>
        </is>
      </c>
      <c r="E2156" s="31" t="inlineStr">
        <is>
          <t>72-54-07</t>
        </is>
      </c>
      <c r="F2156" s="31" t="inlineStr">
        <is>
          <t>SB02</t>
        </is>
      </c>
      <c r="G2156" s="31" t="inlineStr">
        <is>
          <t>LPT</t>
        </is>
      </c>
      <c r="H2156" s="27" t="n">
        <v>495</v>
      </c>
      <c r="I2156" s="27" t="n">
        <v>525</v>
      </c>
      <c r="J2156" s="154">
        <f>I2156/H2156-1</f>
        <v/>
      </c>
      <c r="K2156" s="31" t="inlineStr">
        <is>
          <t>24</t>
        </is>
      </c>
      <c r="L2156" s="31" t="inlineStr">
        <is>
          <t>25</t>
        </is>
      </c>
      <c r="M2156" s="31" t="inlineStr">
        <is>
          <t>S2</t>
        </is>
      </c>
      <c r="N2156" s="31" t="inlineStr">
        <is>
          <t>S4</t>
        </is>
      </c>
      <c r="O2156" s="31" t="inlineStr">
        <is>
          <t>338-065-603-0</t>
        </is>
      </c>
      <c r="P2156" s="31" t="inlineStr">
        <is>
          <t>SR Technics Switzerland</t>
        </is>
      </c>
    </row>
    <row r="2157">
      <c r="B2157" s="31" t="inlineStr">
        <is>
          <t>CFM56-5B</t>
        </is>
      </c>
      <c r="C2157" s="31" t="inlineStr">
        <is>
          <t>2025-2026</t>
        </is>
      </c>
      <c r="D2157" s="31" t="inlineStr">
        <is>
          <t>634072</t>
        </is>
      </c>
      <c r="E2157" s="31" t="inlineStr">
        <is>
          <t>72-54-07</t>
        </is>
      </c>
      <c r="F2157" s="31" t="inlineStr">
        <is>
          <t>SB03</t>
        </is>
      </c>
      <c r="G2157" s="31" t="inlineStr">
        <is>
          <t>LPT</t>
        </is>
      </c>
      <c r="H2157" s="27" t="n">
        <v>495</v>
      </c>
      <c r="I2157" s="27" t="n">
        <v>525</v>
      </c>
      <c r="J2157" s="154">
        <f>I2157/H2157-1</f>
        <v/>
      </c>
      <c r="K2157" s="31" t="inlineStr">
        <is>
          <t>24</t>
        </is>
      </c>
      <c r="L2157" s="31" t="inlineStr">
        <is>
          <t>25</t>
        </is>
      </c>
      <c r="M2157" s="31" t="inlineStr">
        <is>
          <t>S2</t>
        </is>
      </c>
      <c r="N2157" s="31" t="inlineStr">
        <is>
          <t>S4</t>
        </is>
      </c>
      <c r="O2157" s="31" t="inlineStr">
        <is>
          <t>338-065-603-0</t>
        </is>
      </c>
      <c r="P2157" s="31" t="inlineStr">
        <is>
          <t>SR Technics Switzerland</t>
        </is>
      </c>
    </row>
    <row r="2158">
      <c r="B2158" s="31" t="inlineStr">
        <is>
          <t>CFM56-5B</t>
        </is>
      </c>
      <c r="C2158" s="31" t="inlineStr">
        <is>
          <t>2025-2026</t>
        </is>
      </c>
      <c r="D2158" s="31" t="inlineStr">
        <is>
          <t>634072</t>
        </is>
      </c>
      <c r="E2158" s="31" t="inlineStr">
        <is>
          <t>72-54-07</t>
        </is>
      </c>
      <c r="F2158" s="31" t="inlineStr">
        <is>
          <t>T</t>
        </is>
      </c>
      <c r="G2158" s="31" t="inlineStr">
        <is>
          <t>LPT</t>
        </is>
      </c>
      <c r="H2158" s="27" t="n">
        <v>14645</v>
      </c>
      <c r="I2158" s="27" t="n">
        <v>15525</v>
      </c>
      <c r="J2158" s="154">
        <f>I2158/H2158-1</f>
        <v/>
      </c>
      <c r="K2158" s="31" t="inlineStr">
        <is>
          <t>24</t>
        </is>
      </c>
      <c r="L2158" s="31" t="inlineStr">
        <is>
          <t>25</t>
        </is>
      </c>
      <c r="M2158" s="31" t="inlineStr">
        <is>
          <t>S2</t>
        </is>
      </c>
      <c r="N2158" s="31" t="inlineStr">
        <is>
          <t>S4</t>
        </is>
      </c>
      <c r="O2158" s="31" t="inlineStr">
        <is>
          <t>338-065-603-0</t>
        </is>
      </c>
      <c r="P2158" s="31" t="inlineStr">
        <is>
          <t>SR Technics Switzerland</t>
        </is>
      </c>
    </row>
    <row r="2159">
      <c r="B2159" s="31" t="inlineStr">
        <is>
          <t>CFM56-5B</t>
        </is>
      </c>
      <c r="C2159" s="31" t="inlineStr">
        <is>
          <t>2025-2026</t>
        </is>
      </c>
      <c r="D2159" s="31" t="inlineStr">
        <is>
          <t>634072</t>
        </is>
      </c>
      <c r="E2159" s="31" t="inlineStr">
        <is>
          <t>72-54-07</t>
        </is>
      </c>
      <c r="F2159" s="31" t="inlineStr">
        <is>
          <t>V</t>
        </is>
      </c>
      <c r="G2159" s="31" t="inlineStr">
        <is>
          <t>LPT</t>
        </is>
      </c>
      <c r="H2159" s="27" t="n">
        <v>6605</v>
      </c>
      <c r="I2159" s="27" t="n">
        <v>7005</v>
      </c>
      <c r="J2159" s="154">
        <f>I2159/H2159-1</f>
        <v/>
      </c>
      <c r="K2159" s="31" t="inlineStr">
        <is>
          <t>24</t>
        </is>
      </c>
      <c r="L2159" s="31" t="inlineStr">
        <is>
          <t>25</t>
        </is>
      </c>
      <c r="M2159" s="31" t="inlineStr">
        <is>
          <t>S2</t>
        </is>
      </c>
      <c r="N2159" s="31" t="inlineStr">
        <is>
          <t>S4</t>
        </is>
      </c>
      <c r="O2159" s="31" t="inlineStr">
        <is>
          <t>338-065-603-0</t>
        </is>
      </c>
      <c r="P2159" s="31" t="inlineStr">
        <is>
          <t>SR Technics Switzerland</t>
        </is>
      </c>
    </row>
    <row r="2160">
      <c r="B2160" s="31" t="inlineStr">
        <is>
          <t>CFM56-5B</t>
        </is>
      </c>
      <c r="C2160" s="31" t="inlineStr">
        <is>
          <t>2025-2026</t>
        </is>
      </c>
      <c r="D2160" s="31" t="inlineStr">
        <is>
          <t>634090</t>
        </is>
      </c>
      <c r="E2160" s="31" t="inlineStr">
        <is>
          <t>72-42-04</t>
        </is>
      </c>
      <c r="F2160" s="31" t="inlineStr">
        <is>
          <t>A</t>
        </is>
      </c>
      <c r="G2160" s="31" t="inlineStr">
        <is>
          <t>Combustor</t>
        </is>
      </c>
      <c r="H2160" s="27" t="n">
        <v>980</v>
      </c>
      <c r="I2160" s="27" t="n">
        <v>1030</v>
      </c>
      <c r="J2160" s="154">
        <f>I2160/H2160-1</f>
        <v/>
      </c>
      <c r="K2160" s="31" t="inlineStr">
        <is>
          <t>57</t>
        </is>
      </c>
      <c r="L2160" s="31" t="inlineStr">
        <is>
          <t>59</t>
        </is>
      </c>
      <c r="M2160" s="31" t="inlineStr">
        <is>
          <t>S2</t>
        </is>
      </c>
      <c r="N2160" s="31" t="inlineStr">
        <is>
          <t>S4</t>
        </is>
      </c>
      <c r="O2160" s="31" t="inlineStr">
        <is>
          <t>1317M56G06</t>
        </is>
      </c>
      <c r="P2160" s="31" t="inlineStr">
        <is>
          <t>SR Technics Switzerland</t>
        </is>
      </c>
    </row>
    <row r="2161">
      <c r="B2161" s="31" t="inlineStr">
        <is>
          <t>CFM56-5B</t>
        </is>
      </c>
      <c r="C2161" s="31" t="inlineStr">
        <is>
          <t>2025-2026</t>
        </is>
      </c>
      <c r="D2161" s="31" t="inlineStr">
        <is>
          <t>634090</t>
        </is>
      </c>
      <c r="E2161" s="31" t="inlineStr">
        <is>
          <t>72-42-04</t>
        </is>
      </c>
      <c r="F2161" s="31" t="inlineStr">
        <is>
          <t>AA</t>
        </is>
      </c>
      <c r="G2161" s="31" t="inlineStr">
        <is>
          <t>Combustor</t>
        </is>
      </c>
      <c r="H2161" s="27" t="n">
        <v>3995</v>
      </c>
      <c r="I2161" s="27" t="n">
        <v>4235</v>
      </c>
      <c r="J2161" s="154">
        <f>I2161/H2161-1</f>
        <v/>
      </c>
      <c r="K2161" s="31" t="inlineStr">
        <is>
          <t>57</t>
        </is>
      </c>
      <c r="L2161" s="31" t="inlineStr">
        <is>
          <t>59</t>
        </is>
      </c>
      <c r="M2161" s="31" t="inlineStr">
        <is>
          <t>S2</t>
        </is>
      </c>
      <c r="N2161" s="31" t="inlineStr">
        <is>
          <t>S4</t>
        </is>
      </c>
      <c r="O2161" s="31" t="inlineStr">
        <is>
          <t>1317M56G06</t>
        </is>
      </c>
      <c r="P2161" s="31" t="inlineStr">
        <is>
          <t>SR Technics Switzerland</t>
        </is>
      </c>
    </row>
    <row r="2162">
      <c r="B2162" s="31" t="inlineStr">
        <is>
          <t>CFM56-5B</t>
        </is>
      </c>
      <c r="C2162" s="31" t="inlineStr">
        <is>
          <t>2025-2026</t>
        </is>
      </c>
      <c r="D2162" s="31" t="inlineStr">
        <is>
          <t>634090</t>
        </is>
      </c>
      <c r="E2162" s="31" t="inlineStr">
        <is>
          <t>72-42-04</t>
        </is>
      </c>
      <c r="F2162" s="31" t="inlineStr">
        <is>
          <t>AB</t>
        </is>
      </c>
      <c r="G2162" s="31" t="inlineStr">
        <is>
          <t>Combustor</t>
        </is>
      </c>
      <c r="H2162" s="27" t="n">
        <v>6845</v>
      </c>
      <c r="I2162" s="27" t="n">
        <v>7260</v>
      </c>
      <c r="J2162" s="154">
        <f>I2162/H2162-1</f>
        <v/>
      </c>
      <c r="K2162" s="31" t="inlineStr">
        <is>
          <t>57</t>
        </is>
      </c>
      <c r="L2162" s="31" t="inlineStr">
        <is>
          <t>59</t>
        </is>
      </c>
      <c r="M2162" s="31" t="inlineStr">
        <is>
          <t>S2</t>
        </is>
      </c>
      <c r="N2162" s="31" t="inlineStr">
        <is>
          <t>S4</t>
        </is>
      </c>
      <c r="O2162" s="31" t="inlineStr">
        <is>
          <t>1317M56G06</t>
        </is>
      </c>
      <c r="P2162" s="31" t="inlineStr">
        <is>
          <t>SR Technics Switzerland</t>
        </is>
      </c>
    </row>
    <row r="2163">
      <c r="B2163" s="31" t="inlineStr">
        <is>
          <t>CFM56-5B</t>
        </is>
      </c>
      <c r="C2163" s="31" t="inlineStr">
        <is>
          <t>2025-2026</t>
        </is>
      </c>
      <c r="D2163" s="31" t="inlineStr">
        <is>
          <t>634090</t>
        </is>
      </c>
      <c r="E2163" s="31" t="inlineStr">
        <is>
          <t>72-42-04</t>
        </is>
      </c>
      <c r="F2163" s="31" t="inlineStr">
        <is>
          <t>AE</t>
        </is>
      </c>
      <c r="G2163" s="31" t="inlineStr">
        <is>
          <t>Combustor</t>
        </is>
      </c>
      <c r="H2163" s="27" t="n">
        <v>2990</v>
      </c>
      <c r="I2163" s="27" t="n">
        <v>3170</v>
      </c>
      <c r="J2163" s="154">
        <f>I2163/H2163-1</f>
        <v/>
      </c>
      <c r="K2163" s="31" t="inlineStr">
        <is>
          <t>57</t>
        </is>
      </c>
      <c r="L2163" s="31" t="inlineStr">
        <is>
          <t>59</t>
        </is>
      </c>
      <c r="M2163" s="31" t="inlineStr">
        <is>
          <t>S2</t>
        </is>
      </c>
      <c r="N2163" s="31" t="inlineStr">
        <is>
          <t>S4</t>
        </is>
      </c>
      <c r="O2163" s="31" t="inlineStr">
        <is>
          <t>1317M56G06</t>
        </is>
      </c>
      <c r="P2163" s="31" t="inlineStr">
        <is>
          <t>SR Technics Switzerland</t>
        </is>
      </c>
    </row>
    <row r="2164">
      <c r="B2164" s="31" t="inlineStr">
        <is>
          <t>CFM56-5B</t>
        </is>
      </c>
      <c r="C2164" s="31" t="inlineStr">
        <is>
          <t>2025-2026</t>
        </is>
      </c>
      <c r="D2164" s="31" t="inlineStr">
        <is>
          <t>634090</t>
        </is>
      </c>
      <c r="E2164" s="31" t="inlineStr">
        <is>
          <t>72-42-04</t>
        </is>
      </c>
      <c r="F2164" s="31" t="inlineStr">
        <is>
          <t>F</t>
        </is>
      </c>
      <c r="G2164" s="31" t="inlineStr">
        <is>
          <t>Combustor</t>
        </is>
      </c>
      <c r="H2164" s="27" t="n">
        <v>2995</v>
      </c>
      <c r="I2164" s="27" t="n">
        <v>3175</v>
      </c>
      <c r="J2164" s="154">
        <f>I2164/H2164-1</f>
        <v/>
      </c>
      <c r="K2164" s="31" t="inlineStr">
        <is>
          <t>57</t>
        </is>
      </c>
      <c r="L2164" s="31" t="inlineStr">
        <is>
          <t>59</t>
        </is>
      </c>
      <c r="M2164" s="31" t="inlineStr">
        <is>
          <t>S2</t>
        </is>
      </c>
      <c r="N2164" s="31" t="inlineStr">
        <is>
          <t>S4</t>
        </is>
      </c>
      <c r="O2164" s="31" t="inlineStr">
        <is>
          <t>1317M56G06</t>
        </is>
      </c>
      <c r="P2164" s="31" t="inlineStr">
        <is>
          <t>SR Technics Switzerland</t>
        </is>
      </c>
    </row>
    <row r="2165">
      <c r="B2165" s="31" t="inlineStr">
        <is>
          <t>CFM56-5B</t>
        </is>
      </c>
      <c r="C2165" s="31" t="inlineStr">
        <is>
          <t>2025-2026</t>
        </is>
      </c>
      <c r="D2165" s="31" t="inlineStr">
        <is>
          <t>634090</t>
        </is>
      </c>
      <c r="E2165" s="31" t="inlineStr">
        <is>
          <t>72-42-04</t>
        </is>
      </c>
      <c r="F2165" s="31" t="inlineStr">
        <is>
          <t>G</t>
        </is>
      </c>
      <c r="G2165" s="31" t="inlineStr">
        <is>
          <t>Combustor</t>
        </is>
      </c>
      <c r="H2165" s="27" t="n">
        <v>2480</v>
      </c>
      <c r="I2165" s="27" t="n">
        <v>2630</v>
      </c>
      <c r="J2165" s="154">
        <f>I2165/H2165-1</f>
        <v/>
      </c>
      <c r="K2165" s="31" t="inlineStr">
        <is>
          <t>57</t>
        </is>
      </c>
      <c r="L2165" s="31" t="inlineStr">
        <is>
          <t>59</t>
        </is>
      </c>
      <c r="M2165" s="31" t="inlineStr">
        <is>
          <t>S2</t>
        </is>
      </c>
      <c r="N2165" s="31" t="inlineStr">
        <is>
          <t>S4</t>
        </is>
      </c>
      <c r="O2165" s="31" t="inlineStr">
        <is>
          <t>1317M56G06</t>
        </is>
      </c>
      <c r="P2165" s="31" t="inlineStr">
        <is>
          <t>SR Technics Switzerland</t>
        </is>
      </c>
    </row>
    <row r="2166">
      <c r="B2166" s="31" t="inlineStr">
        <is>
          <t>CFM56-5B</t>
        </is>
      </c>
      <c r="C2166" s="31" t="inlineStr">
        <is>
          <t>2025-2026</t>
        </is>
      </c>
      <c r="D2166" s="31" t="inlineStr">
        <is>
          <t>634090</t>
        </is>
      </c>
      <c r="E2166" s="31" t="inlineStr">
        <is>
          <t>72-42-04</t>
        </is>
      </c>
      <c r="F2166" s="31" t="inlineStr">
        <is>
          <t>I</t>
        </is>
      </c>
      <c r="G2166" s="31" t="inlineStr">
        <is>
          <t>Combustor</t>
        </is>
      </c>
      <c r="H2166" s="27" t="n">
        <v>4465</v>
      </c>
      <c r="I2166" s="27" t="n">
        <v>4735</v>
      </c>
      <c r="J2166" s="154">
        <f>I2166/H2166-1</f>
        <v/>
      </c>
      <c r="K2166" s="31" t="inlineStr">
        <is>
          <t>57</t>
        </is>
      </c>
      <c r="L2166" s="31" t="inlineStr">
        <is>
          <t>59</t>
        </is>
      </c>
      <c r="M2166" s="31" t="inlineStr">
        <is>
          <t>S2</t>
        </is>
      </c>
      <c r="N2166" s="31" t="inlineStr">
        <is>
          <t>S4</t>
        </is>
      </c>
      <c r="O2166" s="31" t="inlineStr">
        <is>
          <t>1317M56G06</t>
        </is>
      </c>
      <c r="P2166" s="31" t="inlineStr">
        <is>
          <t>SR Technics Switzerland</t>
        </is>
      </c>
    </row>
    <row r="2167">
      <c r="B2167" s="31" t="inlineStr">
        <is>
          <t>CFM56-5B</t>
        </is>
      </c>
      <c r="C2167" s="31" t="inlineStr">
        <is>
          <t>2025-2026</t>
        </is>
      </c>
      <c r="D2167" s="31" t="inlineStr">
        <is>
          <t>634090</t>
        </is>
      </c>
      <c r="E2167" s="31" t="inlineStr">
        <is>
          <t>72-42-04</t>
        </is>
      </c>
      <c r="F2167" s="31" t="inlineStr">
        <is>
          <t>S</t>
        </is>
      </c>
      <c r="G2167" s="31" t="inlineStr">
        <is>
          <t>Combustor</t>
        </is>
      </c>
      <c r="H2167" s="27" t="n">
        <v>4660</v>
      </c>
      <c r="I2167" s="27" t="n">
        <v>4940</v>
      </c>
      <c r="J2167" s="154">
        <f>I2167/H2167-1</f>
        <v/>
      </c>
      <c r="K2167" s="31" t="inlineStr">
        <is>
          <t>57</t>
        </is>
      </c>
      <c r="L2167" s="31" t="inlineStr">
        <is>
          <t>59</t>
        </is>
      </c>
      <c r="M2167" s="31" t="inlineStr">
        <is>
          <t>S2</t>
        </is>
      </c>
      <c r="N2167" s="31" t="inlineStr">
        <is>
          <t>S4</t>
        </is>
      </c>
      <c r="O2167" s="31" t="inlineStr">
        <is>
          <t>1317M56G06</t>
        </is>
      </c>
      <c r="P2167" s="31" t="inlineStr">
        <is>
          <t>SR Technics Switzerland</t>
        </is>
      </c>
    </row>
    <row r="2168">
      <c r="B2168" s="31" t="inlineStr">
        <is>
          <t>CFM56-5B</t>
        </is>
      </c>
      <c r="C2168" s="31" t="inlineStr">
        <is>
          <t>2025-2026</t>
        </is>
      </c>
      <c r="D2168" s="31" t="inlineStr">
        <is>
          <t>634090</t>
        </is>
      </c>
      <c r="E2168" s="31" t="inlineStr">
        <is>
          <t>72-42-04</t>
        </is>
      </c>
      <c r="F2168" s="31" t="inlineStr">
        <is>
          <t>SB00</t>
        </is>
      </c>
      <c r="G2168" s="31" t="inlineStr">
        <is>
          <t>Combustor</t>
        </is>
      </c>
      <c r="H2168" s="27" t="n">
        <v>385</v>
      </c>
      <c r="I2168" s="27" t="n">
        <v>410</v>
      </c>
      <c r="J2168" s="154">
        <f>I2168/H2168-1</f>
        <v/>
      </c>
      <c r="K2168" s="31" t="inlineStr">
        <is>
          <t>57</t>
        </is>
      </c>
      <c r="L2168" s="31" t="inlineStr">
        <is>
          <t>59</t>
        </is>
      </c>
      <c r="M2168" s="31" t="inlineStr">
        <is>
          <t>S2</t>
        </is>
      </c>
      <c r="N2168" s="31" t="inlineStr">
        <is>
          <t>S4</t>
        </is>
      </c>
      <c r="O2168" s="31" t="inlineStr">
        <is>
          <t>1317M56G06</t>
        </is>
      </c>
      <c r="P2168" s="31" t="inlineStr">
        <is>
          <t>SR Technics Switzerland</t>
        </is>
      </c>
    </row>
    <row r="2169">
      <c r="B2169" s="31" t="inlineStr">
        <is>
          <t>CFM56-5B</t>
        </is>
      </c>
      <c r="C2169" s="31" t="inlineStr">
        <is>
          <t>2025-2026</t>
        </is>
      </c>
      <c r="D2169" s="31" t="inlineStr">
        <is>
          <t>634090</t>
        </is>
      </c>
      <c r="E2169" s="31" t="inlineStr">
        <is>
          <t>72-42-04</t>
        </is>
      </c>
      <c r="F2169" s="31" t="inlineStr">
        <is>
          <t>SB01</t>
        </is>
      </c>
      <c r="G2169" s="31" t="inlineStr">
        <is>
          <t>Combustor</t>
        </is>
      </c>
      <c r="H2169" s="27" t="n">
        <v>5695</v>
      </c>
      <c r="I2169" s="27" t="n">
        <v>6040</v>
      </c>
      <c r="J2169" s="154">
        <f>I2169/H2169-1</f>
        <v/>
      </c>
      <c r="K2169" s="31" t="inlineStr">
        <is>
          <t>57</t>
        </is>
      </c>
      <c r="L2169" s="31" t="inlineStr">
        <is>
          <t>59</t>
        </is>
      </c>
      <c r="M2169" s="31" t="inlineStr">
        <is>
          <t>S2</t>
        </is>
      </c>
      <c r="N2169" s="31" t="inlineStr">
        <is>
          <t>S4</t>
        </is>
      </c>
      <c r="O2169" s="31" t="inlineStr">
        <is>
          <t>1317M56G06</t>
        </is>
      </c>
      <c r="P2169" s="31" t="inlineStr">
        <is>
          <t>SR Technics Switzerland</t>
        </is>
      </c>
    </row>
    <row r="2170">
      <c r="B2170" s="31" t="inlineStr">
        <is>
          <t>CFM56-5B</t>
        </is>
      </c>
      <c r="C2170" s="31" t="inlineStr">
        <is>
          <t>2025-2026</t>
        </is>
      </c>
      <c r="D2170" s="31" t="inlineStr">
        <is>
          <t>634090</t>
        </is>
      </c>
      <c r="E2170" s="31" t="inlineStr">
        <is>
          <t>72-42-04</t>
        </is>
      </c>
      <c r="F2170" s="31" t="inlineStr">
        <is>
          <t>SB02</t>
        </is>
      </c>
      <c r="G2170" s="31" t="inlineStr">
        <is>
          <t>Combustor</t>
        </is>
      </c>
      <c r="H2170" s="27" t="n">
        <v>1085</v>
      </c>
      <c r="I2170" s="27" t="n">
        <v>1155</v>
      </c>
      <c r="J2170" s="154">
        <f>I2170/H2170-1</f>
        <v/>
      </c>
      <c r="K2170" s="31" t="inlineStr">
        <is>
          <t>57</t>
        </is>
      </c>
      <c r="L2170" s="31" t="inlineStr">
        <is>
          <t>59</t>
        </is>
      </c>
      <c r="M2170" s="31" t="inlineStr">
        <is>
          <t>S2</t>
        </is>
      </c>
      <c r="N2170" s="31" t="inlineStr">
        <is>
          <t>S4</t>
        </is>
      </c>
      <c r="O2170" s="31" t="inlineStr">
        <is>
          <t>1317M56G06</t>
        </is>
      </c>
      <c r="P2170" s="31" t="inlineStr">
        <is>
          <t>SR Technics Switzerland</t>
        </is>
      </c>
    </row>
    <row r="2171">
      <c r="B2171" s="31" t="inlineStr">
        <is>
          <t>CFM56-5B</t>
        </is>
      </c>
      <c r="C2171" s="31" t="inlineStr">
        <is>
          <t>2025-2026</t>
        </is>
      </c>
      <c r="D2171" s="31" t="inlineStr">
        <is>
          <t>634090</t>
        </is>
      </c>
      <c r="E2171" s="31" t="inlineStr">
        <is>
          <t>72-42-04</t>
        </is>
      </c>
      <c r="F2171" s="31" t="inlineStr">
        <is>
          <t>SB04</t>
        </is>
      </c>
      <c r="G2171" s="31" t="inlineStr">
        <is>
          <t>Combustor</t>
        </is>
      </c>
      <c r="H2171" s="27" t="n">
        <v>2715</v>
      </c>
      <c r="I2171" s="27" t="n">
        <v>2880</v>
      </c>
      <c r="J2171" s="154">
        <f>I2171/H2171-1</f>
        <v/>
      </c>
      <c r="K2171" s="31" t="inlineStr">
        <is>
          <t>57</t>
        </is>
      </c>
      <c r="L2171" s="31" t="inlineStr">
        <is>
          <t>59</t>
        </is>
      </c>
      <c r="M2171" s="31" t="inlineStr">
        <is>
          <t>S2</t>
        </is>
      </c>
      <c r="N2171" s="31" t="inlineStr">
        <is>
          <t>S4</t>
        </is>
      </c>
      <c r="O2171" s="31" t="inlineStr">
        <is>
          <t>1317M56G06</t>
        </is>
      </c>
      <c r="P2171" s="31" t="inlineStr">
        <is>
          <t>SR Technics Switzerland</t>
        </is>
      </c>
    </row>
    <row r="2172">
      <c r="B2172" s="31" t="inlineStr">
        <is>
          <t>CFM56-5B</t>
        </is>
      </c>
      <c r="C2172" s="31" t="inlineStr">
        <is>
          <t>2025-2026</t>
        </is>
      </c>
      <c r="D2172" s="31" t="inlineStr">
        <is>
          <t>634090</t>
        </is>
      </c>
      <c r="E2172" s="31" t="inlineStr">
        <is>
          <t>72-42-04</t>
        </is>
      </c>
      <c r="F2172" s="31" t="inlineStr">
        <is>
          <t>SB09</t>
        </is>
      </c>
      <c r="G2172" s="31" t="inlineStr">
        <is>
          <t>Combustor</t>
        </is>
      </c>
      <c r="H2172" s="27" t="n">
        <v>495</v>
      </c>
      <c r="I2172" s="27" t="n">
        <v>525</v>
      </c>
      <c r="J2172" s="154">
        <f>I2172/H2172-1</f>
        <v/>
      </c>
      <c r="K2172" s="31" t="inlineStr">
        <is>
          <t>58</t>
        </is>
      </c>
      <c r="L2172" s="31" t="inlineStr">
        <is>
          <t>59</t>
        </is>
      </c>
      <c r="M2172" s="31" t="inlineStr">
        <is>
          <t>S2</t>
        </is>
      </c>
      <c r="N2172" s="31" t="inlineStr">
        <is>
          <t>S4</t>
        </is>
      </c>
      <c r="O2172" s="31" t="inlineStr">
        <is>
          <t>1317M56G06</t>
        </is>
      </c>
      <c r="P2172" s="31" t="inlineStr">
        <is>
          <t>SR Technics Switzerland</t>
        </is>
      </c>
    </row>
    <row r="2173">
      <c r="B2173" s="31" t="inlineStr">
        <is>
          <t>CFM56-5B</t>
        </is>
      </c>
      <c r="C2173" s="31" t="inlineStr">
        <is>
          <t>2025-2026</t>
        </is>
      </c>
      <c r="D2173" s="31" t="inlineStr">
        <is>
          <t>634090</t>
        </is>
      </c>
      <c r="E2173" s="31" t="inlineStr">
        <is>
          <t>72-42-04</t>
        </is>
      </c>
      <c r="F2173" s="31" t="inlineStr">
        <is>
          <t>SB11</t>
        </is>
      </c>
      <c r="G2173" s="31" t="inlineStr">
        <is>
          <t>Combustor</t>
        </is>
      </c>
      <c r="H2173" s="27" t="n">
        <v>1285</v>
      </c>
      <c r="I2173" s="27" t="n">
        <v>1365</v>
      </c>
      <c r="J2173" s="154">
        <f>I2173/H2173-1</f>
        <v/>
      </c>
      <c r="K2173" s="31" t="inlineStr">
        <is>
          <t>58</t>
        </is>
      </c>
      <c r="L2173" s="31" t="inlineStr">
        <is>
          <t>59</t>
        </is>
      </c>
      <c r="M2173" s="31" t="inlineStr">
        <is>
          <t>S2</t>
        </is>
      </c>
      <c r="N2173" s="31" t="inlineStr">
        <is>
          <t>S4</t>
        </is>
      </c>
      <c r="O2173" s="31" t="inlineStr">
        <is>
          <t>1317M56G06</t>
        </is>
      </c>
      <c r="P2173" s="31" t="inlineStr">
        <is>
          <t>SR Technics Switzerland</t>
        </is>
      </c>
    </row>
    <row r="2174">
      <c r="B2174" s="31" t="inlineStr">
        <is>
          <t>CFM56-5B</t>
        </is>
      </c>
      <c r="C2174" s="31" t="inlineStr">
        <is>
          <t>2025-2026</t>
        </is>
      </c>
      <c r="D2174" s="31" t="inlineStr">
        <is>
          <t>634090</t>
        </is>
      </c>
      <c r="E2174" s="31" t="inlineStr">
        <is>
          <t>72-42-04</t>
        </is>
      </c>
      <c r="F2174" s="31" t="inlineStr">
        <is>
          <t>V</t>
        </is>
      </c>
      <c r="G2174" s="31" t="inlineStr">
        <is>
          <t>Combustor</t>
        </is>
      </c>
      <c r="H2174" s="27" t="n">
        <v>4800</v>
      </c>
      <c r="I2174" s="27" t="n">
        <v>5090</v>
      </c>
      <c r="J2174" s="154">
        <f>I2174/H2174-1</f>
        <v/>
      </c>
      <c r="K2174" s="31" t="inlineStr">
        <is>
          <t>58</t>
        </is>
      </c>
      <c r="L2174" s="31" t="inlineStr">
        <is>
          <t>59</t>
        </is>
      </c>
      <c r="M2174" s="31" t="inlineStr">
        <is>
          <t>S2</t>
        </is>
      </c>
      <c r="N2174" s="31" t="inlineStr">
        <is>
          <t>S4</t>
        </is>
      </c>
      <c r="O2174" s="31" t="inlineStr">
        <is>
          <t>1317M56G06</t>
        </is>
      </c>
      <c r="P2174" s="31" t="inlineStr">
        <is>
          <t>SR Technics Switzerland</t>
        </is>
      </c>
    </row>
    <row r="2175">
      <c r="B2175" s="31" t="inlineStr">
        <is>
          <t>CFM56-5B</t>
        </is>
      </c>
      <c r="C2175" s="31" t="inlineStr">
        <is>
          <t>2025-2026</t>
        </is>
      </c>
      <c r="D2175" s="31" t="inlineStr">
        <is>
          <t>634090</t>
        </is>
      </c>
      <c r="E2175" s="31" t="inlineStr">
        <is>
          <t>72-42-04</t>
        </is>
      </c>
      <c r="F2175" s="31" t="inlineStr">
        <is>
          <t>X</t>
        </is>
      </c>
      <c r="G2175" s="31" t="inlineStr">
        <is>
          <t>Combustor</t>
        </is>
      </c>
      <c r="H2175" s="27" t="n">
        <v>8815</v>
      </c>
      <c r="I2175" s="27" t="n">
        <v>9345</v>
      </c>
      <c r="J2175" s="154">
        <f>I2175/H2175-1</f>
        <v/>
      </c>
      <c r="K2175" s="31" t="inlineStr">
        <is>
          <t>58</t>
        </is>
      </c>
      <c r="L2175" s="31" t="inlineStr">
        <is>
          <t>59</t>
        </is>
      </c>
      <c r="M2175" s="31" t="inlineStr">
        <is>
          <t>S2</t>
        </is>
      </c>
      <c r="N2175" s="31" t="inlineStr">
        <is>
          <t>S4</t>
        </is>
      </c>
      <c r="O2175" s="31" t="inlineStr">
        <is>
          <t>1317M56G06</t>
        </is>
      </c>
      <c r="P2175" s="31" t="inlineStr">
        <is>
          <t>SR Technics Switzerland</t>
        </is>
      </c>
    </row>
    <row r="2176">
      <c r="B2176" s="31" t="inlineStr">
        <is>
          <t>CFM56-5B</t>
        </is>
      </c>
      <c r="C2176" s="31" t="inlineStr">
        <is>
          <t>2025-2026</t>
        </is>
      </c>
      <c r="D2176" s="31" t="inlineStr">
        <is>
          <t>634090</t>
        </is>
      </c>
      <c r="E2176" s="31" t="inlineStr">
        <is>
          <t>72-42-04</t>
        </is>
      </c>
      <c r="F2176" s="31" t="inlineStr">
        <is>
          <t>Y</t>
        </is>
      </c>
      <c r="G2176" s="31" t="inlineStr">
        <is>
          <t>Combustor</t>
        </is>
      </c>
      <c r="H2176" s="27" t="n">
        <v>3135</v>
      </c>
      <c r="I2176" s="27" t="n">
        <v>3325</v>
      </c>
      <c r="J2176" s="154">
        <f>I2176/H2176-1</f>
        <v/>
      </c>
      <c r="K2176" s="31" t="inlineStr">
        <is>
          <t>58</t>
        </is>
      </c>
      <c r="L2176" s="31" t="inlineStr">
        <is>
          <t>59</t>
        </is>
      </c>
      <c r="M2176" s="31" t="inlineStr">
        <is>
          <t>S2</t>
        </is>
      </c>
      <c r="N2176" s="31" t="inlineStr">
        <is>
          <t>S4</t>
        </is>
      </c>
      <c r="O2176" s="31" t="inlineStr">
        <is>
          <t>1317M56G06</t>
        </is>
      </c>
      <c r="P2176" s="31" t="inlineStr">
        <is>
          <t>SR Technics Switzerland</t>
        </is>
      </c>
    </row>
    <row r="2177">
      <c r="B2177" s="31" t="inlineStr">
        <is>
          <t>CFM56-5B</t>
        </is>
      </c>
      <c r="C2177" s="31" t="inlineStr">
        <is>
          <t>2025-2026</t>
        </is>
      </c>
      <c r="D2177" s="31" t="inlineStr">
        <is>
          <t>634090</t>
        </is>
      </c>
      <c r="E2177" s="31" t="inlineStr">
        <is>
          <t>72-42-04</t>
        </is>
      </c>
      <c r="F2177" s="31" t="inlineStr">
        <is>
          <t>Z</t>
        </is>
      </c>
      <c r="G2177" s="31" t="inlineStr">
        <is>
          <t>Combustor</t>
        </is>
      </c>
      <c r="H2177" s="27" t="n">
        <v>3995</v>
      </c>
      <c r="I2177" s="27" t="n">
        <v>4235</v>
      </c>
      <c r="J2177" s="154">
        <f>I2177/H2177-1</f>
        <v/>
      </c>
      <c r="K2177" s="31" t="inlineStr">
        <is>
          <t>58</t>
        </is>
      </c>
      <c r="L2177" s="31" t="inlineStr">
        <is>
          <t>59</t>
        </is>
      </c>
      <c r="M2177" s="31" t="inlineStr">
        <is>
          <t>S2</t>
        </is>
      </c>
      <c r="N2177" s="31" t="inlineStr">
        <is>
          <t>S4</t>
        </is>
      </c>
      <c r="O2177" s="31" t="inlineStr">
        <is>
          <t>1317M56G06</t>
        </is>
      </c>
      <c r="P2177" s="31" t="inlineStr">
        <is>
          <t>SR Technics Switzerland</t>
        </is>
      </c>
    </row>
    <row r="2178">
      <c r="B2178" s="31" t="inlineStr">
        <is>
          <t>CFM56-5B</t>
        </is>
      </c>
      <c r="C2178" s="31" t="inlineStr">
        <is>
          <t>2025-2026</t>
        </is>
      </c>
      <c r="D2178" s="31" t="inlineStr">
        <is>
          <t>634151</t>
        </is>
      </c>
      <c r="E2178" s="31" t="inlineStr">
        <is>
          <t>72-53-02</t>
        </is>
      </c>
      <c r="F2178" s="31" t="inlineStr">
        <is>
          <t>A</t>
        </is>
      </c>
      <c r="G2178" s="31" t="inlineStr">
        <is>
          <t>HPT / nozzle</t>
        </is>
      </c>
      <c r="H2178" s="27" t="n">
        <v>1225</v>
      </c>
      <c r="I2178" s="27" t="n">
        <v>1290</v>
      </c>
      <c r="J2178" s="154">
        <f>I2178/H2178-1</f>
        <v/>
      </c>
      <c r="K2178" s="31" t="inlineStr">
        <is>
          <t>24</t>
        </is>
      </c>
      <c r="L2178" s="31" t="inlineStr">
        <is>
          <t>25</t>
        </is>
      </c>
      <c r="M2178" s="31" t="inlineStr">
        <is>
          <t>S2</t>
        </is>
      </c>
      <c r="N2178" s="31" t="inlineStr">
        <is>
          <t>S4</t>
        </is>
      </c>
      <c r="O2178" s="31" t="inlineStr">
        <is>
          <t>1523M29G04</t>
        </is>
      </c>
      <c r="P2178" s="31" t="inlineStr">
        <is>
          <t>SR Technics Switzerland</t>
        </is>
      </c>
    </row>
    <row r="2179">
      <c r="B2179" s="31" t="inlineStr">
        <is>
          <t>CFM56-5B</t>
        </is>
      </c>
      <c r="C2179" s="31" t="inlineStr">
        <is>
          <t>2025-2026</t>
        </is>
      </c>
      <c r="D2179" s="31" t="inlineStr">
        <is>
          <t>634151</t>
        </is>
      </c>
      <c r="E2179" s="31" t="inlineStr">
        <is>
          <t>72-53-02</t>
        </is>
      </c>
      <c r="F2179" s="31" t="inlineStr">
        <is>
          <t>AC</t>
        </is>
      </c>
      <c r="G2179" s="31" t="inlineStr">
        <is>
          <t>HPT / nozzle</t>
        </is>
      </c>
      <c r="H2179" s="27" t="n">
        <v>905</v>
      </c>
      <c r="I2179" s="27" t="n">
        <v>960</v>
      </c>
      <c r="J2179" s="154">
        <f>I2179/H2179-1</f>
        <v/>
      </c>
      <c r="K2179" s="31" t="inlineStr">
        <is>
          <t>24</t>
        </is>
      </c>
      <c r="L2179" s="31" t="inlineStr">
        <is>
          <t>25</t>
        </is>
      </c>
      <c r="M2179" s="31" t="inlineStr">
        <is>
          <t>S2</t>
        </is>
      </c>
      <c r="N2179" s="31" t="inlineStr">
        <is>
          <t>S4</t>
        </is>
      </c>
      <c r="O2179" s="31" t="inlineStr">
        <is>
          <t>1523M29G04</t>
        </is>
      </c>
      <c r="P2179" s="31" t="inlineStr">
        <is>
          <t>SR Technics Switzerland</t>
        </is>
      </c>
    </row>
    <row r="2180">
      <c r="B2180" s="31" t="inlineStr">
        <is>
          <t>CFM56-5B</t>
        </is>
      </c>
      <c r="C2180" s="31" t="inlineStr">
        <is>
          <t>2025-2026</t>
        </is>
      </c>
      <c r="D2180" s="31" t="inlineStr">
        <is>
          <t>634151</t>
        </is>
      </c>
      <c r="E2180" s="31" t="inlineStr">
        <is>
          <t>72-53-02</t>
        </is>
      </c>
      <c r="F2180" s="31" t="inlineStr">
        <is>
          <t>AM</t>
        </is>
      </c>
      <c r="G2180" s="31" t="inlineStr">
        <is>
          <t>HPT / nozzle</t>
        </is>
      </c>
      <c r="H2180" s="27" t="n">
        <v>605</v>
      </c>
      <c r="I2180" s="27" t="n">
        <v>645</v>
      </c>
      <c r="J2180" s="154">
        <f>I2180/H2180-1</f>
        <v/>
      </c>
      <c r="K2180" s="31" t="inlineStr">
        <is>
          <t>24</t>
        </is>
      </c>
      <c r="L2180" s="31" t="inlineStr">
        <is>
          <t>25</t>
        </is>
      </c>
      <c r="M2180" s="31" t="inlineStr">
        <is>
          <t>S2</t>
        </is>
      </c>
      <c r="N2180" s="31" t="inlineStr">
        <is>
          <t>S4</t>
        </is>
      </c>
      <c r="O2180" s="31" t="inlineStr">
        <is>
          <t>1523M29G04</t>
        </is>
      </c>
      <c r="P2180" s="31" t="inlineStr">
        <is>
          <t>SR Technics Switzerland</t>
        </is>
      </c>
    </row>
    <row r="2181">
      <c r="B2181" s="31" t="inlineStr">
        <is>
          <t>CFM56-5B</t>
        </is>
      </c>
      <c r="C2181" s="31" t="inlineStr">
        <is>
          <t>2025-2026</t>
        </is>
      </c>
      <c r="D2181" s="31" t="inlineStr">
        <is>
          <t>634151</t>
        </is>
      </c>
      <c r="E2181" s="31" t="inlineStr">
        <is>
          <t>72-53-02</t>
        </is>
      </c>
      <c r="F2181" s="31" t="inlineStr">
        <is>
          <t>AN</t>
        </is>
      </c>
      <c r="G2181" s="31" t="inlineStr">
        <is>
          <t>HPT / nozzle</t>
        </is>
      </c>
      <c r="H2181" s="27" t="n">
        <v>8080</v>
      </c>
      <c r="I2181" s="27" t="n">
        <v>8565</v>
      </c>
      <c r="J2181" s="154">
        <f>I2181/H2181-1</f>
        <v/>
      </c>
      <c r="K2181" s="31" t="inlineStr">
        <is>
          <t>24</t>
        </is>
      </c>
      <c r="L2181" s="31" t="inlineStr">
        <is>
          <t>25</t>
        </is>
      </c>
      <c r="M2181" s="31" t="inlineStr">
        <is>
          <t>S2</t>
        </is>
      </c>
      <c r="N2181" s="31" t="inlineStr">
        <is>
          <t>S4</t>
        </is>
      </c>
      <c r="O2181" s="31" t="inlineStr">
        <is>
          <t>1523M29G04</t>
        </is>
      </c>
      <c r="P2181" s="31" t="inlineStr">
        <is>
          <t>SR Technics Switzerland</t>
        </is>
      </c>
    </row>
    <row r="2182">
      <c r="B2182" s="31" t="inlineStr">
        <is>
          <t>CFM56-5B</t>
        </is>
      </c>
      <c r="C2182" s="31" t="inlineStr">
        <is>
          <t>2025-2026</t>
        </is>
      </c>
      <c r="D2182" s="31" t="inlineStr">
        <is>
          <t>634151</t>
        </is>
      </c>
      <c r="E2182" s="31" t="inlineStr">
        <is>
          <t>72-53-02</t>
        </is>
      </c>
      <c r="F2182" s="31" t="inlineStr">
        <is>
          <t>C</t>
        </is>
      </c>
      <c r="G2182" s="31" t="inlineStr">
        <is>
          <t>HPT / nozzle</t>
        </is>
      </c>
      <c r="H2182" s="27" t="n">
        <v>4530</v>
      </c>
      <c r="I2182" s="27" t="n">
        <v>4805</v>
      </c>
      <c r="J2182" s="154">
        <f>I2182/H2182-1</f>
        <v/>
      </c>
      <c r="K2182" s="31" t="inlineStr">
        <is>
          <t>24</t>
        </is>
      </c>
      <c r="L2182" s="31" t="inlineStr">
        <is>
          <t>25</t>
        </is>
      </c>
      <c r="M2182" s="31" t="inlineStr">
        <is>
          <t>S2</t>
        </is>
      </c>
      <c r="N2182" s="31" t="inlineStr">
        <is>
          <t>S4</t>
        </is>
      </c>
      <c r="O2182" s="31" t="inlineStr">
        <is>
          <t>1523M29G04</t>
        </is>
      </c>
      <c r="P2182" s="31" t="inlineStr">
        <is>
          <t>SR Technics Switzerland</t>
        </is>
      </c>
    </row>
    <row r="2183">
      <c r="B2183" s="31" t="inlineStr">
        <is>
          <t>CFM56-5B</t>
        </is>
      </c>
      <c r="C2183" s="31" t="inlineStr">
        <is>
          <t>2025-2026</t>
        </is>
      </c>
      <c r="D2183" s="31" t="inlineStr">
        <is>
          <t>634151</t>
        </is>
      </c>
      <c r="E2183" s="31" t="inlineStr">
        <is>
          <t>72-53-02</t>
        </is>
      </c>
      <c r="F2183" s="31" t="inlineStr">
        <is>
          <t>E</t>
        </is>
      </c>
      <c r="G2183" s="31" t="inlineStr">
        <is>
          <t>HPT / nozzle</t>
        </is>
      </c>
      <c r="H2183" s="27" t="n">
        <v>3410</v>
      </c>
      <c r="I2183" s="27" t="n">
        <v>3615</v>
      </c>
      <c r="J2183" s="154">
        <f>I2183/H2183-1</f>
        <v/>
      </c>
      <c r="K2183" s="31" t="inlineStr">
        <is>
          <t>24</t>
        </is>
      </c>
      <c r="L2183" s="31" t="inlineStr">
        <is>
          <t>25</t>
        </is>
      </c>
      <c r="M2183" s="31" t="inlineStr">
        <is>
          <t>S2</t>
        </is>
      </c>
      <c r="N2183" s="31" t="inlineStr">
        <is>
          <t>S4</t>
        </is>
      </c>
      <c r="O2183" s="31" t="inlineStr">
        <is>
          <t>1523M29G04</t>
        </is>
      </c>
      <c r="P2183" s="31" t="inlineStr">
        <is>
          <t>SR Technics Switzerland</t>
        </is>
      </c>
    </row>
    <row r="2184">
      <c r="B2184" s="31" t="inlineStr">
        <is>
          <t>CFM56-5B</t>
        </is>
      </c>
      <c r="C2184" s="31" t="inlineStr">
        <is>
          <t>2025-2026</t>
        </is>
      </c>
      <c r="D2184" s="31" t="inlineStr">
        <is>
          <t>634151</t>
        </is>
      </c>
      <c r="E2184" s="31" t="inlineStr">
        <is>
          <t>72-53-02</t>
        </is>
      </c>
      <c r="F2184" s="31" t="inlineStr">
        <is>
          <t>G</t>
        </is>
      </c>
      <c r="G2184" s="31" t="inlineStr">
        <is>
          <t>HPT / nozzle</t>
        </is>
      </c>
      <c r="H2184" s="27" t="n">
        <v>2805</v>
      </c>
      <c r="I2184" s="27" t="n">
        <v>2975</v>
      </c>
      <c r="J2184" s="154">
        <f>I2184/H2184-1</f>
        <v/>
      </c>
      <c r="K2184" s="31" t="inlineStr">
        <is>
          <t>24</t>
        </is>
      </c>
      <c r="L2184" s="31" t="inlineStr">
        <is>
          <t>25</t>
        </is>
      </c>
      <c r="M2184" s="31" t="inlineStr">
        <is>
          <t>S2</t>
        </is>
      </c>
      <c r="N2184" s="31" t="inlineStr">
        <is>
          <t>S4</t>
        </is>
      </c>
      <c r="O2184" s="31" t="inlineStr">
        <is>
          <t>1523M29G04</t>
        </is>
      </c>
      <c r="P2184" s="31" t="inlineStr">
        <is>
          <t>SR Technics Switzerland</t>
        </is>
      </c>
    </row>
    <row r="2185">
      <c r="B2185" s="31" t="inlineStr">
        <is>
          <t>CFM56-5B</t>
        </is>
      </c>
      <c r="C2185" s="31" t="inlineStr">
        <is>
          <t>2025-2026</t>
        </is>
      </c>
      <c r="D2185" s="31" t="inlineStr">
        <is>
          <t>634151</t>
        </is>
      </c>
      <c r="E2185" s="31" t="inlineStr">
        <is>
          <t>72-53-02</t>
        </is>
      </c>
      <c r="F2185" s="31" t="inlineStr">
        <is>
          <t>H</t>
        </is>
      </c>
      <c r="G2185" s="31" t="inlineStr">
        <is>
          <t>HPT / nozzle</t>
        </is>
      </c>
      <c r="H2185" s="27" t="n">
        <v>475</v>
      </c>
      <c r="I2185" s="27" t="n">
        <v>505</v>
      </c>
      <c r="J2185" s="154">
        <f>I2185/H2185-1</f>
        <v/>
      </c>
      <c r="K2185" s="31" t="inlineStr">
        <is>
          <t>24</t>
        </is>
      </c>
      <c r="L2185" s="31" t="inlineStr">
        <is>
          <t>25</t>
        </is>
      </c>
      <c r="M2185" s="31" t="inlineStr">
        <is>
          <t>S2</t>
        </is>
      </c>
      <c r="N2185" s="31" t="inlineStr">
        <is>
          <t>S4</t>
        </is>
      </c>
      <c r="O2185" s="31" t="inlineStr">
        <is>
          <t>1523M29G04</t>
        </is>
      </c>
      <c r="P2185" s="31" t="inlineStr">
        <is>
          <t>SR Technics Switzerland</t>
        </is>
      </c>
    </row>
    <row r="2186">
      <c r="B2186" s="31" t="inlineStr">
        <is>
          <t>CFM56-5B</t>
        </is>
      </c>
      <c r="C2186" s="31" t="inlineStr">
        <is>
          <t>2025-2026</t>
        </is>
      </c>
      <c r="D2186" s="31" t="inlineStr">
        <is>
          <t>634151</t>
        </is>
      </c>
      <c r="E2186" s="31" t="inlineStr">
        <is>
          <t>72-53-02</t>
        </is>
      </c>
      <c r="F2186" s="31" t="inlineStr">
        <is>
          <t>M</t>
        </is>
      </c>
      <c r="G2186" s="31" t="inlineStr">
        <is>
          <t>HPT / nozzle</t>
        </is>
      </c>
      <c r="H2186" s="27" t="n">
        <v>435</v>
      </c>
      <c r="I2186" s="27" t="n">
        <v>465</v>
      </c>
      <c r="J2186" s="154">
        <f>I2186/H2186-1</f>
        <v/>
      </c>
      <c r="K2186" s="31" t="inlineStr">
        <is>
          <t>24</t>
        </is>
      </c>
      <c r="L2186" s="31" t="inlineStr">
        <is>
          <t>25</t>
        </is>
      </c>
      <c r="M2186" s="31" t="inlineStr">
        <is>
          <t>S2</t>
        </is>
      </c>
      <c r="N2186" s="31" t="inlineStr">
        <is>
          <t>S4</t>
        </is>
      </c>
      <c r="O2186" s="31" t="inlineStr">
        <is>
          <t>1523M29G04</t>
        </is>
      </c>
      <c r="P2186" s="31" t="inlineStr">
        <is>
          <t>SR Technics Switzerland</t>
        </is>
      </c>
    </row>
    <row r="2187">
      <c r="B2187" s="31" t="inlineStr">
        <is>
          <t>CFM56-5B</t>
        </is>
      </c>
      <c r="C2187" s="31" t="inlineStr">
        <is>
          <t>2025-2026</t>
        </is>
      </c>
      <c r="D2187" s="31" t="inlineStr">
        <is>
          <t>634151</t>
        </is>
      </c>
      <c r="E2187" s="31" t="inlineStr">
        <is>
          <t>72-53-02</t>
        </is>
      </c>
      <c r="F2187" s="31" t="inlineStr">
        <is>
          <t>O</t>
        </is>
      </c>
      <c r="G2187" s="31" t="inlineStr">
        <is>
          <t>HPT / nozzle</t>
        </is>
      </c>
      <c r="H2187" s="27" t="n">
        <v>615</v>
      </c>
      <c r="I2187" s="27" t="n">
        <v>655</v>
      </c>
      <c r="J2187" s="154">
        <f>I2187/H2187-1</f>
        <v/>
      </c>
      <c r="K2187" s="31" t="inlineStr">
        <is>
          <t>24</t>
        </is>
      </c>
      <c r="L2187" s="31" t="inlineStr">
        <is>
          <t>25</t>
        </is>
      </c>
      <c r="M2187" s="31" t="inlineStr">
        <is>
          <t>S2</t>
        </is>
      </c>
      <c r="N2187" s="31" t="inlineStr">
        <is>
          <t>S4</t>
        </is>
      </c>
      <c r="O2187" s="31" t="inlineStr">
        <is>
          <t>1523M29G04</t>
        </is>
      </c>
      <c r="P2187" s="31" t="inlineStr">
        <is>
          <t>SR Technics Switzerland</t>
        </is>
      </c>
    </row>
    <row r="2188">
      <c r="B2188" s="31" t="inlineStr">
        <is>
          <t>CFM56-5B</t>
        </is>
      </c>
      <c r="C2188" s="31" t="inlineStr">
        <is>
          <t>2025-2026</t>
        </is>
      </c>
      <c r="D2188" s="31" t="inlineStr">
        <is>
          <t>634151</t>
        </is>
      </c>
      <c r="E2188" s="31" t="inlineStr">
        <is>
          <t>72-53-02</t>
        </is>
      </c>
      <c r="F2188" s="31" t="inlineStr">
        <is>
          <t>SB01</t>
        </is>
      </c>
      <c r="G2188" s="31" t="inlineStr">
        <is>
          <t>HPT / nozzle</t>
        </is>
      </c>
      <c r="H2188" s="27" t="n">
        <v>4695</v>
      </c>
      <c r="I2188" s="27" t="n">
        <v>4980</v>
      </c>
      <c r="J2188" s="154">
        <f>I2188/H2188-1</f>
        <v/>
      </c>
      <c r="K2188" s="31" t="inlineStr">
        <is>
          <t>24</t>
        </is>
      </c>
      <c r="L2188" s="31" t="inlineStr">
        <is>
          <t>25</t>
        </is>
      </c>
      <c r="M2188" s="31" t="inlineStr">
        <is>
          <t>S2</t>
        </is>
      </c>
      <c r="N2188" s="31" t="inlineStr">
        <is>
          <t>S4</t>
        </is>
      </c>
      <c r="O2188" s="31" t="inlineStr">
        <is>
          <t>1523M29G04</t>
        </is>
      </c>
      <c r="P2188" s="31" t="inlineStr">
        <is>
          <t>SR Technics Switzerland</t>
        </is>
      </c>
    </row>
    <row r="2189">
      <c r="B2189" s="31" t="inlineStr">
        <is>
          <t>CFM56-5B</t>
        </is>
      </c>
      <c r="C2189" s="31" t="inlineStr">
        <is>
          <t>2025-2026</t>
        </is>
      </c>
      <c r="D2189" s="31" t="inlineStr">
        <is>
          <t>634151</t>
        </is>
      </c>
      <c r="E2189" s="31" t="inlineStr">
        <is>
          <t>72-53-02</t>
        </is>
      </c>
      <c r="F2189" s="31" t="inlineStr">
        <is>
          <t>SB02</t>
        </is>
      </c>
      <c r="G2189" s="31" t="inlineStr">
        <is>
          <t>HPT / nozzle</t>
        </is>
      </c>
      <c r="H2189" s="27" t="n">
        <v>4695</v>
      </c>
      <c r="I2189" s="27" t="n">
        <v>4980</v>
      </c>
      <c r="J2189" s="154">
        <f>I2189/H2189-1</f>
        <v/>
      </c>
      <c r="K2189" s="31" t="inlineStr">
        <is>
          <t>24</t>
        </is>
      </c>
      <c r="L2189" s="31" t="inlineStr">
        <is>
          <t>25</t>
        </is>
      </c>
      <c r="M2189" s="31" t="inlineStr">
        <is>
          <t>S2</t>
        </is>
      </c>
      <c r="N2189" s="31" t="inlineStr">
        <is>
          <t>S4</t>
        </is>
      </c>
      <c r="O2189" s="31" t="inlineStr">
        <is>
          <t>1523M29G04</t>
        </is>
      </c>
      <c r="P2189" s="31" t="inlineStr">
        <is>
          <t>SR Technics Switzerland</t>
        </is>
      </c>
    </row>
    <row r="2190">
      <c r="B2190" s="31" t="inlineStr">
        <is>
          <t>CFM56-5B</t>
        </is>
      </c>
      <c r="C2190" s="31" t="inlineStr">
        <is>
          <t>2025-2026</t>
        </is>
      </c>
      <c r="D2190" s="31" t="inlineStr">
        <is>
          <t>634151</t>
        </is>
      </c>
      <c r="E2190" s="31" t="inlineStr">
        <is>
          <t>72-53-02</t>
        </is>
      </c>
      <c r="F2190" s="31" t="inlineStr">
        <is>
          <t>SB03</t>
        </is>
      </c>
      <c r="G2190" s="31" t="inlineStr">
        <is>
          <t>HPT / nozzle</t>
        </is>
      </c>
      <c r="H2190" s="27" t="n">
        <v>4695</v>
      </c>
      <c r="I2190" s="27" t="n">
        <v>4980</v>
      </c>
      <c r="J2190" s="154">
        <f>I2190/H2190-1</f>
        <v/>
      </c>
      <c r="K2190" s="31" t="inlineStr">
        <is>
          <t>24</t>
        </is>
      </c>
      <c r="L2190" s="31" t="inlineStr">
        <is>
          <t>25</t>
        </is>
      </c>
      <c r="M2190" s="31" t="inlineStr">
        <is>
          <t>S2</t>
        </is>
      </c>
      <c r="N2190" s="31" t="inlineStr">
        <is>
          <t>S4</t>
        </is>
      </c>
      <c r="O2190" s="31" t="inlineStr">
        <is>
          <t>1523M29G04</t>
        </is>
      </c>
      <c r="P2190" s="31" t="inlineStr">
        <is>
          <t>SR Technics Switzerland</t>
        </is>
      </c>
    </row>
    <row r="2191">
      <c r="B2191" s="31" t="inlineStr">
        <is>
          <t>CFM56-5B</t>
        </is>
      </c>
      <c r="C2191" s="31" t="inlineStr">
        <is>
          <t>2025-2026</t>
        </is>
      </c>
      <c r="D2191" s="31" t="inlineStr">
        <is>
          <t>634151</t>
        </is>
      </c>
      <c r="E2191" s="31" t="inlineStr">
        <is>
          <t>72-53-02</t>
        </is>
      </c>
      <c r="F2191" s="31" t="inlineStr">
        <is>
          <t>T</t>
        </is>
      </c>
      <c r="G2191" s="31" t="inlineStr">
        <is>
          <t>HPT / nozzle</t>
        </is>
      </c>
      <c r="H2191" s="27" t="n">
        <v>6255</v>
      </c>
      <c r="I2191" s="27" t="n">
        <v>6635</v>
      </c>
      <c r="J2191" s="154">
        <f>I2191/H2191-1</f>
        <v/>
      </c>
      <c r="K2191" s="31" t="inlineStr">
        <is>
          <t>24</t>
        </is>
      </c>
      <c r="L2191" s="31" t="inlineStr">
        <is>
          <t>25</t>
        </is>
      </c>
      <c r="M2191" s="31" t="inlineStr">
        <is>
          <t>S2</t>
        </is>
      </c>
      <c r="N2191" s="31" t="inlineStr">
        <is>
          <t>S4</t>
        </is>
      </c>
      <c r="O2191" s="31" t="inlineStr">
        <is>
          <t>1523M29G04</t>
        </is>
      </c>
      <c r="P2191" s="31" t="inlineStr">
        <is>
          <t>SR Technics Switzerland</t>
        </is>
      </c>
    </row>
    <row r="2192">
      <c r="B2192" s="31" t="inlineStr">
        <is>
          <t>CFM56-5B</t>
        </is>
      </c>
      <c r="C2192" s="31" t="inlineStr">
        <is>
          <t>2025-2026</t>
        </is>
      </c>
      <c r="D2192" s="31" t="inlineStr">
        <is>
          <t>634151</t>
        </is>
      </c>
      <c r="E2192" s="31" t="inlineStr">
        <is>
          <t>72-53-02</t>
        </is>
      </c>
      <c r="F2192" s="31" t="inlineStr">
        <is>
          <t>V</t>
        </is>
      </c>
      <c r="G2192" s="31" t="inlineStr">
        <is>
          <t>HPT / nozzle</t>
        </is>
      </c>
      <c r="H2192" s="27" t="n">
        <v>2635</v>
      </c>
      <c r="I2192" s="27" t="n">
        <v>2795</v>
      </c>
      <c r="J2192" s="154">
        <f>I2192/H2192-1</f>
        <v/>
      </c>
      <c r="K2192" s="31" t="inlineStr">
        <is>
          <t>24</t>
        </is>
      </c>
      <c r="L2192" s="31" t="inlineStr">
        <is>
          <t>25</t>
        </is>
      </c>
      <c r="M2192" s="31" t="inlineStr">
        <is>
          <t>S2</t>
        </is>
      </c>
      <c r="N2192" s="31" t="inlineStr">
        <is>
          <t>S4</t>
        </is>
      </c>
      <c r="O2192" s="31" t="inlineStr">
        <is>
          <t>1523M29G04</t>
        </is>
      </c>
      <c r="P2192" s="31" t="inlineStr">
        <is>
          <t>SR Technics Switzerland</t>
        </is>
      </c>
    </row>
    <row r="2193">
      <c r="B2193" s="31" t="inlineStr">
        <is>
          <t>CFM56-5B</t>
        </is>
      </c>
      <c r="C2193" s="31" t="inlineStr">
        <is>
          <t>2025-2026</t>
        </is>
      </c>
      <c r="D2193" s="31" t="inlineStr">
        <is>
          <t>634151</t>
        </is>
      </c>
      <c r="E2193" s="31" t="inlineStr">
        <is>
          <t>72-53-02</t>
        </is>
      </c>
      <c r="F2193" s="31" t="inlineStr">
        <is>
          <t>W</t>
        </is>
      </c>
      <c r="G2193" s="31" t="inlineStr">
        <is>
          <t>HPT / nozzle</t>
        </is>
      </c>
      <c r="H2193" s="27" t="n">
        <v>2635</v>
      </c>
      <c r="I2193" s="27" t="n">
        <v>2795</v>
      </c>
      <c r="J2193" s="154">
        <f>I2193/H2193-1</f>
        <v/>
      </c>
      <c r="K2193" s="31" t="inlineStr">
        <is>
          <t>24</t>
        </is>
      </c>
      <c r="L2193" s="31" t="inlineStr">
        <is>
          <t>25</t>
        </is>
      </c>
      <c r="M2193" s="31" t="inlineStr">
        <is>
          <t>S2</t>
        </is>
      </c>
      <c r="N2193" s="31" t="inlineStr">
        <is>
          <t>S4</t>
        </is>
      </c>
      <c r="O2193" s="31" t="inlineStr">
        <is>
          <t>1523M29G04</t>
        </is>
      </c>
      <c r="P2193" s="31" t="inlineStr">
        <is>
          <t>SR Technics Switzerland</t>
        </is>
      </c>
    </row>
    <row r="2194">
      <c r="B2194" s="31" t="inlineStr">
        <is>
          <t>CFM56-5B</t>
        </is>
      </c>
      <c r="C2194" s="31" t="inlineStr">
        <is>
          <t>2025-2026</t>
        </is>
      </c>
      <c r="D2194" s="31" t="inlineStr">
        <is>
          <t>634151</t>
        </is>
      </c>
      <c r="E2194" s="31" t="inlineStr">
        <is>
          <t>72-53-02</t>
        </is>
      </c>
      <c r="F2194" s="31" t="inlineStr">
        <is>
          <t>X</t>
        </is>
      </c>
      <c r="G2194" s="31" t="inlineStr">
        <is>
          <t>HPT / nozzle</t>
        </is>
      </c>
      <c r="H2194" s="27" t="n">
        <v>8035</v>
      </c>
      <c r="I2194" s="27" t="n">
        <v>8520</v>
      </c>
      <c r="J2194" s="154">
        <f>I2194/H2194-1</f>
        <v/>
      </c>
      <c r="K2194" s="31" t="inlineStr">
        <is>
          <t>24</t>
        </is>
      </c>
      <c r="L2194" s="31" t="inlineStr">
        <is>
          <t>25</t>
        </is>
      </c>
      <c r="M2194" s="31" t="inlineStr">
        <is>
          <t>S2</t>
        </is>
      </c>
      <c r="N2194" s="31" t="inlineStr">
        <is>
          <t>S4</t>
        </is>
      </c>
      <c r="O2194" s="31" t="inlineStr">
        <is>
          <t>1523M29G04</t>
        </is>
      </c>
      <c r="P2194" s="31" t="inlineStr">
        <is>
          <t>SR Technics Switzerland</t>
        </is>
      </c>
    </row>
    <row r="2195">
      <c r="B2195" s="31" t="inlineStr">
        <is>
          <t>CFM56-5B</t>
        </is>
      </c>
      <c r="C2195" s="31" t="inlineStr">
        <is>
          <t>2025-2026</t>
        </is>
      </c>
      <c r="D2195" s="31" t="inlineStr">
        <is>
          <t>635513</t>
        </is>
      </c>
      <c r="E2195" s="31" t="inlineStr">
        <is>
          <t>72-00-56</t>
        </is>
      </c>
      <c r="F2195" s="31" t="inlineStr">
        <is>
          <t>A</t>
        </is>
      </c>
      <c r="G2195" s="31" t="inlineStr">
        <is>
          <t>Other / assembly</t>
        </is>
      </c>
      <c r="H2195" s="27" t="n">
        <v>255</v>
      </c>
      <c r="I2195" s="27" t="n">
        <v>270</v>
      </c>
      <c r="J2195" s="154">
        <f>I2195/H2195-1</f>
        <v/>
      </c>
      <c r="K2195" s="31" t="inlineStr">
        <is>
          <t>58</t>
        </is>
      </c>
      <c r="L2195" s="31" t="inlineStr">
        <is>
          <t>60</t>
        </is>
      </c>
      <c r="M2195" s="31" t="inlineStr">
        <is>
          <t>S2</t>
        </is>
      </c>
      <c r="N2195" s="31" t="inlineStr">
        <is>
          <t>S4</t>
        </is>
      </c>
      <c r="O2195" s="31" t="inlineStr">
        <is>
          <t>336-092-208-0</t>
        </is>
      </c>
      <c r="P2195" s="31" t="inlineStr">
        <is>
          <t>SR Technics Switzerland</t>
        </is>
      </c>
    </row>
    <row r="2196">
      <c r="B2196" s="31" t="inlineStr">
        <is>
          <t>CFM56-5B</t>
        </is>
      </c>
      <c r="C2196" s="31" t="inlineStr">
        <is>
          <t>2025-2026</t>
        </is>
      </c>
      <c r="D2196" s="31" t="inlineStr">
        <is>
          <t>635513</t>
        </is>
      </c>
      <c r="E2196" s="31" t="inlineStr">
        <is>
          <t>72-00-56</t>
        </is>
      </c>
      <c r="F2196" s="31" t="inlineStr">
        <is>
          <t>C</t>
        </is>
      </c>
      <c r="G2196" s="31" t="inlineStr">
        <is>
          <t>Other / assembly</t>
        </is>
      </c>
      <c r="H2196" s="27" t="n">
        <v>2160</v>
      </c>
      <c r="I2196" s="27" t="n">
        <v>2290</v>
      </c>
      <c r="J2196" s="154">
        <f>I2196/H2196-1</f>
        <v/>
      </c>
      <c r="K2196" s="31" t="inlineStr">
        <is>
          <t>58</t>
        </is>
      </c>
      <c r="L2196" s="31" t="inlineStr">
        <is>
          <t>60</t>
        </is>
      </c>
      <c r="M2196" s="31" t="inlineStr">
        <is>
          <t>S2</t>
        </is>
      </c>
      <c r="N2196" s="31" t="inlineStr">
        <is>
          <t>S4</t>
        </is>
      </c>
      <c r="O2196" s="31" t="inlineStr">
        <is>
          <t>336-092-208-0</t>
        </is>
      </c>
      <c r="P2196" s="31" t="inlineStr">
        <is>
          <t>SR Technics Switzerland</t>
        </is>
      </c>
    </row>
    <row r="2197">
      <c r="B2197" s="31" t="inlineStr">
        <is>
          <t>CFM56-5B</t>
        </is>
      </c>
      <c r="C2197" s="31" t="inlineStr">
        <is>
          <t>2025-2026</t>
        </is>
      </c>
      <c r="D2197" s="31" t="inlineStr">
        <is>
          <t>635513</t>
        </is>
      </c>
      <c r="E2197" s="31" t="inlineStr">
        <is>
          <t>72-00-56</t>
        </is>
      </c>
      <c r="F2197" s="31" t="inlineStr">
        <is>
          <t>D</t>
        </is>
      </c>
      <c r="G2197" s="31" t="inlineStr">
        <is>
          <t>Other / assembly</t>
        </is>
      </c>
      <c r="H2197" s="27" t="n">
        <v>175</v>
      </c>
      <c r="I2197" s="27" t="n">
        <v>190</v>
      </c>
      <c r="J2197" s="154">
        <f>I2197/H2197-1</f>
        <v/>
      </c>
      <c r="K2197" s="31" t="inlineStr">
        <is>
          <t>58</t>
        </is>
      </c>
      <c r="L2197" s="31" t="inlineStr">
        <is>
          <t>60</t>
        </is>
      </c>
      <c r="M2197" s="31" t="inlineStr">
        <is>
          <t>S2</t>
        </is>
      </c>
      <c r="N2197" s="31" t="inlineStr">
        <is>
          <t>S4</t>
        </is>
      </c>
      <c r="O2197" s="31" t="inlineStr">
        <is>
          <t>336-092-208-0</t>
        </is>
      </c>
      <c r="P2197" s="31" t="inlineStr">
        <is>
          <t>SR Technics Switzerland</t>
        </is>
      </c>
    </row>
    <row r="2198">
      <c r="B2198" s="31" t="inlineStr">
        <is>
          <t>CFM56-5B</t>
        </is>
      </c>
      <c r="C2198" s="31" t="inlineStr">
        <is>
          <t>2025-2026</t>
        </is>
      </c>
      <c r="D2198" s="31" t="inlineStr">
        <is>
          <t>635513</t>
        </is>
      </c>
      <c r="E2198" s="31" t="inlineStr">
        <is>
          <t>72-00-56</t>
        </is>
      </c>
      <c r="F2198" s="31" t="inlineStr">
        <is>
          <t>SB00</t>
        </is>
      </c>
      <c r="G2198" s="31" t="inlineStr">
        <is>
          <t>Other / assembly</t>
        </is>
      </c>
      <c r="H2198" s="27" t="n">
        <v>870</v>
      </c>
      <c r="I2198" s="27" t="n">
        <v>925</v>
      </c>
      <c r="J2198" s="154">
        <f>I2198/H2198-1</f>
        <v/>
      </c>
      <c r="K2198" s="31" t="inlineStr">
        <is>
          <t>58</t>
        </is>
      </c>
      <c r="L2198" s="31" t="inlineStr">
        <is>
          <t>60</t>
        </is>
      </c>
      <c r="M2198" s="31" t="inlineStr">
        <is>
          <t>S2</t>
        </is>
      </c>
      <c r="N2198" s="31" t="inlineStr">
        <is>
          <t>S4</t>
        </is>
      </c>
      <c r="O2198" s="31" t="inlineStr">
        <is>
          <t>336-092-208-0</t>
        </is>
      </c>
      <c r="P2198" s="31" t="inlineStr">
        <is>
          <t>SR Technics Switzerland</t>
        </is>
      </c>
    </row>
    <row r="2199">
      <c r="B2199" s="31" t="inlineStr">
        <is>
          <t>CFM56-5B</t>
        </is>
      </c>
      <c r="C2199" s="31" t="inlineStr">
        <is>
          <t>2025-2026</t>
        </is>
      </c>
      <c r="D2199" s="31" t="inlineStr">
        <is>
          <t>635513</t>
        </is>
      </c>
      <c r="E2199" s="31" t="inlineStr">
        <is>
          <t>72-00-56</t>
        </is>
      </c>
      <c r="F2199" s="31" t="inlineStr">
        <is>
          <t>SB01</t>
        </is>
      </c>
      <c r="G2199" s="31" t="inlineStr">
        <is>
          <t>Other / assembly</t>
        </is>
      </c>
      <c r="H2199" s="27" t="n">
        <v>275</v>
      </c>
      <c r="I2199" s="27" t="n">
        <v>295</v>
      </c>
      <c r="J2199" s="154">
        <f>I2199/H2199-1</f>
        <v/>
      </c>
      <c r="K2199" s="31" t="inlineStr">
        <is>
          <t>58</t>
        </is>
      </c>
      <c r="L2199" s="31" t="inlineStr">
        <is>
          <t>60</t>
        </is>
      </c>
      <c r="M2199" s="31" t="inlineStr">
        <is>
          <t>S2</t>
        </is>
      </c>
      <c r="N2199" s="31" t="inlineStr">
        <is>
          <t>S4</t>
        </is>
      </c>
      <c r="O2199" s="31" t="inlineStr">
        <is>
          <t>336-092-208-0</t>
        </is>
      </c>
      <c r="P2199" s="31" t="inlineStr">
        <is>
          <t>SR Technics Switzerland</t>
        </is>
      </c>
    </row>
    <row r="2200">
      <c r="B2200" s="31" t="inlineStr">
        <is>
          <t>CFM56-5B</t>
        </is>
      </c>
      <c r="C2200" s="31" t="inlineStr">
        <is>
          <t>2025-2026</t>
        </is>
      </c>
      <c r="D2200" s="31" t="inlineStr">
        <is>
          <t>635520</t>
        </is>
      </c>
      <c r="E2200" s="31" t="inlineStr">
        <is>
          <t>72-00-32</t>
        </is>
      </c>
      <c r="F2200" s="31" t="inlineStr">
        <is>
          <t>A</t>
        </is>
      </c>
      <c r="G2200" s="31" t="inlineStr">
        <is>
          <t>Other / assembly</t>
        </is>
      </c>
      <c r="H2200" s="27" t="n">
        <v>485</v>
      </c>
      <c r="I2200" s="27" t="n">
        <v>510</v>
      </c>
      <c r="J2200" s="154">
        <f>I2200/H2200-1</f>
        <v/>
      </c>
      <c r="K2200" s="31" t="inlineStr">
        <is>
          <t>58</t>
        </is>
      </c>
      <c r="L2200" s="31" t="inlineStr">
        <is>
          <t>60</t>
        </is>
      </c>
      <c r="M2200" s="31" t="inlineStr">
        <is>
          <t>S2</t>
        </is>
      </c>
      <c r="N2200" s="31" t="inlineStr">
        <is>
          <t>S4</t>
        </is>
      </c>
      <c r="O2200" s="31" t="inlineStr">
        <is>
          <t>1887M16G01</t>
        </is>
      </c>
      <c r="P2200" s="31" t="inlineStr">
        <is>
          <t>SR Technics Switzerland</t>
        </is>
      </c>
    </row>
    <row r="2201">
      <c r="B2201" s="31" t="inlineStr">
        <is>
          <t>CFM56-5B</t>
        </is>
      </c>
      <c r="C2201" s="31" t="inlineStr">
        <is>
          <t>2025-2026</t>
        </is>
      </c>
      <c r="D2201" s="31" t="inlineStr">
        <is>
          <t>635520</t>
        </is>
      </c>
      <c r="E2201" s="31" t="inlineStr">
        <is>
          <t>72-00-32</t>
        </is>
      </c>
      <c r="F2201" s="31" t="inlineStr">
        <is>
          <t>B</t>
        </is>
      </c>
      <c r="G2201" s="31" t="inlineStr">
        <is>
          <t>Other / assembly</t>
        </is>
      </c>
      <c r="H2201" s="27" t="n">
        <v>865</v>
      </c>
      <c r="I2201" s="27" t="n">
        <v>920</v>
      </c>
      <c r="J2201" s="154">
        <f>I2201/H2201-1</f>
        <v/>
      </c>
      <c r="K2201" s="31" t="inlineStr">
        <is>
          <t>58</t>
        </is>
      </c>
      <c r="L2201" s="31" t="inlineStr">
        <is>
          <t>60</t>
        </is>
      </c>
      <c r="M2201" s="31" t="inlineStr">
        <is>
          <t>S2</t>
        </is>
      </c>
      <c r="N2201" s="31" t="inlineStr">
        <is>
          <t>S4</t>
        </is>
      </c>
      <c r="O2201" s="31" t="inlineStr">
        <is>
          <t>1887M16G01</t>
        </is>
      </c>
      <c r="P2201" s="31" t="inlineStr">
        <is>
          <t>SR Technics Switzerland</t>
        </is>
      </c>
    </row>
    <row r="2202">
      <c r="B2202" s="31" t="inlineStr">
        <is>
          <t>CFM56-5B</t>
        </is>
      </c>
      <c r="C2202" s="31" t="inlineStr">
        <is>
          <t>2025-2026</t>
        </is>
      </c>
      <c r="D2202" s="31" t="inlineStr">
        <is>
          <t>635520</t>
        </is>
      </c>
      <c r="E2202" s="31" t="inlineStr">
        <is>
          <t>72-00-32</t>
        </is>
      </c>
      <c r="F2202" s="31" t="inlineStr">
        <is>
          <t>M</t>
        </is>
      </c>
      <c r="G2202" s="31" t="inlineStr">
        <is>
          <t>Other / assembly</t>
        </is>
      </c>
      <c r="H2202" s="27" t="n">
        <v>4845</v>
      </c>
      <c r="I2202" s="27" t="n">
        <v>5140</v>
      </c>
      <c r="J2202" s="154">
        <f>I2202/H2202-1</f>
        <v/>
      </c>
      <c r="K2202" s="31" t="inlineStr">
        <is>
          <t>58</t>
        </is>
      </c>
      <c r="L2202" s="31" t="inlineStr">
        <is>
          <t>60</t>
        </is>
      </c>
      <c r="M2202" s="31" t="inlineStr">
        <is>
          <t>S2</t>
        </is>
      </c>
      <c r="N2202" s="31" t="inlineStr">
        <is>
          <t>S4</t>
        </is>
      </c>
      <c r="O2202" s="31" t="inlineStr">
        <is>
          <t>1887M16G01</t>
        </is>
      </c>
      <c r="P2202" s="31" t="inlineStr">
        <is>
          <t>SR Technics Switzerland</t>
        </is>
      </c>
    </row>
    <row r="2203">
      <c r="B2203" s="31" t="inlineStr">
        <is>
          <t>CFM56-5B</t>
        </is>
      </c>
      <c r="C2203" s="31" t="inlineStr">
        <is>
          <t>2025-2026</t>
        </is>
      </c>
      <c r="D2203" s="31" t="inlineStr">
        <is>
          <t>635521</t>
        </is>
      </c>
      <c r="E2203" s="31" t="inlineStr">
        <is>
          <t>72-00-53</t>
        </is>
      </c>
      <c r="F2203" s="31" t="inlineStr">
        <is>
          <t>A</t>
        </is>
      </c>
      <c r="G2203" s="31" t="inlineStr">
        <is>
          <t>Other / assembly</t>
        </is>
      </c>
      <c r="H2203" s="27" t="n">
        <v>485</v>
      </c>
      <c r="I2203" s="27" t="n">
        <v>510</v>
      </c>
      <c r="J2203" s="154">
        <f>I2203/H2203-1</f>
        <v/>
      </c>
      <c r="K2203" s="31" t="inlineStr">
        <is>
          <t>25</t>
        </is>
      </c>
      <c r="L2203" s="31" t="inlineStr">
        <is>
          <t>26</t>
        </is>
      </c>
      <c r="M2203" s="31" t="inlineStr">
        <is>
          <t>S2</t>
        </is>
      </c>
      <c r="N2203" s="31" t="inlineStr">
        <is>
          <t>S4</t>
        </is>
      </c>
      <c r="O2203" s="31" t="inlineStr">
        <is>
          <t>9324M22G01</t>
        </is>
      </c>
      <c r="P2203" s="31" t="inlineStr">
        <is>
          <t>SR Technics Switzerland</t>
        </is>
      </c>
    </row>
    <row r="2204">
      <c r="B2204" s="31" t="inlineStr">
        <is>
          <t>CFM56-5B</t>
        </is>
      </c>
      <c r="C2204" s="31" t="inlineStr">
        <is>
          <t>2025-2026</t>
        </is>
      </c>
      <c r="D2204" s="31" t="inlineStr">
        <is>
          <t>635521</t>
        </is>
      </c>
      <c r="E2204" s="31" t="inlineStr">
        <is>
          <t>72-00-53</t>
        </is>
      </c>
      <c r="F2204" s="31" t="inlineStr">
        <is>
          <t>B</t>
        </is>
      </c>
      <c r="G2204" s="31" t="inlineStr">
        <is>
          <t>Other / assembly</t>
        </is>
      </c>
      <c r="H2204" s="27" t="n">
        <v>865</v>
      </c>
      <c r="I2204" s="27" t="n">
        <v>920</v>
      </c>
      <c r="J2204" s="154">
        <f>I2204/H2204-1</f>
        <v/>
      </c>
      <c r="K2204" s="31" t="inlineStr">
        <is>
          <t>25</t>
        </is>
      </c>
      <c r="L2204" s="31" t="inlineStr">
        <is>
          <t>26</t>
        </is>
      </c>
      <c r="M2204" s="31" t="inlineStr">
        <is>
          <t>S2</t>
        </is>
      </c>
      <c r="N2204" s="31" t="inlineStr">
        <is>
          <t>S4</t>
        </is>
      </c>
      <c r="O2204" s="31" t="inlineStr">
        <is>
          <t>9324M22G01</t>
        </is>
      </c>
      <c r="P2204" s="31" t="inlineStr">
        <is>
          <t>SR Technics Switzerland</t>
        </is>
      </c>
    </row>
    <row r="2205">
      <c r="B2205" s="31" t="inlineStr">
        <is>
          <t>CFM56-5B</t>
        </is>
      </c>
      <c r="C2205" s="31" t="inlineStr">
        <is>
          <t>2025-2026</t>
        </is>
      </c>
      <c r="D2205" s="31" t="inlineStr">
        <is>
          <t>635864</t>
        </is>
      </c>
      <c r="E2205" s="31" t="inlineStr">
        <is>
          <t>72-00-61</t>
        </is>
      </c>
      <c r="F2205" s="31" t="inlineStr">
        <is>
          <t>SB00</t>
        </is>
      </c>
      <c r="G2205" s="31" t="inlineStr">
        <is>
          <t>Other / assembly</t>
        </is>
      </c>
      <c r="H2205" s="27" t="n">
        <v>160</v>
      </c>
      <c r="I2205" s="27" t="n">
        <v>170</v>
      </c>
      <c r="J2205" s="154">
        <f>I2205/H2205-1</f>
        <v/>
      </c>
      <c r="K2205" s="31" t="inlineStr">
        <is>
          <t>58</t>
        </is>
      </c>
      <c r="L2205" s="31" t="inlineStr">
        <is>
          <t>60</t>
        </is>
      </c>
      <c r="M2205" s="31" t="inlineStr">
        <is>
          <t>S2</t>
        </is>
      </c>
      <c r="N2205" s="31" t="inlineStr">
        <is>
          <t>S4</t>
        </is>
      </c>
      <c r="O2205" s="31" t="inlineStr">
        <is>
          <t>9324M54G04</t>
        </is>
      </c>
      <c r="P2205" s="31" t="inlineStr">
        <is>
          <t>SR Technics Switzerland</t>
        </is>
      </c>
    </row>
    <row r="2206">
      <c r="B2206" s="31" t="inlineStr">
        <is>
          <t>CFM56-5B</t>
        </is>
      </c>
      <c r="C2206" s="31" t="inlineStr">
        <is>
          <t>2025-2026</t>
        </is>
      </c>
      <c r="D2206" s="31" t="inlineStr">
        <is>
          <t>636431</t>
        </is>
      </c>
      <c r="E2206" s="31" t="inlineStr">
        <is>
          <t>72-00-54</t>
        </is>
      </c>
      <c r="F2206" s="31" t="inlineStr">
        <is>
          <t>A</t>
        </is>
      </c>
      <c r="G2206" s="31" t="inlineStr">
        <is>
          <t>Other / assembly</t>
        </is>
      </c>
      <c r="H2206" s="27" t="n">
        <v>485</v>
      </c>
      <c r="I2206" s="27" t="n">
        <v>510</v>
      </c>
      <c r="J2206" s="154">
        <f>I2206/H2206-1</f>
        <v/>
      </c>
      <c r="K2206" s="31" t="inlineStr">
        <is>
          <t>58</t>
        </is>
      </c>
      <c r="L2206" s="31" t="inlineStr">
        <is>
          <t>60</t>
        </is>
      </c>
      <c r="M2206" s="31" t="inlineStr">
        <is>
          <t>S2</t>
        </is>
      </c>
      <c r="N2206" s="31" t="inlineStr">
        <is>
          <t>S4</t>
        </is>
      </c>
      <c r="O2206" s="31" t="inlineStr">
        <is>
          <t>338-071-201-0</t>
        </is>
      </c>
      <c r="P2206" s="31" t="inlineStr">
        <is>
          <t>SR Technics Switzerland</t>
        </is>
      </c>
    </row>
    <row r="2207">
      <c r="B2207" s="31" t="inlineStr">
        <is>
          <t>CFM56-5B</t>
        </is>
      </c>
      <c r="C2207" s="31" t="inlineStr">
        <is>
          <t>2025-2026</t>
        </is>
      </c>
      <c r="D2207" s="31" t="inlineStr">
        <is>
          <t>636431</t>
        </is>
      </c>
      <c r="E2207" s="31" t="inlineStr">
        <is>
          <t>72-00-54</t>
        </is>
      </c>
      <c r="F2207" s="31" t="inlineStr">
        <is>
          <t>B</t>
        </is>
      </c>
      <c r="G2207" s="31" t="inlineStr">
        <is>
          <t>Other / assembly</t>
        </is>
      </c>
      <c r="H2207" s="27" t="n">
        <v>165</v>
      </c>
      <c r="I2207" s="27" t="n">
        <v>175</v>
      </c>
      <c r="J2207" s="154">
        <f>I2207/H2207-1</f>
        <v/>
      </c>
      <c r="K2207" s="31" t="inlineStr">
        <is>
          <t>58</t>
        </is>
      </c>
      <c r="L2207" s="31" t="inlineStr">
        <is>
          <t>60</t>
        </is>
      </c>
      <c r="M2207" s="31" t="inlineStr">
        <is>
          <t>S2</t>
        </is>
      </c>
      <c r="N2207" s="31" t="inlineStr">
        <is>
          <t>S4</t>
        </is>
      </c>
      <c r="O2207" s="31" t="inlineStr">
        <is>
          <t>338-071-201-0</t>
        </is>
      </c>
      <c r="P2207" s="31" t="inlineStr">
        <is>
          <t>SR Technics Switzerland</t>
        </is>
      </c>
    </row>
    <row r="2208">
      <c r="B2208" s="31" t="inlineStr">
        <is>
          <t>CFM56-5B</t>
        </is>
      </c>
      <c r="C2208" s="31" t="inlineStr">
        <is>
          <t>2025-2026</t>
        </is>
      </c>
      <c r="D2208" s="31" t="inlineStr">
        <is>
          <t>636432</t>
        </is>
      </c>
      <c r="E2208" s="31" t="inlineStr">
        <is>
          <t>72-00-55</t>
        </is>
      </c>
      <c r="F2208" s="31" t="inlineStr">
        <is>
          <t>A</t>
        </is>
      </c>
      <c r="G2208" s="31" t="inlineStr">
        <is>
          <t>Other / assembly</t>
        </is>
      </c>
      <c r="H2208" s="27" t="n">
        <v>410</v>
      </c>
      <c r="I2208" s="27" t="n">
        <v>435</v>
      </c>
      <c r="J2208" s="154">
        <f>I2208/H2208-1</f>
        <v/>
      </c>
      <c r="K2208" s="31" t="inlineStr">
        <is>
          <t>58</t>
        </is>
      </c>
      <c r="L2208" s="31" t="inlineStr">
        <is>
          <t>60</t>
        </is>
      </c>
      <c r="M2208" s="31" t="inlineStr">
        <is>
          <t>S2</t>
        </is>
      </c>
      <c r="N2208" s="31" t="inlineStr">
        <is>
          <t>S4</t>
        </is>
      </c>
      <c r="O2208" s="31" t="inlineStr">
        <is>
          <t>338-071-301-0</t>
        </is>
      </c>
      <c r="P2208" s="31" t="inlineStr">
        <is>
          <t>SR Technics Switzerland</t>
        </is>
      </c>
    </row>
    <row r="2209">
      <c r="B2209" s="31" t="inlineStr">
        <is>
          <t>CFM56-5B</t>
        </is>
      </c>
      <c r="C2209" s="31" t="inlineStr">
        <is>
          <t>2025-2026</t>
        </is>
      </c>
      <c r="D2209" s="31" t="inlineStr">
        <is>
          <t>636432</t>
        </is>
      </c>
      <c r="E2209" s="31" t="inlineStr">
        <is>
          <t>72-00-55</t>
        </is>
      </c>
      <c r="F2209" s="31" t="inlineStr">
        <is>
          <t>B</t>
        </is>
      </c>
      <c r="G2209" s="31" t="inlineStr">
        <is>
          <t>Other / assembly</t>
        </is>
      </c>
      <c r="H2209" s="27" t="n">
        <v>495</v>
      </c>
      <c r="I2209" s="27" t="n">
        <v>525</v>
      </c>
      <c r="J2209" s="154">
        <f>I2209/H2209-1</f>
        <v/>
      </c>
      <c r="K2209" s="31" t="inlineStr">
        <is>
          <t>58</t>
        </is>
      </c>
      <c r="L2209" s="31" t="inlineStr">
        <is>
          <t>60</t>
        </is>
      </c>
      <c r="M2209" s="31" t="inlineStr">
        <is>
          <t>S2</t>
        </is>
      </c>
      <c r="N2209" s="31" t="inlineStr">
        <is>
          <t>S4</t>
        </is>
      </c>
      <c r="O2209" s="31" t="inlineStr">
        <is>
          <t>338-071-301-0</t>
        </is>
      </c>
      <c r="P2209" s="31" t="inlineStr">
        <is>
          <t>SR Technics Switzerland</t>
        </is>
      </c>
    </row>
    <row r="2210">
      <c r="B2210" s="31" t="inlineStr">
        <is>
          <t>CFM56-5B</t>
        </is>
      </c>
      <c r="C2210" s="31" t="inlineStr">
        <is>
          <t>2025-2026</t>
        </is>
      </c>
      <c r="D2210" s="31" t="inlineStr">
        <is>
          <t>636432</t>
        </is>
      </c>
      <c r="E2210" s="31" t="inlineStr">
        <is>
          <t>72-00-55</t>
        </is>
      </c>
      <c r="F2210" s="31" t="inlineStr">
        <is>
          <t>K</t>
        </is>
      </c>
      <c r="G2210" s="31" t="inlineStr">
        <is>
          <t>Other / assembly</t>
        </is>
      </c>
      <c r="H2210" s="27" t="n">
        <v>325</v>
      </c>
      <c r="I2210" s="27" t="n">
        <v>345</v>
      </c>
      <c r="J2210" s="154">
        <f>I2210/H2210-1</f>
        <v/>
      </c>
      <c r="K2210" s="31" t="inlineStr">
        <is>
          <t>58</t>
        </is>
      </c>
      <c r="L2210" s="31" t="inlineStr">
        <is>
          <t>60</t>
        </is>
      </c>
      <c r="M2210" s="31" t="inlineStr">
        <is>
          <t>S2</t>
        </is>
      </c>
      <c r="N2210" s="31" t="inlineStr">
        <is>
          <t>S4</t>
        </is>
      </c>
      <c r="O2210" s="31" t="inlineStr">
        <is>
          <t>338-071-301-0</t>
        </is>
      </c>
      <c r="P2210" s="31" t="inlineStr">
        <is>
          <t>SR Technics Switzerland</t>
        </is>
      </c>
    </row>
    <row r="2211">
      <c r="B2211" s="31" t="inlineStr">
        <is>
          <t>CFM56-5B</t>
        </is>
      </c>
      <c r="C2211" s="31" t="inlineStr">
        <is>
          <t>2025-2026</t>
        </is>
      </c>
      <c r="D2211" s="31" t="inlineStr">
        <is>
          <t>636432</t>
        </is>
      </c>
      <c r="E2211" s="31" t="inlineStr">
        <is>
          <t>72-00-55</t>
        </is>
      </c>
      <c r="F2211" s="31" t="inlineStr">
        <is>
          <t>O</t>
        </is>
      </c>
      <c r="G2211" s="31" t="inlineStr">
        <is>
          <t>Other / assembly</t>
        </is>
      </c>
      <c r="H2211" s="27" t="n">
        <v>510</v>
      </c>
      <c r="I2211" s="27" t="n">
        <v>545</v>
      </c>
      <c r="J2211" s="154">
        <f>I2211/H2211-1</f>
        <v/>
      </c>
      <c r="K2211" s="31" t="inlineStr">
        <is>
          <t>58</t>
        </is>
      </c>
      <c r="L2211" s="31" t="inlineStr">
        <is>
          <t>60</t>
        </is>
      </c>
      <c r="M2211" s="31" t="inlineStr">
        <is>
          <t>S2</t>
        </is>
      </c>
      <c r="N2211" s="31" t="inlineStr">
        <is>
          <t>S4</t>
        </is>
      </c>
      <c r="O2211" s="31" t="inlineStr">
        <is>
          <t>338-071-301-0</t>
        </is>
      </c>
      <c r="P2211" s="31" t="inlineStr">
        <is>
          <t>SR Technics Switzerland</t>
        </is>
      </c>
    </row>
    <row r="2212">
      <c r="B2212" s="31" t="inlineStr">
        <is>
          <t>CFM56-5B</t>
        </is>
      </c>
      <c r="C2212" s="31" t="inlineStr">
        <is>
          <t>2025-2026</t>
        </is>
      </c>
      <c r="D2212" s="31" t="inlineStr">
        <is>
          <t>636616</t>
        </is>
      </c>
      <c r="E2212" s="31" t="inlineStr">
        <is>
          <t>72-54-07</t>
        </is>
      </c>
      <c r="F2212" s="31" t="inlineStr">
        <is>
          <t>A</t>
        </is>
      </c>
      <c r="G2212" s="31" t="inlineStr">
        <is>
          <t>LPT</t>
        </is>
      </c>
      <c r="H2212" s="27" t="n">
        <v>415</v>
      </c>
      <c r="I2212" s="27" t="n">
        <v>440</v>
      </c>
      <c r="J2212" s="154">
        <f>I2212/H2212-1</f>
        <v/>
      </c>
      <c r="K2212" s="31" t="inlineStr">
        <is>
          <t>58</t>
        </is>
      </c>
      <c r="L2212" s="31" t="inlineStr">
        <is>
          <t>60</t>
        </is>
      </c>
      <c r="M2212" s="31" t="inlineStr">
        <is>
          <t>S2</t>
        </is>
      </c>
      <c r="N2212" s="31" t="inlineStr">
        <is>
          <t>S4</t>
        </is>
      </c>
      <c r="O2212" s="31" t="inlineStr">
        <is>
          <t>338-118-004-0</t>
        </is>
      </c>
      <c r="P2212" s="31" t="inlineStr">
        <is>
          <t>SR Technics Switzerland</t>
        </is>
      </c>
    </row>
    <row r="2213">
      <c r="B2213" s="31" t="inlineStr">
        <is>
          <t>CFM56-5B</t>
        </is>
      </c>
      <c r="C2213" s="31" t="inlineStr">
        <is>
          <t>2025-2026</t>
        </is>
      </c>
      <c r="D2213" s="31" t="inlineStr">
        <is>
          <t>636616</t>
        </is>
      </c>
      <c r="E2213" s="31" t="inlineStr">
        <is>
          <t>72-54-07</t>
        </is>
      </c>
      <c r="F2213" s="31" t="inlineStr">
        <is>
          <t>B</t>
        </is>
      </c>
      <c r="G2213" s="31" t="inlineStr">
        <is>
          <t>LPT</t>
        </is>
      </c>
      <c r="H2213" s="27" t="n">
        <v>1080</v>
      </c>
      <c r="I2213" s="27" t="n">
        <v>1145</v>
      </c>
      <c r="J2213" s="154">
        <f>I2213/H2213-1</f>
        <v/>
      </c>
      <c r="K2213" s="31" t="inlineStr">
        <is>
          <t>58</t>
        </is>
      </c>
      <c r="L2213" s="31" t="inlineStr">
        <is>
          <t>60</t>
        </is>
      </c>
      <c r="M2213" s="31" t="inlineStr">
        <is>
          <t>S2</t>
        </is>
      </c>
      <c r="N2213" s="31" t="inlineStr">
        <is>
          <t>S4</t>
        </is>
      </c>
      <c r="O2213" s="31" t="inlineStr">
        <is>
          <t>338-118-004-0</t>
        </is>
      </c>
      <c r="P2213" s="31" t="inlineStr">
        <is>
          <t>SR Technics Switzerland</t>
        </is>
      </c>
    </row>
    <row r="2214">
      <c r="B2214" s="31" t="inlineStr">
        <is>
          <t>CFM56-5B</t>
        </is>
      </c>
      <c r="C2214" s="31" t="inlineStr">
        <is>
          <t>2025-2026</t>
        </is>
      </c>
      <c r="D2214" s="31" t="inlineStr">
        <is>
          <t>637097</t>
        </is>
      </c>
      <c r="E2214" s="31" t="inlineStr">
        <is>
          <t>72-00-31</t>
        </is>
      </c>
      <c r="F2214" s="31" t="inlineStr">
        <is>
          <t>A</t>
        </is>
      </c>
      <c r="G2214" s="31" t="inlineStr">
        <is>
          <t>Other / assembly</t>
        </is>
      </c>
      <c r="H2214" s="27" t="n">
        <v>3355</v>
      </c>
      <c r="I2214" s="27" t="n">
        <v>3525</v>
      </c>
      <c r="J2214" s="154">
        <f>I2214/H2214-1</f>
        <v/>
      </c>
      <c r="K2214" s="31" t="inlineStr">
        <is>
          <t>25</t>
        </is>
      </c>
      <c r="L2214" s="31" t="inlineStr">
        <is>
          <t>26</t>
        </is>
      </c>
      <c r="M2214" s="31" t="inlineStr">
        <is>
          <t>S2</t>
        </is>
      </c>
      <c r="N2214" s="31" t="inlineStr">
        <is>
          <t>S4</t>
        </is>
      </c>
      <c r="O2214" s="31" t="inlineStr">
        <is>
          <t>1887M18G01</t>
        </is>
      </c>
      <c r="P2214" s="31" t="inlineStr">
        <is>
          <t>SR Technics Switzerland</t>
        </is>
      </c>
    </row>
    <row r="2215">
      <c r="B2215" s="31" t="inlineStr">
        <is>
          <t>CFM56-5B</t>
        </is>
      </c>
      <c r="C2215" s="31" t="inlineStr">
        <is>
          <t>2025-2026</t>
        </is>
      </c>
      <c r="D2215" s="31" t="inlineStr">
        <is>
          <t>637097</t>
        </is>
      </c>
      <c r="E2215" s="31" t="inlineStr">
        <is>
          <t>72-00-31</t>
        </is>
      </c>
      <c r="F2215" s="31" t="inlineStr">
        <is>
          <t>B</t>
        </is>
      </c>
      <c r="G2215" s="31" t="inlineStr">
        <is>
          <t>Other / assembly</t>
        </is>
      </c>
      <c r="H2215" s="27" t="n">
        <v>870</v>
      </c>
      <c r="I2215" s="27" t="n">
        <v>925</v>
      </c>
      <c r="J2215" s="154">
        <f>I2215/H2215-1</f>
        <v/>
      </c>
      <c r="K2215" s="31" t="inlineStr">
        <is>
          <t>25</t>
        </is>
      </c>
      <c r="L2215" s="31" t="inlineStr">
        <is>
          <t>26</t>
        </is>
      </c>
      <c r="M2215" s="31" t="inlineStr">
        <is>
          <t>S2</t>
        </is>
      </c>
      <c r="N2215" s="31" t="inlineStr">
        <is>
          <t>S4</t>
        </is>
      </c>
      <c r="O2215" s="31" t="inlineStr">
        <is>
          <t>1887M18G01</t>
        </is>
      </c>
      <c r="P2215" s="31" t="inlineStr">
        <is>
          <t>SR Technics Switzerland</t>
        </is>
      </c>
    </row>
    <row r="2216">
      <c r="B2216" s="31" t="inlineStr">
        <is>
          <t>CFM56-5B</t>
        </is>
      </c>
      <c r="C2216" s="31" t="inlineStr">
        <is>
          <t>2025-2026</t>
        </is>
      </c>
      <c r="D2216" s="31" t="inlineStr">
        <is>
          <t>637097</t>
        </is>
      </c>
      <c r="E2216" s="31" t="inlineStr">
        <is>
          <t>72-00-31</t>
        </is>
      </c>
      <c r="F2216" s="31" t="inlineStr">
        <is>
          <t>C</t>
        </is>
      </c>
      <c r="G2216" s="31" t="inlineStr">
        <is>
          <t>Other / assembly</t>
        </is>
      </c>
      <c r="H2216" s="27" t="n">
        <v>870</v>
      </c>
      <c r="I2216" s="27" t="n">
        <v>925</v>
      </c>
      <c r="J2216" s="154">
        <f>I2216/H2216-1</f>
        <v/>
      </c>
      <c r="K2216" s="31" t="inlineStr">
        <is>
          <t>25</t>
        </is>
      </c>
      <c r="L2216" s="31" t="inlineStr">
        <is>
          <t>26</t>
        </is>
      </c>
      <c r="M2216" s="31" t="inlineStr">
        <is>
          <t>S2</t>
        </is>
      </c>
      <c r="N2216" s="31" t="inlineStr">
        <is>
          <t>S4</t>
        </is>
      </c>
      <c r="O2216" s="31" t="inlineStr">
        <is>
          <t>1887M18G01</t>
        </is>
      </c>
      <c r="P2216" s="31" t="inlineStr">
        <is>
          <t>SR Technics Switzerland</t>
        </is>
      </c>
    </row>
    <row r="2217">
      <c r="B2217" s="31" t="inlineStr">
        <is>
          <t>CFM56-5B</t>
        </is>
      </c>
      <c r="C2217" s="31" t="inlineStr">
        <is>
          <t>2025-2026</t>
        </is>
      </c>
      <c r="D2217" s="31" t="inlineStr">
        <is>
          <t>637097</t>
        </is>
      </c>
      <c r="E2217" s="31" t="inlineStr">
        <is>
          <t>72-00-31</t>
        </is>
      </c>
      <c r="F2217" s="31" t="inlineStr">
        <is>
          <t>D</t>
        </is>
      </c>
      <c r="G2217" s="31" t="inlineStr">
        <is>
          <t>Other / assembly</t>
        </is>
      </c>
      <c r="H2217" s="27" t="n">
        <v>870</v>
      </c>
      <c r="I2217" s="27" t="n">
        <v>925</v>
      </c>
      <c r="J2217" s="154">
        <f>I2217/H2217-1</f>
        <v/>
      </c>
      <c r="K2217" s="31" t="inlineStr">
        <is>
          <t>25</t>
        </is>
      </c>
      <c r="L2217" s="31" t="inlineStr">
        <is>
          <t>26</t>
        </is>
      </c>
      <c r="M2217" s="31" t="inlineStr">
        <is>
          <t>S2</t>
        </is>
      </c>
      <c r="N2217" s="31" t="inlineStr">
        <is>
          <t>S4</t>
        </is>
      </c>
      <c r="O2217" s="31" t="inlineStr">
        <is>
          <t>1887M18G01</t>
        </is>
      </c>
      <c r="P2217" s="31" t="inlineStr">
        <is>
          <t>SR Technics Switzerland</t>
        </is>
      </c>
    </row>
    <row r="2218">
      <c r="B2218" s="31" t="inlineStr">
        <is>
          <t>CFM56-5B</t>
        </is>
      </c>
      <c r="C2218" s="31" t="inlineStr">
        <is>
          <t>2025-2026</t>
        </is>
      </c>
      <c r="D2218" s="31" t="inlineStr">
        <is>
          <t>637097</t>
        </is>
      </c>
      <c r="E2218" s="31" t="inlineStr">
        <is>
          <t>72-00-31</t>
        </is>
      </c>
      <c r="F2218" s="31" t="inlineStr">
        <is>
          <t>G</t>
        </is>
      </c>
      <c r="G2218" s="31" t="inlineStr">
        <is>
          <t>Other / assembly</t>
        </is>
      </c>
      <c r="H2218" s="27" t="n">
        <v>870</v>
      </c>
      <c r="I2218" s="27" t="n">
        <v>925</v>
      </c>
      <c r="J2218" s="154">
        <f>I2218/H2218-1</f>
        <v/>
      </c>
      <c r="K2218" s="31" t="inlineStr">
        <is>
          <t>25</t>
        </is>
      </c>
      <c r="L2218" s="31" t="inlineStr">
        <is>
          <t>26</t>
        </is>
      </c>
      <c r="M2218" s="31" t="inlineStr">
        <is>
          <t>S2</t>
        </is>
      </c>
      <c r="N2218" s="31" t="inlineStr">
        <is>
          <t>S4</t>
        </is>
      </c>
      <c r="O2218" s="31" t="inlineStr">
        <is>
          <t>1887M18G01</t>
        </is>
      </c>
      <c r="P2218" s="31" t="inlineStr">
        <is>
          <t>SR Technics Switzerland</t>
        </is>
      </c>
    </row>
    <row r="2219">
      <c r="B2219" s="31" t="inlineStr">
        <is>
          <t>CFM56-5B</t>
        </is>
      </c>
      <c r="C2219" s="31" t="inlineStr">
        <is>
          <t>2025-2026</t>
        </is>
      </c>
      <c r="D2219" s="31" t="inlineStr">
        <is>
          <t>637097</t>
        </is>
      </c>
      <c r="E2219" s="31" t="inlineStr">
        <is>
          <t>72-00-31</t>
        </is>
      </c>
      <c r="F2219" s="31" t="inlineStr">
        <is>
          <t>H</t>
        </is>
      </c>
      <c r="G2219" s="31" t="inlineStr">
        <is>
          <t>Other / assembly</t>
        </is>
      </c>
      <c r="H2219" s="27" t="n">
        <v>970</v>
      </c>
      <c r="I2219" s="27" t="n">
        <v>1030</v>
      </c>
      <c r="J2219" s="154">
        <f>I2219/H2219-1</f>
        <v/>
      </c>
      <c r="K2219" s="31" t="inlineStr">
        <is>
          <t>25</t>
        </is>
      </c>
      <c r="L2219" s="31" t="inlineStr">
        <is>
          <t>26</t>
        </is>
      </c>
      <c r="M2219" s="31" t="inlineStr">
        <is>
          <t>S2</t>
        </is>
      </c>
      <c r="N2219" s="31" t="inlineStr">
        <is>
          <t>S4</t>
        </is>
      </c>
      <c r="O2219" s="31" t="inlineStr">
        <is>
          <t>1887M18G01</t>
        </is>
      </c>
      <c r="P2219" s="31" t="inlineStr">
        <is>
          <t>SR Technics Switzerland</t>
        </is>
      </c>
    </row>
    <row r="2220">
      <c r="B2220" s="31" t="inlineStr">
        <is>
          <t>CFM56-5B</t>
        </is>
      </c>
      <c r="C2220" s="31" t="inlineStr">
        <is>
          <t>2025-2026</t>
        </is>
      </c>
      <c r="D2220" s="31" t="inlineStr">
        <is>
          <t>637097</t>
        </is>
      </c>
      <c r="E2220" s="31" t="inlineStr">
        <is>
          <t>72-00-31</t>
        </is>
      </c>
      <c r="F2220" s="31" t="inlineStr">
        <is>
          <t>N</t>
        </is>
      </c>
      <c r="G2220" s="31" t="inlineStr">
        <is>
          <t>Other / assembly</t>
        </is>
      </c>
      <c r="H2220" s="27" t="n">
        <v>530</v>
      </c>
      <c r="I2220" s="27" t="n">
        <v>565</v>
      </c>
      <c r="J2220" s="154">
        <f>I2220/H2220-1</f>
        <v/>
      </c>
      <c r="K2220" s="31" t="inlineStr">
        <is>
          <t>25</t>
        </is>
      </c>
      <c r="L2220" s="31" t="inlineStr">
        <is>
          <t>26</t>
        </is>
      </c>
      <c r="M2220" s="31" t="inlineStr">
        <is>
          <t>S2</t>
        </is>
      </c>
      <c r="N2220" s="31" t="inlineStr">
        <is>
          <t>S4</t>
        </is>
      </c>
      <c r="O2220" s="31" t="inlineStr">
        <is>
          <t>1887M18G01</t>
        </is>
      </c>
      <c r="P2220" s="31" t="inlineStr">
        <is>
          <t>SR Technics Switzerland</t>
        </is>
      </c>
    </row>
    <row r="2221">
      <c r="B2221" s="31" t="inlineStr">
        <is>
          <t>CFM56-5B</t>
        </is>
      </c>
      <c r="C2221" s="31" t="inlineStr">
        <is>
          <t>2025-2026</t>
        </is>
      </c>
      <c r="D2221" s="31" t="inlineStr">
        <is>
          <t>637097</t>
        </is>
      </c>
      <c r="E2221" s="31" t="inlineStr">
        <is>
          <t>72-00-31</t>
        </is>
      </c>
      <c r="F2221" s="31" t="inlineStr">
        <is>
          <t>O</t>
        </is>
      </c>
      <c r="G2221" s="31" t="inlineStr">
        <is>
          <t>Other / assembly</t>
        </is>
      </c>
      <c r="H2221" s="27" t="n">
        <v>530</v>
      </c>
      <c r="I2221" s="27" t="n">
        <v>565</v>
      </c>
      <c r="J2221" s="154">
        <f>I2221/H2221-1</f>
        <v/>
      </c>
      <c r="K2221" s="31" t="inlineStr">
        <is>
          <t>25</t>
        </is>
      </c>
      <c r="L2221" s="31" t="inlineStr">
        <is>
          <t>26</t>
        </is>
      </c>
      <c r="M2221" s="31" t="inlineStr">
        <is>
          <t>S2</t>
        </is>
      </c>
      <c r="N2221" s="31" t="inlineStr">
        <is>
          <t>S4</t>
        </is>
      </c>
      <c r="O2221" s="31" t="inlineStr">
        <is>
          <t>1887M18G01</t>
        </is>
      </c>
      <c r="P2221" s="31" t="inlineStr">
        <is>
          <t>SR Technics Switzerland</t>
        </is>
      </c>
    </row>
    <row r="2222">
      <c r="B2222" s="31" t="inlineStr">
        <is>
          <t>CFM56-5B</t>
        </is>
      </c>
      <c r="C2222" s="31" t="inlineStr">
        <is>
          <t>2025-2026</t>
        </is>
      </c>
      <c r="D2222" s="31" t="inlineStr">
        <is>
          <t>637097</t>
        </is>
      </c>
      <c r="E2222" s="31" t="inlineStr">
        <is>
          <t>72-00-31</t>
        </is>
      </c>
      <c r="F2222" s="31" t="inlineStr">
        <is>
          <t>P</t>
        </is>
      </c>
      <c r="G2222" s="31" t="inlineStr">
        <is>
          <t>Other / assembly</t>
        </is>
      </c>
      <c r="H2222" s="27" t="n">
        <v>530</v>
      </c>
      <c r="I2222" s="27" t="n">
        <v>565</v>
      </c>
      <c r="J2222" s="154">
        <f>I2222/H2222-1</f>
        <v/>
      </c>
      <c r="K2222" s="31" t="inlineStr">
        <is>
          <t>25</t>
        </is>
      </c>
      <c r="L2222" s="31" t="inlineStr">
        <is>
          <t>26</t>
        </is>
      </c>
      <c r="M2222" s="31" t="inlineStr">
        <is>
          <t>S2</t>
        </is>
      </c>
      <c r="N2222" s="31" t="inlineStr">
        <is>
          <t>S4</t>
        </is>
      </c>
      <c r="O2222" s="31" t="inlineStr">
        <is>
          <t>1887M18G01</t>
        </is>
      </c>
      <c r="P2222" s="31" t="inlineStr">
        <is>
          <t>SR Technics Switzerland</t>
        </is>
      </c>
    </row>
    <row r="2223">
      <c r="B2223" s="31" t="inlineStr">
        <is>
          <t>CFM56-5B</t>
        </is>
      </c>
      <c r="C2223" s="31" t="inlineStr">
        <is>
          <t>2025-2026</t>
        </is>
      </c>
      <c r="D2223" s="31" t="inlineStr">
        <is>
          <t>637097</t>
        </is>
      </c>
      <c r="E2223" s="31" t="inlineStr">
        <is>
          <t>72-00-31</t>
        </is>
      </c>
      <c r="F2223" s="31" t="inlineStr">
        <is>
          <t>Q</t>
        </is>
      </c>
      <c r="G2223" s="31" t="inlineStr">
        <is>
          <t>Other / assembly</t>
        </is>
      </c>
      <c r="H2223" s="27" t="n">
        <v>530</v>
      </c>
      <c r="I2223" s="27" t="n">
        <v>565</v>
      </c>
      <c r="J2223" s="154">
        <f>I2223/H2223-1</f>
        <v/>
      </c>
      <c r="K2223" s="31" t="inlineStr">
        <is>
          <t>25</t>
        </is>
      </c>
      <c r="L2223" s="31" t="inlineStr">
        <is>
          <t>26</t>
        </is>
      </c>
      <c r="M2223" s="31" t="inlineStr">
        <is>
          <t>S2</t>
        </is>
      </c>
      <c r="N2223" s="31" t="inlineStr">
        <is>
          <t>S4</t>
        </is>
      </c>
      <c r="O2223" s="31" t="inlineStr">
        <is>
          <t>1887M18G01</t>
        </is>
      </c>
      <c r="P2223" s="31" t="inlineStr">
        <is>
          <t>SR Technics Switzerland</t>
        </is>
      </c>
    </row>
    <row r="2224">
      <c r="B2224" s="31" t="inlineStr">
        <is>
          <t>CFM56-5B</t>
        </is>
      </c>
      <c r="C2224" s="31" t="inlineStr">
        <is>
          <t>2025-2026</t>
        </is>
      </c>
      <c r="D2224" s="31" t="inlineStr">
        <is>
          <t>637097</t>
        </is>
      </c>
      <c r="E2224" s="31" t="inlineStr">
        <is>
          <t>72-00-31</t>
        </is>
      </c>
      <c r="F2224" s="31" t="inlineStr">
        <is>
          <t>R</t>
        </is>
      </c>
      <c r="G2224" s="31" t="inlineStr">
        <is>
          <t>Other / assembly</t>
        </is>
      </c>
      <c r="H2224" s="27" t="n">
        <v>530</v>
      </c>
      <c r="I2224" s="27" t="n">
        <v>565</v>
      </c>
      <c r="J2224" s="154">
        <f>I2224/H2224-1</f>
        <v/>
      </c>
      <c r="K2224" s="31" t="inlineStr">
        <is>
          <t>25</t>
        </is>
      </c>
      <c r="L2224" s="31" t="inlineStr">
        <is>
          <t>26</t>
        </is>
      </c>
      <c r="M2224" s="31" t="inlineStr">
        <is>
          <t>S2</t>
        </is>
      </c>
      <c r="N2224" s="31" t="inlineStr">
        <is>
          <t>S4</t>
        </is>
      </c>
      <c r="O2224" s="31" t="inlineStr">
        <is>
          <t>1887M18G01</t>
        </is>
      </c>
      <c r="P2224" s="31" t="inlineStr">
        <is>
          <t>SR Technics Switzerland</t>
        </is>
      </c>
    </row>
    <row r="2225">
      <c r="B2225" s="31" t="inlineStr">
        <is>
          <t>CFM56-5B</t>
        </is>
      </c>
      <c r="C2225" s="31" t="inlineStr">
        <is>
          <t>2025-2026</t>
        </is>
      </c>
      <c r="D2225" s="31" t="inlineStr">
        <is>
          <t>637097</t>
        </is>
      </c>
      <c r="E2225" s="31" t="inlineStr">
        <is>
          <t>72-00-31</t>
        </is>
      </c>
      <c r="F2225" s="31" t="inlineStr">
        <is>
          <t>S</t>
        </is>
      </c>
      <c r="G2225" s="31" t="inlineStr">
        <is>
          <t>Other / assembly</t>
        </is>
      </c>
      <c r="H2225" s="27" t="n">
        <v>530</v>
      </c>
      <c r="I2225" s="27" t="n">
        <v>565</v>
      </c>
      <c r="J2225" s="154">
        <f>I2225/H2225-1</f>
        <v/>
      </c>
      <c r="K2225" s="31" t="inlineStr">
        <is>
          <t>25</t>
        </is>
      </c>
      <c r="L2225" s="31" t="inlineStr">
        <is>
          <t>26</t>
        </is>
      </c>
      <c r="M2225" s="31" t="inlineStr">
        <is>
          <t>S2</t>
        </is>
      </c>
      <c r="N2225" s="31" t="inlineStr">
        <is>
          <t>S4</t>
        </is>
      </c>
      <c r="O2225" s="31" t="inlineStr">
        <is>
          <t>1887M18G01</t>
        </is>
      </c>
      <c r="P2225" s="31" t="inlineStr">
        <is>
          <t>SR Technics Switzerland</t>
        </is>
      </c>
    </row>
    <row r="2226">
      <c r="B2226" s="31" t="inlineStr">
        <is>
          <t>CFM56-5B</t>
        </is>
      </c>
      <c r="C2226" s="31" t="inlineStr">
        <is>
          <t>2025-2026</t>
        </is>
      </c>
      <c r="D2226" s="31" t="inlineStr">
        <is>
          <t>640894</t>
        </is>
      </c>
      <c r="E2226" s="31" t="inlineStr">
        <is>
          <t>72-09-03</t>
        </is>
      </c>
      <c r="F2226" s="31" t="inlineStr">
        <is>
          <t>B</t>
        </is>
      </c>
      <c r="G2226" s="31" t="inlineStr">
        <is>
          <t>Other / assembly</t>
        </is>
      </c>
      <c r="H2226" s="27" t="n">
        <v>240</v>
      </c>
      <c r="I2226" s="27" t="n">
        <v>255</v>
      </c>
      <c r="J2226" s="154">
        <f>I2226/H2226-1</f>
        <v/>
      </c>
      <c r="K2226" s="31" t="inlineStr">
        <is>
          <t>59</t>
        </is>
      </c>
      <c r="L2226" s="31" t="inlineStr">
        <is>
          <t>60</t>
        </is>
      </c>
      <c r="M2226" s="31" t="inlineStr">
        <is>
          <t>S2</t>
        </is>
      </c>
      <c r="N2226" s="31" t="inlineStr">
        <is>
          <t>S4</t>
        </is>
      </c>
      <c r="O2226" s="31" t="inlineStr">
        <is>
          <t>1444M33G02</t>
        </is>
      </c>
      <c r="P2226" s="31" t="inlineStr">
        <is>
          <t>SR Technics Switzerland</t>
        </is>
      </c>
    </row>
    <row r="2227">
      <c r="B2227" s="31" t="inlineStr">
        <is>
          <t>CFM56-5B</t>
        </is>
      </c>
      <c r="C2227" s="31" t="inlineStr">
        <is>
          <t>2025-2026</t>
        </is>
      </c>
      <c r="D2227" s="31" t="inlineStr">
        <is>
          <t>640894</t>
        </is>
      </c>
      <c r="E2227" s="31" t="inlineStr">
        <is>
          <t>72-09-03</t>
        </is>
      </c>
      <c r="F2227" s="31" t="inlineStr">
        <is>
          <t>G</t>
        </is>
      </c>
      <c r="G2227" s="31" t="inlineStr">
        <is>
          <t>Other / assembly</t>
        </is>
      </c>
      <c r="H2227" s="27" t="n">
        <v>405</v>
      </c>
      <c r="I2227" s="27" t="n">
        <v>430</v>
      </c>
      <c r="J2227" s="154">
        <f>I2227/H2227-1</f>
        <v/>
      </c>
      <c r="K2227" s="31" t="inlineStr">
        <is>
          <t>59</t>
        </is>
      </c>
      <c r="L2227" s="31" t="inlineStr">
        <is>
          <t>60</t>
        </is>
      </c>
      <c r="M2227" s="31" t="inlineStr">
        <is>
          <t>S2</t>
        </is>
      </c>
      <c r="N2227" s="31" t="inlineStr">
        <is>
          <t>S4</t>
        </is>
      </c>
      <c r="O2227" s="31" t="inlineStr">
        <is>
          <t>1444M33G02</t>
        </is>
      </c>
      <c r="P2227" s="31" t="inlineStr">
        <is>
          <t>SR Technics Switzerland</t>
        </is>
      </c>
    </row>
    <row r="2228">
      <c r="B2228" s="31" t="inlineStr">
        <is>
          <t>CFM56-5B</t>
        </is>
      </c>
      <c r="C2228" s="31" t="inlineStr">
        <is>
          <t>2025-2026</t>
        </is>
      </c>
      <c r="D2228" s="31" t="inlineStr">
        <is>
          <t>640894</t>
        </is>
      </c>
      <c r="E2228" s="31" t="inlineStr">
        <is>
          <t>72-09-03</t>
        </is>
      </c>
      <c r="F2228" s="31" t="inlineStr">
        <is>
          <t>H</t>
        </is>
      </c>
      <c r="G2228" s="31" t="inlineStr">
        <is>
          <t>Other / assembly</t>
        </is>
      </c>
      <c r="H2228" s="27" t="n">
        <v>405</v>
      </c>
      <c r="I2228" s="27" t="n">
        <v>430</v>
      </c>
      <c r="J2228" s="154">
        <f>I2228/H2228-1</f>
        <v/>
      </c>
      <c r="K2228" s="31" t="inlineStr">
        <is>
          <t>59</t>
        </is>
      </c>
      <c r="L2228" s="31" t="inlineStr">
        <is>
          <t>60</t>
        </is>
      </c>
      <c r="M2228" s="31" t="inlineStr">
        <is>
          <t>S2</t>
        </is>
      </c>
      <c r="N2228" s="31" t="inlineStr">
        <is>
          <t>S4</t>
        </is>
      </c>
      <c r="O2228" s="31" t="inlineStr">
        <is>
          <t>1444M33G02</t>
        </is>
      </c>
      <c r="P2228" s="31" t="inlineStr">
        <is>
          <t>SR Technics Switzerland</t>
        </is>
      </c>
    </row>
    <row r="2229">
      <c r="B2229" s="31" t="inlineStr">
        <is>
          <t>CFM56-5B</t>
        </is>
      </c>
      <c r="C2229" s="31" t="inlineStr">
        <is>
          <t>2025-2026</t>
        </is>
      </c>
      <c r="D2229" s="31" t="inlineStr">
        <is>
          <t>640894</t>
        </is>
      </c>
      <c r="E2229" s="31" t="inlineStr">
        <is>
          <t>72-09-03</t>
        </is>
      </c>
      <c r="F2229" s="31" t="inlineStr">
        <is>
          <t>SB00</t>
        </is>
      </c>
      <c r="G2229" s="31" t="inlineStr">
        <is>
          <t>Other / assembly</t>
        </is>
      </c>
      <c r="H2229" s="27" t="n">
        <v>145</v>
      </c>
      <c r="I2229" s="27" t="n">
        <v>155</v>
      </c>
      <c r="J2229" s="154">
        <f>I2229/H2229-1</f>
        <v/>
      </c>
      <c r="K2229" s="31" t="inlineStr">
        <is>
          <t>59</t>
        </is>
      </c>
      <c r="L2229" s="31" t="inlineStr">
        <is>
          <t>61</t>
        </is>
      </c>
      <c r="M2229" s="31" t="inlineStr">
        <is>
          <t>S2</t>
        </is>
      </c>
      <c r="N2229" s="31" t="inlineStr">
        <is>
          <t>S4</t>
        </is>
      </c>
      <c r="O2229" s="31" t="inlineStr">
        <is>
          <t>1444M33G02</t>
        </is>
      </c>
      <c r="P2229" s="31" t="inlineStr">
        <is>
          <t>SR Technics Switzerland</t>
        </is>
      </c>
    </row>
    <row r="2230">
      <c r="B2230" s="31" t="inlineStr">
        <is>
          <t>CFM56-5B</t>
        </is>
      </c>
      <c r="C2230" s="31" t="inlineStr">
        <is>
          <t>2025-2026</t>
        </is>
      </c>
      <c r="D2230" s="31" t="inlineStr">
        <is>
          <t>640894</t>
        </is>
      </c>
      <c r="E2230" s="31" t="inlineStr">
        <is>
          <t>72-09-03</t>
        </is>
      </c>
      <c r="F2230" s="31" t="inlineStr">
        <is>
          <t>SB01</t>
        </is>
      </c>
      <c r="G2230" s="31" t="inlineStr">
        <is>
          <t>Other / assembly</t>
        </is>
      </c>
      <c r="H2230" s="27" t="n">
        <v>205</v>
      </c>
      <c r="I2230" s="27" t="n">
        <v>220</v>
      </c>
      <c r="J2230" s="154">
        <f>I2230/H2230-1</f>
        <v/>
      </c>
      <c r="K2230" s="31" t="inlineStr">
        <is>
          <t>59</t>
        </is>
      </c>
      <c r="L2230" s="31" t="inlineStr">
        <is>
          <t>61</t>
        </is>
      </c>
      <c r="M2230" s="31" t="inlineStr">
        <is>
          <t>S2</t>
        </is>
      </c>
      <c r="N2230" s="31" t="inlineStr">
        <is>
          <t>S4</t>
        </is>
      </c>
      <c r="O2230" s="31" t="inlineStr">
        <is>
          <t>1444M33G02</t>
        </is>
      </c>
      <c r="P2230" s="31" t="inlineStr">
        <is>
          <t>SR Technics Switzerland</t>
        </is>
      </c>
    </row>
    <row r="2231">
      <c r="B2231" s="31" t="inlineStr">
        <is>
          <t>CFM56-5B</t>
        </is>
      </c>
      <c r="C2231" s="31" t="inlineStr">
        <is>
          <t>2025-2026</t>
        </is>
      </c>
      <c r="D2231" s="31" t="inlineStr">
        <is>
          <t>640895</t>
        </is>
      </c>
      <c r="E2231" s="31" t="inlineStr">
        <is>
          <t>72-09-03</t>
        </is>
      </c>
      <c r="F2231" s="31" t="inlineStr">
        <is>
          <t>G</t>
        </is>
      </c>
      <c r="G2231" s="31" t="inlineStr">
        <is>
          <t>Other / assembly</t>
        </is>
      </c>
      <c r="H2231" s="27" t="n">
        <v>1205</v>
      </c>
      <c r="I2231" s="27" t="n">
        <v>1280</v>
      </c>
      <c r="J2231" s="154">
        <f>I2231/H2231-1</f>
        <v/>
      </c>
      <c r="K2231" s="31" t="inlineStr">
        <is>
          <t>60</t>
        </is>
      </c>
      <c r="L2231" s="31" t="inlineStr">
        <is>
          <t>62</t>
        </is>
      </c>
      <c r="M2231" s="31" t="inlineStr">
        <is>
          <t>S2</t>
        </is>
      </c>
      <c r="N2231" s="31" t="inlineStr">
        <is>
          <t>S4</t>
        </is>
      </c>
      <c r="O2231" s="31" t="inlineStr">
        <is>
          <t>1324M91G01</t>
        </is>
      </c>
      <c r="P2231" s="31" t="inlineStr">
        <is>
          <t>SR Technics Switzerland</t>
        </is>
      </c>
    </row>
    <row r="2232">
      <c r="B2232" s="31" t="inlineStr">
        <is>
          <t>CFM56-5B</t>
        </is>
      </c>
      <c r="C2232" s="31" t="inlineStr">
        <is>
          <t>2025-2026</t>
        </is>
      </c>
      <c r="D2232" s="31" t="inlineStr">
        <is>
          <t>640896</t>
        </is>
      </c>
      <c r="E2232" s="31" t="inlineStr">
        <is>
          <t>72-09-03</t>
        </is>
      </c>
      <c r="F2232" s="31" t="inlineStr">
        <is>
          <t>G</t>
        </is>
      </c>
      <c r="G2232" s="31" t="inlineStr">
        <is>
          <t>Other / assembly</t>
        </is>
      </c>
      <c r="H2232" s="27" t="n">
        <v>2225</v>
      </c>
      <c r="I2232" s="27" t="n">
        <v>2360</v>
      </c>
      <c r="J2232" s="154">
        <f>I2232/H2232-1</f>
        <v/>
      </c>
      <c r="K2232" s="31" t="inlineStr">
        <is>
          <t>64</t>
        </is>
      </c>
      <c r="L2232" s="31" t="inlineStr">
        <is>
          <t>66</t>
        </is>
      </c>
      <c r="M2232" s="31" t="inlineStr">
        <is>
          <t>S2</t>
        </is>
      </c>
      <c r="N2232" s="31" t="inlineStr">
        <is>
          <t>S4</t>
        </is>
      </c>
      <c r="O2232" s="31" t="inlineStr">
        <is>
          <t>1605M10G02</t>
        </is>
      </c>
      <c r="P2232" s="31" t="inlineStr">
        <is>
          <t>SR Technics Switzerland</t>
        </is>
      </c>
    </row>
    <row r="2233">
      <c r="B2233" s="31" t="inlineStr">
        <is>
          <t>CFM56-5B</t>
        </is>
      </c>
      <c r="C2233" s="31" t="inlineStr">
        <is>
          <t>2025-2026</t>
        </is>
      </c>
      <c r="D2233" s="31" t="inlineStr">
        <is>
          <t>640897</t>
        </is>
      </c>
      <c r="E2233" s="31" t="inlineStr">
        <is>
          <t>72-09-03</t>
        </is>
      </c>
      <c r="F2233" s="31" t="inlineStr">
        <is>
          <t>G</t>
        </is>
      </c>
      <c r="G2233" s="31" t="inlineStr">
        <is>
          <t>Other / assembly</t>
        </is>
      </c>
      <c r="H2233" s="27" t="n">
        <v>5050</v>
      </c>
      <c r="I2233" s="27" t="n">
        <v>5355</v>
      </c>
      <c r="J2233" s="154">
        <f>I2233/H2233-1</f>
        <v/>
      </c>
      <c r="K2233" s="31" t="inlineStr">
        <is>
          <t>66</t>
        </is>
      </c>
      <c r="L2233" s="31" t="inlineStr">
        <is>
          <t>68</t>
        </is>
      </c>
      <c r="M2233" s="31" t="inlineStr">
        <is>
          <t>S2</t>
        </is>
      </c>
      <c r="N2233" s="31" t="inlineStr">
        <is>
          <t>S4</t>
        </is>
      </c>
      <c r="O2233" s="31" t="inlineStr">
        <is>
          <t>1645M25G03</t>
        </is>
      </c>
      <c r="P2233" s="31" t="inlineStr">
        <is>
          <t>SR Technics Switzerland</t>
        </is>
      </c>
    </row>
    <row r="2234">
      <c r="B2234" s="31" t="inlineStr">
        <is>
          <t>CFM56-5B</t>
        </is>
      </c>
      <c r="C2234" s="31" t="inlineStr">
        <is>
          <t>2025-2026</t>
        </is>
      </c>
      <c r="D2234" s="31" t="inlineStr">
        <is>
          <t>640897</t>
        </is>
      </c>
      <c r="E2234" s="31" t="inlineStr">
        <is>
          <t>72-09-03</t>
        </is>
      </c>
      <c r="F2234" s="31" t="inlineStr">
        <is>
          <t>U</t>
        </is>
      </c>
      <c r="G2234" s="31" t="inlineStr">
        <is>
          <t>Other / assembly</t>
        </is>
      </c>
      <c r="H2234" s="27" t="n">
        <v>145</v>
      </c>
      <c r="I2234" s="27" t="n">
        <v>155</v>
      </c>
      <c r="J2234" s="154">
        <f>I2234/H2234-1</f>
        <v/>
      </c>
      <c r="K2234" s="31" t="inlineStr">
        <is>
          <t>66</t>
        </is>
      </c>
      <c r="L2234" s="31" t="inlineStr">
        <is>
          <t>68</t>
        </is>
      </c>
      <c r="M2234" s="31" t="inlineStr">
        <is>
          <t>S2</t>
        </is>
      </c>
      <c r="N2234" s="31" t="inlineStr">
        <is>
          <t>S4</t>
        </is>
      </c>
      <c r="O2234" s="31" t="inlineStr">
        <is>
          <t>1645M25G03</t>
        </is>
      </c>
      <c r="P2234" s="31" t="inlineStr">
        <is>
          <t>SR Technics Switzerland</t>
        </is>
      </c>
    </row>
    <row r="2235">
      <c r="B2235" s="31" t="inlineStr">
        <is>
          <t>CFM56-5B</t>
        </is>
      </c>
      <c r="C2235" s="31" t="inlineStr">
        <is>
          <t>2025-2026</t>
        </is>
      </c>
      <c r="D2235" s="31" t="inlineStr">
        <is>
          <t>640950</t>
        </is>
      </c>
      <c r="E2235" s="31" t="inlineStr">
        <is>
          <t>72-09-01</t>
        </is>
      </c>
      <c r="F2235" s="31" t="inlineStr">
        <is>
          <t>A</t>
        </is>
      </c>
      <c r="G2235" s="31" t="inlineStr">
        <is>
          <t>Other / assembly</t>
        </is>
      </c>
      <c r="H2235" s="27" t="n">
        <v>1055</v>
      </c>
      <c r="I2235" s="27" t="n">
        <v>1110</v>
      </c>
      <c r="J2235" s="154">
        <f>I2235/H2235-1</f>
        <v/>
      </c>
      <c r="K2235" s="31" t="inlineStr">
        <is>
          <t>67</t>
        </is>
      </c>
      <c r="L2235" s="31" t="inlineStr">
        <is>
          <t>70</t>
        </is>
      </c>
      <c r="M2235" s="31" t="inlineStr">
        <is>
          <t>S2</t>
        </is>
      </c>
      <c r="N2235" s="31" t="inlineStr">
        <is>
          <t>S4</t>
        </is>
      </c>
      <c r="O2235" s="31" t="inlineStr">
        <is>
          <t>305-364-002-0</t>
        </is>
      </c>
      <c r="P2235" s="31" t="inlineStr">
        <is>
          <t>SR Technics Switzerland</t>
        </is>
      </c>
    </row>
    <row r="2236">
      <c r="B2236" s="31" t="inlineStr">
        <is>
          <t>CFM56-5B</t>
        </is>
      </c>
      <c r="C2236" s="31" t="inlineStr">
        <is>
          <t>2025-2026</t>
        </is>
      </c>
      <c r="D2236" s="31" t="inlineStr">
        <is>
          <t>640951</t>
        </is>
      </c>
      <c r="E2236" s="31" t="inlineStr">
        <is>
          <t>72-09-01</t>
        </is>
      </c>
      <c r="F2236" s="31" t="inlineStr">
        <is>
          <t>A</t>
        </is>
      </c>
      <c r="G2236" s="31" t="inlineStr">
        <is>
          <t>Other / assembly</t>
        </is>
      </c>
      <c r="H2236" s="27" t="n">
        <v>1055</v>
      </c>
      <c r="I2236" s="27" t="n">
        <v>1110</v>
      </c>
      <c r="J2236" s="154">
        <f>I2236/H2236-1</f>
        <v/>
      </c>
      <c r="K2236" s="31" t="inlineStr">
        <is>
          <t>67</t>
        </is>
      </c>
      <c r="L2236" s="31" t="inlineStr">
        <is>
          <t>70</t>
        </is>
      </c>
      <c r="M2236" s="31" t="inlineStr">
        <is>
          <t>S2</t>
        </is>
      </c>
      <c r="N2236" s="31" t="inlineStr">
        <is>
          <t>S4</t>
        </is>
      </c>
      <c r="O2236" s="31" t="inlineStr">
        <is>
          <t>305-365-702-0</t>
        </is>
      </c>
      <c r="P2236" s="31" t="inlineStr">
        <is>
          <t>SR Technics Switzerland</t>
        </is>
      </c>
    </row>
    <row r="2237">
      <c r="B2237" s="31" t="inlineStr">
        <is>
          <t>CFM56-5B</t>
        </is>
      </c>
      <c r="C2237" s="31" t="inlineStr">
        <is>
          <t>2025-2026</t>
        </is>
      </c>
      <c r="D2237" s="31" t="inlineStr">
        <is>
          <t>640952</t>
        </is>
      </c>
      <c r="E2237" s="31" t="inlineStr">
        <is>
          <t>72-09-01</t>
        </is>
      </c>
      <c r="F2237" s="31" t="inlineStr">
        <is>
          <t>SB00</t>
        </is>
      </c>
      <c r="G2237" s="31" t="inlineStr">
        <is>
          <t>Other / assembly</t>
        </is>
      </c>
      <c r="H2237" s="27" t="n">
        <v>1465</v>
      </c>
      <c r="I2237" s="27" t="n">
        <v>1555</v>
      </c>
      <c r="J2237" s="154">
        <f>I2237/H2237-1</f>
        <v/>
      </c>
      <c r="K2237" s="31" t="inlineStr">
        <is>
          <t>68</t>
        </is>
      </c>
      <c r="L2237" s="31" t="inlineStr">
        <is>
          <t>70</t>
        </is>
      </c>
      <c r="M2237" s="31" t="inlineStr">
        <is>
          <t>S2</t>
        </is>
      </c>
      <c r="N2237" s="31" t="inlineStr">
        <is>
          <t>S4</t>
        </is>
      </c>
      <c r="O2237" s="31" t="inlineStr">
        <is>
          <t>1361M71P02</t>
        </is>
      </c>
      <c r="P2237" s="31" t="inlineStr">
        <is>
          <t>SR Technics Switzerland</t>
        </is>
      </c>
    </row>
    <row r="2238">
      <c r="B2238" s="31" t="inlineStr">
        <is>
          <t>CFM56-5B</t>
        </is>
      </c>
      <c r="C2238" s="31" t="inlineStr">
        <is>
          <t>2025-2026</t>
        </is>
      </c>
      <c r="D2238" s="31" t="inlineStr">
        <is>
          <t>640952</t>
        </is>
      </c>
      <c r="E2238" s="31" t="inlineStr">
        <is>
          <t>72-09-01</t>
        </is>
      </c>
      <c r="F2238" s="31" t="inlineStr">
        <is>
          <t>SB01</t>
        </is>
      </c>
      <c r="G2238" s="31" t="inlineStr">
        <is>
          <t>Other / assembly</t>
        </is>
      </c>
      <c r="H2238" s="27" t="n">
        <v>510</v>
      </c>
      <c r="I2238" s="27" t="n">
        <v>545</v>
      </c>
      <c r="J2238" s="154">
        <f>I2238/H2238-1</f>
        <v/>
      </c>
      <c r="K2238" s="31" t="inlineStr">
        <is>
          <t>68</t>
        </is>
      </c>
      <c r="L2238" s="31" t="inlineStr">
        <is>
          <t>70</t>
        </is>
      </c>
      <c r="M2238" s="31" t="inlineStr">
        <is>
          <t>S2</t>
        </is>
      </c>
      <c r="N2238" s="31" t="inlineStr">
        <is>
          <t>S4</t>
        </is>
      </c>
      <c r="O2238" s="31" t="inlineStr">
        <is>
          <t>1361M71P02</t>
        </is>
      </c>
      <c r="P2238" s="31" t="inlineStr">
        <is>
          <t>SR Technics Switzerland</t>
        </is>
      </c>
    </row>
    <row r="2239">
      <c r="B2239" s="31" t="inlineStr">
        <is>
          <t>CFM56-5B</t>
        </is>
      </c>
      <c r="C2239" s="31" t="inlineStr">
        <is>
          <t>2025-2026</t>
        </is>
      </c>
      <c r="D2239" s="31" t="inlineStr">
        <is>
          <t>640953</t>
        </is>
      </c>
      <c r="E2239" s="31" t="inlineStr">
        <is>
          <t>72-09-01</t>
        </is>
      </c>
      <c r="F2239" s="31" t="inlineStr">
        <is>
          <t>SB01</t>
        </is>
      </c>
      <c r="G2239" s="31" t="inlineStr">
        <is>
          <t>Other / assembly</t>
        </is>
      </c>
      <c r="H2239" s="27" t="n">
        <v>155</v>
      </c>
      <c r="I2239" s="27" t="n">
        <v>165</v>
      </c>
      <c r="J2239" s="154">
        <f>I2239/H2239-1</f>
        <v/>
      </c>
      <c r="K2239" s="31" t="inlineStr">
        <is>
          <t>68</t>
        </is>
      </c>
      <c r="L2239" s="31" t="inlineStr">
        <is>
          <t>70</t>
        </is>
      </c>
      <c r="M2239" s="31" t="inlineStr">
        <is>
          <t>S2</t>
        </is>
      </c>
      <c r="N2239" s="31" t="inlineStr">
        <is>
          <t>S4</t>
        </is>
      </c>
      <c r="O2239" s="31" t="inlineStr">
        <is>
          <t>305-351-905-0</t>
        </is>
      </c>
      <c r="P2239" s="31" t="inlineStr">
        <is>
          <t>SR Technics Switzerland</t>
        </is>
      </c>
    </row>
    <row r="2240">
      <c r="B2240" s="31" t="inlineStr">
        <is>
          <t>CFM56-5B</t>
        </is>
      </c>
      <c r="C2240" s="31" t="inlineStr">
        <is>
          <t>2025-2026</t>
        </is>
      </c>
      <c r="D2240" s="31" t="inlineStr">
        <is>
          <t>640954</t>
        </is>
      </c>
      <c r="E2240" s="31" t="inlineStr">
        <is>
          <t>72-09-01</t>
        </is>
      </c>
      <c r="F2240" s="31" t="inlineStr">
        <is>
          <t>A</t>
        </is>
      </c>
      <c r="G2240" s="31" t="inlineStr">
        <is>
          <t>Other / assembly</t>
        </is>
      </c>
      <c r="H2240" s="27" t="n">
        <v>1195</v>
      </c>
      <c r="I2240" s="27" t="n">
        <v>1255</v>
      </c>
      <c r="J2240" s="154">
        <f>I2240/H2240-1</f>
        <v/>
      </c>
      <c r="K2240" s="31" t="inlineStr">
        <is>
          <t>68</t>
        </is>
      </c>
      <c r="L2240" s="31" t="inlineStr">
        <is>
          <t>71</t>
        </is>
      </c>
      <c r="M2240" s="31" t="inlineStr">
        <is>
          <t>S2</t>
        </is>
      </c>
      <c r="N2240" s="31" t="inlineStr">
        <is>
          <t>S4</t>
        </is>
      </c>
      <c r="O2240" s="31" t="inlineStr">
        <is>
          <t>305-355-717-0</t>
        </is>
      </c>
      <c r="P2240" s="31" t="inlineStr">
        <is>
          <t>SR Technics Switzerland</t>
        </is>
      </c>
    </row>
    <row r="2241">
      <c r="B2241" s="31" t="inlineStr">
        <is>
          <t>CFM56-5B</t>
        </is>
      </c>
      <c r="C2241" s="31" t="inlineStr">
        <is>
          <t>2025-2026</t>
        </is>
      </c>
      <c r="D2241" s="31" t="inlineStr">
        <is>
          <t>640954</t>
        </is>
      </c>
      <c r="E2241" s="31" t="inlineStr">
        <is>
          <t>72-09-01</t>
        </is>
      </c>
      <c r="F2241" s="31" t="inlineStr">
        <is>
          <t>SB03</t>
        </is>
      </c>
      <c r="G2241" s="31" t="inlineStr">
        <is>
          <t>Other / assembly</t>
        </is>
      </c>
      <c r="H2241" s="27" t="n">
        <v>275</v>
      </c>
      <c r="I2241" s="27" t="n">
        <v>295</v>
      </c>
      <c r="J2241" s="154">
        <f>I2241/H2241-1</f>
        <v/>
      </c>
      <c r="K2241" s="31" t="inlineStr">
        <is>
          <t>68</t>
        </is>
      </c>
      <c r="L2241" s="31" t="inlineStr">
        <is>
          <t>71</t>
        </is>
      </c>
      <c r="M2241" s="31" t="inlineStr">
        <is>
          <t>S2</t>
        </is>
      </c>
      <c r="N2241" s="31" t="inlineStr">
        <is>
          <t>S4</t>
        </is>
      </c>
      <c r="O2241" s="31" t="inlineStr">
        <is>
          <t>305-355-717-0</t>
        </is>
      </c>
      <c r="P2241" s="31" t="inlineStr">
        <is>
          <t>SR Technics Switzerland</t>
        </is>
      </c>
    </row>
    <row r="2242">
      <c r="B2242" s="31" t="inlineStr">
        <is>
          <t>CFM56-5B</t>
        </is>
      </c>
      <c r="C2242" s="31" t="inlineStr">
        <is>
          <t>2025-2026</t>
        </is>
      </c>
      <c r="D2242" s="31" t="inlineStr">
        <is>
          <t>640954</t>
        </is>
      </c>
      <c r="E2242" s="31" t="inlineStr">
        <is>
          <t>72-09-01</t>
        </is>
      </c>
      <c r="F2242" s="31" t="inlineStr">
        <is>
          <t>SB10</t>
        </is>
      </c>
      <c r="G2242" s="31" t="inlineStr">
        <is>
          <t>Other / assembly</t>
        </is>
      </c>
      <c r="H2242" s="27" t="n">
        <v>275</v>
      </c>
      <c r="I2242" s="27" t="n">
        <v>295</v>
      </c>
      <c r="J2242" s="154">
        <f>I2242/H2242-1</f>
        <v/>
      </c>
      <c r="K2242" s="31" t="inlineStr">
        <is>
          <t>68</t>
        </is>
      </c>
      <c r="L2242" s="31" t="inlineStr">
        <is>
          <t>71</t>
        </is>
      </c>
      <c r="M2242" s="31" t="inlineStr">
        <is>
          <t>S2</t>
        </is>
      </c>
      <c r="N2242" s="31" t="inlineStr">
        <is>
          <t>S4</t>
        </is>
      </c>
      <c r="O2242" s="31" t="inlineStr">
        <is>
          <t>305-355-717-0</t>
        </is>
      </c>
      <c r="P2242" s="31" t="inlineStr">
        <is>
          <t>SR Technics Switzerland</t>
        </is>
      </c>
    </row>
    <row r="2243">
      <c r="B2243" s="31" t="inlineStr">
        <is>
          <t>CFM56-5B</t>
        </is>
      </c>
      <c r="C2243" s="31" t="inlineStr">
        <is>
          <t>2025-2026</t>
        </is>
      </c>
      <c r="D2243" s="31" t="inlineStr">
        <is>
          <t>640954</t>
        </is>
      </c>
      <c r="E2243" s="31" t="inlineStr">
        <is>
          <t>72-09-01</t>
        </is>
      </c>
      <c r="F2243" s="31" t="inlineStr">
        <is>
          <t>SB12</t>
        </is>
      </c>
      <c r="G2243" s="31" t="inlineStr">
        <is>
          <t>Other / assembly</t>
        </is>
      </c>
      <c r="H2243" s="27" t="n">
        <v>275</v>
      </c>
      <c r="I2243" s="27" t="n">
        <v>295</v>
      </c>
      <c r="J2243" s="154">
        <f>I2243/H2243-1</f>
        <v/>
      </c>
      <c r="K2243" s="31" t="inlineStr">
        <is>
          <t>68</t>
        </is>
      </c>
      <c r="L2243" s="31" t="inlineStr">
        <is>
          <t>71</t>
        </is>
      </c>
      <c r="M2243" s="31" t="inlineStr">
        <is>
          <t>S2</t>
        </is>
      </c>
      <c r="N2243" s="31" t="inlineStr">
        <is>
          <t>S4</t>
        </is>
      </c>
      <c r="O2243" s="31" t="inlineStr">
        <is>
          <t>305-355-717-0</t>
        </is>
      </c>
      <c r="P2243" s="31" t="inlineStr">
        <is>
          <t>SR Technics Switzerland</t>
        </is>
      </c>
    </row>
    <row r="2244">
      <c r="B2244" s="31" t="inlineStr">
        <is>
          <t>CFM56-5B</t>
        </is>
      </c>
      <c r="C2244" s="31" t="inlineStr">
        <is>
          <t>2025-2026</t>
        </is>
      </c>
      <c r="D2244" s="31" t="inlineStr">
        <is>
          <t>641535</t>
        </is>
      </c>
      <c r="E2244" s="31" t="inlineStr">
        <is>
          <t>72-51-07</t>
        </is>
      </c>
      <c r="F2244" s="31" t="inlineStr">
        <is>
          <t>A</t>
        </is>
      </c>
      <c r="G2244" s="31" t="inlineStr">
        <is>
          <t>HPT / nozzle</t>
        </is>
      </c>
      <c r="H2244" s="27" t="n">
        <v>2520</v>
      </c>
      <c r="I2244" s="27" t="n">
        <v>2650</v>
      </c>
      <c r="J2244" s="154">
        <f>I2244/H2244-1</f>
        <v/>
      </c>
      <c r="K2244" s="31" t="inlineStr">
        <is>
          <t>68</t>
        </is>
      </c>
      <c r="L2244" s="31" t="inlineStr">
        <is>
          <t>71</t>
        </is>
      </c>
      <c r="M2244" s="31" t="inlineStr">
        <is>
          <t>S2</t>
        </is>
      </c>
      <c r="N2244" s="31" t="inlineStr">
        <is>
          <t>S4</t>
        </is>
      </c>
      <c r="O2244" s="31" t="inlineStr">
        <is>
          <t>1523M41G02</t>
        </is>
      </c>
      <c r="P2244" s="31" t="inlineStr">
        <is>
          <t>SR Technics Switzerland</t>
        </is>
      </c>
    </row>
    <row r="2245">
      <c r="B2245" s="31" t="inlineStr">
        <is>
          <t>CFM56-5B</t>
        </is>
      </c>
      <c r="C2245" s="31" t="inlineStr">
        <is>
          <t>2025-2026</t>
        </is>
      </c>
      <c r="D2245" s="31" t="inlineStr">
        <is>
          <t>641535</t>
        </is>
      </c>
      <c r="E2245" s="31" t="inlineStr">
        <is>
          <t>72-51-07</t>
        </is>
      </c>
      <c r="F2245" s="31" t="inlineStr">
        <is>
          <t>C</t>
        </is>
      </c>
      <c r="G2245" s="31" t="inlineStr">
        <is>
          <t>HPT / nozzle</t>
        </is>
      </c>
      <c r="H2245" s="27" t="n">
        <v>9970</v>
      </c>
      <c r="I2245" s="27" t="n">
        <v>10570</v>
      </c>
      <c r="J2245" s="154">
        <f>I2245/H2245-1</f>
        <v/>
      </c>
      <c r="K2245" s="31" t="inlineStr">
        <is>
          <t>68</t>
        </is>
      </c>
      <c r="L2245" s="31" t="inlineStr">
        <is>
          <t>71</t>
        </is>
      </c>
      <c r="M2245" s="31" t="inlineStr">
        <is>
          <t>S2</t>
        </is>
      </c>
      <c r="N2245" s="31" t="inlineStr">
        <is>
          <t>S4</t>
        </is>
      </c>
      <c r="O2245" s="31" t="inlineStr">
        <is>
          <t>1523M41G02</t>
        </is>
      </c>
      <c r="P2245" s="31" t="inlineStr">
        <is>
          <t>SR Technics Switzerland</t>
        </is>
      </c>
    </row>
    <row r="2246">
      <c r="B2246" s="31" t="inlineStr">
        <is>
          <t>CFM56-5B</t>
        </is>
      </c>
      <c r="C2246" s="31" t="inlineStr">
        <is>
          <t>2025-2026</t>
        </is>
      </c>
      <c r="D2246" s="31" t="inlineStr">
        <is>
          <t>641535</t>
        </is>
      </c>
      <c r="E2246" s="31" t="inlineStr">
        <is>
          <t>72-51-07</t>
        </is>
      </c>
      <c r="F2246" s="31" t="inlineStr">
        <is>
          <t>H</t>
        </is>
      </c>
      <c r="G2246" s="31" t="inlineStr">
        <is>
          <t>HPT / nozzle</t>
        </is>
      </c>
      <c r="H2246" s="27" t="n">
        <v>2375</v>
      </c>
      <c r="I2246" s="27" t="n">
        <v>2520</v>
      </c>
      <c r="J2246" s="154">
        <f>I2246/H2246-1</f>
        <v/>
      </c>
      <c r="K2246" s="31" t="inlineStr">
        <is>
          <t>68</t>
        </is>
      </c>
      <c r="L2246" s="31" t="inlineStr">
        <is>
          <t>71</t>
        </is>
      </c>
      <c r="M2246" s="31" t="inlineStr">
        <is>
          <t>S2</t>
        </is>
      </c>
      <c r="N2246" s="31" t="inlineStr">
        <is>
          <t>S4</t>
        </is>
      </c>
      <c r="O2246" s="31" t="inlineStr">
        <is>
          <t>1523M41G02</t>
        </is>
      </c>
      <c r="P2246" s="31" t="inlineStr">
        <is>
          <t>SR Technics Switzerland</t>
        </is>
      </c>
    </row>
    <row r="2247">
      <c r="B2247" s="31" t="inlineStr">
        <is>
          <t>CFM56-5B</t>
        </is>
      </c>
      <c r="C2247" s="31" t="inlineStr">
        <is>
          <t>2025-2026</t>
        </is>
      </c>
      <c r="D2247" s="31" t="inlineStr">
        <is>
          <t>641535</t>
        </is>
      </c>
      <c r="E2247" s="31" t="inlineStr">
        <is>
          <t>72-51-07</t>
        </is>
      </c>
      <c r="F2247" s="31" t="inlineStr">
        <is>
          <t>M</t>
        </is>
      </c>
      <c r="G2247" s="31" t="inlineStr">
        <is>
          <t>HPT / nozzle</t>
        </is>
      </c>
      <c r="H2247" s="27" t="n">
        <v>2660</v>
      </c>
      <c r="I2247" s="27" t="n">
        <v>2820</v>
      </c>
      <c r="J2247" s="154">
        <f>I2247/H2247-1</f>
        <v/>
      </c>
      <c r="K2247" s="31" t="inlineStr">
        <is>
          <t>68</t>
        </is>
      </c>
      <c r="L2247" s="31" t="inlineStr">
        <is>
          <t>71</t>
        </is>
      </c>
      <c r="M2247" s="31" t="inlineStr">
        <is>
          <t>S2</t>
        </is>
      </c>
      <c r="N2247" s="31" t="inlineStr">
        <is>
          <t>S4</t>
        </is>
      </c>
      <c r="O2247" s="31" t="inlineStr">
        <is>
          <t>1523M41G02</t>
        </is>
      </c>
      <c r="P2247" s="31" t="inlineStr">
        <is>
          <t>SR Technics Switzerland</t>
        </is>
      </c>
    </row>
    <row r="2248">
      <c r="B2248" s="31" t="inlineStr">
        <is>
          <t>CFM56-5B</t>
        </is>
      </c>
      <c r="C2248" s="31" t="inlineStr">
        <is>
          <t>2025-2026</t>
        </is>
      </c>
      <c r="D2248" s="31" t="inlineStr">
        <is>
          <t>641535</t>
        </is>
      </c>
      <c r="E2248" s="31" t="inlineStr">
        <is>
          <t>72-51-07</t>
        </is>
      </c>
      <c r="F2248" s="31" t="inlineStr">
        <is>
          <t>R</t>
        </is>
      </c>
      <c r="G2248" s="31" t="inlineStr">
        <is>
          <t>HPT / nozzle</t>
        </is>
      </c>
      <c r="H2248" s="27" t="n">
        <v>3040</v>
      </c>
      <c r="I2248" s="27" t="n">
        <v>3225</v>
      </c>
      <c r="J2248" s="154">
        <f>I2248/H2248-1</f>
        <v/>
      </c>
      <c r="K2248" s="31" t="inlineStr">
        <is>
          <t>69</t>
        </is>
      </c>
      <c r="L2248" s="31" t="inlineStr">
        <is>
          <t>71</t>
        </is>
      </c>
      <c r="M2248" s="31" t="inlineStr">
        <is>
          <t>S2</t>
        </is>
      </c>
      <c r="N2248" s="31" t="inlineStr">
        <is>
          <t>S4</t>
        </is>
      </c>
      <c r="O2248" s="31" t="inlineStr">
        <is>
          <t>1523M41G02</t>
        </is>
      </c>
      <c r="P2248" s="31" t="inlineStr">
        <is>
          <t>SR Technics Switzerland</t>
        </is>
      </c>
    </row>
    <row r="2249">
      <c r="B2249" s="31" t="inlineStr">
        <is>
          <t>CFM56-5B</t>
        </is>
      </c>
      <c r="C2249" s="31" t="inlineStr">
        <is>
          <t>2025-2026</t>
        </is>
      </c>
      <c r="D2249" s="31" t="inlineStr">
        <is>
          <t>641535</t>
        </is>
      </c>
      <c r="E2249" s="31" t="inlineStr">
        <is>
          <t>72-51-07</t>
        </is>
      </c>
      <c r="F2249" s="31" t="inlineStr">
        <is>
          <t>SB01</t>
        </is>
      </c>
      <c r="G2249" s="31" t="inlineStr">
        <is>
          <t>HPT / nozzle</t>
        </is>
      </c>
      <c r="H2249" s="27" t="n">
        <v>2550</v>
      </c>
      <c r="I2249" s="27" t="n">
        <v>2705</v>
      </c>
      <c r="J2249" s="154">
        <f>I2249/H2249-1</f>
        <v/>
      </c>
      <c r="K2249" s="31" t="inlineStr">
        <is>
          <t>69</t>
        </is>
      </c>
      <c r="L2249" s="31" t="inlineStr">
        <is>
          <t>71</t>
        </is>
      </c>
      <c r="M2249" s="31" t="inlineStr">
        <is>
          <t>S2</t>
        </is>
      </c>
      <c r="N2249" s="31" t="inlineStr">
        <is>
          <t>S4</t>
        </is>
      </c>
      <c r="O2249" s="31" t="inlineStr">
        <is>
          <t>1523M41G02</t>
        </is>
      </c>
      <c r="P2249" s="31" t="inlineStr">
        <is>
          <t>SR Technics Switzerland</t>
        </is>
      </c>
    </row>
    <row r="2250">
      <c r="B2250" s="31" t="inlineStr">
        <is>
          <t>CFM56-5B</t>
        </is>
      </c>
      <c r="C2250" s="31" t="inlineStr">
        <is>
          <t>2025-2026</t>
        </is>
      </c>
      <c r="D2250" s="31" t="inlineStr">
        <is>
          <t>641535</t>
        </is>
      </c>
      <c r="E2250" s="31" t="inlineStr">
        <is>
          <t>72-51-07</t>
        </is>
      </c>
      <c r="F2250" s="31" t="inlineStr">
        <is>
          <t>SB03</t>
        </is>
      </c>
      <c r="G2250" s="31" t="inlineStr">
        <is>
          <t>HPT / nozzle</t>
        </is>
      </c>
      <c r="H2250" s="27" t="n">
        <v>10040</v>
      </c>
      <c r="I2250" s="27" t="n">
        <v>10645</v>
      </c>
      <c r="J2250" s="154">
        <f>I2250/H2250-1</f>
        <v/>
      </c>
      <c r="K2250" s="31" t="inlineStr">
        <is>
          <t>69</t>
        </is>
      </c>
      <c r="L2250" s="31" t="inlineStr">
        <is>
          <t>71</t>
        </is>
      </c>
      <c r="M2250" s="31" t="inlineStr">
        <is>
          <t>S2</t>
        </is>
      </c>
      <c r="N2250" s="31" t="inlineStr">
        <is>
          <t>S4</t>
        </is>
      </c>
      <c r="O2250" s="31" t="inlineStr">
        <is>
          <t>1523M41G02</t>
        </is>
      </c>
      <c r="P2250" s="31" t="inlineStr">
        <is>
          <t>SR Technics Switzerland</t>
        </is>
      </c>
    </row>
    <row r="2251">
      <c r="B2251" s="31" t="inlineStr">
        <is>
          <t>CFM56-5B</t>
        </is>
      </c>
      <c r="C2251" s="31" t="inlineStr">
        <is>
          <t>2025-2026</t>
        </is>
      </c>
      <c r="D2251" s="31" t="inlineStr">
        <is>
          <t>642808</t>
        </is>
      </c>
      <c r="E2251" s="31" t="inlineStr">
        <is>
          <t>72-42-04</t>
        </is>
      </c>
      <c r="F2251" s="31" t="inlineStr">
        <is>
          <t>A</t>
        </is>
      </c>
      <c r="G2251" s="31" t="inlineStr">
        <is>
          <t>Combustor</t>
        </is>
      </c>
      <c r="H2251" s="27" t="n">
        <v>105</v>
      </c>
      <c r="I2251" s="27" t="n">
        <v>115</v>
      </c>
      <c r="J2251" s="154">
        <f>I2251/H2251-1</f>
        <v/>
      </c>
      <c r="K2251" s="31" t="inlineStr">
        <is>
          <t>25</t>
        </is>
      </c>
      <c r="L2251" s="31" t="inlineStr">
        <is>
          <t>26</t>
        </is>
      </c>
      <c r="M2251" s="31" t="inlineStr">
        <is>
          <t>S2</t>
        </is>
      </c>
      <c r="N2251" s="31" t="inlineStr">
        <is>
          <t>S4</t>
        </is>
      </c>
      <c r="O2251" s="31" t="inlineStr">
        <is>
          <t>9968M26P02</t>
        </is>
      </c>
      <c r="P2251" s="31" t="inlineStr">
        <is>
          <t>SR Technics Switzerland</t>
        </is>
      </c>
    </row>
    <row r="2252">
      <c r="B2252" s="31" t="inlineStr">
        <is>
          <t>CFM56-5B</t>
        </is>
      </c>
      <c r="C2252" s="31" t="inlineStr">
        <is>
          <t>2025-2026</t>
        </is>
      </c>
      <c r="D2252" s="31" t="inlineStr">
        <is>
          <t>642808</t>
        </is>
      </c>
      <c r="E2252" s="31" t="inlineStr">
        <is>
          <t>72-42-04</t>
        </is>
      </c>
      <c r="F2252" s="31" t="inlineStr">
        <is>
          <t>W</t>
        </is>
      </c>
      <c r="G2252" s="31" t="inlineStr">
        <is>
          <t>Combustor</t>
        </is>
      </c>
      <c r="H2252" s="27" t="n">
        <v>420</v>
      </c>
      <c r="I2252" s="27" t="n">
        <v>450</v>
      </c>
      <c r="J2252" s="154">
        <f>I2252/H2252-1</f>
        <v/>
      </c>
      <c r="K2252" s="31" t="inlineStr">
        <is>
          <t>25</t>
        </is>
      </c>
      <c r="L2252" s="31" t="inlineStr">
        <is>
          <t>26</t>
        </is>
      </c>
      <c r="M2252" s="31" t="inlineStr">
        <is>
          <t>S2</t>
        </is>
      </c>
      <c r="N2252" s="31" t="inlineStr">
        <is>
          <t>S4</t>
        </is>
      </c>
      <c r="O2252" s="31" t="inlineStr">
        <is>
          <t>9968M26P02</t>
        </is>
      </c>
      <c r="P2252" s="31" t="inlineStr">
        <is>
          <t>SR Technics Switzerland</t>
        </is>
      </c>
    </row>
    <row r="2253">
      <c r="B2253" s="31" t="inlineStr">
        <is>
          <t>CFM56-5B</t>
        </is>
      </c>
      <c r="C2253" s="31" t="inlineStr">
        <is>
          <t>2025-2026</t>
        </is>
      </c>
      <c r="D2253" s="31" t="inlineStr">
        <is>
          <t>642820</t>
        </is>
      </c>
      <c r="E2253" s="31" t="inlineStr">
        <is>
          <t>72-41-01</t>
        </is>
      </c>
      <c r="F2253" s="31" t="inlineStr">
        <is>
          <t>AA</t>
        </is>
      </c>
      <c r="G2253" s="31" t="inlineStr">
        <is>
          <t>Combustor</t>
        </is>
      </c>
      <c r="H2253" s="27" t="n">
        <v>4150</v>
      </c>
      <c r="I2253" s="27" t="n">
        <v>4400</v>
      </c>
      <c r="J2253" s="154">
        <f>I2253/H2253-1</f>
        <v/>
      </c>
      <c r="K2253" s="31" t="inlineStr">
        <is>
          <t>69</t>
        </is>
      </c>
      <c r="L2253" s="31" t="inlineStr">
        <is>
          <t>71</t>
        </is>
      </c>
      <c r="M2253" s="31" t="inlineStr">
        <is>
          <t>S2</t>
        </is>
      </c>
      <c r="N2253" s="31" t="inlineStr">
        <is>
          <t>S4</t>
        </is>
      </c>
      <c r="O2253" s="31" t="inlineStr">
        <is>
          <t>1498M52G03</t>
        </is>
      </c>
      <c r="P2253" s="31" t="inlineStr">
        <is>
          <t>SR Technics Switzerland</t>
        </is>
      </c>
    </row>
    <row r="2254">
      <c r="B2254" s="31" t="inlineStr">
        <is>
          <t>CFM56-5B</t>
        </is>
      </c>
      <c r="C2254" s="31" t="inlineStr">
        <is>
          <t>2025-2026</t>
        </is>
      </c>
      <c r="D2254" s="31" t="inlineStr">
        <is>
          <t>642820</t>
        </is>
      </c>
      <c r="E2254" s="31" t="inlineStr">
        <is>
          <t>72-41-01</t>
        </is>
      </c>
      <c r="F2254" s="31" t="inlineStr">
        <is>
          <t>AB</t>
        </is>
      </c>
      <c r="G2254" s="31" t="inlineStr">
        <is>
          <t>Combustor</t>
        </is>
      </c>
      <c r="H2254" s="27" t="n">
        <v>1060</v>
      </c>
      <c r="I2254" s="27" t="n">
        <v>1125</v>
      </c>
      <c r="J2254" s="154">
        <f>I2254/H2254-1</f>
        <v/>
      </c>
      <c r="K2254" s="31" t="inlineStr">
        <is>
          <t>69</t>
        </is>
      </c>
      <c r="L2254" s="31" t="inlineStr">
        <is>
          <t>71</t>
        </is>
      </c>
      <c r="M2254" s="31" t="inlineStr">
        <is>
          <t>S2</t>
        </is>
      </c>
      <c r="N2254" s="31" t="inlineStr">
        <is>
          <t>S4</t>
        </is>
      </c>
      <c r="O2254" s="31" t="inlineStr">
        <is>
          <t>1498M52G03</t>
        </is>
      </c>
      <c r="P2254" s="31" t="inlineStr">
        <is>
          <t>SR Technics Switzerland</t>
        </is>
      </c>
    </row>
    <row r="2255">
      <c r="B2255" s="31" t="inlineStr">
        <is>
          <t>CFM56-5B</t>
        </is>
      </c>
      <c r="C2255" s="31" t="inlineStr">
        <is>
          <t>2025-2026</t>
        </is>
      </c>
      <c r="D2255" s="31" t="inlineStr">
        <is>
          <t>642820</t>
        </is>
      </c>
      <c r="E2255" s="31" t="inlineStr">
        <is>
          <t>72-41-01</t>
        </is>
      </c>
      <c r="F2255" s="31" t="inlineStr">
        <is>
          <t>B</t>
        </is>
      </c>
      <c r="G2255" s="31" t="inlineStr">
        <is>
          <t>Combustor</t>
        </is>
      </c>
      <c r="H2255" s="27" t="n">
        <v>2770</v>
      </c>
      <c r="I2255" s="27" t="n">
        <v>2940</v>
      </c>
      <c r="J2255" s="154">
        <f>I2255/H2255-1</f>
        <v/>
      </c>
      <c r="K2255" s="31" t="inlineStr">
        <is>
          <t>69</t>
        </is>
      </c>
      <c r="L2255" s="31" t="inlineStr">
        <is>
          <t>72</t>
        </is>
      </c>
      <c r="M2255" s="31" t="inlineStr">
        <is>
          <t>S2</t>
        </is>
      </c>
      <c r="N2255" s="31" t="inlineStr">
        <is>
          <t>S4</t>
        </is>
      </c>
      <c r="O2255" s="31" t="inlineStr">
        <is>
          <t>1498M52G03</t>
        </is>
      </c>
      <c r="P2255" s="31" t="inlineStr">
        <is>
          <t>SR Technics Switzerland</t>
        </is>
      </c>
    </row>
    <row r="2256">
      <c r="B2256" s="31" t="inlineStr">
        <is>
          <t>CFM56-5B</t>
        </is>
      </c>
      <c r="C2256" s="31" t="inlineStr">
        <is>
          <t>2025-2026</t>
        </is>
      </c>
      <c r="D2256" s="31" t="inlineStr">
        <is>
          <t>642820</t>
        </is>
      </c>
      <c r="E2256" s="31" t="inlineStr">
        <is>
          <t>72-41-01</t>
        </is>
      </c>
      <c r="F2256" s="31" t="inlineStr">
        <is>
          <t>C</t>
        </is>
      </c>
      <c r="G2256" s="31" t="inlineStr">
        <is>
          <t>Combustor</t>
        </is>
      </c>
      <c r="H2256" s="27" t="n">
        <v>4475</v>
      </c>
      <c r="I2256" s="27" t="n">
        <v>4745</v>
      </c>
      <c r="J2256" s="154">
        <f>I2256/H2256-1</f>
        <v/>
      </c>
      <c r="K2256" s="31" t="inlineStr">
        <is>
          <t>69</t>
        </is>
      </c>
      <c r="L2256" s="31" t="inlineStr">
        <is>
          <t>72</t>
        </is>
      </c>
      <c r="M2256" s="31" t="inlineStr">
        <is>
          <t>S2</t>
        </is>
      </c>
      <c r="N2256" s="31" t="inlineStr">
        <is>
          <t>S4</t>
        </is>
      </c>
      <c r="O2256" s="31" t="inlineStr">
        <is>
          <t>1498M52G03</t>
        </is>
      </c>
      <c r="P2256" s="31" t="inlineStr">
        <is>
          <t>SR Technics Switzerland</t>
        </is>
      </c>
    </row>
    <row r="2257">
      <c r="B2257" s="31" t="inlineStr">
        <is>
          <t>CFM56-5B</t>
        </is>
      </c>
      <c r="C2257" s="31" t="inlineStr">
        <is>
          <t>2025-2026</t>
        </is>
      </c>
      <c r="D2257" s="31" t="inlineStr">
        <is>
          <t>642820</t>
        </is>
      </c>
      <c r="E2257" s="31" t="inlineStr">
        <is>
          <t>72-41-01</t>
        </is>
      </c>
      <c r="F2257" s="31" t="inlineStr">
        <is>
          <t>D</t>
        </is>
      </c>
      <c r="G2257" s="31" t="inlineStr">
        <is>
          <t>Combustor</t>
        </is>
      </c>
      <c r="H2257" s="27" t="n">
        <v>1730</v>
      </c>
      <c r="I2257" s="27" t="n">
        <v>1835</v>
      </c>
      <c r="J2257" s="154">
        <f>I2257/H2257-1</f>
        <v/>
      </c>
      <c r="K2257" s="31" t="inlineStr">
        <is>
          <t>69</t>
        </is>
      </c>
      <c r="L2257" s="31" t="inlineStr">
        <is>
          <t>72</t>
        </is>
      </c>
      <c r="M2257" s="31" t="inlineStr">
        <is>
          <t>S2</t>
        </is>
      </c>
      <c r="N2257" s="31" t="inlineStr">
        <is>
          <t>S4</t>
        </is>
      </c>
      <c r="O2257" s="31" t="inlineStr">
        <is>
          <t>1498M52G03</t>
        </is>
      </c>
      <c r="P2257" s="31" t="inlineStr">
        <is>
          <t>SR Technics Switzerland</t>
        </is>
      </c>
    </row>
    <row r="2258">
      <c r="B2258" s="31" t="inlineStr">
        <is>
          <t>CFM56-5B</t>
        </is>
      </c>
      <c r="C2258" s="31" t="inlineStr">
        <is>
          <t>2025-2026</t>
        </is>
      </c>
      <c r="D2258" s="31" t="inlineStr">
        <is>
          <t>642820</t>
        </is>
      </c>
      <c r="E2258" s="31" t="inlineStr">
        <is>
          <t>72-41-01</t>
        </is>
      </c>
      <c r="F2258" s="31" t="inlineStr">
        <is>
          <t>E</t>
        </is>
      </c>
      <c r="G2258" s="31" t="inlineStr">
        <is>
          <t>Combustor</t>
        </is>
      </c>
      <c r="H2258" s="27" t="n">
        <v>5950</v>
      </c>
      <c r="I2258" s="27" t="n">
        <v>6310</v>
      </c>
      <c r="J2258" s="154">
        <f>I2258/H2258-1</f>
        <v/>
      </c>
      <c r="K2258" s="31" t="inlineStr">
        <is>
          <t>69</t>
        </is>
      </c>
      <c r="L2258" s="31" t="inlineStr">
        <is>
          <t>72</t>
        </is>
      </c>
      <c r="M2258" s="31" t="inlineStr">
        <is>
          <t>S2</t>
        </is>
      </c>
      <c r="N2258" s="31" t="inlineStr">
        <is>
          <t>S4</t>
        </is>
      </c>
      <c r="O2258" s="31" t="inlineStr">
        <is>
          <t>1498M52G03</t>
        </is>
      </c>
      <c r="P2258" s="31" t="inlineStr">
        <is>
          <t>SR Technics Switzerland</t>
        </is>
      </c>
    </row>
    <row r="2259">
      <c r="B2259" s="31" t="inlineStr">
        <is>
          <t>CFM56-5B</t>
        </is>
      </c>
      <c r="C2259" s="31" t="inlineStr">
        <is>
          <t>2025-2026</t>
        </is>
      </c>
      <c r="D2259" s="31" t="inlineStr">
        <is>
          <t>642820</t>
        </is>
      </c>
      <c r="E2259" s="31" t="inlineStr">
        <is>
          <t>72-41-01</t>
        </is>
      </c>
      <c r="F2259" s="31" t="inlineStr">
        <is>
          <t>F</t>
        </is>
      </c>
      <c r="G2259" s="31" t="inlineStr">
        <is>
          <t>Combustor</t>
        </is>
      </c>
      <c r="H2259" s="27" t="n">
        <v>3190</v>
      </c>
      <c r="I2259" s="27" t="n">
        <v>3385</v>
      </c>
      <c r="J2259" s="154">
        <f>I2259/H2259-1</f>
        <v/>
      </c>
      <c r="K2259" s="31" t="inlineStr">
        <is>
          <t>69</t>
        </is>
      </c>
      <c r="L2259" s="31" t="inlineStr">
        <is>
          <t>72</t>
        </is>
      </c>
      <c r="M2259" s="31" t="inlineStr">
        <is>
          <t>S2</t>
        </is>
      </c>
      <c r="N2259" s="31" t="inlineStr">
        <is>
          <t>S4</t>
        </is>
      </c>
      <c r="O2259" s="31" t="inlineStr">
        <is>
          <t>1498M52G03</t>
        </is>
      </c>
      <c r="P2259" s="31" t="inlineStr">
        <is>
          <t>SR Technics Switzerland</t>
        </is>
      </c>
    </row>
    <row r="2260">
      <c r="B2260" s="31" t="inlineStr">
        <is>
          <t>CFM56-5B</t>
        </is>
      </c>
      <c r="C2260" s="31" t="inlineStr">
        <is>
          <t>2025-2026</t>
        </is>
      </c>
      <c r="D2260" s="31" t="inlineStr">
        <is>
          <t>642820</t>
        </is>
      </c>
      <c r="E2260" s="31" t="inlineStr">
        <is>
          <t>72-41-01</t>
        </is>
      </c>
      <c r="F2260" s="31" t="inlineStr">
        <is>
          <t>I</t>
        </is>
      </c>
      <c r="G2260" s="31" t="inlineStr">
        <is>
          <t>Combustor</t>
        </is>
      </c>
      <c r="H2260" s="27" t="n">
        <v>9245</v>
      </c>
      <c r="I2260" s="27" t="n">
        <v>9800</v>
      </c>
      <c r="J2260" s="154">
        <f>I2260/H2260-1</f>
        <v/>
      </c>
      <c r="K2260" s="31" t="inlineStr">
        <is>
          <t>69</t>
        </is>
      </c>
      <c r="L2260" s="31" t="inlineStr">
        <is>
          <t>72</t>
        </is>
      </c>
      <c r="M2260" s="31" t="inlineStr">
        <is>
          <t>S2</t>
        </is>
      </c>
      <c r="N2260" s="31" t="inlineStr">
        <is>
          <t>S4</t>
        </is>
      </c>
      <c r="O2260" s="31" t="inlineStr">
        <is>
          <t>1498M52G03</t>
        </is>
      </c>
      <c r="P2260" s="31" t="inlineStr">
        <is>
          <t>SR Technics Switzerland</t>
        </is>
      </c>
    </row>
    <row r="2261">
      <c r="B2261" s="31" t="inlineStr">
        <is>
          <t>CFM56-5B</t>
        </is>
      </c>
      <c r="C2261" s="31" t="inlineStr">
        <is>
          <t>2025-2026</t>
        </is>
      </c>
      <c r="D2261" s="31" t="inlineStr">
        <is>
          <t>642820</t>
        </is>
      </c>
      <c r="E2261" s="31" t="inlineStr">
        <is>
          <t>72-41-01</t>
        </is>
      </c>
      <c r="F2261" s="31" t="inlineStr">
        <is>
          <t>P</t>
        </is>
      </c>
      <c r="G2261" s="31" t="inlineStr">
        <is>
          <t>Combustor</t>
        </is>
      </c>
      <c r="H2261" s="27" t="n">
        <v>7925</v>
      </c>
      <c r="I2261" s="27" t="n">
        <v>8405</v>
      </c>
      <c r="J2261" s="154">
        <f>I2261/H2261-1</f>
        <v/>
      </c>
      <c r="K2261" s="31" t="inlineStr">
        <is>
          <t>69</t>
        </is>
      </c>
      <c r="L2261" s="31" t="inlineStr">
        <is>
          <t>72</t>
        </is>
      </c>
      <c r="M2261" s="31" t="inlineStr">
        <is>
          <t>S2</t>
        </is>
      </c>
      <c r="N2261" s="31" t="inlineStr">
        <is>
          <t>S4</t>
        </is>
      </c>
      <c r="O2261" s="31" t="inlineStr">
        <is>
          <t>1498M52G03</t>
        </is>
      </c>
      <c r="P2261" s="31" t="inlineStr">
        <is>
          <t>SR Technics Switzerland</t>
        </is>
      </c>
    </row>
    <row r="2262">
      <c r="B2262" s="31" t="inlineStr">
        <is>
          <t>CFM56-5B</t>
        </is>
      </c>
      <c r="C2262" s="31" t="inlineStr">
        <is>
          <t>2025-2026</t>
        </is>
      </c>
      <c r="D2262" s="31" t="inlineStr">
        <is>
          <t>642820</t>
        </is>
      </c>
      <c r="E2262" s="31" t="inlineStr">
        <is>
          <t>72-41-01</t>
        </is>
      </c>
      <c r="F2262" s="31" t="inlineStr">
        <is>
          <t>Q</t>
        </is>
      </c>
      <c r="G2262" s="31" t="inlineStr">
        <is>
          <t>Combustor</t>
        </is>
      </c>
      <c r="H2262" s="27" t="n">
        <v>7925</v>
      </c>
      <c r="I2262" s="27" t="n">
        <v>8405</v>
      </c>
      <c r="J2262" s="154">
        <f>I2262/H2262-1</f>
        <v/>
      </c>
      <c r="K2262" s="31" t="inlineStr">
        <is>
          <t>69</t>
        </is>
      </c>
      <c r="L2262" s="31" t="inlineStr">
        <is>
          <t>72</t>
        </is>
      </c>
      <c r="M2262" s="31" t="inlineStr">
        <is>
          <t>S2</t>
        </is>
      </c>
      <c r="N2262" s="31" t="inlineStr">
        <is>
          <t>S4</t>
        </is>
      </c>
      <c r="O2262" s="31" t="inlineStr">
        <is>
          <t>1498M52G03</t>
        </is>
      </c>
      <c r="P2262" s="31" t="inlineStr">
        <is>
          <t>SR Technics Switzerland</t>
        </is>
      </c>
    </row>
    <row r="2263">
      <c r="B2263" s="31" t="inlineStr">
        <is>
          <t>CFM56-5B</t>
        </is>
      </c>
      <c r="C2263" s="31" t="inlineStr">
        <is>
          <t>2025-2026</t>
        </is>
      </c>
      <c r="D2263" s="31" t="inlineStr">
        <is>
          <t>642820</t>
        </is>
      </c>
      <c r="E2263" s="31" t="inlineStr">
        <is>
          <t>72-41-01</t>
        </is>
      </c>
      <c r="F2263" s="31" t="inlineStr">
        <is>
          <t>SB02</t>
        </is>
      </c>
      <c r="G2263" s="31" t="inlineStr">
        <is>
          <t>Combustor</t>
        </is>
      </c>
      <c r="H2263" s="27" t="n">
        <v>1755</v>
      </c>
      <c r="I2263" s="27" t="n">
        <v>1865</v>
      </c>
      <c r="J2263" s="154">
        <f>I2263/H2263-1</f>
        <v/>
      </c>
      <c r="K2263" s="31" t="inlineStr">
        <is>
          <t>69</t>
        </is>
      </c>
      <c r="L2263" s="31" t="inlineStr">
        <is>
          <t>72</t>
        </is>
      </c>
      <c r="M2263" s="31" t="inlineStr">
        <is>
          <t>S2</t>
        </is>
      </c>
      <c r="N2263" s="31" t="inlineStr">
        <is>
          <t>S4</t>
        </is>
      </c>
      <c r="O2263" s="31" t="inlineStr">
        <is>
          <t>1498M52G03</t>
        </is>
      </c>
      <c r="P2263" s="31" t="inlineStr">
        <is>
          <t>SR Technics Switzerland</t>
        </is>
      </c>
    </row>
    <row r="2264">
      <c r="B2264" s="31" t="inlineStr">
        <is>
          <t>CFM56-5B</t>
        </is>
      </c>
      <c r="C2264" s="31" t="inlineStr">
        <is>
          <t>2025-2026</t>
        </is>
      </c>
      <c r="D2264" s="31" t="inlineStr">
        <is>
          <t>642820</t>
        </is>
      </c>
      <c r="E2264" s="31" t="inlineStr">
        <is>
          <t>72-41-01</t>
        </is>
      </c>
      <c r="F2264" s="31" t="inlineStr">
        <is>
          <t>SB04</t>
        </is>
      </c>
      <c r="G2264" s="31" t="inlineStr">
        <is>
          <t>Combustor</t>
        </is>
      </c>
      <c r="H2264" s="27" t="n">
        <v>320</v>
      </c>
      <c r="I2264" s="27" t="n">
        <v>340</v>
      </c>
      <c r="J2264" s="154">
        <f>I2264/H2264-1</f>
        <v/>
      </c>
      <c r="K2264" s="31" t="inlineStr">
        <is>
          <t>69</t>
        </is>
      </c>
      <c r="L2264" s="31" t="inlineStr">
        <is>
          <t>72</t>
        </is>
      </c>
      <c r="M2264" s="31" t="inlineStr">
        <is>
          <t>S2</t>
        </is>
      </c>
      <c r="N2264" s="31" t="inlineStr">
        <is>
          <t>S4</t>
        </is>
      </c>
      <c r="O2264" s="31" t="inlineStr">
        <is>
          <t>1498M52G03</t>
        </is>
      </c>
      <c r="P2264" s="31" t="inlineStr">
        <is>
          <t>SR Technics Switzerland</t>
        </is>
      </c>
    </row>
    <row r="2265">
      <c r="B2265" s="31" t="inlineStr">
        <is>
          <t>CFM56-5B</t>
        </is>
      </c>
      <c r="C2265" s="31" t="inlineStr">
        <is>
          <t>2025-2026</t>
        </is>
      </c>
      <c r="D2265" s="31" t="inlineStr">
        <is>
          <t>647987</t>
        </is>
      </c>
      <c r="E2265" s="31" t="inlineStr">
        <is>
          <t>72-53-05</t>
        </is>
      </c>
      <c r="F2265" s="31" t="inlineStr">
        <is>
          <t>C</t>
        </is>
      </c>
      <c r="G2265" s="31" t="inlineStr">
        <is>
          <t>HPT / nozzle</t>
        </is>
      </c>
      <c r="H2265" s="27" t="n">
        <v>2890</v>
      </c>
      <c r="I2265" s="27" t="n">
        <v>3065</v>
      </c>
      <c r="J2265" s="154">
        <f>I2265/H2265-1</f>
        <v/>
      </c>
      <c r="K2265" s="31" t="inlineStr">
        <is>
          <t>25</t>
        </is>
      </c>
      <c r="L2265" s="31" t="inlineStr">
        <is>
          <t>26</t>
        </is>
      </c>
      <c r="M2265" s="31" t="inlineStr">
        <is>
          <t>S2</t>
        </is>
      </c>
      <c r="N2265" s="31" t="inlineStr">
        <is>
          <t>S4</t>
        </is>
      </c>
      <c r="O2265" s="31" t="inlineStr">
        <is>
          <t>1522M10G01</t>
        </is>
      </c>
      <c r="P2265" s="31" t="inlineStr">
        <is>
          <t>SR Technics Switzerland</t>
        </is>
      </c>
    </row>
    <row r="2266">
      <c r="B2266" s="31" t="inlineStr">
        <is>
          <t>CFM56-5B</t>
        </is>
      </c>
      <c r="C2266" s="31" t="inlineStr">
        <is>
          <t>2025-2026</t>
        </is>
      </c>
      <c r="D2266" s="31" t="inlineStr">
        <is>
          <t>647987</t>
        </is>
      </c>
      <c r="E2266" s="31" t="inlineStr">
        <is>
          <t>72-53-05</t>
        </is>
      </c>
      <c r="F2266" s="31" t="inlineStr">
        <is>
          <t>F</t>
        </is>
      </c>
      <c r="G2266" s="31" t="inlineStr">
        <is>
          <t>HPT / nozzle</t>
        </is>
      </c>
      <c r="H2266" s="27" t="n">
        <v>760</v>
      </c>
      <c r="I2266" s="27" t="n">
        <v>810</v>
      </c>
      <c r="J2266" s="154">
        <f>I2266/H2266-1</f>
        <v/>
      </c>
      <c r="K2266" s="31" t="inlineStr">
        <is>
          <t>25</t>
        </is>
      </c>
      <c r="L2266" s="31" t="inlineStr">
        <is>
          <t>26</t>
        </is>
      </c>
      <c r="M2266" s="31" t="inlineStr">
        <is>
          <t>S2</t>
        </is>
      </c>
      <c r="N2266" s="31" t="inlineStr">
        <is>
          <t>S4</t>
        </is>
      </c>
      <c r="O2266" s="31" t="inlineStr">
        <is>
          <t>1522M10G01</t>
        </is>
      </c>
      <c r="P2266" s="31" t="inlineStr">
        <is>
          <t>SR Technics Switzerland</t>
        </is>
      </c>
    </row>
    <row r="2267">
      <c r="B2267" s="31" t="inlineStr">
        <is>
          <t>CFM56-5B</t>
        </is>
      </c>
      <c r="C2267" s="31" t="inlineStr">
        <is>
          <t>2025-2026</t>
        </is>
      </c>
      <c r="D2267" s="31" t="inlineStr">
        <is>
          <t>647987</t>
        </is>
      </c>
      <c r="E2267" s="31" t="inlineStr">
        <is>
          <t>72-53-05</t>
        </is>
      </c>
      <c r="F2267" s="31" t="inlineStr">
        <is>
          <t>G</t>
        </is>
      </c>
      <c r="G2267" s="31" t="inlineStr">
        <is>
          <t>HPT / nozzle</t>
        </is>
      </c>
      <c r="H2267" s="27" t="n">
        <v>760</v>
      </c>
      <c r="I2267" s="27" t="n">
        <v>810</v>
      </c>
      <c r="J2267" s="154">
        <f>I2267/H2267-1</f>
        <v/>
      </c>
      <c r="K2267" s="31" t="inlineStr">
        <is>
          <t>25</t>
        </is>
      </c>
      <c r="L2267" s="31" t="inlineStr">
        <is>
          <t>26</t>
        </is>
      </c>
      <c r="M2267" s="31" t="inlineStr">
        <is>
          <t>S2</t>
        </is>
      </c>
      <c r="N2267" s="31" t="inlineStr">
        <is>
          <t>S4</t>
        </is>
      </c>
      <c r="O2267" s="31" t="inlineStr">
        <is>
          <t>1522M10G01</t>
        </is>
      </c>
      <c r="P2267" s="31" t="inlineStr">
        <is>
          <t>SR Technics Switzerland</t>
        </is>
      </c>
    </row>
    <row r="2268">
      <c r="B2268" s="31" t="inlineStr">
        <is>
          <t>CFM56-5B</t>
        </is>
      </c>
      <c r="C2268" s="31" t="inlineStr">
        <is>
          <t>2025-2026</t>
        </is>
      </c>
      <c r="D2268" s="31" t="inlineStr">
        <is>
          <t>647987</t>
        </is>
      </c>
      <c r="E2268" s="31" t="inlineStr">
        <is>
          <t>72-53-05</t>
        </is>
      </c>
      <c r="F2268" s="31" t="inlineStr">
        <is>
          <t>I</t>
        </is>
      </c>
      <c r="G2268" s="31" t="inlineStr">
        <is>
          <t>HPT / nozzle</t>
        </is>
      </c>
      <c r="H2268" s="27" t="n">
        <v>2915</v>
      </c>
      <c r="I2268" s="27" t="n">
        <v>3090</v>
      </c>
      <c r="J2268" s="154">
        <f>I2268/H2268-1</f>
        <v/>
      </c>
      <c r="K2268" s="31" t="inlineStr">
        <is>
          <t>25</t>
        </is>
      </c>
      <c r="L2268" s="31" t="inlineStr">
        <is>
          <t>26</t>
        </is>
      </c>
      <c r="M2268" s="31" t="inlineStr">
        <is>
          <t>S2</t>
        </is>
      </c>
      <c r="N2268" s="31" t="inlineStr">
        <is>
          <t>S4</t>
        </is>
      </c>
      <c r="O2268" s="31" t="inlineStr">
        <is>
          <t>1522M10G01</t>
        </is>
      </c>
      <c r="P2268" s="31" t="inlineStr">
        <is>
          <t>SR Technics Switzerland</t>
        </is>
      </c>
    </row>
    <row r="2269">
      <c r="B2269" s="31" t="inlineStr">
        <is>
          <t>CFM56-5B</t>
        </is>
      </c>
      <c r="C2269" s="31" t="inlineStr">
        <is>
          <t>2025-2026</t>
        </is>
      </c>
      <c r="D2269" s="31" t="inlineStr">
        <is>
          <t>647987</t>
        </is>
      </c>
      <c r="E2269" s="31" t="inlineStr">
        <is>
          <t>72-53-05</t>
        </is>
      </c>
      <c r="F2269" s="31" t="inlineStr">
        <is>
          <t>J</t>
        </is>
      </c>
      <c r="G2269" s="31" t="inlineStr">
        <is>
          <t>HPT / nozzle</t>
        </is>
      </c>
      <c r="H2269" s="27" t="n">
        <v>865</v>
      </c>
      <c r="I2269" s="27" t="n">
        <v>920</v>
      </c>
      <c r="J2269" s="154">
        <f>I2269/H2269-1</f>
        <v/>
      </c>
      <c r="K2269" s="31" t="inlineStr">
        <is>
          <t>25</t>
        </is>
      </c>
      <c r="L2269" s="31" t="inlineStr">
        <is>
          <t>26</t>
        </is>
      </c>
      <c r="M2269" s="31" t="inlineStr">
        <is>
          <t>S2</t>
        </is>
      </c>
      <c r="N2269" s="31" t="inlineStr">
        <is>
          <t>S4</t>
        </is>
      </c>
      <c r="O2269" s="31" t="inlineStr">
        <is>
          <t>1522M10G01</t>
        </is>
      </c>
      <c r="P2269" s="31" t="inlineStr">
        <is>
          <t>SR Technics Switzerland</t>
        </is>
      </c>
    </row>
    <row r="2270">
      <c r="B2270" s="31" t="inlineStr">
        <is>
          <t>CFM56-5B</t>
        </is>
      </c>
      <c r="C2270" s="31" t="inlineStr">
        <is>
          <t>2025-2026</t>
        </is>
      </c>
      <c r="D2270" s="31" t="inlineStr">
        <is>
          <t>647987</t>
        </is>
      </c>
      <c r="E2270" s="31" t="inlineStr">
        <is>
          <t>72-53-05</t>
        </is>
      </c>
      <c r="F2270" s="31" t="inlineStr">
        <is>
          <t>M</t>
        </is>
      </c>
      <c r="G2270" s="31" t="inlineStr">
        <is>
          <t>HPT / nozzle</t>
        </is>
      </c>
      <c r="H2270" s="27" t="n">
        <v>1530</v>
      </c>
      <c r="I2270" s="27" t="n">
        <v>1625</v>
      </c>
      <c r="J2270" s="154">
        <f>I2270/H2270-1</f>
        <v/>
      </c>
      <c r="K2270" s="31" t="inlineStr">
        <is>
          <t>25</t>
        </is>
      </c>
      <c r="L2270" s="31" t="inlineStr">
        <is>
          <t>26</t>
        </is>
      </c>
      <c r="M2270" s="31" t="inlineStr">
        <is>
          <t>S2</t>
        </is>
      </c>
      <c r="N2270" s="31" t="inlineStr">
        <is>
          <t>S4</t>
        </is>
      </c>
      <c r="O2270" s="31" t="inlineStr">
        <is>
          <t>1522M10G01</t>
        </is>
      </c>
      <c r="P2270" s="31" t="inlineStr">
        <is>
          <t>SR Technics Switzerland</t>
        </is>
      </c>
    </row>
    <row r="2271">
      <c r="B2271" s="31" t="inlineStr">
        <is>
          <t>CFM56-5B</t>
        </is>
      </c>
      <c r="C2271" s="31" t="inlineStr">
        <is>
          <t>2025-2026</t>
        </is>
      </c>
      <c r="D2271" s="31" t="inlineStr">
        <is>
          <t>647987</t>
        </is>
      </c>
      <c r="E2271" s="31" t="inlineStr">
        <is>
          <t>72-53-05</t>
        </is>
      </c>
      <c r="F2271" s="31" t="inlineStr">
        <is>
          <t>N</t>
        </is>
      </c>
      <c r="G2271" s="31" t="inlineStr">
        <is>
          <t>HPT / nozzle</t>
        </is>
      </c>
      <c r="H2271" s="27" t="n">
        <v>2055</v>
      </c>
      <c r="I2271" s="27" t="n">
        <v>2180</v>
      </c>
      <c r="J2271" s="154">
        <f>I2271/H2271-1</f>
        <v/>
      </c>
      <c r="K2271" s="31" t="inlineStr">
        <is>
          <t>25</t>
        </is>
      </c>
      <c r="L2271" s="31" t="inlineStr">
        <is>
          <t>26</t>
        </is>
      </c>
      <c r="M2271" s="31" t="inlineStr">
        <is>
          <t>S2</t>
        </is>
      </c>
      <c r="N2271" s="31" t="inlineStr">
        <is>
          <t>S4</t>
        </is>
      </c>
      <c r="O2271" s="31" t="inlineStr">
        <is>
          <t>1522M10G01</t>
        </is>
      </c>
      <c r="P2271" s="31" t="inlineStr">
        <is>
          <t>SR Technics Switzerland</t>
        </is>
      </c>
    </row>
    <row r="2272">
      <c r="B2272" s="31" t="inlineStr">
        <is>
          <t>CFM56-5B</t>
        </is>
      </c>
      <c r="C2272" s="31" t="inlineStr">
        <is>
          <t>2025-2026</t>
        </is>
      </c>
      <c r="D2272" s="31" t="inlineStr">
        <is>
          <t>647987</t>
        </is>
      </c>
      <c r="E2272" s="31" t="inlineStr">
        <is>
          <t>72-53-05</t>
        </is>
      </c>
      <c r="F2272" s="31" t="inlineStr">
        <is>
          <t>P</t>
        </is>
      </c>
      <c r="G2272" s="31" t="inlineStr">
        <is>
          <t>HPT / nozzle</t>
        </is>
      </c>
      <c r="H2272" s="27" t="n">
        <v>1275</v>
      </c>
      <c r="I2272" s="27" t="n">
        <v>1355</v>
      </c>
      <c r="J2272" s="154">
        <f>I2272/H2272-1</f>
        <v/>
      </c>
      <c r="K2272" s="31" t="inlineStr">
        <is>
          <t>25</t>
        </is>
      </c>
      <c r="L2272" s="31" t="inlineStr">
        <is>
          <t>26</t>
        </is>
      </c>
      <c r="M2272" s="31" t="inlineStr">
        <is>
          <t>S2</t>
        </is>
      </c>
      <c r="N2272" s="31" t="inlineStr">
        <is>
          <t>S4</t>
        </is>
      </c>
      <c r="O2272" s="31" t="inlineStr">
        <is>
          <t>1522M10G01</t>
        </is>
      </c>
      <c r="P2272" s="31" t="inlineStr">
        <is>
          <t>SR Technics Switzerland</t>
        </is>
      </c>
    </row>
    <row r="2273">
      <c r="B2273" s="31" t="inlineStr">
        <is>
          <t>CFM56-5B</t>
        </is>
      </c>
      <c r="C2273" s="31" t="inlineStr">
        <is>
          <t>2025-2026</t>
        </is>
      </c>
      <c r="D2273" s="31" t="inlineStr">
        <is>
          <t>647987</t>
        </is>
      </c>
      <c r="E2273" s="31" t="inlineStr">
        <is>
          <t>72-53-05</t>
        </is>
      </c>
      <c r="F2273" s="31" t="inlineStr">
        <is>
          <t>Q</t>
        </is>
      </c>
      <c r="G2273" s="31" t="inlineStr">
        <is>
          <t>HPT / nozzle</t>
        </is>
      </c>
      <c r="H2273" s="27" t="n">
        <v>2080</v>
      </c>
      <c r="I2273" s="27" t="n">
        <v>2205</v>
      </c>
      <c r="J2273" s="154">
        <f>I2273/H2273-1</f>
        <v/>
      </c>
      <c r="K2273" s="31" t="inlineStr">
        <is>
          <t>25</t>
        </is>
      </c>
      <c r="L2273" s="31" t="inlineStr">
        <is>
          <t>26</t>
        </is>
      </c>
      <c r="M2273" s="31" t="inlineStr">
        <is>
          <t>S2</t>
        </is>
      </c>
      <c r="N2273" s="31" t="inlineStr">
        <is>
          <t>S4</t>
        </is>
      </c>
      <c r="O2273" s="31" t="inlineStr">
        <is>
          <t>1522M10G01</t>
        </is>
      </c>
      <c r="P2273" s="31" t="inlineStr">
        <is>
          <t>SR Technics Switzerland</t>
        </is>
      </c>
    </row>
    <row r="2274">
      <c r="B2274" s="31" t="inlineStr">
        <is>
          <t>CFM56-5B</t>
        </is>
      </c>
      <c r="C2274" s="31" t="inlineStr">
        <is>
          <t>2025-2026</t>
        </is>
      </c>
      <c r="D2274" s="31" t="inlineStr">
        <is>
          <t>648440</t>
        </is>
      </c>
      <c r="E2274" s="31" t="inlineStr">
        <is>
          <t>72-22-07</t>
        </is>
      </c>
      <c r="F2274" s="31" t="inlineStr">
        <is>
          <t>B</t>
        </is>
      </c>
      <c r="G2274" s="31" t="inlineStr">
        <is>
          <t>Fan / booster</t>
        </is>
      </c>
      <c r="H2274" s="27" t="n">
        <v>310</v>
      </c>
      <c r="I2274" s="27" t="n">
        <v>330</v>
      </c>
      <c r="J2274" s="154">
        <f>I2274/H2274-1</f>
        <v/>
      </c>
      <c r="K2274" s="31" t="inlineStr">
        <is>
          <t>70</t>
        </is>
      </c>
      <c r="L2274" s="31" t="inlineStr">
        <is>
          <t>72</t>
        </is>
      </c>
      <c r="M2274" s="31" t="inlineStr">
        <is>
          <t>S2</t>
        </is>
      </c>
      <c r="N2274" s="31" t="inlineStr">
        <is>
          <t>S4</t>
        </is>
      </c>
      <c r="O2274" s="31" t="inlineStr">
        <is>
          <t>301-544-407-0</t>
        </is>
      </c>
      <c r="P2274" s="31" t="inlineStr">
        <is>
          <t>SR Technics Switzerland</t>
        </is>
      </c>
    </row>
    <row r="2275">
      <c r="B2275" s="31" t="inlineStr">
        <is>
          <t>CFM56-5B</t>
        </is>
      </c>
      <c r="C2275" s="31" t="inlineStr">
        <is>
          <t>2025-2026</t>
        </is>
      </c>
      <c r="D2275" s="31" t="inlineStr">
        <is>
          <t>648442</t>
        </is>
      </c>
      <c r="E2275" s="31" t="inlineStr">
        <is>
          <t>72-22-08</t>
        </is>
      </c>
      <c r="F2275" s="31" t="inlineStr">
        <is>
          <t>B</t>
        </is>
      </c>
      <c r="G2275" s="31" t="inlineStr">
        <is>
          <t>Fan / booster</t>
        </is>
      </c>
      <c r="H2275" s="27" t="n">
        <v>250</v>
      </c>
      <c r="I2275" s="27" t="n">
        <v>265</v>
      </c>
      <c r="J2275" s="154">
        <f>I2275/H2275-1</f>
        <v/>
      </c>
      <c r="K2275" s="31" t="inlineStr">
        <is>
          <t>26</t>
        </is>
      </c>
      <c r="L2275" s="31" t="inlineStr">
        <is>
          <t>26</t>
        </is>
      </c>
      <c r="M2275" s="31" t="inlineStr">
        <is>
          <t>S2</t>
        </is>
      </c>
      <c r="N2275" s="31" t="inlineStr">
        <is>
          <t>S4</t>
        </is>
      </c>
      <c r="O2275" s="31" t="inlineStr">
        <is>
          <t>338-062-201-0</t>
        </is>
      </c>
      <c r="P2275" s="31" t="inlineStr">
        <is>
          <t>SR Technics Switzerland</t>
        </is>
      </c>
    </row>
    <row r="2276">
      <c r="B2276" s="31" t="inlineStr">
        <is>
          <t>CFM56-5B</t>
        </is>
      </c>
      <c r="C2276" s="31" t="inlineStr">
        <is>
          <t>2025-2026</t>
        </is>
      </c>
      <c r="D2276" s="31" t="inlineStr">
        <is>
          <t>648443</t>
        </is>
      </c>
      <c r="E2276" s="31" t="inlineStr">
        <is>
          <t>72-22-08</t>
        </is>
      </c>
      <c r="F2276" s="31" t="inlineStr">
        <is>
          <t>B</t>
        </is>
      </c>
      <c r="G2276" s="31" t="inlineStr">
        <is>
          <t>Fan / booster</t>
        </is>
      </c>
      <c r="H2276" s="27" t="n">
        <v>310</v>
      </c>
      <c r="I2276" s="27" t="n">
        <v>330</v>
      </c>
      <c r="J2276" s="154">
        <f>I2276/H2276-1</f>
        <v/>
      </c>
      <c r="K2276" s="31" t="inlineStr">
        <is>
          <t>26</t>
        </is>
      </c>
      <c r="L2276" s="31" t="inlineStr">
        <is>
          <t>26</t>
        </is>
      </c>
      <c r="M2276" s="31" t="inlineStr">
        <is>
          <t>S2</t>
        </is>
      </c>
      <c r="N2276" s="31" t="inlineStr">
        <is>
          <t>S4</t>
        </is>
      </c>
      <c r="O2276" s="31" t="inlineStr">
        <is>
          <t>338-062-001-0</t>
        </is>
      </c>
      <c r="P2276" s="31" t="inlineStr">
        <is>
          <t>SR Technics Switzerland</t>
        </is>
      </c>
    </row>
    <row r="2277">
      <c r="B2277" s="31" t="inlineStr">
        <is>
          <t>CFM56-5B</t>
        </is>
      </c>
      <c r="C2277" s="31" t="inlineStr">
        <is>
          <t>2025-2026</t>
        </is>
      </c>
      <c r="D2277" s="31" t="inlineStr">
        <is>
          <t>648461</t>
        </is>
      </c>
      <c r="E2277" s="31" t="inlineStr">
        <is>
          <t>72-22-20</t>
        </is>
      </c>
      <c r="F2277" s="31" t="inlineStr">
        <is>
          <t>A</t>
        </is>
      </c>
      <c r="G2277" s="31" t="inlineStr">
        <is>
          <t>Fan / booster</t>
        </is>
      </c>
      <c r="H2277" s="27" t="n">
        <v>145</v>
      </c>
      <c r="I2277" s="27" t="n">
        <v>155</v>
      </c>
      <c r="J2277" s="154">
        <f>I2277/H2277-1</f>
        <v/>
      </c>
      <c r="K2277" s="31" t="inlineStr">
        <is>
          <t>70</t>
        </is>
      </c>
      <c r="L2277" s="31" t="inlineStr">
        <is>
          <t>73</t>
        </is>
      </c>
      <c r="M2277" s="31" t="inlineStr">
        <is>
          <t>S2</t>
        </is>
      </c>
      <c r="N2277" s="31" t="inlineStr">
        <is>
          <t>S4</t>
        </is>
      </c>
      <c r="O2277" s="31" t="inlineStr">
        <is>
          <t>305-047-401-0</t>
        </is>
      </c>
      <c r="P2277" s="31" t="inlineStr">
        <is>
          <t>SR Technics Switzerland</t>
        </is>
      </c>
    </row>
    <row r="2278">
      <c r="B2278" s="31" t="inlineStr">
        <is>
          <t>CFM56-5B</t>
        </is>
      </c>
      <c r="C2278" s="31" t="inlineStr">
        <is>
          <t>2025-2026</t>
        </is>
      </c>
      <c r="D2278" s="31" t="inlineStr">
        <is>
          <t>648693</t>
        </is>
      </c>
      <c r="E2278" s="31" t="inlineStr">
        <is>
          <t>72-56-09</t>
        </is>
      </c>
      <c r="F2278" s="31" t="inlineStr">
        <is>
          <t>A</t>
        </is>
      </c>
      <c r="G2278" s="31" t="inlineStr">
        <is>
          <t>LPT</t>
        </is>
      </c>
      <c r="H2278" s="27" t="n">
        <v>315</v>
      </c>
      <c r="I2278" s="27" t="n">
        <v>335</v>
      </c>
      <c r="J2278" s="154">
        <f>I2278/H2278-1</f>
        <v/>
      </c>
      <c r="K2278" s="31" t="inlineStr">
        <is>
          <t>26</t>
        </is>
      </c>
      <c r="L2278" s="31" t="inlineStr">
        <is>
          <t>26</t>
        </is>
      </c>
      <c r="M2278" s="31" t="inlineStr">
        <is>
          <t>S2</t>
        </is>
      </c>
      <c r="N2278" s="31" t="inlineStr">
        <is>
          <t>S4</t>
        </is>
      </c>
      <c r="O2278" s="31" t="inlineStr">
        <is>
          <t>336-031-802-0</t>
        </is>
      </c>
      <c r="P2278" s="31" t="inlineStr">
        <is>
          <t>SR Technics Switzerland</t>
        </is>
      </c>
    </row>
    <row r="2279">
      <c r="B2279" s="31" t="inlineStr">
        <is>
          <t>CFM56-5B</t>
        </is>
      </c>
      <c r="C2279" s="31" t="inlineStr">
        <is>
          <t>2025-2026</t>
        </is>
      </c>
      <c r="D2279" s="31" t="inlineStr">
        <is>
          <t>648706</t>
        </is>
      </c>
      <c r="E2279" s="31" t="inlineStr">
        <is>
          <t>72-53-10</t>
        </is>
      </c>
      <c r="F2279" s="31" t="inlineStr">
        <is>
          <t>A</t>
        </is>
      </c>
      <c r="G2279" s="31" t="inlineStr">
        <is>
          <t>HPT / nozzle</t>
        </is>
      </c>
      <c r="H2279" s="27" t="n">
        <v>40</v>
      </c>
      <c r="I2279" s="27" t="n">
        <v>45</v>
      </c>
      <c r="J2279" s="154">
        <f>I2279/H2279-1</f>
        <v/>
      </c>
      <c r="K2279" s="31" t="inlineStr">
        <is>
          <t>70</t>
        </is>
      </c>
      <c r="L2279" s="31" t="inlineStr">
        <is>
          <t>73</t>
        </is>
      </c>
      <c r="M2279" s="31" t="inlineStr">
        <is>
          <t>S2</t>
        </is>
      </c>
      <c r="N2279" s="31" t="inlineStr">
        <is>
          <t>S4</t>
        </is>
      </c>
      <c r="O2279" s="31" t="inlineStr">
        <is>
          <t>336-022-402-0</t>
        </is>
      </c>
      <c r="P2279" s="31" t="inlineStr">
        <is>
          <t>SR Technics Switzerland</t>
        </is>
      </c>
    </row>
    <row r="2280">
      <c r="B2280" s="31" t="inlineStr">
        <is>
          <t>CFM56-5B</t>
        </is>
      </c>
      <c r="C2280" s="31" t="inlineStr">
        <is>
          <t>2025-2026</t>
        </is>
      </c>
      <c r="D2280" s="31" t="inlineStr">
        <is>
          <t>648714</t>
        </is>
      </c>
      <c r="E2280" s="31" t="inlineStr">
        <is>
          <t>72-51-10</t>
        </is>
      </c>
      <c r="F2280" s="31" t="inlineStr">
        <is>
          <t>A</t>
        </is>
      </c>
      <c r="G2280" s="31" t="inlineStr">
        <is>
          <t>HPT / nozzle</t>
        </is>
      </c>
      <c r="H2280" s="27" t="n">
        <v>530</v>
      </c>
      <c r="I2280" s="27" t="n">
        <v>560</v>
      </c>
      <c r="J2280" s="154">
        <f>I2280/H2280-1</f>
        <v/>
      </c>
      <c r="K2280" s="31" t="inlineStr">
        <is>
          <t>70</t>
        </is>
      </c>
      <c r="L2280" s="31" t="inlineStr">
        <is>
          <t>73</t>
        </is>
      </c>
      <c r="M2280" s="31" t="inlineStr">
        <is>
          <t>S2</t>
        </is>
      </c>
      <c r="N2280" s="31" t="inlineStr">
        <is>
          <t>S4</t>
        </is>
      </c>
      <c r="O2280" s="31" t="inlineStr">
        <is>
          <t>1359M84P06</t>
        </is>
      </c>
      <c r="P2280" s="31" t="inlineStr">
        <is>
          <t>SR Technics Switzerland</t>
        </is>
      </c>
    </row>
    <row r="2281">
      <c r="B2281" s="31" t="inlineStr">
        <is>
          <t>CFM56-5B</t>
        </is>
      </c>
      <c r="C2281" s="31" t="inlineStr">
        <is>
          <t>2025-2026</t>
        </is>
      </c>
      <c r="D2281" s="31" t="inlineStr">
        <is>
          <t>648717</t>
        </is>
      </c>
      <c r="E2281" s="31" t="inlineStr">
        <is>
          <t>72-52-11</t>
        </is>
      </c>
      <c r="F2281" s="31" t="inlineStr">
        <is>
          <t>A</t>
        </is>
      </c>
      <c r="G2281" s="31" t="inlineStr">
        <is>
          <t>HPT / nozzle</t>
        </is>
      </c>
      <c r="H2281" s="27" t="n">
        <v>220</v>
      </c>
      <c r="I2281" s="27" t="n">
        <v>235</v>
      </c>
      <c r="J2281" s="154">
        <f>I2281/H2281-1</f>
        <v/>
      </c>
      <c r="K2281" s="31" t="inlineStr">
        <is>
          <t>26</t>
        </is>
      </c>
      <c r="L2281" s="31" t="inlineStr">
        <is>
          <t>26</t>
        </is>
      </c>
      <c r="M2281" s="31" t="inlineStr">
        <is>
          <t>S2</t>
        </is>
      </c>
      <c r="N2281" s="31" t="inlineStr">
        <is>
          <t>S4</t>
        </is>
      </c>
      <c r="O2281" s="31" t="inlineStr">
        <is>
          <t>1864M97P01</t>
        </is>
      </c>
      <c r="P2281" s="31" t="inlineStr">
        <is>
          <t>SR Technics Switzerland</t>
        </is>
      </c>
    </row>
    <row r="2282">
      <c r="B2282" s="31" t="inlineStr">
        <is>
          <t>CFM56-5B</t>
        </is>
      </c>
      <c r="C2282" s="31" t="inlineStr">
        <is>
          <t>2025-2026</t>
        </is>
      </c>
      <c r="D2282" s="31" t="inlineStr">
        <is>
          <t>648731</t>
        </is>
      </c>
      <c r="E2282" s="31" t="inlineStr">
        <is>
          <t>72-32-13</t>
        </is>
      </c>
      <c r="F2282" s="31" t="inlineStr">
        <is>
          <t>A</t>
        </is>
      </c>
      <c r="G2282" s="31" t="inlineStr">
        <is>
          <t>Compressor</t>
        </is>
      </c>
      <c r="H2282" s="27" t="n">
        <v>60</v>
      </c>
      <c r="I2282" s="27" t="n">
        <v>65</v>
      </c>
      <c r="J2282" s="154">
        <f>I2282/H2282-1</f>
        <v/>
      </c>
      <c r="K2282" s="31" t="inlineStr">
        <is>
          <t>71</t>
        </is>
      </c>
      <c r="L2282" s="31" t="inlineStr">
        <is>
          <t>73</t>
        </is>
      </c>
      <c r="M2282" s="31" t="inlineStr">
        <is>
          <t>S2</t>
        </is>
      </c>
      <c r="N2282" s="31" t="inlineStr">
        <is>
          <t>S4</t>
        </is>
      </c>
      <c r="O2282" s="31" t="inlineStr">
        <is>
          <t>1476M52P01</t>
        </is>
      </c>
      <c r="P2282" s="31" t="inlineStr">
        <is>
          <t>SR Technics Switzerland</t>
        </is>
      </c>
    </row>
    <row r="2283">
      <c r="B2283" s="31" t="inlineStr">
        <is>
          <t>CFM56-5B</t>
        </is>
      </c>
      <c r="C2283" s="31" t="inlineStr">
        <is>
          <t>2025-2026</t>
        </is>
      </c>
      <c r="D2283" s="31" t="inlineStr">
        <is>
          <t>652060</t>
        </is>
      </c>
      <c r="E2283" s="31" t="inlineStr">
        <is>
          <t>72-32-09</t>
        </is>
      </c>
      <c r="F2283" s="31" t="inlineStr">
        <is>
          <t>A</t>
        </is>
      </c>
      <c r="G2283" s="31" t="inlineStr">
        <is>
          <t>Compressor</t>
        </is>
      </c>
      <c r="H2283" s="27" t="n">
        <v>35</v>
      </c>
      <c r="I2283" s="27" t="n">
        <v>40</v>
      </c>
      <c r="J2283" s="154">
        <f>I2283/H2283-1</f>
        <v/>
      </c>
      <c r="K2283" s="31" t="inlineStr">
        <is>
          <t>71</t>
        </is>
      </c>
      <c r="L2283" s="31" t="inlineStr">
        <is>
          <t>74</t>
        </is>
      </c>
      <c r="M2283" s="31" t="inlineStr">
        <is>
          <t>S2</t>
        </is>
      </c>
      <c r="N2283" s="31" t="inlineStr">
        <is>
          <t>S4</t>
        </is>
      </c>
      <c r="O2283" s="31" t="inlineStr">
        <is>
          <t>2050M55P01</t>
        </is>
      </c>
      <c r="P2283" s="31" t="inlineStr">
        <is>
          <t>SR Technics Switzerland</t>
        </is>
      </c>
    </row>
    <row r="2284">
      <c r="B2284" s="31" t="inlineStr">
        <is>
          <t>CFM56-5B</t>
        </is>
      </c>
      <c r="C2284" s="31" t="inlineStr">
        <is>
          <t>2025-2026</t>
        </is>
      </c>
      <c r="D2284" s="31" t="inlineStr">
        <is>
          <t>653347</t>
        </is>
      </c>
      <c r="E2284" s="31" t="inlineStr">
        <is>
          <t>72-23-17</t>
        </is>
      </c>
      <c r="F2284" s="31" t="inlineStr">
        <is>
          <t>A</t>
        </is>
      </c>
      <c r="G2284" s="31" t="inlineStr">
        <is>
          <t>Fan / booster</t>
        </is>
      </c>
      <c r="H2284" s="27" t="n">
        <v>115</v>
      </c>
      <c r="I2284" s="27" t="n">
        <v>125</v>
      </c>
      <c r="J2284" s="154">
        <f>I2284/H2284-1</f>
        <v/>
      </c>
      <c r="K2284" s="31" t="inlineStr">
        <is>
          <t>71</t>
        </is>
      </c>
      <c r="L2284" s="31" t="inlineStr">
        <is>
          <t>74</t>
        </is>
      </c>
      <c r="M2284" s="31" t="inlineStr">
        <is>
          <t>S2</t>
        </is>
      </c>
      <c r="N2284" s="31" t="inlineStr">
        <is>
          <t>S4</t>
        </is>
      </c>
      <c r="O2284" s="31" t="inlineStr">
        <is>
          <t>336-472-901-0</t>
        </is>
      </c>
      <c r="P2284" s="31" t="inlineStr">
        <is>
          <t>SR Technics Switzerland</t>
        </is>
      </c>
    </row>
    <row r="2285">
      <c r="B2285" s="31" t="inlineStr">
        <is>
          <t>CFM56-5B</t>
        </is>
      </c>
      <c r="C2285" s="31" t="inlineStr">
        <is>
          <t>2025-2026</t>
        </is>
      </c>
      <c r="D2285" s="31" t="inlineStr">
        <is>
          <t>654796</t>
        </is>
      </c>
      <c r="E2285" s="31" t="inlineStr">
        <is>
          <t>72-33-20</t>
        </is>
      </c>
      <c r="F2285" s="31" t="inlineStr">
        <is>
          <t>A</t>
        </is>
      </c>
      <c r="G2285" s="31" t="inlineStr">
        <is>
          <t>Compressor</t>
        </is>
      </c>
      <c r="H2285" s="27" t="n">
        <v>100</v>
      </c>
      <c r="I2285" s="27" t="n">
        <v>105</v>
      </c>
      <c r="J2285" s="154">
        <f>I2285/H2285-1</f>
        <v/>
      </c>
      <c r="K2285" s="31" t="inlineStr">
        <is>
          <t>26</t>
        </is>
      </c>
      <c r="L2285" s="31" t="inlineStr">
        <is>
          <t>26</t>
        </is>
      </c>
      <c r="M2285" s="31" t="inlineStr">
        <is>
          <t>S2</t>
        </is>
      </c>
      <c r="N2285" s="31" t="inlineStr">
        <is>
          <t>S4</t>
        </is>
      </c>
      <c r="O2285" s="31" t="inlineStr">
        <is>
          <t>9321M97P02</t>
        </is>
      </c>
      <c r="P2285" s="31" t="inlineStr">
        <is>
          <t>SR Technics Switzerland</t>
        </is>
      </c>
    </row>
    <row r="2286">
      <c r="B2286" s="31" t="inlineStr">
        <is>
          <t>CFM56-5B</t>
        </is>
      </c>
      <c r="C2286" s="31" t="inlineStr">
        <is>
          <t>2025-2026</t>
        </is>
      </c>
      <c r="D2286" s="31" t="inlineStr">
        <is>
          <t>654909</t>
        </is>
      </c>
      <c r="E2286" s="31" t="inlineStr">
        <is>
          <t>72-54-14</t>
        </is>
      </c>
      <c r="F2286" s="31" t="inlineStr">
        <is>
          <t>AE</t>
        </is>
      </c>
      <c r="G2286" s="31" t="inlineStr">
        <is>
          <t>LPT</t>
        </is>
      </c>
      <c r="H2286" s="27" t="n">
        <v>890</v>
      </c>
      <c r="I2286" s="27" t="n">
        <v>945</v>
      </c>
      <c r="J2286" s="154">
        <f>I2286/H2286-1</f>
        <v/>
      </c>
      <c r="K2286" s="31" t="inlineStr">
        <is>
          <t>26</t>
        </is>
      </c>
      <c r="L2286" s="31" t="inlineStr">
        <is>
          <t>26</t>
        </is>
      </c>
      <c r="M2286" s="31" t="inlineStr">
        <is>
          <t>S2</t>
        </is>
      </c>
      <c r="N2286" s="31" t="inlineStr">
        <is>
          <t>S4</t>
        </is>
      </c>
      <c r="O2286" s="31" t="inlineStr">
        <is>
          <t>337-112-801-0</t>
        </is>
      </c>
      <c r="P2286" s="31" t="inlineStr">
        <is>
          <t>SR Technics Switzerland</t>
        </is>
      </c>
    </row>
    <row r="2287">
      <c r="B2287" s="31" t="inlineStr">
        <is>
          <t>CFM56-5B</t>
        </is>
      </c>
      <c r="C2287" s="31" t="inlineStr">
        <is>
          <t>2025-2026</t>
        </is>
      </c>
      <c r="D2287" s="31" t="inlineStr">
        <is>
          <t>654965</t>
        </is>
      </c>
      <c r="E2287" s="31" t="inlineStr">
        <is>
          <t>72-62-12</t>
        </is>
      </c>
      <c r="F2287" s="31" t="inlineStr">
        <is>
          <t>A</t>
        </is>
      </c>
      <c r="G2287" s="31" t="inlineStr">
        <is>
          <t>Gearbox</t>
        </is>
      </c>
      <c r="H2287" s="27" t="n">
        <v>65</v>
      </c>
      <c r="I2287" s="27" t="n">
        <v>70</v>
      </c>
      <c r="J2287" s="154">
        <f>I2287/H2287-1</f>
        <v/>
      </c>
      <c r="K2287" s="31" t="inlineStr">
        <is>
          <t>71</t>
        </is>
      </c>
      <c r="L2287" s="31" t="inlineStr">
        <is>
          <t>74</t>
        </is>
      </c>
      <c r="M2287" s="31" t="inlineStr">
        <is>
          <t>S2</t>
        </is>
      </c>
      <c r="N2287" s="31" t="inlineStr">
        <is>
          <t>S4</t>
        </is>
      </c>
      <c r="O2287" s="31" t="inlineStr">
        <is>
          <t>305-156-502-0</t>
        </is>
      </c>
      <c r="P2287" s="31" t="inlineStr">
        <is>
          <t>SR Technics Switzerland</t>
        </is>
      </c>
    </row>
    <row r="2288">
      <c r="B2288" s="31" t="inlineStr">
        <is>
          <t>CFM56-5B</t>
        </is>
      </c>
      <c r="C2288" s="31" t="inlineStr">
        <is>
          <t>2025-2026</t>
        </is>
      </c>
      <c r="D2288" s="31" t="inlineStr">
        <is>
          <t>655179</t>
        </is>
      </c>
      <c r="E2288" s="31" t="inlineStr">
        <is>
          <t>72-22-13</t>
        </is>
      </c>
      <c r="F2288" s="31" t="inlineStr">
        <is>
          <t>A</t>
        </is>
      </c>
      <c r="G2288" s="31" t="inlineStr">
        <is>
          <t>Fan / booster</t>
        </is>
      </c>
      <c r="H2288" s="27" t="n">
        <v>750</v>
      </c>
      <c r="I2288" s="27" t="n">
        <v>790</v>
      </c>
      <c r="J2288" s="154">
        <f>I2288/H2288-1</f>
        <v/>
      </c>
      <c r="K2288" s="31" t="inlineStr">
        <is>
          <t>26</t>
        </is>
      </c>
      <c r="L2288" s="31" t="inlineStr">
        <is>
          <t>27</t>
        </is>
      </c>
      <c r="M2288" s="31" t="inlineStr">
        <is>
          <t>S2</t>
        </is>
      </c>
      <c r="N2288" s="31" t="inlineStr">
        <is>
          <t>S4</t>
        </is>
      </c>
      <c r="O2288" s="31" t="inlineStr">
        <is>
          <t>301-298-006-0</t>
        </is>
      </c>
      <c r="P2288" s="31" t="inlineStr">
        <is>
          <t>SR Technics Switzerland</t>
        </is>
      </c>
    </row>
    <row r="2289">
      <c r="B2289" s="31" t="inlineStr">
        <is>
          <t>CFM56-5B</t>
        </is>
      </c>
      <c r="C2289" s="31" t="inlineStr">
        <is>
          <t>2025-2026</t>
        </is>
      </c>
      <c r="D2289" s="31" t="inlineStr">
        <is>
          <t>655179</t>
        </is>
      </c>
      <c r="E2289" s="31" t="inlineStr">
        <is>
          <t>72-22-13</t>
        </is>
      </c>
      <c r="F2289" s="31" t="inlineStr">
        <is>
          <t>C</t>
        </is>
      </c>
      <c r="G2289" s="31" t="inlineStr">
        <is>
          <t>Fan / booster</t>
        </is>
      </c>
      <c r="H2289" s="27" t="n">
        <v>760</v>
      </c>
      <c r="I2289" s="27" t="n">
        <v>810</v>
      </c>
      <c r="J2289" s="154">
        <f>I2289/H2289-1</f>
        <v/>
      </c>
      <c r="K2289" s="31" t="inlineStr">
        <is>
          <t>26</t>
        </is>
      </c>
      <c r="L2289" s="31" t="inlineStr">
        <is>
          <t>27</t>
        </is>
      </c>
      <c r="M2289" s="31" t="inlineStr">
        <is>
          <t>S2</t>
        </is>
      </c>
      <c r="N2289" s="31" t="inlineStr">
        <is>
          <t>S4</t>
        </is>
      </c>
      <c r="O2289" s="31" t="inlineStr">
        <is>
          <t>301-298-006-0</t>
        </is>
      </c>
      <c r="P2289" s="31" t="inlineStr">
        <is>
          <t>SR Technics Switzerland</t>
        </is>
      </c>
    </row>
    <row r="2290">
      <c r="B2290" s="31" t="inlineStr">
        <is>
          <t>CFM56-5B</t>
        </is>
      </c>
      <c r="C2290" s="31" t="inlineStr">
        <is>
          <t>2025-2026</t>
        </is>
      </c>
      <c r="D2290" s="31" t="inlineStr">
        <is>
          <t>655267</t>
        </is>
      </c>
      <c r="E2290" s="31" t="inlineStr">
        <is>
          <t>72-63-16</t>
        </is>
      </c>
      <c r="F2290" s="31" t="inlineStr">
        <is>
          <t>A</t>
        </is>
      </c>
      <c r="G2290" s="31" t="inlineStr">
        <is>
          <t>Gearbox</t>
        </is>
      </c>
      <c r="H2290" s="27" t="n">
        <v>80</v>
      </c>
      <c r="I2290" s="27" t="n">
        <v>85</v>
      </c>
      <c r="J2290" s="154">
        <f>I2290/H2290-1</f>
        <v/>
      </c>
      <c r="K2290" s="31" t="inlineStr">
        <is>
          <t>72</t>
        </is>
      </c>
      <c r="L2290" s="31" t="inlineStr">
        <is>
          <t>74</t>
        </is>
      </c>
      <c r="M2290" s="31" t="inlineStr">
        <is>
          <t>S2</t>
        </is>
      </c>
      <c r="N2290" s="31" t="inlineStr">
        <is>
          <t>S4</t>
        </is>
      </c>
      <c r="O2290" s="31" t="inlineStr">
        <is>
          <t>305-156-301-0</t>
        </is>
      </c>
      <c r="P2290" s="31" t="inlineStr">
        <is>
          <t>SR Technics Switzerland</t>
        </is>
      </c>
    </row>
    <row r="2291">
      <c r="B2291" s="31" t="inlineStr">
        <is>
          <t>CFM56-5B</t>
        </is>
      </c>
      <c r="C2291" s="31" t="inlineStr">
        <is>
          <t>2025-2026</t>
        </is>
      </c>
      <c r="D2291" s="31" t="inlineStr">
        <is>
          <t>655267</t>
        </is>
      </c>
      <c r="E2291" s="31" t="inlineStr">
        <is>
          <t>72-63-16</t>
        </is>
      </c>
      <c r="F2291" s="31" t="inlineStr">
        <is>
          <t>B</t>
        </is>
      </c>
      <c r="G2291" s="31" t="inlineStr">
        <is>
          <t>Gearbox</t>
        </is>
      </c>
      <c r="H2291" s="27" t="n">
        <v>55</v>
      </c>
      <c r="I2291" s="27" t="n">
        <v>60</v>
      </c>
      <c r="J2291" s="154">
        <f>I2291/H2291-1</f>
        <v/>
      </c>
      <c r="K2291" s="31" t="inlineStr">
        <is>
          <t>72</t>
        </is>
      </c>
      <c r="L2291" s="31" t="inlineStr">
        <is>
          <t>74</t>
        </is>
      </c>
      <c r="M2291" s="31" t="inlineStr">
        <is>
          <t>S2</t>
        </is>
      </c>
      <c r="N2291" s="31" t="inlineStr">
        <is>
          <t>S4</t>
        </is>
      </c>
      <c r="O2291" s="31" t="inlineStr">
        <is>
          <t>305-156-301-0</t>
        </is>
      </c>
      <c r="P2291" s="31" t="inlineStr">
        <is>
          <t>SR Technics Switzerland</t>
        </is>
      </c>
    </row>
    <row r="2292">
      <c r="B2292" s="31" t="inlineStr">
        <is>
          <t>CFM56-5B</t>
        </is>
      </c>
      <c r="C2292" s="31" t="inlineStr">
        <is>
          <t>2025-2026</t>
        </is>
      </c>
      <c r="D2292" s="31" t="inlineStr">
        <is>
          <t>656214</t>
        </is>
      </c>
      <c r="E2292" s="31" t="inlineStr">
        <is>
          <t>72-22-13</t>
        </is>
      </c>
      <c r="F2292" s="31" t="inlineStr">
        <is>
          <t>D</t>
        </is>
      </c>
      <c r="G2292" s="31" t="inlineStr">
        <is>
          <t>Fan / booster</t>
        </is>
      </c>
      <c r="H2292" s="27" t="n">
        <v>555</v>
      </c>
      <c r="I2292" s="27" t="n">
        <v>590</v>
      </c>
      <c r="J2292" s="154">
        <f>I2292/H2292-1</f>
        <v/>
      </c>
      <c r="K2292" s="31" t="inlineStr">
        <is>
          <t>26</t>
        </is>
      </c>
      <c r="L2292" s="31" t="inlineStr">
        <is>
          <t>27</t>
        </is>
      </c>
      <c r="M2292" s="31" t="inlineStr">
        <is>
          <t>S2</t>
        </is>
      </c>
      <c r="N2292" s="31" t="inlineStr">
        <is>
          <t>S4</t>
        </is>
      </c>
      <c r="O2292" s="31" t="inlineStr">
        <is>
          <t>301-436-804-0</t>
        </is>
      </c>
      <c r="P2292" s="31" t="inlineStr">
        <is>
          <t>SR Technics Switzerland</t>
        </is>
      </c>
    </row>
    <row r="2293">
      <c r="B2293" s="31" t="inlineStr">
        <is>
          <t>CFM56-5B</t>
        </is>
      </c>
      <c r="C2293" s="31" t="inlineStr">
        <is>
          <t>2025-2026</t>
        </is>
      </c>
      <c r="D2293" s="31" t="inlineStr">
        <is>
          <t>656317</t>
        </is>
      </c>
      <c r="E2293" s="31" t="inlineStr">
        <is>
          <t>72-52-09</t>
        </is>
      </c>
      <c r="F2293" s="31" t="inlineStr">
        <is>
          <t>A</t>
        </is>
      </c>
      <c r="G2293" s="31" t="inlineStr">
        <is>
          <t>HPT / nozzle</t>
        </is>
      </c>
      <c r="H2293" s="27" t="n">
        <v>165</v>
      </c>
      <c r="I2293" s="27" t="n">
        <v>175</v>
      </c>
      <c r="J2293" s="154">
        <f>I2293/H2293-1</f>
        <v/>
      </c>
      <c r="K2293" s="31" t="inlineStr">
        <is>
          <t>72</t>
        </is>
      </c>
      <c r="L2293" s="31" t="inlineStr">
        <is>
          <t>75</t>
        </is>
      </c>
      <c r="M2293" s="31" t="inlineStr">
        <is>
          <t>S2</t>
        </is>
      </c>
      <c r="N2293" s="31" t="inlineStr">
        <is>
          <t>S4</t>
        </is>
      </c>
      <c r="O2293" s="31" t="inlineStr">
        <is>
          <t>9513M60P02</t>
        </is>
      </c>
      <c r="P2293" s="31" t="inlineStr">
        <is>
          <t>SR Technics Switzerland</t>
        </is>
      </c>
    </row>
    <row r="2294">
      <c r="B2294" s="31" t="inlineStr">
        <is>
          <t>CFM56-5B</t>
        </is>
      </c>
      <c r="C2294" s="31" t="inlineStr">
        <is>
          <t>2025-2026</t>
        </is>
      </c>
      <c r="D2294" s="31" t="inlineStr">
        <is>
          <t>656381</t>
        </is>
      </c>
      <c r="E2294" s="31" t="inlineStr">
        <is>
          <t>72-63-12</t>
        </is>
      </c>
      <c r="F2294" s="31" t="inlineStr">
        <is>
          <t>A</t>
        </is>
      </c>
      <c r="G2294" s="31" t="inlineStr">
        <is>
          <t>Gearbox</t>
        </is>
      </c>
      <c r="H2294" s="27" t="n">
        <v>60</v>
      </c>
      <c r="I2294" s="27" t="n">
        <v>65</v>
      </c>
      <c r="J2294" s="154">
        <f>I2294/H2294-1</f>
        <v/>
      </c>
      <c r="K2294" s="31" t="inlineStr">
        <is>
          <t>26</t>
        </is>
      </c>
      <c r="L2294" s="31" t="inlineStr">
        <is>
          <t>27</t>
        </is>
      </c>
      <c r="M2294" s="31" t="inlineStr">
        <is>
          <t>S2</t>
        </is>
      </c>
      <c r="N2294" s="31" t="inlineStr">
        <is>
          <t>S4</t>
        </is>
      </c>
      <c r="O2294" s="31" t="inlineStr">
        <is>
          <t>305-145-502-0</t>
        </is>
      </c>
      <c r="P2294" s="31" t="inlineStr">
        <is>
          <t>SR Technics Switzerland</t>
        </is>
      </c>
    </row>
    <row r="2295">
      <c r="B2295" s="31" t="inlineStr">
        <is>
          <t>CFM56-5B</t>
        </is>
      </c>
      <c r="C2295" s="31" t="inlineStr">
        <is>
          <t>2025-2026</t>
        </is>
      </c>
      <c r="D2295" s="31" t="inlineStr">
        <is>
          <t>657874</t>
        </is>
      </c>
      <c r="E2295" s="31" t="inlineStr">
        <is>
          <t>72-09-04</t>
        </is>
      </c>
      <c r="F2295" s="31" t="inlineStr">
        <is>
          <t>B</t>
        </is>
      </c>
      <c r="G2295" s="31" t="inlineStr">
        <is>
          <t>Other / assembly</t>
        </is>
      </c>
      <c r="H2295" s="27" t="n">
        <v>120</v>
      </c>
      <c r="I2295" s="27" t="n">
        <v>130</v>
      </c>
      <c r="J2295" s="154">
        <f>I2295/H2295-1</f>
        <v/>
      </c>
      <c r="K2295" s="31" t="inlineStr">
        <is>
          <t>73</t>
        </is>
      </c>
      <c r="L2295" s="31" t="inlineStr">
        <is>
          <t>76</t>
        </is>
      </c>
      <c r="M2295" s="31" t="inlineStr">
        <is>
          <t>S2</t>
        </is>
      </c>
      <c r="N2295" s="31" t="inlineStr">
        <is>
          <t>S4</t>
        </is>
      </c>
      <c r="O2295" s="31" t="inlineStr">
        <is>
          <t>1621M35G01</t>
        </is>
      </c>
      <c r="P2295" s="31" t="inlineStr">
        <is>
          <t>SR Technics Switzerland</t>
        </is>
      </c>
    </row>
    <row r="2296">
      <c r="B2296" s="31" t="inlineStr">
        <is>
          <t>CFM56-5B</t>
        </is>
      </c>
      <c r="C2296" s="31" t="inlineStr">
        <is>
          <t>2025-2026</t>
        </is>
      </c>
      <c r="D2296" s="31" t="inlineStr">
        <is>
          <t>657874</t>
        </is>
      </c>
      <c r="E2296" s="31" t="inlineStr">
        <is>
          <t>72-09-04</t>
        </is>
      </c>
      <c r="F2296" s="31" t="inlineStr">
        <is>
          <t>V</t>
        </is>
      </c>
      <c r="G2296" s="31" t="inlineStr">
        <is>
          <t>Other / assembly</t>
        </is>
      </c>
      <c r="H2296" s="27" t="n">
        <v>400</v>
      </c>
      <c r="I2296" s="27" t="n">
        <v>425</v>
      </c>
      <c r="J2296" s="154">
        <f>I2296/H2296-1</f>
        <v/>
      </c>
      <c r="K2296" s="31" t="inlineStr">
        <is>
          <t>73</t>
        </is>
      </c>
      <c r="L2296" s="31" t="inlineStr">
        <is>
          <t>76</t>
        </is>
      </c>
      <c r="M2296" s="31" t="inlineStr">
        <is>
          <t>S2</t>
        </is>
      </c>
      <c r="N2296" s="31" t="inlineStr">
        <is>
          <t>S4</t>
        </is>
      </c>
      <c r="O2296" s="31" t="inlineStr">
        <is>
          <t>1621M35G01</t>
        </is>
      </c>
      <c r="P2296" s="31" t="inlineStr">
        <is>
          <t>SR Technics Switzerland</t>
        </is>
      </c>
    </row>
    <row r="2297">
      <c r="B2297" s="31" t="inlineStr">
        <is>
          <t>CFM56-5B</t>
        </is>
      </c>
      <c r="C2297" s="31" t="inlineStr">
        <is>
          <t>2025-2026</t>
        </is>
      </c>
      <c r="D2297" s="31" t="inlineStr">
        <is>
          <t>657875</t>
        </is>
      </c>
      <c r="E2297" s="31" t="inlineStr">
        <is>
          <t>72-09-04</t>
        </is>
      </c>
      <c r="F2297" s="31" t="inlineStr">
        <is>
          <t>B</t>
        </is>
      </c>
      <c r="G2297" s="31" t="inlineStr">
        <is>
          <t>Other / assembly</t>
        </is>
      </c>
      <c r="H2297" s="27" t="n">
        <v>155</v>
      </c>
      <c r="I2297" s="27" t="n">
        <v>165</v>
      </c>
      <c r="J2297" s="154">
        <f>I2297/H2297-1</f>
        <v/>
      </c>
      <c r="K2297" s="31" t="inlineStr">
        <is>
          <t>75</t>
        </is>
      </c>
      <c r="L2297" s="31" t="inlineStr">
        <is>
          <t>78</t>
        </is>
      </c>
      <c r="M2297" s="31" t="inlineStr">
        <is>
          <t>S2</t>
        </is>
      </c>
      <c r="N2297" s="31" t="inlineStr">
        <is>
          <t>S4</t>
        </is>
      </c>
      <c r="O2297" s="31" t="inlineStr">
        <is>
          <t>1444M20G03</t>
        </is>
      </c>
      <c r="P2297" s="31" t="inlineStr">
        <is>
          <t>SR Technics Switzerland</t>
        </is>
      </c>
    </row>
    <row r="2298">
      <c r="B2298" s="31" t="inlineStr">
        <is>
          <t>CFM56-5B</t>
        </is>
      </c>
      <c r="C2298" s="31" t="inlineStr">
        <is>
          <t>2025-2026</t>
        </is>
      </c>
      <c r="D2298" s="31" t="inlineStr">
        <is>
          <t>657875</t>
        </is>
      </c>
      <c r="E2298" s="31" t="inlineStr">
        <is>
          <t>72-09-04</t>
        </is>
      </c>
      <c r="F2298" s="31" t="inlineStr">
        <is>
          <t>C</t>
        </is>
      </c>
      <c r="G2298" s="31" t="inlineStr">
        <is>
          <t>Other / assembly</t>
        </is>
      </c>
      <c r="H2298" s="27" t="n">
        <v>55</v>
      </c>
      <c r="I2298" s="27" t="n">
        <v>60</v>
      </c>
      <c r="J2298" s="154">
        <f>I2298/H2298-1</f>
        <v/>
      </c>
      <c r="K2298" s="31" t="inlineStr">
        <is>
          <t>75</t>
        </is>
      </c>
      <c r="L2298" s="31" t="inlineStr">
        <is>
          <t>78</t>
        </is>
      </c>
      <c r="M2298" s="31" t="inlineStr">
        <is>
          <t>S2</t>
        </is>
      </c>
      <c r="N2298" s="31" t="inlineStr">
        <is>
          <t>S4</t>
        </is>
      </c>
      <c r="O2298" s="31" t="inlineStr">
        <is>
          <t>1444M20G03</t>
        </is>
      </c>
      <c r="P2298" s="31" t="inlineStr">
        <is>
          <t>SR Technics Switzerland</t>
        </is>
      </c>
    </row>
    <row r="2299">
      <c r="B2299" s="31" t="inlineStr">
        <is>
          <t>CFM56-5B</t>
        </is>
      </c>
      <c r="C2299" s="31" t="inlineStr">
        <is>
          <t>2025-2026</t>
        </is>
      </c>
      <c r="D2299" s="31" t="inlineStr">
        <is>
          <t>657875</t>
        </is>
      </c>
      <c r="E2299" s="31" t="inlineStr">
        <is>
          <t>72-09-04</t>
        </is>
      </c>
      <c r="F2299" s="31" t="inlineStr">
        <is>
          <t>SB03</t>
        </is>
      </c>
      <c r="G2299" s="31" t="inlineStr">
        <is>
          <t>Other / assembly</t>
        </is>
      </c>
      <c r="H2299" s="27" t="n">
        <v>300</v>
      </c>
      <c r="I2299" s="27" t="n">
        <v>320</v>
      </c>
      <c r="J2299" s="154">
        <f>I2299/H2299-1</f>
        <v/>
      </c>
      <c r="K2299" s="31" t="inlineStr">
        <is>
          <t>75</t>
        </is>
      </c>
      <c r="L2299" s="31" t="inlineStr">
        <is>
          <t>78</t>
        </is>
      </c>
      <c r="M2299" s="31" t="inlineStr">
        <is>
          <t>S2</t>
        </is>
      </c>
      <c r="N2299" s="31" t="inlineStr">
        <is>
          <t>S4</t>
        </is>
      </c>
      <c r="O2299" s="31" t="inlineStr">
        <is>
          <t>1444M20G03</t>
        </is>
      </c>
      <c r="P2299" s="31" t="inlineStr">
        <is>
          <t>SR Technics Switzerland</t>
        </is>
      </c>
    </row>
    <row r="2300">
      <c r="B2300" s="31" t="inlineStr">
        <is>
          <t>CFM56-5B</t>
        </is>
      </c>
      <c r="C2300" s="31" t="inlineStr">
        <is>
          <t>2025-2026</t>
        </is>
      </c>
      <c r="D2300" s="31" t="inlineStr">
        <is>
          <t>657875</t>
        </is>
      </c>
      <c r="E2300" s="31" t="inlineStr">
        <is>
          <t>72-09-04</t>
        </is>
      </c>
      <c r="F2300" s="31" t="inlineStr">
        <is>
          <t>V</t>
        </is>
      </c>
      <c r="G2300" s="31" t="inlineStr">
        <is>
          <t>Other / assembly</t>
        </is>
      </c>
      <c r="H2300" s="27" t="n">
        <v>95</v>
      </c>
      <c r="I2300" s="27" t="n">
        <v>105</v>
      </c>
      <c r="J2300" s="154">
        <f>I2300/H2300-1</f>
        <v/>
      </c>
      <c r="K2300" s="31" t="inlineStr">
        <is>
          <t>75</t>
        </is>
      </c>
      <c r="L2300" s="31" t="inlineStr">
        <is>
          <t>78</t>
        </is>
      </c>
      <c r="M2300" s="31" t="inlineStr">
        <is>
          <t>S2</t>
        </is>
      </c>
      <c r="N2300" s="31" t="inlineStr">
        <is>
          <t>S4</t>
        </is>
      </c>
      <c r="O2300" s="31" t="inlineStr">
        <is>
          <t>1444M20G03</t>
        </is>
      </c>
      <c r="P2300" s="31" t="inlineStr">
        <is>
          <t>SR Technics Switzerland</t>
        </is>
      </c>
    </row>
    <row r="2301">
      <c r="B2301" s="31" t="inlineStr">
        <is>
          <t>CFM56-5B</t>
        </is>
      </c>
      <c r="C2301" s="31" t="inlineStr">
        <is>
          <t>2025-2026</t>
        </is>
      </c>
      <c r="D2301" s="31" t="inlineStr">
        <is>
          <t>657876</t>
        </is>
      </c>
      <c r="E2301" s="31" t="inlineStr">
        <is>
          <t>72-09-04</t>
        </is>
      </c>
      <c r="F2301" s="31" t="inlineStr">
        <is>
          <t>B</t>
        </is>
      </c>
      <c r="G2301" s="31" t="inlineStr">
        <is>
          <t>Other / assembly</t>
        </is>
      </c>
      <c r="H2301" s="27" t="n">
        <v>425</v>
      </c>
      <c r="I2301" s="27" t="n">
        <v>455</v>
      </c>
      <c r="J2301" s="154">
        <f>I2301/H2301-1</f>
        <v/>
      </c>
      <c r="K2301" s="31" t="inlineStr">
        <is>
          <t>79</t>
        </is>
      </c>
      <c r="L2301" s="31" t="inlineStr">
        <is>
          <t>82</t>
        </is>
      </c>
      <c r="M2301" s="31" t="inlineStr">
        <is>
          <t>S2</t>
        </is>
      </c>
      <c r="N2301" s="31" t="inlineStr">
        <is>
          <t>S4</t>
        </is>
      </c>
      <c r="O2301" s="31" t="inlineStr">
        <is>
          <t>1677M58G01</t>
        </is>
      </c>
      <c r="P2301" s="31" t="inlineStr">
        <is>
          <t>SR Technics Switzerland</t>
        </is>
      </c>
    </row>
    <row r="2302">
      <c r="B2302" s="31" t="inlineStr">
        <is>
          <t>CFM56-5B</t>
        </is>
      </c>
      <c r="C2302" s="31" t="inlineStr">
        <is>
          <t>2025-2026</t>
        </is>
      </c>
      <c r="D2302" s="31" t="inlineStr">
        <is>
          <t>657876</t>
        </is>
      </c>
      <c r="E2302" s="31" t="inlineStr">
        <is>
          <t>72-09-04</t>
        </is>
      </c>
      <c r="F2302" s="31" t="inlineStr">
        <is>
          <t>C</t>
        </is>
      </c>
      <c r="G2302" s="31" t="inlineStr">
        <is>
          <t>Other / assembly</t>
        </is>
      </c>
      <c r="H2302" s="27" t="n">
        <v>165</v>
      </c>
      <c r="I2302" s="27" t="n">
        <v>175</v>
      </c>
      <c r="J2302" s="154">
        <f>I2302/H2302-1</f>
        <v/>
      </c>
      <c r="K2302" s="31" t="inlineStr">
        <is>
          <t>79</t>
        </is>
      </c>
      <c r="L2302" s="31" t="inlineStr">
        <is>
          <t>82</t>
        </is>
      </c>
      <c r="M2302" s="31" t="inlineStr">
        <is>
          <t>S2</t>
        </is>
      </c>
      <c r="N2302" s="31" t="inlineStr">
        <is>
          <t>S4</t>
        </is>
      </c>
      <c r="O2302" s="31" t="inlineStr">
        <is>
          <t>1677M58G01</t>
        </is>
      </c>
      <c r="P2302" s="31" t="inlineStr">
        <is>
          <t>SR Technics Switzerland</t>
        </is>
      </c>
    </row>
    <row r="2303">
      <c r="B2303" s="31" t="inlineStr">
        <is>
          <t>CFM56-5B</t>
        </is>
      </c>
      <c r="C2303" s="31" t="inlineStr">
        <is>
          <t>2025-2026</t>
        </is>
      </c>
      <c r="D2303" s="31" t="inlineStr">
        <is>
          <t>657876</t>
        </is>
      </c>
      <c r="E2303" s="31" t="inlineStr">
        <is>
          <t>72-09-04</t>
        </is>
      </c>
      <c r="F2303" s="31" t="inlineStr">
        <is>
          <t>SB00</t>
        </is>
      </c>
      <c r="G2303" s="31" t="inlineStr">
        <is>
          <t>Other / assembly</t>
        </is>
      </c>
      <c r="H2303" s="27" t="n">
        <v>275</v>
      </c>
      <c r="I2303" s="27" t="n">
        <v>295</v>
      </c>
      <c r="J2303" s="154">
        <f>I2303/H2303-1</f>
        <v/>
      </c>
      <c r="K2303" s="31" t="inlineStr">
        <is>
          <t>79</t>
        </is>
      </c>
      <c r="L2303" s="31" t="inlineStr">
        <is>
          <t>82</t>
        </is>
      </c>
      <c r="M2303" s="31" t="inlineStr">
        <is>
          <t>S2</t>
        </is>
      </c>
      <c r="N2303" s="31" t="inlineStr">
        <is>
          <t>S4</t>
        </is>
      </c>
      <c r="O2303" s="31" t="inlineStr">
        <is>
          <t>1677M58G01</t>
        </is>
      </c>
      <c r="P2303" s="31" t="inlineStr">
        <is>
          <t>SR Technics Switzerland</t>
        </is>
      </c>
    </row>
    <row r="2304">
      <c r="B2304" s="31" t="inlineStr">
        <is>
          <t>CFM56-5B</t>
        </is>
      </c>
      <c r="C2304" s="31" t="inlineStr">
        <is>
          <t>2025-2026</t>
        </is>
      </c>
      <c r="D2304" s="31" t="inlineStr">
        <is>
          <t>657876</t>
        </is>
      </c>
      <c r="E2304" s="31" t="inlineStr">
        <is>
          <t>72-09-04</t>
        </is>
      </c>
      <c r="F2304" s="31" t="inlineStr">
        <is>
          <t>SB02</t>
        </is>
      </c>
      <c r="G2304" s="31" t="inlineStr">
        <is>
          <t>Other / assembly</t>
        </is>
      </c>
      <c r="H2304" s="27" t="n">
        <v>275</v>
      </c>
      <c r="I2304" s="27" t="n">
        <v>295</v>
      </c>
      <c r="J2304" s="154">
        <f>I2304/H2304-1</f>
        <v/>
      </c>
      <c r="K2304" s="31" t="inlineStr">
        <is>
          <t>79</t>
        </is>
      </c>
      <c r="L2304" s="31" t="inlineStr">
        <is>
          <t>82</t>
        </is>
      </c>
      <c r="M2304" s="31" t="inlineStr">
        <is>
          <t>S2</t>
        </is>
      </c>
      <c r="N2304" s="31" t="inlineStr">
        <is>
          <t>S4</t>
        </is>
      </c>
      <c r="O2304" s="31" t="inlineStr">
        <is>
          <t>1677M58G01</t>
        </is>
      </c>
      <c r="P2304" s="31" t="inlineStr">
        <is>
          <t>SR Technics Switzerland</t>
        </is>
      </c>
    </row>
    <row r="2305">
      <c r="B2305" s="31" t="inlineStr">
        <is>
          <t>CFM56-5B</t>
        </is>
      </c>
      <c r="C2305" s="31" t="inlineStr">
        <is>
          <t>2025-2026</t>
        </is>
      </c>
      <c r="D2305" s="31" t="inlineStr">
        <is>
          <t>657876</t>
        </is>
      </c>
      <c r="E2305" s="31" t="inlineStr">
        <is>
          <t>72-09-04</t>
        </is>
      </c>
      <c r="F2305" s="31" t="inlineStr">
        <is>
          <t>SB05</t>
        </is>
      </c>
      <c r="G2305" s="31" t="inlineStr">
        <is>
          <t>Other / assembly</t>
        </is>
      </c>
      <c r="H2305" s="27" t="n">
        <v>275</v>
      </c>
      <c r="I2305" s="27" t="n">
        <v>295</v>
      </c>
      <c r="J2305" s="154">
        <f>I2305/H2305-1</f>
        <v/>
      </c>
      <c r="K2305" s="31" t="inlineStr">
        <is>
          <t>79</t>
        </is>
      </c>
      <c r="L2305" s="31" t="inlineStr">
        <is>
          <t>82</t>
        </is>
      </c>
      <c r="M2305" s="31" t="inlineStr">
        <is>
          <t>S2</t>
        </is>
      </c>
      <c r="N2305" s="31" t="inlineStr">
        <is>
          <t>S4</t>
        </is>
      </c>
      <c r="O2305" s="31" t="inlineStr">
        <is>
          <t>1677M58G01</t>
        </is>
      </c>
      <c r="P2305" s="31" t="inlineStr">
        <is>
          <t>SR Technics Switzerland</t>
        </is>
      </c>
    </row>
    <row r="2306">
      <c r="B2306" s="31" t="inlineStr">
        <is>
          <t>CFM56-5B</t>
        </is>
      </c>
      <c r="C2306" s="31" t="inlineStr">
        <is>
          <t>2025-2026</t>
        </is>
      </c>
      <c r="D2306" s="31" t="inlineStr">
        <is>
          <t>657876</t>
        </is>
      </c>
      <c r="E2306" s="31" t="inlineStr">
        <is>
          <t>72-09-04</t>
        </is>
      </c>
      <c r="F2306" s="31" t="inlineStr">
        <is>
          <t>SB06</t>
        </is>
      </c>
      <c r="G2306" s="31" t="inlineStr">
        <is>
          <t>Other / assembly</t>
        </is>
      </c>
      <c r="H2306" s="27" t="n">
        <v>275</v>
      </c>
      <c r="I2306" s="27" t="n">
        <v>295</v>
      </c>
      <c r="J2306" s="154">
        <f>I2306/H2306-1</f>
        <v/>
      </c>
      <c r="K2306" s="31" t="inlineStr">
        <is>
          <t>79</t>
        </is>
      </c>
      <c r="L2306" s="31" t="inlineStr">
        <is>
          <t>82</t>
        </is>
      </c>
      <c r="M2306" s="31" t="inlineStr">
        <is>
          <t>S2</t>
        </is>
      </c>
      <c r="N2306" s="31" t="inlineStr">
        <is>
          <t>S4</t>
        </is>
      </c>
      <c r="O2306" s="31" t="inlineStr">
        <is>
          <t>1677M58G01</t>
        </is>
      </c>
      <c r="P2306" s="31" t="inlineStr">
        <is>
          <t>SR Technics Switzerland</t>
        </is>
      </c>
    </row>
    <row r="2307">
      <c r="B2307" s="31" t="inlineStr">
        <is>
          <t>CFM56-5B</t>
        </is>
      </c>
      <c r="C2307" s="31" t="inlineStr">
        <is>
          <t>2025-2026</t>
        </is>
      </c>
      <c r="D2307" s="31" t="inlineStr">
        <is>
          <t>657876</t>
        </is>
      </c>
      <c r="E2307" s="31" t="inlineStr">
        <is>
          <t>72-09-04</t>
        </is>
      </c>
      <c r="F2307" s="31" t="inlineStr">
        <is>
          <t>SB07</t>
        </is>
      </c>
      <c r="G2307" s="31" t="inlineStr">
        <is>
          <t>Other / assembly</t>
        </is>
      </c>
      <c r="H2307" s="27" t="n">
        <v>275</v>
      </c>
      <c r="I2307" s="27" t="n">
        <v>295</v>
      </c>
      <c r="J2307" s="154">
        <f>I2307/H2307-1</f>
        <v/>
      </c>
      <c r="K2307" s="31" t="inlineStr">
        <is>
          <t>79</t>
        </is>
      </c>
      <c r="L2307" s="31" t="inlineStr">
        <is>
          <t>82</t>
        </is>
      </c>
      <c r="M2307" s="31" t="inlineStr">
        <is>
          <t>S2</t>
        </is>
      </c>
      <c r="N2307" s="31" t="inlineStr">
        <is>
          <t>S4</t>
        </is>
      </c>
      <c r="O2307" s="31" t="inlineStr">
        <is>
          <t>1677M58G01</t>
        </is>
      </c>
      <c r="P2307" s="31" t="inlineStr">
        <is>
          <t>SR Technics Switzerland</t>
        </is>
      </c>
    </row>
    <row r="2308">
      <c r="B2308" s="31" t="inlineStr">
        <is>
          <t>CFM56-5B</t>
        </is>
      </c>
      <c r="C2308" s="31" t="inlineStr">
        <is>
          <t>2025-2026</t>
        </is>
      </c>
      <c r="D2308" s="31" t="inlineStr">
        <is>
          <t>657876</t>
        </is>
      </c>
      <c r="E2308" s="31" t="inlineStr">
        <is>
          <t>72-09-04</t>
        </is>
      </c>
      <c r="F2308" s="31" t="inlineStr">
        <is>
          <t>V</t>
        </is>
      </c>
      <c r="G2308" s="31" t="inlineStr">
        <is>
          <t>Other / assembly</t>
        </is>
      </c>
      <c r="H2308" s="27" t="n">
        <v>130</v>
      </c>
      <c r="I2308" s="27" t="n">
        <v>140</v>
      </c>
      <c r="J2308" s="154">
        <f>I2308/H2308-1</f>
        <v/>
      </c>
      <c r="K2308" s="31" t="inlineStr">
        <is>
          <t>79</t>
        </is>
      </c>
      <c r="L2308" s="31" t="inlineStr">
        <is>
          <t>82</t>
        </is>
      </c>
      <c r="M2308" s="31" t="inlineStr">
        <is>
          <t>S2</t>
        </is>
      </c>
      <c r="N2308" s="31" t="inlineStr">
        <is>
          <t>S4</t>
        </is>
      </c>
      <c r="O2308" s="31" t="inlineStr">
        <is>
          <t>1677M58G01</t>
        </is>
      </c>
      <c r="P2308" s="31" t="inlineStr">
        <is>
          <t>SR Technics Switzerland</t>
        </is>
      </c>
    </row>
    <row r="2309">
      <c r="B2309" s="31" t="inlineStr">
        <is>
          <t>CFM56-5B</t>
        </is>
      </c>
      <c r="C2309" s="31" t="inlineStr">
        <is>
          <t>2025-2026</t>
        </is>
      </c>
      <c r="D2309" s="31" t="inlineStr">
        <is>
          <t>663891</t>
        </is>
      </c>
      <c r="E2309" s="31" t="inlineStr">
        <is>
          <t>72-09-04</t>
        </is>
      </c>
      <c r="F2309" s="31" t="inlineStr">
        <is>
          <t>A</t>
        </is>
      </c>
      <c r="G2309" s="31" t="inlineStr">
        <is>
          <t>Other / assembly</t>
        </is>
      </c>
      <c r="H2309" s="27" t="n">
        <v>140</v>
      </c>
      <c r="I2309" s="27" t="n">
        <v>150</v>
      </c>
      <c r="J2309" s="154">
        <f>I2309/H2309-1</f>
        <v/>
      </c>
      <c r="K2309" s="31" t="inlineStr">
        <is>
          <t>82</t>
        </is>
      </c>
      <c r="L2309" s="31" t="inlineStr">
        <is>
          <t>85</t>
        </is>
      </c>
      <c r="M2309" s="31" t="inlineStr">
        <is>
          <t>S2</t>
        </is>
      </c>
      <c r="N2309" s="31" t="inlineStr">
        <is>
          <t>S4</t>
        </is>
      </c>
      <c r="O2309" s="31" t="inlineStr">
        <is>
          <t>J905P08A</t>
        </is>
      </c>
      <c r="P2309" s="31" t="inlineStr">
        <is>
          <t>SR Technics Switzerland</t>
        </is>
      </c>
    </row>
    <row r="2310">
      <c r="B2310" s="31" t="inlineStr">
        <is>
          <t>CFM56-5B</t>
        </is>
      </c>
      <c r="C2310" s="31" t="inlineStr">
        <is>
          <t>2025-2026</t>
        </is>
      </c>
      <c r="D2310" s="31" t="inlineStr">
        <is>
          <t>664390</t>
        </is>
      </c>
      <c r="E2310" s="31" t="inlineStr">
        <is>
          <t>72-21-09</t>
        </is>
      </c>
      <c r="F2310" s="31" t="inlineStr">
        <is>
          <t>A</t>
        </is>
      </c>
      <c r="G2310" s="31" t="inlineStr">
        <is>
          <t>Fan / booster</t>
        </is>
      </c>
      <c r="H2310" s="27" t="n">
        <v>790</v>
      </c>
      <c r="I2310" s="27" t="n">
        <v>830</v>
      </c>
      <c r="J2310" s="154">
        <f>I2310/H2310-1</f>
        <v/>
      </c>
      <c r="K2310" s="31" t="inlineStr">
        <is>
          <t>26</t>
        </is>
      </c>
      <c r="L2310" s="31" t="inlineStr">
        <is>
          <t>27</t>
        </is>
      </c>
      <c r="M2310" s="31" t="inlineStr">
        <is>
          <t>S2</t>
        </is>
      </c>
      <c r="N2310" s="31" t="inlineStr">
        <is>
          <t>S4</t>
        </is>
      </c>
      <c r="O2310" s="31" t="inlineStr">
        <is>
          <t>338-003-504-0</t>
        </is>
      </c>
      <c r="P2310" s="31" t="inlineStr">
        <is>
          <t>SR Technics Switzerland</t>
        </is>
      </c>
    </row>
    <row r="2311">
      <c r="B2311" s="31" t="inlineStr">
        <is>
          <t>CFM56-5B</t>
        </is>
      </c>
      <c r="C2311" s="31" t="inlineStr">
        <is>
          <t>2025-2026</t>
        </is>
      </c>
      <c r="D2311" s="31" t="inlineStr">
        <is>
          <t>664390</t>
        </is>
      </c>
      <c r="E2311" s="31" t="inlineStr">
        <is>
          <t>72-21-09</t>
        </is>
      </c>
      <c r="F2311" s="31" t="inlineStr">
        <is>
          <t>K</t>
        </is>
      </c>
      <c r="G2311" s="31" t="inlineStr">
        <is>
          <t>Fan / booster</t>
        </is>
      </c>
      <c r="H2311" s="27" t="n">
        <v>920</v>
      </c>
      <c r="I2311" s="27" t="n">
        <v>980</v>
      </c>
      <c r="J2311" s="154">
        <f>I2311/H2311-1</f>
        <v/>
      </c>
      <c r="K2311" s="31" t="inlineStr">
        <is>
          <t>26</t>
        </is>
      </c>
      <c r="L2311" s="31" t="inlineStr">
        <is>
          <t>27</t>
        </is>
      </c>
      <c r="M2311" s="31" t="inlineStr">
        <is>
          <t>S2</t>
        </is>
      </c>
      <c r="N2311" s="31" t="inlineStr">
        <is>
          <t>S4</t>
        </is>
      </c>
      <c r="O2311" s="31" t="inlineStr">
        <is>
          <t>338-003-504-0</t>
        </is>
      </c>
      <c r="P2311" s="31" t="inlineStr">
        <is>
          <t>SR Technics Switzerland</t>
        </is>
      </c>
    </row>
    <row r="2312">
      <c r="B2312" s="31" t="inlineStr">
        <is>
          <t>CFM56-5B</t>
        </is>
      </c>
      <c r="C2312" s="31" t="inlineStr">
        <is>
          <t>2025-2026</t>
        </is>
      </c>
      <c r="D2312" s="31" t="inlineStr">
        <is>
          <t>664390</t>
        </is>
      </c>
      <c r="E2312" s="31" t="inlineStr">
        <is>
          <t>72-21-09</t>
        </is>
      </c>
      <c r="F2312" s="31" t="inlineStr">
        <is>
          <t>SB01</t>
        </is>
      </c>
      <c r="G2312" s="31" t="inlineStr">
        <is>
          <t>Fan / booster</t>
        </is>
      </c>
      <c r="H2312" s="27" t="n">
        <v>4530</v>
      </c>
      <c r="I2312" s="27" t="n">
        <v>4805</v>
      </c>
      <c r="J2312" s="154">
        <f>I2312/H2312-1</f>
        <v/>
      </c>
      <c r="K2312" s="31" t="inlineStr">
        <is>
          <t>26</t>
        </is>
      </c>
      <c r="L2312" s="31" t="inlineStr">
        <is>
          <t>27</t>
        </is>
      </c>
      <c r="M2312" s="31" t="inlineStr">
        <is>
          <t>S2</t>
        </is>
      </c>
      <c r="N2312" s="31" t="inlineStr">
        <is>
          <t>S4</t>
        </is>
      </c>
      <c r="O2312" s="31" t="inlineStr">
        <is>
          <t>338-003-504-0</t>
        </is>
      </c>
      <c r="P2312" s="31" t="inlineStr">
        <is>
          <t>SR Technics Switzerland</t>
        </is>
      </c>
    </row>
    <row r="2313">
      <c r="B2313" s="31" t="inlineStr">
        <is>
          <t>CFM56-5B</t>
        </is>
      </c>
      <c r="C2313" s="31" t="inlineStr">
        <is>
          <t>2025-2026</t>
        </is>
      </c>
      <c r="D2313" s="31" t="inlineStr">
        <is>
          <t>665444</t>
        </is>
      </c>
      <c r="E2313" s="31" t="inlineStr">
        <is>
          <t>72-21-00</t>
        </is>
      </c>
      <c r="F2313" s="31" t="inlineStr">
        <is>
          <t>A</t>
        </is>
      </c>
      <c r="G2313" s="31" t="inlineStr">
        <is>
          <t>Fan / booster</t>
        </is>
      </c>
      <c r="H2313" s="27" t="n">
        <v>70</v>
      </c>
      <c r="I2313" s="27" t="n">
        <v>75</v>
      </c>
      <c r="J2313" s="154">
        <f>I2313/H2313-1</f>
        <v/>
      </c>
      <c r="K2313" s="31" t="inlineStr">
        <is>
          <t>83</t>
        </is>
      </c>
      <c r="L2313" s="31" t="inlineStr">
        <is>
          <t>86</t>
        </is>
      </c>
      <c r="M2313" s="31" t="inlineStr">
        <is>
          <t>S2</t>
        </is>
      </c>
      <c r="N2313" s="31" t="inlineStr">
        <is>
          <t>S4</t>
        </is>
      </c>
      <c r="O2313" s="31" t="inlineStr">
        <is>
          <t>336-056-201-0</t>
        </is>
      </c>
      <c r="P2313" s="31" t="inlineStr">
        <is>
          <t>SR Technics Switzerland</t>
        </is>
      </c>
    </row>
    <row r="2314">
      <c r="B2314" s="31" t="inlineStr">
        <is>
          <t>CFM56-5B</t>
        </is>
      </c>
      <c r="C2314" s="31" t="inlineStr">
        <is>
          <t>2025-2026</t>
        </is>
      </c>
      <c r="D2314" s="31" t="inlineStr">
        <is>
          <t>667723</t>
        </is>
      </c>
      <c r="E2314" s="31" t="inlineStr">
        <is>
          <t>72-31-20</t>
        </is>
      </c>
      <c r="F2314" s="31" t="inlineStr">
        <is>
          <t>A</t>
        </is>
      </c>
      <c r="G2314" s="31" t="inlineStr">
        <is>
          <t>Compressor</t>
        </is>
      </c>
      <c r="H2314" s="27" t="n">
        <v>70</v>
      </c>
      <c r="I2314" s="27" t="n">
        <v>75</v>
      </c>
      <c r="J2314" s="154">
        <f>I2314/H2314-1</f>
        <v/>
      </c>
      <c r="K2314" s="31" t="inlineStr">
        <is>
          <t>83</t>
        </is>
      </c>
      <c r="L2314" s="31" t="inlineStr">
        <is>
          <t>86</t>
        </is>
      </c>
      <c r="M2314" s="31" t="inlineStr">
        <is>
          <t>S2</t>
        </is>
      </c>
      <c r="N2314" s="31" t="inlineStr">
        <is>
          <t>S4</t>
        </is>
      </c>
      <c r="O2314" s="31" t="inlineStr">
        <is>
          <t>1834M53P01</t>
        </is>
      </c>
      <c r="P2314" s="31" t="inlineStr">
        <is>
          <t>SR Technics Switzerland</t>
        </is>
      </c>
    </row>
    <row r="2315">
      <c r="B2315" s="31" t="inlineStr">
        <is>
          <t>CFM56-5B</t>
        </is>
      </c>
      <c r="C2315" s="31" t="inlineStr">
        <is>
          <t>2025-2026</t>
        </is>
      </c>
      <c r="D2315" s="31" t="inlineStr">
        <is>
          <t>671086</t>
        </is>
      </c>
      <c r="E2315" s="31" t="inlineStr">
        <is>
          <t>72-09-04</t>
        </is>
      </c>
      <c r="F2315" s="31" t="inlineStr">
        <is>
          <t>B</t>
        </is>
      </c>
      <c r="G2315" s="31" t="inlineStr">
        <is>
          <t>Other / assembly</t>
        </is>
      </c>
      <c r="H2315" s="27" t="n">
        <v>200</v>
      </c>
      <c r="I2315" s="27" t="n">
        <v>215</v>
      </c>
      <c r="J2315" s="154">
        <f>I2315/H2315-1</f>
        <v/>
      </c>
      <c r="K2315" s="31" t="inlineStr">
        <is>
          <t>83</t>
        </is>
      </c>
      <c r="L2315" s="31" t="inlineStr">
        <is>
          <t>86</t>
        </is>
      </c>
      <c r="M2315" s="31" t="inlineStr">
        <is>
          <t>S2</t>
        </is>
      </c>
      <c r="N2315" s="31" t="inlineStr">
        <is>
          <t>S4</t>
        </is>
      </c>
      <c r="O2315" s="31" t="inlineStr">
        <is>
          <t>336-482-301-0</t>
        </is>
      </c>
      <c r="P2315" s="31" t="inlineStr">
        <is>
          <t>SR Technics Switzerland</t>
        </is>
      </c>
    </row>
    <row r="2316">
      <c r="B2316" s="31" t="inlineStr">
        <is>
          <t>CFM56-5B</t>
        </is>
      </c>
      <c r="C2316" s="31" t="inlineStr">
        <is>
          <t>2025-2026</t>
        </is>
      </c>
      <c r="D2316" s="31" t="inlineStr">
        <is>
          <t>671086</t>
        </is>
      </c>
      <c r="E2316" s="31" t="inlineStr">
        <is>
          <t>72-09-04</t>
        </is>
      </c>
      <c r="F2316" s="31" t="inlineStr">
        <is>
          <t>C</t>
        </is>
      </c>
      <c r="G2316" s="31" t="inlineStr">
        <is>
          <t>Other / assembly</t>
        </is>
      </c>
      <c r="H2316" s="27" t="n">
        <v>85</v>
      </c>
      <c r="I2316" s="27" t="n">
        <v>95</v>
      </c>
      <c r="J2316" s="154">
        <f>I2316/H2316-1</f>
        <v/>
      </c>
      <c r="K2316" s="31" t="inlineStr">
        <is>
          <t>83</t>
        </is>
      </c>
      <c r="L2316" s="31" t="inlineStr">
        <is>
          <t>86</t>
        </is>
      </c>
      <c r="M2316" s="31" t="inlineStr">
        <is>
          <t>S2</t>
        </is>
      </c>
      <c r="N2316" s="31" t="inlineStr">
        <is>
          <t>S4</t>
        </is>
      </c>
      <c r="O2316" s="31" t="inlineStr">
        <is>
          <t>336-482-301-0</t>
        </is>
      </c>
      <c r="P2316" s="31" t="inlineStr">
        <is>
          <t>SR Technics Switzerland</t>
        </is>
      </c>
    </row>
    <row r="2317">
      <c r="B2317" s="31" t="inlineStr">
        <is>
          <t>CFM56-5B</t>
        </is>
      </c>
      <c r="C2317" s="31" t="inlineStr">
        <is>
          <t>2025-2026</t>
        </is>
      </c>
      <c r="D2317" s="31" t="inlineStr">
        <is>
          <t>671086</t>
        </is>
      </c>
      <c r="E2317" s="31" t="inlineStr">
        <is>
          <t>72-09-04</t>
        </is>
      </c>
      <c r="F2317" s="31" t="inlineStr">
        <is>
          <t>D</t>
        </is>
      </c>
      <c r="G2317" s="31" t="inlineStr">
        <is>
          <t>Other / assembly</t>
        </is>
      </c>
      <c r="H2317" s="27" t="n">
        <v>145</v>
      </c>
      <c r="I2317" s="27" t="n">
        <v>155</v>
      </c>
      <c r="J2317" s="154">
        <f>I2317/H2317-1</f>
        <v/>
      </c>
      <c r="K2317" s="31" t="inlineStr">
        <is>
          <t>83</t>
        </is>
      </c>
      <c r="L2317" s="31" t="inlineStr">
        <is>
          <t>86</t>
        </is>
      </c>
      <c r="M2317" s="31" t="inlineStr">
        <is>
          <t>S2</t>
        </is>
      </c>
      <c r="N2317" s="31" t="inlineStr">
        <is>
          <t>S4</t>
        </is>
      </c>
      <c r="O2317" s="31" t="inlineStr">
        <is>
          <t>336-482-301-0</t>
        </is>
      </c>
      <c r="P2317" s="31" t="inlineStr">
        <is>
          <t>SR Technics Switzerland</t>
        </is>
      </c>
    </row>
    <row r="2318">
      <c r="B2318" s="31" t="inlineStr">
        <is>
          <t>CFM56-5B</t>
        </is>
      </c>
      <c r="C2318" s="31" t="inlineStr">
        <is>
          <t>2025-2026</t>
        </is>
      </c>
      <c r="D2318" s="31" t="inlineStr">
        <is>
          <t>671089</t>
        </is>
      </c>
      <c r="E2318" s="31" t="inlineStr">
        <is>
          <t>72-09-04</t>
        </is>
      </c>
      <c r="F2318" s="31" t="inlineStr">
        <is>
          <t>B</t>
        </is>
      </c>
      <c r="G2318" s="31" t="inlineStr">
        <is>
          <t>Other / assembly</t>
        </is>
      </c>
      <c r="H2318" s="27" t="n">
        <v>75</v>
      </c>
      <c r="I2318" s="27" t="n">
        <v>80</v>
      </c>
      <c r="J2318" s="154">
        <f>I2318/H2318-1</f>
        <v/>
      </c>
      <c r="K2318" s="31" t="inlineStr">
        <is>
          <t>84</t>
        </is>
      </c>
      <c r="L2318" s="31" t="inlineStr">
        <is>
          <t>87</t>
        </is>
      </c>
      <c r="M2318" s="31" t="inlineStr">
        <is>
          <t>S2</t>
        </is>
      </c>
      <c r="N2318" s="31" t="inlineStr">
        <is>
          <t>S4</t>
        </is>
      </c>
      <c r="O2318" s="31" t="inlineStr">
        <is>
          <t>1348M59P01</t>
        </is>
      </c>
      <c r="P2318" s="31" t="inlineStr">
        <is>
          <t>SR Technics Switzerland</t>
        </is>
      </c>
    </row>
    <row r="2319">
      <c r="B2319" s="31" t="inlineStr">
        <is>
          <t>CFM56-5B</t>
        </is>
      </c>
      <c r="C2319" s="31" t="inlineStr">
        <is>
          <t>2025-2026</t>
        </is>
      </c>
      <c r="D2319" s="31" t="inlineStr">
        <is>
          <t>671089</t>
        </is>
      </c>
      <c r="E2319" s="31" t="inlineStr">
        <is>
          <t>72-09-04</t>
        </is>
      </c>
      <c r="F2319" s="31" t="inlineStr">
        <is>
          <t>C</t>
        </is>
      </c>
      <c r="G2319" s="31" t="inlineStr">
        <is>
          <t>Other / assembly</t>
        </is>
      </c>
      <c r="H2319" s="27" t="n">
        <v>195</v>
      </c>
      <c r="I2319" s="27" t="n">
        <v>210</v>
      </c>
      <c r="J2319" s="154">
        <f>I2319/H2319-1</f>
        <v/>
      </c>
      <c r="K2319" s="31" t="inlineStr">
        <is>
          <t>84</t>
        </is>
      </c>
      <c r="L2319" s="31" t="inlineStr">
        <is>
          <t>87</t>
        </is>
      </c>
      <c r="M2319" s="31" t="inlineStr">
        <is>
          <t>S2</t>
        </is>
      </c>
      <c r="N2319" s="31" t="inlineStr">
        <is>
          <t>S4</t>
        </is>
      </c>
      <c r="O2319" s="31" t="inlineStr">
        <is>
          <t>1348M59P01</t>
        </is>
      </c>
      <c r="P2319" s="31" t="inlineStr">
        <is>
          <t>SR Technics Switzerland</t>
        </is>
      </c>
    </row>
    <row r="2320">
      <c r="B2320" s="31" t="inlineStr">
        <is>
          <t>CFM56-5B</t>
        </is>
      </c>
      <c r="C2320" s="31" t="inlineStr">
        <is>
          <t>2025-2026</t>
        </is>
      </c>
      <c r="D2320" s="31" t="inlineStr">
        <is>
          <t>671089</t>
        </is>
      </c>
      <c r="E2320" s="31" t="inlineStr">
        <is>
          <t>72-09-04</t>
        </is>
      </c>
      <c r="F2320" s="31" t="inlineStr">
        <is>
          <t>D</t>
        </is>
      </c>
      <c r="G2320" s="31" t="inlineStr">
        <is>
          <t>Other / assembly</t>
        </is>
      </c>
      <c r="H2320" s="27" t="n">
        <v>170</v>
      </c>
      <c r="I2320" s="27" t="n">
        <v>185</v>
      </c>
      <c r="J2320" s="154">
        <f>I2320/H2320-1</f>
        <v/>
      </c>
      <c r="K2320" s="31" t="inlineStr">
        <is>
          <t>84</t>
        </is>
      </c>
      <c r="L2320" s="31" t="inlineStr">
        <is>
          <t>87</t>
        </is>
      </c>
      <c r="M2320" s="31" t="inlineStr">
        <is>
          <t>S2</t>
        </is>
      </c>
      <c r="N2320" s="31" t="inlineStr">
        <is>
          <t>S4</t>
        </is>
      </c>
      <c r="O2320" s="31" t="inlineStr">
        <is>
          <t>1348M59P01</t>
        </is>
      </c>
      <c r="P2320" s="31" t="inlineStr">
        <is>
          <t>SR Technics Switzerland</t>
        </is>
      </c>
    </row>
    <row r="2321">
      <c r="B2321" s="31" t="inlineStr">
        <is>
          <t>CFM56-5B</t>
        </is>
      </c>
      <c r="C2321" s="31" t="inlineStr">
        <is>
          <t>2025-2026</t>
        </is>
      </c>
      <c r="D2321" s="31" t="inlineStr">
        <is>
          <t>671089</t>
        </is>
      </c>
      <c r="E2321" s="31" t="inlineStr">
        <is>
          <t>72-09-04</t>
        </is>
      </c>
      <c r="F2321" s="31" t="inlineStr">
        <is>
          <t>E</t>
        </is>
      </c>
      <c r="G2321" s="31" t="inlineStr">
        <is>
          <t>Other / assembly</t>
        </is>
      </c>
      <c r="H2321" s="27" t="n">
        <v>250</v>
      </c>
      <c r="I2321" s="27" t="n">
        <v>265</v>
      </c>
      <c r="J2321" s="154">
        <f>I2321/H2321-1</f>
        <v/>
      </c>
      <c r="K2321" s="31" t="inlineStr">
        <is>
          <t>84</t>
        </is>
      </c>
      <c r="L2321" s="31" t="inlineStr">
        <is>
          <t>87</t>
        </is>
      </c>
      <c r="M2321" s="31" t="inlineStr">
        <is>
          <t>S2</t>
        </is>
      </c>
      <c r="N2321" s="31" t="inlineStr">
        <is>
          <t>S4</t>
        </is>
      </c>
      <c r="O2321" s="31" t="inlineStr">
        <is>
          <t>1348M59P01</t>
        </is>
      </c>
      <c r="P2321" s="31" t="inlineStr">
        <is>
          <t>SR Technics Switzerland</t>
        </is>
      </c>
    </row>
    <row r="2322">
      <c r="B2322" s="31" t="inlineStr">
        <is>
          <t>CFM56-5B</t>
        </is>
      </c>
      <c r="C2322" s="31" t="inlineStr">
        <is>
          <t>2025-2026</t>
        </is>
      </c>
      <c r="D2322" s="31" t="inlineStr">
        <is>
          <t>671089</t>
        </is>
      </c>
      <c r="E2322" s="31" t="inlineStr">
        <is>
          <t>72-09-04</t>
        </is>
      </c>
      <c r="F2322" s="31" t="inlineStr">
        <is>
          <t>F</t>
        </is>
      </c>
      <c r="G2322" s="31" t="inlineStr">
        <is>
          <t>Other / assembly</t>
        </is>
      </c>
      <c r="H2322" s="27" t="n">
        <v>185</v>
      </c>
      <c r="I2322" s="27" t="n">
        <v>200</v>
      </c>
      <c r="J2322" s="154">
        <f>I2322/H2322-1</f>
        <v/>
      </c>
      <c r="K2322" s="31" t="inlineStr">
        <is>
          <t>84</t>
        </is>
      </c>
      <c r="L2322" s="31" t="inlineStr">
        <is>
          <t>87</t>
        </is>
      </c>
      <c r="M2322" s="31" t="inlineStr">
        <is>
          <t>S2</t>
        </is>
      </c>
      <c r="N2322" s="31" t="inlineStr">
        <is>
          <t>S4</t>
        </is>
      </c>
      <c r="O2322" s="31" t="inlineStr">
        <is>
          <t>1348M59P01</t>
        </is>
      </c>
      <c r="P2322" s="31" t="inlineStr">
        <is>
          <t>SR Technics Switzerland</t>
        </is>
      </c>
    </row>
    <row r="2323">
      <c r="B2323" s="31" t="inlineStr">
        <is>
          <t>CFM56-5B</t>
        </is>
      </c>
      <c r="C2323" s="31" t="inlineStr">
        <is>
          <t>2025-2026</t>
        </is>
      </c>
      <c r="D2323" s="31" t="inlineStr">
        <is>
          <t>671089</t>
        </is>
      </c>
      <c r="E2323" s="31" t="inlineStr">
        <is>
          <t>72-09-04</t>
        </is>
      </c>
      <c r="F2323" s="31" t="inlineStr">
        <is>
          <t>G</t>
        </is>
      </c>
      <c r="G2323" s="31" t="inlineStr">
        <is>
          <t>Other / assembly</t>
        </is>
      </c>
      <c r="H2323" s="27" t="n">
        <v>75</v>
      </c>
      <c r="I2323" s="27" t="n">
        <v>80</v>
      </c>
      <c r="J2323" s="154">
        <f>I2323/H2323-1</f>
        <v/>
      </c>
      <c r="K2323" s="31" t="inlineStr">
        <is>
          <t>84</t>
        </is>
      </c>
      <c r="L2323" s="31" t="inlineStr">
        <is>
          <t>87</t>
        </is>
      </c>
      <c r="M2323" s="31" t="inlineStr">
        <is>
          <t>S2</t>
        </is>
      </c>
      <c r="N2323" s="31" t="inlineStr">
        <is>
          <t>S4</t>
        </is>
      </c>
      <c r="O2323" s="31" t="inlineStr">
        <is>
          <t>1348M59P01</t>
        </is>
      </c>
      <c r="P2323" s="31" t="inlineStr">
        <is>
          <t>SR Technics Switzerland</t>
        </is>
      </c>
    </row>
    <row r="2324">
      <c r="B2324" s="31" t="inlineStr">
        <is>
          <t>CFM56-5B</t>
        </is>
      </c>
      <c r="C2324" s="31" t="inlineStr">
        <is>
          <t>2025-2026</t>
        </is>
      </c>
      <c r="D2324" s="31" t="inlineStr">
        <is>
          <t>671089</t>
        </is>
      </c>
      <c r="E2324" s="31" t="inlineStr">
        <is>
          <t>72-09-04</t>
        </is>
      </c>
      <c r="F2324" s="31" t="inlineStr">
        <is>
          <t>L</t>
        </is>
      </c>
      <c r="G2324" s="31" t="inlineStr">
        <is>
          <t>Other / assembly</t>
        </is>
      </c>
      <c r="H2324" s="27" t="n">
        <v>100</v>
      </c>
      <c r="I2324" s="27" t="n">
        <v>110</v>
      </c>
      <c r="J2324" s="154">
        <f>I2324/H2324-1</f>
        <v/>
      </c>
      <c r="K2324" s="31" t="inlineStr">
        <is>
          <t>84</t>
        </is>
      </c>
      <c r="L2324" s="31" t="inlineStr">
        <is>
          <t>87</t>
        </is>
      </c>
      <c r="M2324" s="31" t="inlineStr">
        <is>
          <t>S2</t>
        </is>
      </c>
      <c r="N2324" s="31" t="inlineStr">
        <is>
          <t>S4</t>
        </is>
      </c>
      <c r="O2324" s="31" t="inlineStr">
        <is>
          <t>1348M59P01</t>
        </is>
      </c>
      <c r="P2324" s="31" t="inlineStr">
        <is>
          <t>SR Technics Switzerland</t>
        </is>
      </c>
    </row>
    <row r="2325">
      <c r="B2325" s="31" t="inlineStr">
        <is>
          <t>CFM56-5B</t>
        </is>
      </c>
      <c r="C2325" s="31" t="inlineStr">
        <is>
          <t>2025-2026</t>
        </is>
      </c>
      <c r="D2325" s="31" t="inlineStr">
        <is>
          <t>671089</t>
        </is>
      </c>
      <c r="E2325" s="31" t="inlineStr">
        <is>
          <t>72-09-04</t>
        </is>
      </c>
      <c r="F2325" s="31" t="inlineStr">
        <is>
          <t>M</t>
        </is>
      </c>
      <c r="G2325" s="31" t="inlineStr">
        <is>
          <t>Other / assembly</t>
        </is>
      </c>
      <c r="H2325" s="27" t="n">
        <v>155</v>
      </c>
      <c r="I2325" s="27" t="n">
        <v>165</v>
      </c>
      <c r="J2325" s="154">
        <f>I2325/H2325-1</f>
        <v/>
      </c>
      <c r="K2325" s="31" t="inlineStr">
        <is>
          <t>84</t>
        </is>
      </c>
      <c r="L2325" s="31" t="inlineStr">
        <is>
          <t>87</t>
        </is>
      </c>
      <c r="M2325" s="31" t="inlineStr">
        <is>
          <t>S2</t>
        </is>
      </c>
      <c r="N2325" s="31" t="inlineStr">
        <is>
          <t>S4</t>
        </is>
      </c>
      <c r="O2325" s="31" t="inlineStr">
        <is>
          <t>1348M59P01</t>
        </is>
      </c>
      <c r="P2325" s="31" t="inlineStr">
        <is>
          <t>SR Technics Switzerland</t>
        </is>
      </c>
    </row>
    <row r="2326">
      <c r="B2326" s="31" t="inlineStr">
        <is>
          <t>CFM56-5B</t>
        </is>
      </c>
      <c r="C2326" s="31" t="inlineStr">
        <is>
          <t>2025-2026</t>
        </is>
      </c>
      <c r="D2326" s="31" t="inlineStr">
        <is>
          <t>671089</t>
        </is>
      </c>
      <c r="E2326" s="31" t="inlineStr">
        <is>
          <t>72-09-04</t>
        </is>
      </c>
      <c r="F2326" s="31" t="inlineStr">
        <is>
          <t>N</t>
        </is>
      </c>
      <c r="G2326" s="31" t="inlineStr">
        <is>
          <t>Other / assembly</t>
        </is>
      </c>
      <c r="H2326" s="27" t="n">
        <v>85</v>
      </c>
      <c r="I2326" s="27" t="n">
        <v>95</v>
      </c>
      <c r="J2326" s="154">
        <f>I2326/H2326-1</f>
        <v/>
      </c>
      <c r="K2326" s="31" t="inlineStr">
        <is>
          <t>84</t>
        </is>
      </c>
      <c r="L2326" s="31" t="inlineStr">
        <is>
          <t>87</t>
        </is>
      </c>
      <c r="M2326" s="31" t="inlineStr">
        <is>
          <t>S2</t>
        </is>
      </c>
      <c r="N2326" s="31" t="inlineStr">
        <is>
          <t>S4</t>
        </is>
      </c>
      <c r="O2326" s="31" t="inlineStr">
        <is>
          <t>1348M59P01</t>
        </is>
      </c>
      <c r="P2326" s="31" t="inlineStr">
        <is>
          <t>SR Technics Switzerland</t>
        </is>
      </c>
    </row>
    <row r="2327">
      <c r="B2327" s="31" t="inlineStr">
        <is>
          <t>CFM56-5B</t>
        </is>
      </c>
      <c r="C2327" s="31" t="inlineStr">
        <is>
          <t>2025-2026</t>
        </is>
      </c>
      <c r="D2327" s="31" t="inlineStr">
        <is>
          <t>671089</t>
        </is>
      </c>
      <c r="E2327" s="31" t="inlineStr">
        <is>
          <t>72-09-04</t>
        </is>
      </c>
      <c r="F2327" s="31" t="inlineStr">
        <is>
          <t>SB00</t>
        </is>
      </c>
      <c r="G2327" s="31" t="inlineStr">
        <is>
          <t>Other / assembly</t>
        </is>
      </c>
      <c r="H2327" s="27" t="n">
        <v>615</v>
      </c>
      <c r="I2327" s="27" t="n">
        <v>655</v>
      </c>
      <c r="J2327" s="154">
        <f>I2327/H2327-1</f>
        <v/>
      </c>
      <c r="K2327" s="31" t="inlineStr">
        <is>
          <t>84</t>
        </is>
      </c>
      <c r="L2327" s="31" t="inlineStr">
        <is>
          <t>87</t>
        </is>
      </c>
      <c r="M2327" s="31" t="inlineStr">
        <is>
          <t>S2</t>
        </is>
      </c>
      <c r="N2327" s="31" t="inlineStr">
        <is>
          <t>S4</t>
        </is>
      </c>
      <c r="O2327" s="31" t="inlineStr">
        <is>
          <t>1348M59P01</t>
        </is>
      </c>
      <c r="P2327" s="31" t="inlineStr">
        <is>
          <t>SR Technics Switzerland</t>
        </is>
      </c>
    </row>
    <row r="2328">
      <c r="B2328" s="31" t="inlineStr">
        <is>
          <t>CFM56-5B</t>
        </is>
      </c>
      <c r="C2328" s="31" t="inlineStr">
        <is>
          <t>2025-2026</t>
        </is>
      </c>
      <c r="D2328" s="31" t="inlineStr">
        <is>
          <t>671095</t>
        </is>
      </c>
      <c r="E2328" s="31" t="inlineStr">
        <is>
          <t>72-09-04</t>
        </is>
      </c>
      <c r="F2328" s="31" t="inlineStr">
        <is>
          <t>B</t>
        </is>
      </c>
      <c r="G2328" s="31" t="inlineStr">
        <is>
          <t>Other / assembly</t>
        </is>
      </c>
      <c r="H2328" s="27" t="n">
        <v>80</v>
      </c>
      <c r="I2328" s="27" t="n">
        <v>85</v>
      </c>
      <c r="J2328" s="154">
        <f>I2328/H2328-1</f>
        <v/>
      </c>
      <c r="K2328" s="31" t="inlineStr">
        <is>
          <t>86</t>
        </is>
      </c>
      <c r="L2328" s="31" t="inlineStr">
        <is>
          <t>90</t>
        </is>
      </c>
      <c r="M2328" s="31" t="inlineStr">
        <is>
          <t>S2</t>
        </is>
      </c>
      <c r="N2328" s="31" t="inlineStr">
        <is>
          <t>S4</t>
        </is>
      </c>
      <c r="O2328" s="31" t="inlineStr">
        <is>
          <t>301-534-311-0</t>
        </is>
      </c>
      <c r="P2328" s="31" t="inlineStr">
        <is>
          <t>SR Technics Switzerland</t>
        </is>
      </c>
    </row>
    <row r="2329">
      <c r="B2329" s="31" t="inlineStr">
        <is>
          <t>CFM56-5B</t>
        </is>
      </c>
      <c r="C2329" s="31" t="inlineStr">
        <is>
          <t>2025-2026</t>
        </is>
      </c>
      <c r="D2329" s="31" t="inlineStr">
        <is>
          <t>671095</t>
        </is>
      </c>
      <c r="E2329" s="31" t="inlineStr">
        <is>
          <t>72-09-04</t>
        </is>
      </c>
      <c r="F2329" s="31" t="inlineStr">
        <is>
          <t>C</t>
        </is>
      </c>
      <c r="G2329" s="31" t="inlineStr">
        <is>
          <t>Other / assembly</t>
        </is>
      </c>
      <c r="H2329" s="27" t="n">
        <v>80</v>
      </c>
      <c r="I2329" s="27" t="n">
        <v>85</v>
      </c>
      <c r="J2329" s="154">
        <f>I2329/H2329-1</f>
        <v/>
      </c>
      <c r="K2329" s="31" t="inlineStr">
        <is>
          <t>86</t>
        </is>
      </c>
      <c r="L2329" s="31" t="inlineStr">
        <is>
          <t>90</t>
        </is>
      </c>
      <c r="M2329" s="31" t="inlineStr">
        <is>
          <t>S2</t>
        </is>
      </c>
      <c r="N2329" s="31" t="inlineStr">
        <is>
          <t>S4</t>
        </is>
      </c>
      <c r="O2329" s="31" t="inlineStr">
        <is>
          <t>301-534-311-0</t>
        </is>
      </c>
      <c r="P2329" s="31" t="inlineStr">
        <is>
          <t>SR Technics Switzerland</t>
        </is>
      </c>
    </row>
    <row r="2330">
      <c r="B2330" s="31" t="inlineStr">
        <is>
          <t>CFM56-5B</t>
        </is>
      </c>
      <c r="C2330" s="31" t="inlineStr">
        <is>
          <t>2025-2026</t>
        </is>
      </c>
      <c r="D2330" s="31" t="inlineStr">
        <is>
          <t>671095</t>
        </is>
      </c>
      <c r="E2330" s="31" t="inlineStr">
        <is>
          <t>72-09-04</t>
        </is>
      </c>
      <c r="F2330" s="31" t="inlineStr">
        <is>
          <t>D</t>
        </is>
      </c>
      <c r="G2330" s="31" t="inlineStr">
        <is>
          <t>Other / assembly</t>
        </is>
      </c>
      <c r="H2330" s="27" t="n">
        <v>80</v>
      </c>
      <c r="I2330" s="27" t="n">
        <v>85</v>
      </c>
      <c r="J2330" s="154">
        <f>I2330/H2330-1</f>
        <v/>
      </c>
      <c r="K2330" s="31" t="inlineStr">
        <is>
          <t>86</t>
        </is>
      </c>
      <c r="L2330" s="31" t="inlineStr">
        <is>
          <t>90</t>
        </is>
      </c>
      <c r="M2330" s="31" t="inlineStr">
        <is>
          <t>S2</t>
        </is>
      </c>
      <c r="N2330" s="31" t="inlineStr">
        <is>
          <t>S4</t>
        </is>
      </c>
      <c r="O2330" s="31" t="inlineStr">
        <is>
          <t>301-534-311-0</t>
        </is>
      </c>
      <c r="P2330" s="31" t="inlineStr">
        <is>
          <t>SR Technics Switzerland</t>
        </is>
      </c>
    </row>
    <row r="2331">
      <c r="B2331" s="31" t="inlineStr">
        <is>
          <t>CFM56-5B</t>
        </is>
      </c>
      <c r="C2331" s="31" t="inlineStr">
        <is>
          <t>2025-2026</t>
        </is>
      </c>
      <c r="D2331" s="31" t="inlineStr">
        <is>
          <t>672453</t>
        </is>
      </c>
      <c r="E2331" s="31" t="inlineStr">
        <is>
          <t>72-09-04</t>
        </is>
      </c>
      <c r="F2331" s="31" t="inlineStr">
        <is>
          <t>A</t>
        </is>
      </c>
      <c r="G2331" s="31" t="inlineStr">
        <is>
          <t>Other / assembly</t>
        </is>
      </c>
      <c r="H2331" s="27" t="n">
        <v>100</v>
      </c>
      <c r="I2331" s="27" t="n">
        <v>105</v>
      </c>
      <c r="J2331" s="154">
        <f>I2331/H2331-1</f>
        <v/>
      </c>
      <c r="K2331" s="31" t="inlineStr">
        <is>
          <t>87</t>
        </is>
      </c>
      <c r="L2331" s="31" t="inlineStr">
        <is>
          <t>90</t>
        </is>
      </c>
      <c r="M2331" s="31" t="inlineStr">
        <is>
          <t>S2</t>
        </is>
      </c>
      <c r="N2331" s="31" t="inlineStr">
        <is>
          <t>S4</t>
        </is>
      </c>
      <c r="O2331" s="31" t="inlineStr">
        <is>
          <t>1870M26P01</t>
        </is>
      </c>
      <c r="P2331" s="31" t="inlineStr">
        <is>
          <t>SR Technics Switzerland</t>
        </is>
      </c>
    </row>
    <row r="2332">
      <c r="B2332" s="31" t="inlineStr">
        <is>
          <t>CFM56-5B</t>
        </is>
      </c>
      <c r="C2332" s="31" t="inlineStr">
        <is>
          <t>2025-2026</t>
        </is>
      </c>
      <c r="D2332" s="31" t="inlineStr">
        <is>
          <t>672589</t>
        </is>
      </c>
      <c r="E2332" s="31" t="inlineStr">
        <is>
          <t>72-21-09</t>
        </is>
      </c>
      <c r="F2332" s="31" t="inlineStr">
        <is>
          <t>A</t>
        </is>
      </c>
      <c r="G2332" s="31" t="inlineStr">
        <is>
          <t>Fan / booster</t>
        </is>
      </c>
      <c r="H2332" s="27" t="n">
        <v>850</v>
      </c>
      <c r="I2332" s="27" t="n">
        <v>895</v>
      </c>
      <c r="J2332" s="154">
        <f>I2332/H2332-1</f>
        <v/>
      </c>
      <c r="K2332" s="31" t="inlineStr">
        <is>
          <t>26</t>
        </is>
      </c>
      <c r="L2332" s="31" t="inlineStr">
        <is>
          <t>27</t>
        </is>
      </c>
      <c r="M2332" s="31" t="inlineStr">
        <is>
          <t>S2</t>
        </is>
      </c>
      <c r="N2332" s="31" t="inlineStr">
        <is>
          <t>S4</t>
        </is>
      </c>
      <c r="O2332" s="31" t="inlineStr">
        <is>
          <t>338-003-104-0</t>
        </is>
      </c>
      <c r="P2332" s="31" t="inlineStr">
        <is>
          <t>SR Technics Switzerland</t>
        </is>
      </c>
    </row>
    <row r="2333">
      <c r="B2333" s="31" t="inlineStr">
        <is>
          <t>CFM56-5B</t>
        </is>
      </c>
      <c r="C2333" s="31" t="inlineStr">
        <is>
          <t>2025-2026</t>
        </is>
      </c>
      <c r="D2333" s="31" t="inlineStr">
        <is>
          <t>672596</t>
        </is>
      </c>
      <c r="E2333" s="31" t="inlineStr">
        <is>
          <t>72-31-07</t>
        </is>
      </c>
      <c r="F2333" s="31" t="inlineStr">
        <is>
          <t>A</t>
        </is>
      </c>
      <c r="G2333" s="31" t="inlineStr">
        <is>
          <t>Compressor</t>
        </is>
      </c>
      <c r="H2333" s="27" t="n">
        <v>965</v>
      </c>
      <c r="I2333" s="27" t="n">
        <v>1015</v>
      </c>
      <c r="J2333" s="154">
        <f>I2333/H2333-1</f>
        <v/>
      </c>
      <c r="K2333" s="31" t="inlineStr">
        <is>
          <t>27</t>
        </is>
      </c>
      <c r="L2333" s="31" t="inlineStr">
        <is>
          <t>27</t>
        </is>
      </c>
      <c r="M2333" s="31" t="inlineStr">
        <is>
          <t>S2</t>
        </is>
      </c>
      <c r="N2333" s="31" t="inlineStr">
        <is>
          <t>S4</t>
        </is>
      </c>
      <c r="O2333" s="31" t="inlineStr">
        <is>
          <t>1386M56P02</t>
        </is>
      </c>
      <c r="P2333" s="31" t="inlineStr">
        <is>
          <t>SR Technics Switzerland</t>
        </is>
      </c>
    </row>
    <row r="2334">
      <c r="B2334" s="31" t="inlineStr">
        <is>
          <t>CFM56-5B</t>
        </is>
      </c>
      <c r="C2334" s="31" t="inlineStr">
        <is>
          <t>2025-2026</t>
        </is>
      </c>
      <c r="D2334" s="31" t="inlineStr">
        <is>
          <t>672596</t>
        </is>
      </c>
      <c r="E2334" s="31" t="inlineStr">
        <is>
          <t>72-31-07</t>
        </is>
      </c>
      <c r="F2334" s="31" t="inlineStr">
        <is>
          <t>B</t>
        </is>
      </c>
      <c r="G2334" s="31" t="inlineStr">
        <is>
          <t>Compressor</t>
        </is>
      </c>
      <c r="H2334" s="27" t="n">
        <v>1610</v>
      </c>
      <c r="I2334" s="27" t="n">
        <v>1710</v>
      </c>
      <c r="J2334" s="154">
        <f>I2334/H2334-1</f>
        <v/>
      </c>
      <c r="K2334" s="31" t="inlineStr">
        <is>
          <t>27</t>
        </is>
      </c>
      <c r="L2334" s="31" t="inlineStr">
        <is>
          <t>27</t>
        </is>
      </c>
      <c r="M2334" s="31" t="inlineStr">
        <is>
          <t>S2</t>
        </is>
      </c>
      <c r="N2334" s="31" t="inlineStr">
        <is>
          <t>S4</t>
        </is>
      </c>
      <c r="O2334" s="31" t="inlineStr">
        <is>
          <t>1386M56P02</t>
        </is>
      </c>
      <c r="P2334" s="31" t="inlineStr">
        <is>
          <t>SR Technics Switzerland</t>
        </is>
      </c>
    </row>
    <row r="2335">
      <c r="B2335" s="31" t="inlineStr">
        <is>
          <t>CFM56-5B</t>
        </is>
      </c>
      <c r="C2335" s="31" t="inlineStr">
        <is>
          <t>2025-2026</t>
        </is>
      </c>
      <c r="D2335" s="31" t="inlineStr">
        <is>
          <t>672596</t>
        </is>
      </c>
      <c r="E2335" s="31" t="inlineStr">
        <is>
          <t>72-31-07</t>
        </is>
      </c>
      <c r="F2335" s="31" t="inlineStr">
        <is>
          <t>E</t>
        </is>
      </c>
      <c r="G2335" s="31" t="inlineStr">
        <is>
          <t>Compressor</t>
        </is>
      </c>
      <c r="H2335" s="27" t="n">
        <v>3335</v>
      </c>
      <c r="I2335" s="27" t="n">
        <v>3540</v>
      </c>
      <c r="J2335" s="154">
        <f>I2335/H2335-1</f>
        <v/>
      </c>
      <c r="K2335" s="31" t="inlineStr">
        <is>
          <t>27</t>
        </is>
      </c>
      <c r="L2335" s="31" t="inlineStr">
        <is>
          <t>27</t>
        </is>
      </c>
      <c r="M2335" s="31" t="inlineStr">
        <is>
          <t>S2</t>
        </is>
      </c>
      <c r="N2335" s="31" t="inlineStr">
        <is>
          <t>S4</t>
        </is>
      </c>
      <c r="O2335" s="31" t="inlineStr">
        <is>
          <t>1386M56P02</t>
        </is>
      </c>
      <c r="P2335" s="31" t="inlineStr">
        <is>
          <t>SR Technics Switzerland</t>
        </is>
      </c>
    </row>
    <row r="2336">
      <c r="B2336" s="31" t="inlineStr">
        <is>
          <t>CFM56-5B</t>
        </is>
      </c>
      <c r="C2336" s="31" t="inlineStr">
        <is>
          <t>2025-2026</t>
        </is>
      </c>
      <c r="D2336" s="31" t="inlineStr">
        <is>
          <t>672596</t>
        </is>
      </c>
      <c r="E2336" s="31" t="inlineStr">
        <is>
          <t>72-31-07</t>
        </is>
      </c>
      <c r="F2336" s="31" t="inlineStr">
        <is>
          <t>F</t>
        </is>
      </c>
      <c r="G2336" s="31" t="inlineStr">
        <is>
          <t>Compressor</t>
        </is>
      </c>
      <c r="H2336" s="27" t="n">
        <v>6130</v>
      </c>
      <c r="I2336" s="27" t="n">
        <v>6500</v>
      </c>
      <c r="J2336" s="154">
        <f>I2336/H2336-1</f>
        <v/>
      </c>
      <c r="K2336" s="31" t="inlineStr">
        <is>
          <t>27</t>
        </is>
      </c>
      <c r="L2336" s="31" t="inlineStr">
        <is>
          <t>27</t>
        </is>
      </c>
      <c r="M2336" s="31" t="inlineStr">
        <is>
          <t>S2</t>
        </is>
      </c>
      <c r="N2336" s="31" t="inlineStr">
        <is>
          <t>S4</t>
        </is>
      </c>
      <c r="O2336" s="31" t="inlineStr">
        <is>
          <t>1386M56P02</t>
        </is>
      </c>
      <c r="P2336" s="31" t="inlineStr">
        <is>
          <t>SR Technics Switzerland</t>
        </is>
      </c>
    </row>
    <row r="2337">
      <c r="B2337" s="31" t="inlineStr">
        <is>
          <t>CFM56-5B</t>
        </is>
      </c>
      <c r="C2337" s="31" t="inlineStr">
        <is>
          <t>2025-2026</t>
        </is>
      </c>
      <c r="D2337" s="31" t="inlineStr">
        <is>
          <t>672596</t>
        </is>
      </c>
      <c r="E2337" s="31" t="inlineStr">
        <is>
          <t>72-31-07</t>
        </is>
      </c>
      <c r="F2337" s="31" t="inlineStr">
        <is>
          <t>G</t>
        </is>
      </c>
      <c r="G2337" s="31" t="inlineStr">
        <is>
          <t>Compressor</t>
        </is>
      </c>
      <c r="H2337" s="27" t="n">
        <v>1745</v>
      </c>
      <c r="I2337" s="27" t="n">
        <v>1850</v>
      </c>
      <c r="J2337" s="154">
        <f>I2337/H2337-1</f>
        <v/>
      </c>
      <c r="K2337" s="31" t="inlineStr">
        <is>
          <t>27</t>
        </is>
      </c>
      <c r="L2337" s="31" t="inlineStr">
        <is>
          <t>27</t>
        </is>
      </c>
      <c r="M2337" s="31" t="inlineStr">
        <is>
          <t>S2</t>
        </is>
      </c>
      <c r="N2337" s="31" t="inlineStr">
        <is>
          <t>S4</t>
        </is>
      </c>
      <c r="O2337" s="31" t="inlineStr">
        <is>
          <t>1386M56P02</t>
        </is>
      </c>
      <c r="P2337" s="31" t="inlineStr">
        <is>
          <t>SR Technics Switzerland</t>
        </is>
      </c>
    </row>
    <row r="2338">
      <c r="B2338" s="31" t="inlineStr">
        <is>
          <t>CFM56-5B</t>
        </is>
      </c>
      <c r="C2338" s="31" t="inlineStr">
        <is>
          <t>2025-2026</t>
        </is>
      </c>
      <c r="D2338" s="31" t="inlineStr">
        <is>
          <t>672596</t>
        </is>
      </c>
      <c r="E2338" s="31" t="inlineStr">
        <is>
          <t>72-31-07</t>
        </is>
      </c>
      <c r="F2338" s="31" t="inlineStr">
        <is>
          <t>SB00</t>
        </is>
      </c>
      <c r="G2338" s="31" t="inlineStr">
        <is>
          <t>Compressor</t>
        </is>
      </c>
      <c r="H2338" s="27" t="n">
        <v>810</v>
      </c>
      <c r="I2338" s="27" t="n">
        <v>860</v>
      </c>
      <c r="J2338" s="154">
        <f>I2338/H2338-1</f>
        <v/>
      </c>
      <c r="K2338" s="31" t="inlineStr">
        <is>
          <t>27</t>
        </is>
      </c>
      <c r="L2338" s="31" t="inlineStr">
        <is>
          <t>27</t>
        </is>
      </c>
      <c r="M2338" s="31" t="inlineStr">
        <is>
          <t>S2</t>
        </is>
      </c>
      <c r="N2338" s="31" t="inlineStr">
        <is>
          <t>S4</t>
        </is>
      </c>
      <c r="O2338" s="31" t="inlineStr">
        <is>
          <t>1386M56P02</t>
        </is>
      </c>
      <c r="P2338" s="31" t="inlineStr">
        <is>
          <t>SR Technics Switzerland</t>
        </is>
      </c>
    </row>
    <row r="2339">
      <c r="B2339" s="31" t="inlineStr">
        <is>
          <t>CFM56-5B</t>
        </is>
      </c>
      <c r="C2339" s="31" t="inlineStr">
        <is>
          <t>2025-2026</t>
        </is>
      </c>
      <c r="D2339" s="31" t="inlineStr">
        <is>
          <t>672775</t>
        </is>
      </c>
      <c r="E2339" s="31" t="inlineStr">
        <is>
          <t>72-41-04</t>
        </is>
      </c>
      <c r="F2339" s="31" t="inlineStr">
        <is>
          <t>B</t>
        </is>
      </c>
      <c r="G2339" s="31" t="inlineStr">
        <is>
          <t>Combustor</t>
        </is>
      </c>
      <c r="H2339" s="27" t="n">
        <v>970</v>
      </c>
      <c r="I2339" s="27" t="n">
        <v>1030</v>
      </c>
      <c r="J2339" s="154">
        <f>I2339/H2339-1</f>
        <v/>
      </c>
      <c r="K2339" s="31" t="inlineStr">
        <is>
          <t>87</t>
        </is>
      </c>
      <c r="L2339" s="31" t="inlineStr">
        <is>
          <t>90</t>
        </is>
      </c>
      <c r="M2339" s="31" t="inlineStr">
        <is>
          <t>S2</t>
        </is>
      </c>
      <c r="N2339" s="31" t="inlineStr">
        <is>
          <t>S4</t>
        </is>
      </c>
      <c r="O2339" s="31" t="inlineStr">
        <is>
          <t>1348M88G05</t>
        </is>
      </c>
      <c r="P2339" s="31" t="inlineStr">
        <is>
          <t>SR Technics Switzerland</t>
        </is>
      </c>
    </row>
    <row r="2340">
      <c r="B2340" s="31" t="inlineStr">
        <is>
          <t>CFM56-5B</t>
        </is>
      </c>
      <c r="C2340" s="31" t="inlineStr">
        <is>
          <t>2025-2026</t>
        </is>
      </c>
      <c r="D2340" s="31" t="inlineStr">
        <is>
          <t>672775</t>
        </is>
      </c>
      <c r="E2340" s="31" t="inlineStr">
        <is>
          <t>72-41-04</t>
        </is>
      </c>
      <c r="F2340" s="31" t="inlineStr">
        <is>
          <t>D</t>
        </is>
      </c>
      <c r="G2340" s="31" t="inlineStr">
        <is>
          <t>Combustor</t>
        </is>
      </c>
      <c r="H2340" s="27" t="n">
        <v>475</v>
      </c>
      <c r="I2340" s="27" t="n">
        <v>505</v>
      </c>
      <c r="J2340" s="154">
        <f>I2340/H2340-1</f>
        <v/>
      </c>
      <c r="K2340" s="31" t="inlineStr">
        <is>
          <t>87</t>
        </is>
      </c>
      <c r="L2340" s="31" t="inlineStr">
        <is>
          <t>90</t>
        </is>
      </c>
      <c r="M2340" s="31" t="inlineStr">
        <is>
          <t>S2</t>
        </is>
      </c>
      <c r="N2340" s="31" t="inlineStr">
        <is>
          <t>S4</t>
        </is>
      </c>
      <c r="O2340" s="31" t="inlineStr">
        <is>
          <t>1348M88G05</t>
        </is>
      </c>
      <c r="P2340" s="31" t="inlineStr">
        <is>
          <t>SR Technics Switzerland</t>
        </is>
      </c>
    </row>
    <row r="2341">
      <c r="B2341" s="31" t="inlineStr">
        <is>
          <t>CFM56-5B</t>
        </is>
      </c>
      <c r="C2341" s="31" t="inlineStr">
        <is>
          <t>2025-2026</t>
        </is>
      </c>
      <c r="D2341" s="31" t="inlineStr">
        <is>
          <t>672775</t>
        </is>
      </c>
      <c r="E2341" s="31" t="inlineStr">
        <is>
          <t>72-41-04</t>
        </is>
      </c>
      <c r="F2341" s="31" t="inlineStr">
        <is>
          <t>E</t>
        </is>
      </c>
      <c r="G2341" s="31" t="inlineStr">
        <is>
          <t>Combustor</t>
        </is>
      </c>
      <c r="H2341" s="27" t="n">
        <v>350</v>
      </c>
      <c r="I2341" s="27" t="n">
        <v>375</v>
      </c>
      <c r="J2341" s="154">
        <f>I2341/H2341-1</f>
        <v/>
      </c>
      <c r="K2341" s="31" t="inlineStr">
        <is>
          <t>87</t>
        </is>
      </c>
      <c r="L2341" s="31" t="inlineStr">
        <is>
          <t>90</t>
        </is>
      </c>
      <c r="M2341" s="31" t="inlineStr">
        <is>
          <t>S2</t>
        </is>
      </c>
      <c r="N2341" s="31" t="inlineStr">
        <is>
          <t>S4</t>
        </is>
      </c>
      <c r="O2341" s="31" t="inlineStr">
        <is>
          <t>1348M88G05</t>
        </is>
      </c>
      <c r="P2341" s="31" t="inlineStr">
        <is>
          <t>SR Technics Switzerland</t>
        </is>
      </c>
    </row>
    <row r="2342">
      <c r="B2342" s="31" t="inlineStr">
        <is>
          <t>CFM56-5B</t>
        </is>
      </c>
      <c r="C2342" s="31" t="inlineStr">
        <is>
          <t>2025-2026</t>
        </is>
      </c>
      <c r="D2342" s="31" t="inlineStr">
        <is>
          <t>672775</t>
        </is>
      </c>
      <c r="E2342" s="31" t="inlineStr">
        <is>
          <t>72-41-04</t>
        </is>
      </c>
      <c r="F2342" s="31" t="inlineStr">
        <is>
          <t>SB00</t>
        </is>
      </c>
      <c r="G2342" s="31" t="inlineStr">
        <is>
          <t>Combustor</t>
        </is>
      </c>
      <c r="H2342" s="27" t="n">
        <v>870</v>
      </c>
      <c r="I2342" s="27" t="n">
        <v>925</v>
      </c>
      <c r="J2342" s="154">
        <f>I2342/H2342-1</f>
        <v/>
      </c>
      <c r="K2342" s="31" t="inlineStr">
        <is>
          <t>87</t>
        </is>
      </c>
      <c r="L2342" s="31" t="inlineStr">
        <is>
          <t>90</t>
        </is>
      </c>
      <c r="M2342" s="31" t="inlineStr">
        <is>
          <t>S2</t>
        </is>
      </c>
      <c r="N2342" s="31" t="inlineStr">
        <is>
          <t>S4</t>
        </is>
      </c>
      <c r="O2342" s="31" t="inlineStr">
        <is>
          <t>1348M88G05</t>
        </is>
      </c>
      <c r="P2342" s="31" t="inlineStr">
        <is>
          <t>SR Technics Switzerland</t>
        </is>
      </c>
    </row>
    <row r="2343">
      <c r="B2343" s="31" t="inlineStr">
        <is>
          <t>CFM56-5B</t>
        </is>
      </c>
      <c r="C2343" s="31" t="inlineStr">
        <is>
          <t>2025-2026</t>
        </is>
      </c>
      <c r="D2343" s="31" t="inlineStr">
        <is>
          <t>672775</t>
        </is>
      </c>
      <c r="E2343" s="31" t="inlineStr">
        <is>
          <t>72-41-04</t>
        </is>
      </c>
      <c r="F2343" s="31" t="inlineStr">
        <is>
          <t>SB01</t>
        </is>
      </c>
      <c r="G2343" s="31" t="inlineStr">
        <is>
          <t>Combustor</t>
        </is>
      </c>
      <c r="H2343" s="27" t="n">
        <v>3375</v>
      </c>
      <c r="I2343" s="27" t="n">
        <v>3580</v>
      </c>
      <c r="J2343" s="154">
        <f>I2343/H2343-1</f>
        <v/>
      </c>
      <c r="K2343" s="31" t="inlineStr">
        <is>
          <t>87</t>
        </is>
      </c>
      <c r="L2343" s="31" t="inlineStr">
        <is>
          <t>90</t>
        </is>
      </c>
      <c r="M2343" s="31" t="inlineStr">
        <is>
          <t>S2</t>
        </is>
      </c>
      <c r="N2343" s="31" t="inlineStr">
        <is>
          <t>S4</t>
        </is>
      </c>
      <c r="O2343" s="31" t="inlineStr">
        <is>
          <t>1348M88G05</t>
        </is>
      </c>
      <c r="P2343" s="31" t="inlineStr">
        <is>
          <t>SR Technics Switzerland</t>
        </is>
      </c>
    </row>
    <row r="2344">
      <c r="B2344" s="31" t="inlineStr">
        <is>
          <t>CFM56-5B</t>
        </is>
      </c>
      <c r="C2344" s="31" t="inlineStr">
        <is>
          <t>2025-2026</t>
        </is>
      </c>
      <c r="D2344" s="31" t="inlineStr">
        <is>
          <t>672783</t>
        </is>
      </c>
      <c r="E2344" s="31" t="inlineStr">
        <is>
          <t>72-09-04</t>
        </is>
      </c>
      <c r="F2344" s="31" t="inlineStr">
        <is>
          <t>B</t>
        </is>
      </c>
      <c r="G2344" s="31" t="inlineStr">
        <is>
          <t>Other / assembly</t>
        </is>
      </c>
      <c r="H2344" s="27" t="n">
        <v>75</v>
      </c>
      <c r="I2344" s="27" t="n">
        <v>80</v>
      </c>
      <c r="J2344" s="154">
        <f>I2344/H2344-1</f>
        <v/>
      </c>
      <c r="K2344" s="31" t="inlineStr">
        <is>
          <t>88</t>
        </is>
      </c>
      <c r="L2344" s="31" t="inlineStr">
        <is>
          <t>91</t>
        </is>
      </c>
      <c r="M2344" s="31" t="inlineStr">
        <is>
          <t>S2</t>
        </is>
      </c>
      <c r="N2344" s="31" t="inlineStr">
        <is>
          <t>S4</t>
        </is>
      </c>
      <c r="O2344" s="31" t="inlineStr">
        <is>
          <t>1871M49G03</t>
        </is>
      </c>
      <c r="P2344" s="31" t="inlineStr">
        <is>
          <t>SR Technics Switzerland</t>
        </is>
      </c>
    </row>
    <row r="2345">
      <c r="B2345" s="31" t="inlineStr">
        <is>
          <t>CFM56-5B</t>
        </is>
      </c>
      <c r="C2345" s="31" t="inlineStr">
        <is>
          <t>2025-2026</t>
        </is>
      </c>
      <c r="D2345" s="31" t="inlineStr">
        <is>
          <t>672783</t>
        </is>
      </c>
      <c r="E2345" s="31" t="inlineStr">
        <is>
          <t>72-09-04</t>
        </is>
      </c>
      <c r="F2345" s="31" t="inlineStr">
        <is>
          <t>C</t>
        </is>
      </c>
      <c r="G2345" s="31" t="inlineStr">
        <is>
          <t>Other / assembly</t>
        </is>
      </c>
      <c r="H2345" s="27" t="n">
        <v>195</v>
      </c>
      <c r="I2345" s="27" t="n">
        <v>210</v>
      </c>
      <c r="J2345" s="154">
        <f>I2345/H2345-1</f>
        <v/>
      </c>
      <c r="K2345" s="31" t="inlineStr">
        <is>
          <t>88</t>
        </is>
      </c>
      <c r="L2345" s="31" t="inlineStr">
        <is>
          <t>91</t>
        </is>
      </c>
      <c r="M2345" s="31" t="inlineStr">
        <is>
          <t>S2</t>
        </is>
      </c>
      <c r="N2345" s="31" t="inlineStr">
        <is>
          <t>S4</t>
        </is>
      </c>
      <c r="O2345" s="31" t="inlineStr">
        <is>
          <t>1871M49G03</t>
        </is>
      </c>
      <c r="P2345" s="31" t="inlineStr">
        <is>
          <t>SR Technics Switzerland</t>
        </is>
      </c>
    </row>
    <row r="2346">
      <c r="B2346" s="31" t="inlineStr">
        <is>
          <t>CFM56-5B</t>
        </is>
      </c>
      <c r="C2346" s="31" t="inlineStr">
        <is>
          <t>2025-2026</t>
        </is>
      </c>
      <c r="D2346" s="31" t="inlineStr">
        <is>
          <t>672788</t>
        </is>
      </c>
      <c r="E2346" s="31" t="inlineStr">
        <is>
          <t>72-09-04</t>
        </is>
      </c>
      <c r="F2346" s="31" t="inlineStr">
        <is>
          <t>B</t>
        </is>
      </c>
      <c r="G2346" s="31" t="inlineStr">
        <is>
          <t>Other / assembly</t>
        </is>
      </c>
      <c r="H2346" s="27" t="n">
        <v>200</v>
      </c>
      <c r="I2346" s="27" t="n">
        <v>215</v>
      </c>
      <c r="J2346" s="154">
        <f>I2346/H2346-1</f>
        <v/>
      </c>
      <c r="K2346" s="31" t="inlineStr">
        <is>
          <t>88</t>
        </is>
      </c>
      <c r="L2346" s="31" t="inlineStr">
        <is>
          <t>91, 92</t>
        </is>
      </c>
      <c r="M2346" s="31" t="inlineStr">
        <is>
          <t>S2</t>
        </is>
      </c>
      <c r="N2346" s="31" t="inlineStr">
        <is>
          <t>S4</t>
        </is>
      </c>
      <c r="O2346" s="31" t="inlineStr">
        <is>
          <t>1443M74G02</t>
        </is>
      </c>
      <c r="P2346" s="31" t="inlineStr">
        <is>
          <t>SR Technics Switzerland</t>
        </is>
      </c>
    </row>
    <row r="2347">
      <c r="B2347" s="31" t="inlineStr">
        <is>
          <t>CFM56-5B</t>
        </is>
      </c>
      <c r="C2347" s="31" t="inlineStr">
        <is>
          <t>2025-2026</t>
        </is>
      </c>
      <c r="D2347" s="31" t="inlineStr">
        <is>
          <t>672788</t>
        </is>
      </c>
      <c r="E2347" s="31" t="inlineStr">
        <is>
          <t>72-09-04</t>
        </is>
      </c>
      <c r="F2347" s="31" t="inlineStr">
        <is>
          <t>C</t>
        </is>
      </c>
      <c r="G2347" s="31" t="inlineStr">
        <is>
          <t>Other / assembly</t>
        </is>
      </c>
      <c r="H2347" s="27" t="n">
        <v>85</v>
      </c>
      <c r="I2347" s="27" t="n">
        <v>95</v>
      </c>
      <c r="J2347" s="154">
        <f>I2347/H2347-1</f>
        <v/>
      </c>
      <c r="K2347" s="31" t="inlineStr">
        <is>
          <t>88</t>
        </is>
      </c>
      <c r="L2347" s="31" t="inlineStr">
        <is>
          <t>92</t>
        </is>
      </c>
      <c r="M2347" s="31" t="inlineStr">
        <is>
          <t>S2</t>
        </is>
      </c>
      <c r="N2347" s="31" t="inlineStr">
        <is>
          <t>S4</t>
        </is>
      </c>
      <c r="O2347" s="31" t="inlineStr">
        <is>
          <t>1443M74G02</t>
        </is>
      </c>
      <c r="P2347" s="31" t="inlineStr">
        <is>
          <t>SR Technics Switzerland</t>
        </is>
      </c>
    </row>
    <row r="2348">
      <c r="B2348" s="31" t="inlineStr">
        <is>
          <t>CFM56-5B</t>
        </is>
      </c>
      <c r="C2348" s="31" t="inlineStr">
        <is>
          <t>2025-2026</t>
        </is>
      </c>
      <c r="D2348" s="31" t="inlineStr">
        <is>
          <t>672788</t>
        </is>
      </c>
      <c r="E2348" s="31" t="inlineStr">
        <is>
          <t>72-09-04</t>
        </is>
      </c>
      <c r="F2348" s="31" t="inlineStr">
        <is>
          <t>D</t>
        </is>
      </c>
      <c r="G2348" s="31" t="inlineStr">
        <is>
          <t>Other / assembly</t>
        </is>
      </c>
      <c r="H2348" s="27" t="n">
        <v>145</v>
      </c>
      <c r="I2348" s="27" t="n">
        <v>155</v>
      </c>
      <c r="J2348" s="154">
        <f>I2348/H2348-1</f>
        <v/>
      </c>
      <c r="K2348" s="31" t="inlineStr">
        <is>
          <t>88</t>
        </is>
      </c>
      <c r="L2348" s="31" t="inlineStr">
        <is>
          <t>92</t>
        </is>
      </c>
      <c r="M2348" s="31" t="inlineStr">
        <is>
          <t>S2</t>
        </is>
      </c>
      <c r="N2348" s="31" t="inlineStr">
        <is>
          <t>S4</t>
        </is>
      </c>
      <c r="O2348" s="31" t="inlineStr">
        <is>
          <t>1443M74G02</t>
        </is>
      </c>
      <c r="P2348" s="31" t="inlineStr">
        <is>
          <t>SR Technics Switzerland</t>
        </is>
      </c>
    </row>
    <row r="2349">
      <c r="B2349" s="31" t="inlineStr">
        <is>
          <t>CFM56-5B</t>
        </is>
      </c>
      <c r="C2349" s="31" t="inlineStr">
        <is>
          <t>2025-2026</t>
        </is>
      </c>
      <c r="D2349" s="31" t="inlineStr">
        <is>
          <t>672788</t>
        </is>
      </c>
      <c r="E2349" s="31" t="inlineStr">
        <is>
          <t>72-09-04</t>
        </is>
      </c>
      <c r="F2349" s="31" t="inlineStr">
        <is>
          <t>SB00</t>
        </is>
      </c>
      <c r="G2349" s="31" t="inlineStr">
        <is>
          <t>Other / assembly</t>
        </is>
      </c>
      <c r="H2349" s="27" t="n">
        <v>150</v>
      </c>
      <c r="I2349" s="27" t="n">
        <v>160</v>
      </c>
      <c r="J2349" s="154">
        <f>I2349/H2349-1</f>
        <v/>
      </c>
      <c r="K2349" s="31" t="inlineStr">
        <is>
          <t>88</t>
        </is>
      </c>
      <c r="L2349" s="31" t="inlineStr">
        <is>
          <t>92</t>
        </is>
      </c>
      <c r="M2349" s="31" t="inlineStr">
        <is>
          <t>S2</t>
        </is>
      </c>
      <c r="N2349" s="31" t="inlineStr">
        <is>
          <t>S4</t>
        </is>
      </c>
      <c r="O2349" s="31" t="inlineStr">
        <is>
          <t>1443M74G02</t>
        </is>
      </c>
      <c r="P2349" s="31" t="inlineStr">
        <is>
          <t>SR Technics Switzerland</t>
        </is>
      </c>
    </row>
    <row r="2350">
      <c r="B2350" s="31" t="inlineStr">
        <is>
          <t>CFM56-5B</t>
        </is>
      </c>
      <c r="C2350" s="31" t="inlineStr">
        <is>
          <t>2025-2026</t>
        </is>
      </c>
      <c r="D2350" s="31" t="inlineStr">
        <is>
          <t>672792</t>
        </is>
      </c>
      <c r="E2350" s="31" t="inlineStr">
        <is>
          <t>72-09-03</t>
        </is>
      </c>
      <c r="F2350" s="31" t="inlineStr">
        <is>
          <t>B</t>
        </is>
      </c>
      <c r="G2350" s="31" t="inlineStr">
        <is>
          <t>Other / assembly</t>
        </is>
      </c>
      <c r="H2350" s="27" t="n">
        <v>1080</v>
      </c>
      <c r="I2350" s="27" t="n">
        <v>1145</v>
      </c>
      <c r="J2350" s="154">
        <f>I2350/H2350-1</f>
        <v/>
      </c>
      <c r="K2350" s="31" t="inlineStr">
        <is>
          <t>27</t>
        </is>
      </c>
      <c r="L2350" s="31" t="inlineStr">
        <is>
          <t>27</t>
        </is>
      </c>
      <c r="M2350" s="31" t="inlineStr">
        <is>
          <t>S2</t>
        </is>
      </c>
      <c r="N2350" s="31" t="inlineStr">
        <is>
          <t>S4</t>
        </is>
      </c>
      <c r="O2350" s="31" t="inlineStr">
        <is>
          <t>338-040-751-0</t>
        </is>
      </c>
      <c r="P2350" s="31" t="inlineStr">
        <is>
          <t>SR Technics Switzerland</t>
        </is>
      </c>
    </row>
    <row r="2351">
      <c r="B2351" s="31" t="inlineStr">
        <is>
          <t>CFM56-5B</t>
        </is>
      </c>
      <c r="C2351" s="31" t="inlineStr">
        <is>
          <t>2025-2026</t>
        </is>
      </c>
      <c r="D2351" s="31" t="inlineStr">
        <is>
          <t>672793</t>
        </is>
      </c>
      <c r="E2351" s="31" t="inlineStr">
        <is>
          <t>72-09-04</t>
        </is>
      </c>
      <c r="F2351" s="31" t="inlineStr">
        <is>
          <t>B</t>
        </is>
      </c>
      <c r="G2351" s="31" t="inlineStr">
        <is>
          <t>Other / assembly</t>
        </is>
      </c>
      <c r="H2351" s="27" t="n">
        <v>80</v>
      </c>
      <c r="I2351" s="27" t="n">
        <v>85</v>
      </c>
      <c r="J2351" s="154">
        <f>I2351/H2351-1</f>
        <v/>
      </c>
      <c r="K2351" s="31" t="inlineStr">
        <is>
          <t>89</t>
        </is>
      </c>
      <c r="L2351" s="31" t="inlineStr">
        <is>
          <t>92</t>
        </is>
      </c>
      <c r="M2351" s="31" t="inlineStr">
        <is>
          <t>S2</t>
        </is>
      </c>
      <c r="N2351" s="31" t="inlineStr">
        <is>
          <t>S4</t>
        </is>
      </c>
      <c r="O2351" s="31" t="inlineStr">
        <is>
          <t>1869M44G01</t>
        </is>
      </c>
      <c r="P2351" s="31" t="inlineStr">
        <is>
          <t>SR Technics Switzerland</t>
        </is>
      </c>
    </row>
    <row r="2352">
      <c r="B2352" s="31" t="inlineStr">
        <is>
          <t>CFM56-5B</t>
        </is>
      </c>
      <c r="C2352" s="31" t="inlineStr">
        <is>
          <t>2025-2026</t>
        </is>
      </c>
      <c r="D2352" s="31" t="inlineStr">
        <is>
          <t>672793</t>
        </is>
      </c>
      <c r="E2352" s="31" t="inlineStr">
        <is>
          <t>72-09-04</t>
        </is>
      </c>
      <c r="F2352" s="31" t="inlineStr">
        <is>
          <t>C</t>
        </is>
      </c>
      <c r="G2352" s="31" t="inlineStr">
        <is>
          <t>Other / assembly</t>
        </is>
      </c>
      <c r="H2352" s="27" t="n">
        <v>80</v>
      </c>
      <c r="I2352" s="27" t="n">
        <v>85</v>
      </c>
      <c r="J2352" s="154">
        <f>I2352/H2352-1</f>
        <v/>
      </c>
      <c r="K2352" s="31" t="inlineStr">
        <is>
          <t>89</t>
        </is>
      </c>
      <c r="L2352" s="31" t="inlineStr">
        <is>
          <t>93</t>
        </is>
      </c>
      <c r="M2352" s="31" t="inlineStr">
        <is>
          <t>S2</t>
        </is>
      </c>
      <c r="N2352" s="31" t="inlineStr">
        <is>
          <t>S4</t>
        </is>
      </c>
      <c r="O2352" s="31" t="inlineStr">
        <is>
          <t>1869M44G01</t>
        </is>
      </c>
      <c r="P2352" s="31" t="inlineStr">
        <is>
          <t>SR Technics Switzerland</t>
        </is>
      </c>
    </row>
    <row r="2353">
      <c r="B2353" s="31" t="inlineStr">
        <is>
          <t>CFM56-5B</t>
        </is>
      </c>
      <c r="C2353" s="31" t="inlineStr">
        <is>
          <t>2025-2026</t>
        </is>
      </c>
      <c r="D2353" s="31" t="inlineStr">
        <is>
          <t>672807</t>
        </is>
      </c>
      <c r="E2353" s="31" t="inlineStr">
        <is>
          <t>72-09-03</t>
        </is>
      </c>
      <c r="F2353" s="31" t="inlineStr">
        <is>
          <t>G</t>
        </is>
      </c>
      <c r="G2353" s="31" t="inlineStr">
        <is>
          <t>Other / assembly</t>
        </is>
      </c>
      <c r="H2353" s="27" t="n">
        <v>1205</v>
      </c>
      <c r="I2353" s="27" t="n">
        <v>1280</v>
      </c>
      <c r="J2353" s="154">
        <f>I2353/H2353-1</f>
        <v/>
      </c>
      <c r="K2353" s="31" t="inlineStr">
        <is>
          <t>89</t>
        </is>
      </c>
      <c r="L2353" s="31" t="inlineStr">
        <is>
          <t>93</t>
        </is>
      </c>
      <c r="M2353" s="31" t="inlineStr">
        <is>
          <t>S2</t>
        </is>
      </c>
      <c r="N2353" s="31" t="inlineStr">
        <is>
          <t>S4</t>
        </is>
      </c>
      <c r="O2353" s="31" t="inlineStr">
        <is>
          <t>337-114-052-0</t>
        </is>
      </c>
      <c r="P2353" s="31" t="inlineStr">
        <is>
          <t>SR Technics Switzerland</t>
        </is>
      </c>
    </row>
    <row r="2354">
      <c r="B2354" s="31" t="inlineStr">
        <is>
          <t>CFM56-5B</t>
        </is>
      </c>
      <c r="C2354" s="31" t="inlineStr">
        <is>
          <t>2025-2026</t>
        </is>
      </c>
      <c r="D2354" s="31" t="inlineStr">
        <is>
          <t>672818</t>
        </is>
      </c>
      <c r="E2354" s="31" t="inlineStr">
        <is>
          <t>72-23-18</t>
        </is>
      </c>
      <c r="F2354" s="31" t="inlineStr">
        <is>
          <t>B</t>
        </is>
      </c>
      <c r="G2354" s="31" t="inlineStr">
        <is>
          <t>Fan / booster</t>
        </is>
      </c>
      <c r="H2354" s="27" t="n">
        <v>325</v>
      </c>
      <c r="I2354" s="27" t="n">
        <v>345</v>
      </c>
      <c r="J2354" s="154">
        <f>I2354/H2354-1</f>
        <v/>
      </c>
      <c r="K2354" s="31" t="inlineStr">
        <is>
          <t>89</t>
        </is>
      </c>
      <c r="L2354" s="31" t="inlineStr">
        <is>
          <t>93</t>
        </is>
      </c>
      <c r="M2354" s="31" t="inlineStr">
        <is>
          <t>S2</t>
        </is>
      </c>
      <c r="N2354" s="31" t="inlineStr">
        <is>
          <t>S4</t>
        </is>
      </c>
      <c r="O2354" s="31" t="inlineStr">
        <is>
          <t>338-082-101-0</t>
        </is>
      </c>
      <c r="P2354" s="31" t="inlineStr">
        <is>
          <t>SR Technics Switzerland</t>
        </is>
      </c>
    </row>
    <row r="2355">
      <c r="B2355" s="31" t="inlineStr">
        <is>
          <t>CFM56-5B</t>
        </is>
      </c>
      <c r="C2355" s="31" t="inlineStr">
        <is>
          <t>2025-2026</t>
        </is>
      </c>
      <c r="D2355" s="31" t="inlineStr">
        <is>
          <t>672819</t>
        </is>
      </c>
      <c r="E2355" s="31" t="inlineStr">
        <is>
          <t>72-09-03</t>
        </is>
      </c>
      <c r="F2355" s="31" t="inlineStr">
        <is>
          <t>G</t>
        </is>
      </c>
      <c r="G2355" s="31" t="inlineStr">
        <is>
          <t>Other / assembly</t>
        </is>
      </c>
      <c r="H2355" s="27" t="n">
        <v>1010</v>
      </c>
      <c r="I2355" s="27" t="n">
        <v>1075</v>
      </c>
      <c r="J2355" s="154">
        <f>I2355/H2355-1</f>
        <v/>
      </c>
      <c r="K2355" s="31" t="inlineStr">
        <is>
          <t>90</t>
        </is>
      </c>
      <c r="L2355" s="31" t="inlineStr">
        <is>
          <t>93</t>
        </is>
      </c>
      <c r="M2355" s="31" t="inlineStr">
        <is>
          <t>S2</t>
        </is>
      </c>
      <c r="N2355" s="31" t="inlineStr">
        <is>
          <t>S4</t>
        </is>
      </c>
      <c r="O2355" s="31" t="inlineStr">
        <is>
          <t>1898M65G01</t>
        </is>
      </c>
      <c r="P2355" s="31" t="inlineStr">
        <is>
          <t>SR Technics Switzerland</t>
        </is>
      </c>
    </row>
    <row r="2356">
      <c r="B2356" s="31" t="inlineStr">
        <is>
          <t>CFM56-5B</t>
        </is>
      </c>
      <c r="C2356" s="31" t="inlineStr">
        <is>
          <t>2025-2026</t>
        </is>
      </c>
      <c r="D2356" s="31" t="inlineStr">
        <is>
          <t>672820</t>
        </is>
      </c>
      <c r="E2356" s="31" t="inlineStr">
        <is>
          <t>72-09-03</t>
        </is>
      </c>
      <c r="F2356" s="31" t="inlineStr">
        <is>
          <t>G</t>
        </is>
      </c>
      <c r="G2356" s="31" t="inlineStr">
        <is>
          <t>Other / assembly</t>
        </is>
      </c>
      <c r="H2356" s="27" t="n">
        <v>1010</v>
      </c>
      <c r="I2356" s="27" t="n">
        <v>1075</v>
      </c>
      <c r="J2356" s="154">
        <f>I2356/H2356-1</f>
        <v/>
      </c>
      <c r="K2356" s="31" t="inlineStr">
        <is>
          <t>90</t>
        </is>
      </c>
      <c r="L2356" s="31" t="inlineStr">
        <is>
          <t>93</t>
        </is>
      </c>
      <c r="M2356" s="31" t="inlineStr">
        <is>
          <t>S2</t>
        </is>
      </c>
      <c r="N2356" s="31" t="inlineStr">
        <is>
          <t>S4</t>
        </is>
      </c>
      <c r="O2356" s="31" t="inlineStr">
        <is>
          <t>337-036-917-0</t>
        </is>
      </c>
      <c r="P2356" s="31" t="inlineStr">
        <is>
          <t>SR Technics Switzerland</t>
        </is>
      </c>
    </row>
    <row r="2357">
      <c r="B2357" s="31" t="inlineStr">
        <is>
          <t>CFM56-5B</t>
        </is>
      </c>
      <c r="C2357" s="31" t="inlineStr">
        <is>
          <t>2025-2026</t>
        </is>
      </c>
      <c r="D2357" s="31" t="inlineStr">
        <is>
          <t>672822</t>
        </is>
      </c>
      <c r="E2357" s="31" t="inlineStr">
        <is>
          <t>72-09-03</t>
        </is>
      </c>
      <c r="F2357" s="31" t="inlineStr">
        <is>
          <t>G</t>
        </is>
      </c>
      <c r="G2357" s="31" t="inlineStr">
        <is>
          <t>Other / assembly</t>
        </is>
      </c>
      <c r="H2357" s="27" t="n">
        <v>640</v>
      </c>
      <c r="I2357" s="27" t="n">
        <v>680</v>
      </c>
      <c r="J2357" s="154">
        <f>I2357/H2357-1</f>
        <v/>
      </c>
      <c r="K2357" s="31" t="inlineStr">
        <is>
          <t>90</t>
        </is>
      </c>
      <c r="L2357" s="31" t="inlineStr">
        <is>
          <t>93</t>
        </is>
      </c>
      <c r="M2357" s="31" t="inlineStr">
        <is>
          <t>S2</t>
        </is>
      </c>
      <c r="N2357" s="31" t="inlineStr">
        <is>
          <t>S4</t>
        </is>
      </c>
      <c r="O2357" s="31" t="inlineStr">
        <is>
          <t>340-026-502-0</t>
        </is>
      </c>
      <c r="P2357" s="31" t="inlineStr">
        <is>
          <t>SR Technics Switzerland</t>
        </is>
      </c>
    </row>
    <row r="2358">
      <c r="B2358" s="31" t="inlineStr">
        <is>
          <t>CFM56-5B</t>
        </is>
      </c>
      <c r="C2358" s="31" t="inlineStr">
        <is>
          <t>2025-2026</t>
        </is>
      </c>
      <c r="D2358" s="31" t="inlineStr">
        <is>
          <t>672828</t>
        </is>
      </c>
      <c r="E2358" s="31" t="inlineStr">
        <is>
          <t>72-56-01</t>
        </is>
      </c>
      <c r="F2358" s="31" t="inlineStr">
        <is>
          <t>A</t>
        </is>
      </c>
      <c r="G2358" s="31" t="inlineStr">
        <is>
          <t>LPT</t>
        </is>
      </c>
      <c r="H2358" s="27" t="n">
        <v>2770</v>
      </c>
      <c r="I2358" s="27" t="n">
        <v>2910</v>
      </c>
      <c r="J2358" s="154">
        <f>I2358/H2358-1</f>
        <v/>
      </c>
      <c r="K2358" s="31" t="inlineStr">
        <is>
          <t>27</t>
        </is>
      </c>
      <c r="L2358" s="31" t="inlineStr">
        <is>
          <t>28</t>
        </is>
      </c>
      <c r="M2358" s="31" t="inlineStr">
        <is>
          <t>S2</t>
        </is>
      </c>
      <c r="N2358" s="31" t="inlineStr">
        <is>
          <t>S4</t>
        </is>
      </c>
      <c r="O2358" s="31" t="inlineStr">
        <is>
          <t>336-031-631-0</t>
        </is>
      </c>
      <c r="P2358" s="31" t="inlineStr">
        <is>
          <t>SR Technics Switzerland</t>
        </is>
      </c>
    </row>
    <row r="2359">
      <c r="B2359" s="31" t="inlineStr">
        <is>
          <t>CFM56-5B</t>
        </is>
      </c>
      <c r="C2359" s="31" t="inlineStr">
        <is>
          <t>2025-2026</t>
        </is>
      </c>
      <c r="D2359" s="31" t="inlineStr">
        <is>
          <t>672828</t>
        </is>
      </c>
      <c r="E2359" s="31" t="inlineStr">
        <is>
          <t>72-56-01</t>
        </is>
      </c>
      <c r="F2359" s="31" t="inlineStr">
        <is>
          <t>AA</t>
        </is>
      </c>
      <c r="G2359" s="31" t="inlineStr">
        <is>
          <t>LPT</t>
        </is>
      </c>
      <c r="H2359" s="27" t="n">
        <v>2600</v>
      </c>
      <c r="I2359" s="27" t="n">
        <v>2760</v>
      </c>
      <c r="J2359" s="154">
        <f>I2359/H2359-1</f>
        <v/>
      </c>
      <c r="K2359" s="31" t="inlineStr">
        <is>
          <t>27</t>
        </is>
      </c>
      <c r="L2359" s="31" t="inlineStr">
        <is>
          <t>28</t>
        </is>
      </c>
      <c r="M2359" s="31" t="inlineStr">
        <is>
          <t>S2</t>
        </is>
      </c>
      <c r="N2359" s="31" t="inlineStr">
        <is>
          <t>S4</t>
        </is>
      </c>
      <c r="O2359" s="31" t="inlineStr">
        <is>
          <t>336-031-631-0</t>
        </is>
      </c>
      <c r="P2359" s="31" t="inlineStr">
        <is>
          <t>SR Technics Switzerland</t>
        </is>
      </c>
    </row>
    <row r="2360">
      <c r="B2360" s="31" t="inlineStr">
        <is>
          <t>CFM56-5B</t>
        </is>
      </c>
      <c r="C2360" s="31" t="inlineStr">
        <is>
          <t>2025-2026</t>
        </is>
      </c>
      <c r="D2360" s="31" t="inlineStr">
        <is>
          <t>672828</t>
        </is>
      </c>
      <c r="E2360" s="31" t="inlineStr">
        <is>
          <t>72-56-01</t>
        </is>
      </c>
      <c r="F2360" s="31" t="inlineStr">
        <is>
          <t>AB</t>
        </is>
      </c>
      <c r="G2360" s="31" t="inlineStr">
        <is>
          <t>LPT</t>
        </is>
      </c>
      <c r="H2360" s="27" t="n">
        <v>3895</v>
      </c>
      <c r="I2360" s="27" t="n">
        <v>4130</v>
      </c>
      <c r="J2360" s="154">
        <f>I2360/H2360-1</f>
        <v/>
      </c>
      <c r="K2360" s="31" t="inlineStr">
        <is>
          <t>27</t>
        </is>
      </c>
      <c r="L2360" s="31" t="inlineStr">
        <is>
          <t>28</t>
        </is>
      </c>
      <c r="M2360" s="31" t="inlineStr">
        <is>
          <t>S2</t>
        </is>
      </c>
      <c r="N2360" s="31" t="inlineStr">
        <is>
          <t>S4</t>
        </is>
      </c>
      <c r="O2360" s="31" t="inlineStr">
        <is>
          <t>336-031-631-0</t>
        </is>
      </c>
      <c r="P2360" s="31" t="inlineStr">
        <is>
          <t>SR Technics Switzerland</t>
        </is>
      </c>
    </row>
    <row r="2361">
      <c r="B2361" s="31" t="inlineStr">
        <is>
          <t>CFM56-5B</t>
        </is>
      </c>
      <c r="C2361" s="31" t="inlineStr">
        <is>
          <t>2025-2026</t>
        </is>
      </c>
      <c r="D2361" s="31" t="inlineStr">
        <is>
          <t>672828</t>
        </is>
      </c>
      <c r="E2361" s="31" t="inlineStr">
        <is>
          <t>72-56-01</t>
        </is>
      </c>
      <c r="F2361" s="31" t="inlineStr">
        <is>
          <t>AC</t>
        </is>
      </c>
      <c r="G2361" s="31" t="inlineStr">
        <is>
          <t>LPT</t>
        </is>
      </c>
      <c r="H2361" s="27" t="n">
        <v>1710</v>
      </c>
      <c r="I2361" s="27" t="n">
        <v>1815</v>
      </c>
      <c r="J2361" s="154">
        <f>I2361/H2361-1</f>
        <v/>
      </c>
      <c r="K2361" s="31" t="inlineStr">
        <is>
          <t>27</t>
        </is>
      </c>
      <c r="L2361" s="31" t="inlineStr">
        <is>
          <t>28</t>
        </is>
      </c>
      <c r="M2361" s="31" t="inlineStr">
        <is>
          <t>S2</t>
        </is>
      </c>
      <c r="N2361" s="31" t="inlineStr">
        <is>
          <t>S4</t>
        </is>
      </c>
      <c r="O2361" s="31" t="inlineStr">
        <is>
          <t>336-031-631-0</t>
        </is>
      </c>
      <c r="P2361" s="31" t="inlineStr">
        <is>
          <t>SR Technics Switzerland</t>
        </is>
      </c>
    </row>
    <row r="2362">
      <c r="B2362" s="31" t="inlineStr">
        <is>
          <t>CFM56-5B</t>
        </is>
      </c>
      <c r="C2362" s="31" t="inlineStr">
        <is>
          <t>2025-2026</t>
        </is>
      </c>
      <c r="D2362" s="31" t="inlineStr">
        <is>
          <t>672828</t>
        </is>
      </c>
      <c r="E2362" s="31" t="inlineStr">
        <is>
          <t>72-56-01</t>
        </is>
      </c>
      <c r="F2362" s="31" t="inlineStr">
        <is>
          <t>AD</t>
        </is>
      </c>
      <c r="G2362" s="31" t="inlineStr">
        <is>
          <t>LPT</t>
        </is>
      </c>
      <c r="H2362" s="27" t="n">
        <v>1315</v>
      </c>
      <c r="I2362" s="27" t="n">
        <v>1395</v>
      </c>
      <c r="J2362" s="154">
        <f>I2362/H2362-1</f>
        <v/>
      </c>
      <c r="K2362" s="31" t="inlineStr">
        <is>
          <t>27</t>
        </is>
      </c>
      <c r="L2362" s="31" t="inlineStr">
        <is>
          <t>28</t>
        </is>
      </c>
      <c r="M2362" s="31" t="inlineStr">
        <is>
          <t>S2</t>
        </is>
      </c>
      <c r="N2362" s="31" t="inlineStr">
        <is>
          <t>S4</t>
        </is>
      </c>
      <c r="O2362" s="31" t="inlineStr">
        <is>
          <t>336-031-631-0</t>
        </is>
      </c>
      <c r="P2362" s="31" t="inlineStr">
        <is>
          <t>SR Technics Switzerland</t>
        </is>
      </c>
    </row>
    <row r="2363">
      <c r="B2363" s="31" t="inlineStr">
        <is>
          <t>CFM56-5B</t>
        </is>
      </c>
      <c r="C2363" s="31" t="inlineStr">
        <is>
          <t>2025-2026</t>
        </is>
      </c>
      <c r="D2363" s="31" t="inlineStr">
        <is>
          <t>672828</t>
        </is>
      </c>
      <c r="E2363" s="31" t="inlineStr">
        <is>
          <t>72-56-01</t>
        </is>
      </c>
      <c r="F2363" s="31" t="inlineStr">
        <is>
          <t>AE</t>
        </is>
      </c>
      <c r="G2363" s="31" t="inlineStr">
        <is>
          <t>LPT</t>
        </is>
      </c>
      <c r="H2363" s="27" t="n">
        <v>3340</v>
      </c>
      <c r="I2363" s="27" t="n">
        <v>3545</v>
      </c>
      <c r="J2363" s="154">
        <f>I2363/H2363-1</f>
        <v/>
      </c>
      <c r="K2363" s="31" t="inlineStr">
        <is>
          <t>27</t>
        </is>
      </c>
      <c r="L2363" s="31" t="inlineStr">
        <is>
          <t>28</t>
        </is>
      </c>
      <c r="M2363" s="31" t="inlineStr">
        <is>
          <t>S2</t>
        </is>
      </c>
      <c r="N2363" s="31" t="inlineStr">
        <is>
          <t>S4</t>
        </is>
      </c>
      <c r="O2363" s="31" t="inlineStr">
        <is>
          <t>336-031-631-0</t>
        </is>
      </c>
      <c r="P2363" s="31" t="inlineStr">
        <is>
          <t>SR Technics Switzerland</t>
        </is>
      </c>
    </row>
    <row r="2364">
      <c r="B2364" s="31" t="inlineStr">
        <is>
          <t>CFM56-5B</t>
        </is>
      </c>
      <c r="C2364" s="31" t="inlineStr">
        <is>
          <t>2025-2026</t>
        </is>
      </c>
      <c r="D2364" s="31" t="inlineStr">
        <is>
          <t>672828</t>
        </is>
      </c>
      <c r="E2364" s="31" t="inlineStr">
        <is>
          <t>72-56-01</t>
        </is>
      </c>
      <c r="F2364" s="31" t="inlineStr">
        <is>
          <t>AI</t>
        </is>
      </c>
      <c r="G2364" s="31" t="inlineStr">
        <is>
          <t>LPT</t>
        </is>
      </c>
      <c r="H2364" s="27" t="n">
        <v>1305</v>
      </c>
      <c r="I2364" s="27" t="n">
        <v>1385</v>
      </c>
      <c r="J2364" s="154">
        <f>I2364/H2364-1</f>
        <v/>
      </c>
      <c r="K2364" s="31" t="inlineStr">
        <is>
          <t>27</t>
        </is>
      </c>
      <c r="L2364" s="31" t="inlineStr">
        <is>
          <t>28</t>
        </is>
      </c>
      <c r="M2364" s="31" t="inlineStr">
        <is>
          <t>S2</t>
        </is>
      </c>
      <c r="N2364" s="31" t="inlineStr">
        <is>
          <t>S4</t>
        </is>
      </c>
      <c r="O2364" s="31" t="inlineStr">
        <is>
          <t>336-031-631-0</t>
        </is>
      </c>
      <c r="P2364" s="31" t="inlineStr">
        <is>
          <t>SR Technics Switzerland</t>
        </is>
      </c>
    </row>
    <row r="2365">
      <c r="B2365" s="31" t="inlineStr">
        <is>
          <t>CFM56-5B</t>
        </is>
      </c>
      <c r="C2365" s="31" t="inlineStr">
        <is>
          <t>2025-2026</t>
        </is>
      </c>
      <c r="D2365" s="31" t="inlineStr">
        <is>
          <t>672828</t>
        </is>
      </c>
      <c r="E2365" s="31" t="inlineStr">
        <is>
          <t>72-56-01</t>
        </is>
      </c>
      <c r="F2365" s="31" t="inlineStr">
        <is>
          <t>AJ</t>
        </is>
      </c>
      <c r="G2365" s="31" t="inlineStr">
        <is>
          <t>LPT</t>
        </is>
      </c>
      <c r="H2365" s="27" t="n">
        <v>640</v>
      </c>
      <c r="I2365" s="27" t="n">
        <v>680</v>
      </c>
      <c r="J2365" s="154">
        <f>I2365/H2365-1</f>
        <v/>
      </c>
      <c r="K2365" s="31" t="inlineStr">
        <is>
          <t>27</t>
        </is>
      </c>
      <c r="L2365" s="31" t="inlineStr">
        <is>
          <t>28</t>
        </is>
      </c>
      <c r="M2365" s="31" t="inlineStr">
        <is>
          <t>S2</t>
        </is>
      </c>
      <c r="N2365" s="31" t="inlineStr">
        <is>
          <t>S4</t>
        </is>
      </c>
      <c r="O2365" s="31" t="inlineStr">
        <is>
          <t>336-031-631-0</t>
        </is>
      </c>
      <c r="P2365" s="31" t="inlineStr">
        <is>
          <t>SR Technics Switzerland</t>
        </is>
      </c>
    </row>
    <row r="2366">
      <c r="B2366" s="31" t="inlineStr">
        <is>
          <t>CFM56-5B</t>
        </is>
      </c>
      <c r="C2366" s="31" t="inlineStr">
        <is>
          <t>2025-2026</t>
        </is>
      </c>
      <c r="D2366" s="31" t="inlineStr">
        <is>
          <t>672828</t>
        </is>
      </c>
      <c r="E2366" s="31" t="inlineStr">
        <is>
          <t>72-56-01</t>
        </is>
      </c>
      <c r="F2366" s="31" t="inlineStr">
        <is>
          <t>AN</t>
        </is>
      </c>
      <c r="G2366" s="31" t="inlineStr">
        <is>
          <t>LPT</t>
        </is>
      </c>
      <c r="H2366" s="27" t="n">
        <v>2160</v>
      </c>
      <c r="I2366" s="27" t="n">
        <v>2290</v>
      </c>
      <c r="J2366" s="154">
        <f>I2366/H2366-1</f>
        <v/>
      </c>
      <c r="K2366" s="31" t="inlineStr">
        <is>
          <t>27</t>
        </is>
      </c>
      <c r="L2366" s="31" t="inlineStr">
        <is>
          <t>28</t>
        </is>
      </c>
      <c r="M2366" s="31" t="inlineStr">
        <is>
          <t>S2</t>
        </is>
      </c>
      <c r="N2366" s="31" t="inlineStr">
        <is>
          <t>S4</t>
        </is>
      </c>
      <c r="O2366" s="31" t="inlineStr">
        <is>
          <t>336-031-631-0</t>
        </is>
      </c>
      <c r="P2366" s="31" t="inlineStr">
        <is>
          <t>SR Technics Switzerland</t>
        </is>
      </c>
    </row>
    <row r="2367">
      <c r="B2367" s="31" t="inlineStr">
        <is>
          <t>CFM56-5B</t>
        </is>
      </c>
      <c r="C2367" s="31" t="inlineStr">
        <is>
          <t>2025-2026</t>
        </is>
      </c>
      <c r="D2367" s="31" t="inlineStr">
        <is>
          <t>672828</t>
        </is>
      </c>
      <c r="E2367" s="31" t="inlineStr">
        <is>
          <t>72-56-01</t>
        </is>
      </c>
      <c r="F2367" s="31" t="inlineStr">
        <is>
          <t>B</t>
        </is>
      </c>
      <c r="G2367" s="31" t="inlineStr">
        <is>
          <t>LPT</t>
        </is>
      </c>
      <c r="H2367" s="27" t="n">
        <v>2865</v>
      </c>
      <c r="I2367" s="27" t="n">
        <v>3040</v>
      </c>
      <c r="J2367" s="154">
        <f>I2367/H2367-1</f>
        <v/>
      </c>
      <c r="K2367" s="31" t="inlineStr">
        <is>
          <t>27</t>
        </is>
      </c>
      <c r="L2367" s="31" t="inlineStr">
        <is>
          <t>28</t>
        </is>
      </c>
      <c r="M2367" s="31" t="inlineStr">
        <is>
          <t>S2</t>
        </is>
      </c>
      <c r="N2367" s="31" t="inlineStr">
        <is>
          <t>S4</t>
        </is>
      </c>
      <c r="O2367" s="31" t="inlineStr">
        <is>
          <t>336-031-631-0</t>
        </is>
      </c>
      <c r="P2367" s="31" t="inlineStr">
        <is>
          <t>SR Technics Switzerland</t>
        </is>
      </c>
    </row>
    <row r="2368">
      <c r="B2368" s="31" t="inlineStr">
        <is>
          <t>CFM56-5B</t>
        </is>
      </c>
      <c r="C2368" s="31" t="inlineStr">
        <is>
          <t>2025-2026</t>
        </is>
      </c>
      <c r="D2368" s="31" t="inlineStr">
        <is>
          <t>672828</t>
        </is>
      </c>
      <c r="E2368" s="31" t="inlineStr">
        <is>
          <t>72-56-01</t>
        </is>
      </c>
      <c r="F2368" s="31" t="inlineStr">
        <is>
          <t>C</t>
        </is>
      </c>
      <c r="G2368" s="31" t="inlineStr">
        <is>
          <t>LPT</t>
        </is>
      </c>
      <c r="H2368" s="27" t="n">
        <v>1225</v>
      </c>
      <c r="I2368" s="27" t="n">
        <v>1300</v>
      </c>
      <c r="J2368" s="154">
        <f>I2368/H2368-1</f>
        <v/>
      </c>
      <c r="K2368" s="31" t="inlineStr">
        <is>
          <t>27</t>
        </is>
      </c>
      <c r="L2368" s="31" t="inlineStr">
        <is>
          <t>28</t>
        </is>
      </c>
      <c r="M2368" s="31" t="inlineStr">
        <is>
          <t>S2</t>
        </is>
      </c>
      <c r="N2368" s="31" t="inlineStr">
        <is>
          <t>S4</t>
        </is>
      </c>
      <c r="O2368" s="31" t="inlineStr">
        <is>
          <t>336-031-631-0</t>
        </is>
      </c>
      <c r="P2368" s="31" t="inlineStr">
        <is>
          <t>SR Technics Switzerland</t>
        </is>
      </c>
    </row>
    <row r="2369">
      <c r="B2369" s="31" t="inlineStr">
        <is>
          <t>CFM56-5B</t>
        </is>
      </c>
      <c r="C2369" s="31" t="inlineStr">
        <is>
          <t>2025-2026</t>
        </is>
      </c>
      <c r="D2369" s="31" t="inlineStr">
        <is>
          <t>672828</t>
        </is>
      </c>
      <c r="E2369" s="31" t="inlineStr">
        <is>
          <t>72-56-01</t>
        </is>
      </c>
      <c r="F2369" s="31" t="inlineStr">
        <is>
          <t>D</t>
        </is>
      </c>
      <c r="G2369" s="31" t="inlineStr">
        <is>
          <t>LPT</t>
        </is>
      </c>
      <c r="H2369" s="27" t="n">
        <v>1440</v>
      </c>
      <c r="I2369" s="27" t="n">
        <v>1530</v>
      </c>
      <c r="J2369" s="154">
        <f>I2369/H2369-1</f>
        <v/>
      </c>
      <c r="K2369" s="31" t="inlineStr">
        <is>
          <t>27</t>
        </is>
      </c>
      <c r="L2369" s="31" t="inlineStr">
        <is>
          <t>28</t>
        </is>
      </c>
      <c r="M2369" s="31" t="inlineStr">
        <is>
          <t>S2</t>
        </is>
      </c>
      <c r="N2369" s="31" t="inlineStr">
        <is>
          <t>S4</t>
        </is>
      </c>
      <c r="O2369" s="31" t="inlineStr">
        <is>
          <t>336-031-631-0</t>
        </is>
      </c>
      <c r="P2369" s="31" t="inlineStr">
        <is>
          <t>SR Technics Switzerland</t>
        </is>
      </c>
    </row>
    <row r="2370">
      <c r="B2370" s="31" t="inlineStr">
        <is>
          <t>CFM56-5B</t>
        </is>
      </c>
      <c r="C2370" s="31" t="inlineStr">
        <is>
          <t>2025-2026</t>
        </is>
      </c>
      <c r="D2370" s="31" t="inlineStr">
        <is>
          <t>672828</t>
        </is>
      </c>
      <c r="E2370" s="31" t="inlineStr">
        <is>
          <t>72-56-01</t>
        </is>
      </c>
      <c r="F2370" s="31" t="inlineStr">
        <is>
          <t>H</t>
        </is>
      </c>
      <c r="G2370" s="31" t="inlineStr">
        <is>
          <t>LPT</t>
        </is>
      </c>
      <c r="H2370" s="27" t="n">
        <v>4530</v>
      </c>
      <c r="I2370" s="27" t="n">
        <v>4805</v>
      </c>
      <c r="J2370" s="154">
        <f>I2370/H2370-1</f>
        <v/>
      </c>
      <c r="K2370" s="31" t="inlineStr">
        <is>
          <t>27</t>
        </is>
      </c>
      <c r="L2370" s="31" t="inlineStr">
        <is>
          <t>28</t>
        </is>
      </c>
      <c r="M2370" s="31" t="inlineStr">
        <is>
          <t>S2</t>
        </is>
      </c>
      <c r="N2370" s="31" t="inlineStr">
        <is>
          <t>S4</t>
        </is>
      </c>
      <c r="O2370" s="31" t="inlineStr">
        <is>
          <t>336-031-631-0</t>
        </is>
      </c>
      <c r="P2370" s="31" t="inlineStr">
        <is>
          <t>SR Technics Switzerland</t>
        </is>
      </c>
    </row>
    <row r="2371">
      <c r="B2371" s="31" t="inlineStr">
        <is>
          <t>CFM56-5B</t>
        </is>
      </c>
      <c r="C2371" s="31" t="inlineStr">
        <is>
          <t>2025-2026</t>
        </is>
      </c>
      <c r="D2371" s="31" t="inlineStr">
        <is>
          <t>672828</t>
        </is>
      </c>
      <c r="E2371" s="31" t="inlineStr">
        <is>
          <t>72-56-01</t>
        </is>
      </c>
      <c r="F2371" s="31" t="inlineStr">
        <is>
          <t>J</t>
        </is>
      </c>
      <c r="G2371" s="31" t="inlineStr">
        <is>
          <t>LPT</t>
        </is>
      </c>
      <c r="H2371" s="27" t="n">
        <v>655</v>
      </c>
      <c r="I2371" s="27" t="n">
        <v>695</v>
      </c>
      <c r="J2371" s="154">
        <f>I2371/H2371-1</f>
        <v/>
      </c>
      <c r="K2371" s="31" t="inlineStr">
        <is>
          <t>27</t>
        </is>
      </c>
      <c r="L2371" s="31" t="inlineStr">
        <is>
          <t>28</t>
        </is>
      </c>
      <c r="M2371" s="31" t="inlineStr">
        <is>
          <t>S2</t>
        </is>
      </c>
      <c r="N2371" s="31" t="inlineStr">
        <is>
          <t>S4</t>
        </is>
      </c>
      <c r="O2371" s="31" t="inlineStr">
        <is>
          <t>336-031-631-0</t>
        </is>
      </c>
      <c r="P2371" s="31" t="inlineStr">
        <is>
          <t>SR Technics Switzerland</t>
        </is>
      </c>
    </row>
    <row r="2372">
      <c r="B2372" s="31" t="inlineStr">
        <is>
          <t>CFM56-5B</t>
        </is>
      </c>
      <c r="C2372" s="31" t="inlineStr">
        <is>
          <t>2025-2026</t>
        </is>
      </c>
      <c r="D2372" s="31" t="inlineStr">
        <is>
          <t>672828</t>
        </is>
      </c>
      <c r="E2372" s="31" t="inlineStr">
        <is>
          <t>72-56-01</t>
        </is>
      </c>
      <c r="F2372" s="31" t="inlineStr">
        <is>
          <t>L</t>
        </is>
      </c>
      <c r="G2372" s="31" t="inlineStr">
        <is>
          <t>LPT</t>
        </is>
      </c>
      <c r="H2372" s="27" t="n">
        <v>1620</v>
      </c>
      <c r="I2372" s="27" t="n">
        <v>1720</v>
      </c>
      <c r="J2372" s="154">
        <f>I2372/H2372-1</f>
        <v/>
      </c>
      <c r="K2372" s="31" t="inlineStr">
        <is>
          <t>27</t>
        </is>
      </c>
      <c r="L2372" s="31" t="inlineStr">
        <is>
          <t>28</t>
        </is>
      </c>
      <c r="M2372" s="31" t="inlineStr">
        <is>
          <t>S2</t>
        </is>
      </c>
      <c r="N2372" s="31" t="inlineStr">
        <is>
          <t>S4</t>
        </is>
      </c>
      <c r="O2372" s="31" t="inlineStr">
        <is>
          <t>336-031-631-0</t>
        </is>
      </c>
      <c r="P2372" s="31" t="inlineStr">
        <is>
          <t>SR Technics Switzerland</t>
        </is>
      </c>
    </row>
    <row r="2373">
      <c r="B2373" s="31" t="inlineStr">
        <is>
          <t>CFM56-5B</t>
        </is>
      </c>
      <c r="C2373" s="31" t="inlineStr">
        <is>
          <t>2025-2026</t>
        </is>
      </c>
      <c r="D2373" s="31" t="inlineStr">
        <is>
          <t>672828</t>
        </is>
      </c>
      <c r="E2373" s="31" t="inlineStr">
        <is>
          <t>72-56-01</t>
        </is>
      </c>
      <c r="F2373" s="31" t="inlineStr">
        <is>
          <t>M</t>
        </is>
      </c>
      <c r="G2373" s="31" t="inlineStr">
        <is>
          <t>LPT</t>
        </is>
      </c>
      <c r="H2373" s="27" t="n">
        <v>1730</v>
      </c>
      <c r="I2373" s="27" t="n">
        <v>1835</v>
      </c>
      <c r="J2373" s="154">
        <f>I2373/H2373-1</f>
        <v/>
      </c>
      <c r="K2373" s="31" t="inlineStr">
        <is>
          <t>27</t>
        </is>
      </c>
      <c r="L2373" s="31" t="inlineStr">
        <is>
          <t>28</t>
        </is>
      </c>
      <c r="M2373" s="31" t="inlineStr">
        <is>
          <t>S2</t>
        </is>
      </c>
      <c r="N2373" s="31" t="inlineStr">
        <is>
          <t>S4</t>
        </is>
      </c>
      <c r="O2373" s="31" t="inlineStr">
        <is>
          <t>336-031-631-0</t>
        </is>
      </c>
      <c r="P2373" s="31" t="inlineStr">
        <is>
          <t>SR Technics Switzerland</t>
        </is>
      </c>
    </row>
    <row r="2374">
      <c r="B2374" s="31" t="inlineStr">
        <is>
          <t>CFM56-5B</t>
        </is>
      </c>
      <c r="C2374" s="31" t="inlineStr">
        <is>
          <t>2025-2026</t>
        </is>
      </c>
      <c r="D2374" s="31" t="inlineStr">
        <is>
          <t>672828</t>
        </is>
      </c>
      <c r="E2374" s="31" t="inlineStr">
        <is>
          <t>72-56-01</t>
        </is>
      </c>
      <c r="F2374" s="31" t="inlineStr">
        <is>
          <t>P</t>
        </is>
      </c>
      <c r="G2374" s="31" t="inlineStr">
        <is>
          <t>LPT</t>
        </is>
      </c>
      <c r="H2374" s="27" t="n">
        <v>3810</v>
      </c>
      <c r="I2374" s="27" t="n">
        <v>4040</v>
      </c>
      <c r="J2374" s="154">
        <f>I2374/H2374-1</f>
        <v/>
      </c>
      <c r="K2374" s="31" t="inlineStr">
        <is>
          <t>27</t>
        </is>
      </c>
      <c r="L2374" s="31" t="inlineStr">
        <is>
          <t>28</t>
        </is>
      </c>
      <c r="M2374" s="31" t="inlineStr">
        <is>
          <t>S2</t>
        </is>
      </c>
      <c r="N2374" s="31" t="inlineStr">
        <is>
          <t>S4</t>
        </is>
      </c>
      <c r="O2374" s="31" t="inlineStr">
        <is>
          <t>336-031-631-0</t>
        </is>
      </c>
      <c r="P2374" s="31" t="inlineStr">
        <is>
          <t>SR Technics Switzerland</t>
        </is>
      </c>
    </row>
    <row r="2375">
      <c r="B2375" s="31" t="inlineStr">
        <is>
          <t>CFM56-5B</t>
        </is>
      </c>
      <c r="C2375" s="31" t="inlineStr">
        <is>
          <t>2025-2026</t>
        </is>
      </c>
      <c r="D2375" s="31" t="inlineStr">
        <is>
          <t>672828</t>
        </is>
      </c>
      <c r="E2375" s="31" t="inlineStr">
        <is>
          <t>72-56-01</t>
        </is>
      </c>
      <c r="F2375" s="31" t="inlineStr">
        <is>
          <t>Q</t>
        </is>
      </c>
      <c r="G2375" s="31" t="inlineStr">
        <is>
          <t>LPT</t>
        </is>
      </c>
      <c r="H2375" s="27" t="n">
        <v>5575</v>
      </c>
      <c r="I2375" s="27" t="n">
        <v>5910</v>
      </c>
      <c r="J2375" s="154">
        <f>I2375/H2375-1</f>
        <v/>
      </c>
      <c r="K2375" s="31" t="inlineStr">
        <is>
          <t>27</t>
        </is>
      </c>
      <c r="L2375" s="31" t="inlineStr">
        <is>
          <t>28</t>
        </is>
      </c>
      <c r="M2375" s="31" t="inlineStr">
        <is>
          <t>S2</t>
        </is>
      </c>
      <c r="N2375" s="31" t="inlineStr">
        <is>
          <t>S4</t>
        </is>
      </c>
      <c r="O2375" s="31" t="inlineStr">
        <is>
          <t>336-031-631-0</t>
        </is>
      </c>
      <c r="P2375" s="31" t="inlineStr">
        <is>
          <t>SR Technics Switzerland</t>
        </is>
      </c>
    </row>
    <row r="2376">
      <c r="B2376" s="31" t="inlineStr">
        <is>
          <t>CFM56-5B</t>
        </is>
      </c>
      <c r="C2376" s="31" t="inlineStr">
        <is>
          <t>2025-2026</t>
        </is>
      </c>
      <c r="D2376" s="31" t="inlineStr">
        <is>
          <t>672828</t>
        </is>
      </c>
      <c r="E2376" s="31" t="inlineStr">
        <is>
          <t>72-56-01</t>
        </is>
      </c>
      <c r="F2376" s="31" t="inlineStr">
        <is>
          <t>R</t>
        </is>
      </c>
      <c r="G2376" s="31" t="inlineStr">
        <is>
          <t>LPT</t>
        </is>
      </c>
      <c r="H2376" s="27" t="n">
        <v>1955</v>
      </c>
      <c r="I2376" s="27" t="n">
        <v>2075</v>
      </c>
      <c r="J2376" s="154">
        <f>I2376/H2376-1</f>
        <v/>
      </c>
      <c r="K2376" s="31" t="inlineStr">
        <is>
          <t>27</t>
        </is>
      </c>
      <c r="L2376" s="31" t="inlineStr">
        <is>
          <t>28</t>
        </is>
      </c>
      <c r="M2376" s="31" t="inlineStr">
        <is>
          <t>S2</t>
        </is>
      </c>
      <c r="N2376" s="31" t="inlineStr">
        <is>
          <t>S4</t>
        </is>
      </c>
      <c r="O2376" s="31" t="inlineStr">
        <is>
          <t>336-031-631-0</t>
        </is>
      </c>
      <c r="P2376" s="31" t="inlineStr">
        <is>
          <t>SR Technics Switzerland</t>
        </is>
      </c>
    </row>
    <row r="2377">
      <c r="B2377" s="31" t="inlineStr">
        <is>
          <t>CFM56-5B</t>
        </is>
      </c>
      <c r="C2377" s="31" t="inlineStr">
        <is>
          <t>2025-2026</t>
        </is>
      </c>
      <c r="D2377" s="31" t="inlineStr">
        <is>
          <t>672828</t>
        </is>
      </c>
      <c r="E2377" s="31" t="inlineStr">
        <is>
          <t>72-56-01</t>
        </is>
      </c>
      <c r="F2377" s="31" t="inlineStr">
        <is>
          <t>SB02</t>
        </is>
      </c>
      <c r="G2377" s="31" t="inlineStr">
        <is>
          <t>LPT</t>
        </is>
      </c>
      <c r="H2377" s="27" t="n">
        <v>930</v>
      </c>
      <c r="I2377" s="27" t="n">
        <v>990</v>
      </c>
      <c r="J2377" s="154">
        <f>I2377/H2377-1</f>
        <v/>
      </c>
      <c r="K2377" s="31" t="inlineStr">
        <is>
          <t>27</t>
        </is>
      </c>
      <c r="L2377" s="31" t="inlineStr">
        <is>
          <t>28</t>
        </is>
      </c>
      <c r="M2377" s="31" t="inlineStr">
        <is>
          <t>S2</t>
        </is>
      </c>
      <c r="N2377" s="31" t="inlineStr">
        <is>
          <t>S4</t>
        </is>
      </c>
      <c r="O2377" s="31" t="inlineStr">
        <is>
          <t>336-031-631-0</t>
        </is>
      </c>
      <c r="P2377" s="31" t="inlineStr">
        <is>
          <t>SR Technics Switzerland</t>
        </is>
      </c>
    </row>
    <row r="2378">
      <c r="B2378" s="31" t="inlineStr">
        <is>
          <t>CFM56-5B</t>
        </is>
      </c>
      <c r="C2378" s="31" t="inlineStr">
        <is>
          <t>2025-2026</t>
        </is>
      </c>
      <c r="D2378" s="31" t="inlineStr">
        <is>
          <t>672828</t>
        </is>
      </c>
      <c r="E2378" s="31" t="inlineStr">
        <is>
          <t>72-56-01</t>
        </is>
      </c>
      <c r="F2378" s="31" t="inlineStr">
        <is>
          <t>SB03</t>
        </is>
      </c>
      <c r="G2378" s="31" t="inlineStr">
        <is>
          <t>LPT</t>
        </is>
      </c>
      <c r="H2378" s="27" t="n">
        <v>890</v>
      </c>
      <c r="I2378" s="27" t="n">
        <v>945</v>
      </c>
      <c r="J2378" s="154">
        <f>I2378/H2378-1</f>
        <v/>
      </c>
      <c r="K2378" s="31" t="inlineStr">
        <is>
          <t>27</t>
        </is>
      </c>
      <c r="L2378" s="31" t="inlineStr">
        <is>
          <t>28</t>
        </is>
      </c>
      <c r="M2378" s="31" t="inlineStr">
        <is>
          <t>S2</t>
        </is>
      </c>
      <c r="N2378" s="31" t="inlineStr">
        <is>
          <t>S4</t>
        </is>
      </c>
      <c r="O2378" s="31" t="inlineStr">
        <is>
          <t>336-031-631-0</t>
        </is>
      </c>
      <c r="P2378" s="31" t="inlineStr">
        <is>
          <t>SR Technics Switzerland</t>
        </is>
      </c>
    </row>
    <row r="2379">
      <c r="B2379" s="31" t="inlineStr">
        <is>
          <t>CFM56-5B</t>
        </is>
      </c>
      <c r="C2379" s="31" t="inlineStr">
        <is>
          <t>2025-2026</t>
        </is>
      </c>
      <c r="D2379" s="31" t="inlineStr">
        <is>
          <t>672828</t>
        </is>
      </c>
      <c r="E2379" s="31" t="inlineStr">
        <is>
          <t>72-56-01</t>
        </is>
      </c>
      <c r="F2379" s="31" t="inlineStr">
        <is>
          <t>SB04</t>
        </is>
      </c>
      <c r="G2379" s="31" t="inlineStr">
        <is>
          <t>LPT</t>
        </is>
      </c>
      <c r="H2379" s="27" t="n">
        <v>1015</v>
      </c>
      <c r="I2379" s="27" t="n">
        <v>1080</v>
      </c>
      <c r="J2379" s="154">
        <f>I2379/H2379-1</f>
        <v/>
      </c>
      <c r="K2379" s="31" t="inlineStr">
        <is>
          <t>27</t>
        </is>
      </c>
      <c r="L2379" s="31" t="inlineStr">
        <is>
          <t>28</t>
        </is>
      </c>
      <c r="M2379" s="31" t="inlineStr">
        <is>
          <t>S2</t>
        </is>
      </c>
      <c r="N2379" s="31" t="inlineStr">
        <is>
          <t>S4</t>
        </is>
      </c>
      <c r="O2379" s="31" t="inlineStr">
        <is>
          <t>336-031-631-0</t>
        </is>
      </c>
      <c r="P2379" s="31" t="inlineStr">
        <is>
          <t>SR Technics Switzerland</t>
        </is>
      </c>
    </row>
    <row r="2380">
      <c r="B2380" s="31" t="inlineStr">
        <is>
          <t>CFM56-5B</t>
        </is>
      </c>
      <c r="C2380" s="31" t="inlineStr">
        <is>
          <t>2025-2026</t>
        </is>
      </c>
      <c r="D2380" s="31" t="inlineStr">
        <is>
          <t>672828</t>
        </is>
      </c>
      <c r="E2380" s="31" t="inlineStr">
        <is>
          <t>72-56-01</t>
        </is>
      </c>
      <c r="F2380" s="31" t="inlineStr">
        <is>
          <t>SB05</t>
        </is>
      </c>
      <c r="G2380" s="31" t="inlineStr">
        <is>
          <t>LPT</t>
        </is>
      </c>
      <c r="H2380" s="27" t="n">
        <v>1470</v>
      </c>
      <c r="I2380" s="27" t="n">
        <v>1560</v>
      </c>
      <c r="J2380" s="154">
        <f>I2380/H2380-1</f>
        <v/>
      </c>
      <c r="K2380" s="31" t="inlineStr">
        <is>
          <t>27</t>
        </is>
      </c>
      <c r="L2380" s="31" t="inlineStr">
        <is>
          <t>28</t>
        </is>
      </c>
      <c r="M2380" s="31" t="inlineStr">
        <is>
          <t>S2</t>
        </is>
      </c>
      <c r="N2380" s="31" t="inlineStr">
        <is>
          <t>S4</t>
        </is>
      </c>
      <c r="O2380" s="31" t="inlineStr">
        <is>
          <t>336-031-631-0</t>
        </is>
      </c>
      <c r="P2380" s="31" t="inlineStr">
        <is>
          <t>SR Technics Switzerland</t>
        </is>
      </c>
    </row>
    <row r="2381">
      <c r="B2381" s="31" t="inlineStr">
        <is>
          <t>CFM56-5B</t>
        </is>
      </c>
      <c r="C2381" s="31" t="inlineStr">
        <is>
          <t>2025-2026</t>
        </is>
      </c>
      <c r="D2381" s="31" t="inlineStr">
        <is>
          <t>672828</t>
        </is>
      </c>
      <c r="E2381" s="31" t="inlineStr">
        <is>
          <t>72-56-01</t>
        </is>
      </c>
      <c r="F2381" s="31" t="inlineStr">
        <is>
          <t>SB06</t>
        </is>
      </c>
      <c r="G2381" s="31" t="inlineStr">
        <is>
          <t>LPT</t>
        </is>
      </c>
      <c r="H2381" s="27" t="n">
        <v>1265</v>
      </c>
      <c r="I2381" s="27" t="n">
        <v>1345</v>
      </c>
      <c r="J2381" s="154">
        <f>I2381/H2381-1</f>
        <v/>
      </c>
      <c r="K2381" s="31" t="inlineStr">
        <is>
          <t>27</t>
        </is>
      </c>
      <c r="L2381" s="31" t="inlineStr">
        <is>
          <t>28</t>
        </is>
      </c>
      <c r="M2381" s="31" t="inlineStr">
        <is>
          <t>S2</t>
        </is>
      </c>
      <c r="N2381" s="31" t="inlineStr">
        <is>
          <t>S4</t>
        </is>
      </c>
      <c r="O2381" s="31" t="inlineStr">
        <is>
          <t>336-031-631-0</t>
        </is>
      </c>
      <c r="P2381" s="31" t="inlineStr">
        <is>
          <t>SR Technics Switzerland</t>
        </is>
      </c>
    </row>
    <row r="2382">
      <c r="B2382" s="31" t="inlineStr">
        <is>
          <t>CFM56-5B</t>
        </is>
      </c>
      <c r="C2382" s="31" t="inlineStr">
        <is>
          <t>2025-2026</t>
        </is>
      </c>
      <c r="D2382" s="31" t="inlineStr">
        <is>
          <t>672828</t>
        </is>
      </c>
      <c r="E2382" s="31" t="inlineStr">
        <is>
          <t>72-56-01</t>
        </is>
      </c>
      <c r="F2382" s="31" t="inlineStr">
        <is>
          <t>SB10</t>
        </is>
      </c>
      <c r="G2382" s="31" t="inlineStr">
        <is>
          <t>LPT</t>
        </is>
      </c>
      <c r="H2382" s="27" t="n">
        <v>1470</v>
      </c>
      <c r="I2382" s="27" t="n">
        <v>1560</v>
      </c>
      <c r="J2382" s="154">
        <f>I2382/H2382-1</f>
        <v/>
      </c>
      <c r="K2382" s="31" t="inlineStr">
        <is>
          <t>27, 28</t>
        </is>
      </c>
      <c r="L2382" s="31" t="inlineStr">
        <is>
          <t>28</t>
        </is>
      </c>
      <c r="M2382" s="31" t="inlineStr">
        <is>
          <t>S2</t>
        </is>
      </c>
      <c r="N2382" s="31" t="inlineStr">
        <is>
          <t>S4</t>
        </is>
      </c>
      <c r="O2382" s="31" t="inlineStr">
        <is>
          <t>336-031-631-0</t>
        </is>
      </c>
      <c r="P2382" s="31" t="inlineStr">
        <is>
          <t>SR Technics Switzerland</t>
        </is>
      </c>
    </row>
    <row r="2383">
      <c r="B2383" s="31" t="inlineStr">
        <is>
          <t>CFM56-5B</t>
        </is>
      </c>
      <c r="C2383" s="31" t="inlineStr">
        <is>
          <t>2025-2026</t>
        </is>
      </c>
      <c r="D2383" s="31" t="inlineStr">
        <is>
          <t>672828</t>
        </is>
      </c>
      <c r="E2383" s="31" t="inlineStr">
        <is>
          <t>72-56-01</t>
        </is>
      </c>
      <c r="F2383" s="31" t="inlineStr">
        <is>
          <t>SB13</t>
        </is>
      </c>
      <c r="G2383" s="31" t="inlineStr">
        <is>
          <t>LPT</t>
        </is>
      </c>
      <c r="H2383" s="27" t="n">
        <v>1470</v>
      </c>
      <c r="I2383" s="27" t="n">
        <v>1560</v>
      </c>
      <c r="J2383" s="154">
        <f>I2383/H2383-1</f>
        <v/>
      </c>
      <c r="K2383" s="31" t="inlineStr">
        <is>
          <t>28</t>
        </is>
      </c>
      <c r="L2383" s="31" t="inlineStr">
        <is>
          <t>28</t>
        </is>
      </c>
      <c r="M2383" s="31" t="inlineStr">
        <is>
          <t>S2</t>
        </is>
      </c>
      <c r="N2383" s="31" t="inlineStr">
        <is>
          <t>S4</t>
        </is>
      </c>
      <c r="O2383" s="31" t="inlineStr">
        <is>
          <t>336-031-631-0</t>
        </is>
      </c>
      <c r="P2383" s="31" t="inlineStr">
        <is>
          <t>SR Technics Switzerland</t>
        </is>
      </c>
    </row>
    <row r="2384">
      <c r="B2384" s="31" t="inlineStr">
        <is>
          <t>CFM56-5B</t>
        </is>
      </c>
      <c r="C2384" s="31" t="inlineStr">
        <is>
          <t>2025-2026</t>
        </is>
      </c>
      <c r="D2384" s="31" t="inlineStr">
        <is>
          <t>672828</t>
        </is>
      </c>
      <c r="E2384" s="31" t="inlineStr">
        <is>
          <t>72-56-01</t>
        </is>
      </c>
      <c r="F2384" s="31" t="inlineStr">
        <is>
          <t>SB14</t>
        </is>
      </c>
      <c r="G2384" s="31" t="inlineStr">
        <is>
          <t>LPT</t>
        </is>
      </c>
      <c r="H2384" s="27" t="n">
        <v>845</v>
      </c>
      <c r="I2384" s="27" t="n">
        <v>900</v>
      </c>
      <c r="J2384" s="154">
        <f>I2384/H2384-1</f>
        <v/>
      </c>
      <c r="K2384" s="31" t="inlineStr">
        <is>
          <t>28</t>
        </is>
      </c>
      <c r="L2384" s="31" t="inlineStr">
        <is>
          <t>28</t>
        </is>
      </c>
      <c r="M2384" s="31" t="inlineStr">
        <is>
          <t>S2</t>
        </is>
      </c>
      <c r="N2384" s="31" t="inlineStr">
        <is>
          <t>S4</t>
        </is>
      </c>
      <c r="O2384" s="31" t="inlineStr">
        <is>
          <t>336-031-631-0</t>
        </is>
      </c>
      <c r="P2384" s="31" t="inlineStr">
        <is>
          <t>SR Technics Switzerland</t>
        </is>
      </c>
    </row>
    <row r="2385">
      <c r="B2385" s="31" t="inlineStr">
        <is>
          <t>CFM56-5B</t>
        </is>
      </c>
      <c r="C2385" s="31" t="inlineStr">
        <is>
          <t>2025-2026</t>
        </is>
      </c>
      <c r="D2385" s="31" t="inlineStr">
        <is>
          <t>672828</t>
        </is>
      </c>
      <c r="E2385" s="31" t="inlineStr">
        <is>
          <t>72-56-01</t>
        </is>
      </c>
      <c r="F2385" s="31" t="inlineStr">
        <is>
          <t>SB17</t>
        </is>
      </c>
      <c r="G2385" s="31" t="inlineStr">
        <is>
          <t>LPT</t>
        </is>
      </c>
      <c r="H2385" s="27" t="n">
        <v>845</v>
      </c>
      <c r="I2385" s="27" t="n">
        <v>900</v>
      </c>
      <c r="J2385" s="154">
        <f>I2385/H2385-1</f>
        <v/>
      </c>
      <c r="K2385" s="31" t="inlineStr">
        <is>
          <t>28</t>
        </is>
      </c>
      <c r="L2385" s="31" t="inlineStr">
        <is>
          <t>28</t>
        </is>
      </c>
      <c r="M2385" s="31" t="inlineStr">
        <is>
          <t>S2</t>
        </is>
      </c>
      <c r="N2385" s="31" t="inlineStr">
        <is>
          <t>S4</t>
        </is>
      </c>
      <c r="O2385" s="31" t="inlineStr">
        <is>
          <t>336-031-631-0</t>
        </is>
      </c>
      <c r="P2385" s="31" t="inlineStr">
        <is>
          <t>SR Technics Switzerland</t>
        </is>
      </c>
    </row>
    <row r="2386">
      <c r="B2386" s="31" t="inlineStr">
        <is>
          <t>CFM56-5B</t>
        </is>
      </c>
      <c r="C2386" s="31" t="inlineStr">
        <is>
          <t>2025-2026</t>
        </is>
      </c>
      <c r="D2386" s="31" t="inlineStr">
        <is>
          <t>672828</t>
        </is>
      </c>
      <c r="E2386" s="31" t="inlineStr">
        <is>
          <t>72-56-01</t>
        </is>
      </c>
      <c r="F2386" s="31" t="inlineStr">
        <is>
          <t>SB18</t>
        </is>
      </c>
      <c r="G2386" s="31" t="inlineStr">
        <is>
          <t>LPT</t>
        </is>
      </c>
      <c r="H2386" s="27" t="n">
        <v>1445</v>
      </c>
      <c r="I2386" s="27" t="n">
        <v>1535</v>
      </c>
      <c r="J2386" s="154">
        <f>I2386/H2386-1</f>
        <v/>
      </c>
      <c r="K2386" s="31" t="inlineStr">
        <is>
          <t>28</t>
        </is>
      </c>
      <c r="L2386" s="31" t="inlineStr">
        <is>
          <t>28</t>
        </is>
      </c>
      <c r="M2386" s="31" t="inlineStr">
        <is>
          <t>S2</t>
        </is>
      </c>
      <c r="N2386" s="31" t="inlineStr">
        <is>
          <t>S4</t>
        </is>
      </c>
      <c r="O2386" s="31" t="inlineStr">
        <is>
          <t>336-031-631-0</t>
        </is>
      </c>
      <c r="P2386" s="31" t="inlineStr">
        <is>
          <t>SR Technics Switzerland</t>
        </is>
      </c>
    </row>
    <row r="2387">
      <c r="B2387" s="31" t="inlineStr">
        <is>
          <t>CFM56-5B</t>
        </is>
      </c>
      <c r="C2387" s="31" t="inlineStr">
        <is>
          <t>2025-2026</t>
        </is>
      </c>
      <c r="D2387" s="31" t="inlineStr">
        <is>
          <t>672828</t>
        </is>
      </c>
      <c r="E2387" s="31" t="inlineStr">
        <is>
          <t>72-56-01</t>
        </is>
      </c>
      <c r="F2387" s="31" t="inlineStr">
        <is>
          <t>SB19</t>
        </is>
      </c>
      <c r="G2387" s="31" t="inlineStr">
        <is>
          <t>LPT</t>
        </is>
      </c>
      <c r="H2387" s="27" t="n">
        <v>735</v>
      </c>
      <c r="I2387" s="27" t="n">
        <v>780</v>
      </c>
      <c r="J2387" s="154">
        <f>I2387/H2387-1</f>
        <v/>
      </c>
      <c r="K2387" s="31" t="inlineStr">
        <is>
          <t>28</t>
        </is>
      </c>
      <c r="L2387" s="31" t="inlineStr">
        <is>
          <t>28</t>
        </is>
      </c>
      <c r="M2387" s="31" t="inlineStr">
        <is>
          <t>S2</t>
        </is>
      </c>
      <c r="N2387" s="31" t="inlineStr">
        <is>
          <t>S4</t>
        </is>
      </c>
      <c r="O2387" s="31" t="inlineStr">
        <is>
          <t>336-031-631-0</t>
        </is>
      </c>
      <c r="P2387" s="31" t="inlineStr">
        <is>
          <t>SR Technics Switzerland</t>
        </is>
      </c>
    </row>
    <row r="2388">
      <c r="B2388" s="31" t="inlineStr">
        <is>
          <t>CFM56-5B</t>
        </is>
      </c>
      <c r="C2388" s="31" t="inlineStr">
        <is>
          <t>2025-2026</t>
        </is>
      </c>
      <c r="D2388" s="31" t="inlineStr">
        <is>
          <t>672828</t>
        </is>
      </c>
      <c r="E2388" s="31" t="inlineStr">
        <is>
          <t>72-56-01</t>
        </is>
      </c>
      <c r="F2388" s="31" t="inlineStr">
        <is>
          <t>SB20</t>
        </is>
      </c>
      <c r="G2388" s="31" t="inlineStr">
        <is>
          <t>LPT</t>
        </is>
      </c>
      <c r="H2388" s="27" t="n">
        <v>715</v>
      </c>
      <c r="I2388" s="27" t="n">
        <v>760</v>
      </c>
      <c r="J2388" s="154">
        <f>I2388/H2388-1</f>
        <v/>
      </c>
      <c r="K2388" s="31" t="inlineStr">
        <is>
          <t>28</t>
        </is>
      </c>
      <c r="L2388" s="31" t="inlineStr">
        <is>
          <t>28</t>
        </is>
      </c>
      <c r="M2388" s="31" t="inlineStr">
        <is>
          <t>S2</t>
        </is>
      </c>
      <c r="N2388" s="31" t="inlineStr">
        <is>
          <t>S4</t>
        </is>
      </c>
      <c r="O2388" s="31" t="inlineStr">
        <is>
          <t>336-031-631-0</t>
        </is>
      </c>
      <c r="P2388" s="31" t="inlineStr">
        <is>
          <t>SR Technics Switzerland</t>
        </is>
      </c>
    </row>
    <row r="2389">
      <c r="B2389" s="31" t="inlineStr">
        <is>
          <t>CFM56-5B</t>
        </is>
      </c>
      <c r="C2389" s="31" t="inlineStr">
        <is>
          <t>2025-2026</t>
        </is>
      </c>
      <c r="D2389" s="31" t="inlineStr">
        <is>
          <t>672828</t>
        </is>
      </c>
      <c r="E2389" s="31" t="inlineStr">
        <is>
          <t>72-56-01</t>
        </is>
      </c>
      <c r="F2389" s="31" t="inlineStr">
        <is>
          <t>U</t>
        </is>
      </c>
      <c r="G2389" s="31" t="inlineStr">
        <is>
          <t>LPT</t>
        </is>
      </c>
      <c r="H2389" s="27" t="n">
        <v>5965</v>
      </c>
      <c r="I2389" s="27" t="n">
        <v>6325</v>
      </c>
      <c r="J2389" s="154">
        <f>I2389/H2389-1</f>
        <v/>
      </c>
      <c r="K2389" s="31" t="inlineStr">
        <is>
          <t>28</t>
        </is>
      </c>
      <c r="L2389" s="31" t="inlineStr">
        <is>
          <t>28</t>
        </is>
      </c>
      <c r="M2389" s="31" t="inlineStr">
        <is>
          <t>S2</t>
        </is>
      </c>
      <c r="N2389" s="31" t="inlineStr">
        <is>
          <t>S4</t>
        </is>
      </c>
      <c r="O2389" s="31" t="inlineStr">
        <is>
          <t>336-031-631-0</t>
        </is>
      </c>
      <c r="P2389" s="31" t="inlineStr">
        <is>
          <t>SR Technics Switzerland</t>
        </is>
      </c>
    </row>
    <row r="2390">
      <c r="B2390" s="31" t="inlineStr">
        <is>
          <t>CFM56-5B</t>
        </is>
      </c>
      <c r="C2390" s="31" t="inlineStr">
        <is>
          <t>2025-2026</t>
        </is>
      </c>
      <c r="D2390" s="31" t="inlineStr">
        <is>
          <t>672828</t>
        </is>
      </c>
      <c r="E2390" s="31" t="inlineStr">
        <is>
          <t>72-56-01</t>
        </is>
      </c>
      <c r="F2390" s="31" t="inlineStr">
        <is>
          <t>V</t>
        </is>
      </c>
      <c r="G2390" s="31" t="inlineStr">
        <is>
          <t>LPT</t>
        </is>
      </c>
      <c r="H2390" s="27" t="n">
        <v>4260</v>
      </c>
      <c r="I2390" s="27" t="n">
        <v>4520</v>
      </c>
      <c r="J2390" s="154">
        <f>I2390/H2390-1</f>
        <v/>
      </c>
      <c r="K2390" s="31" t="inlineStr">
        <is>
          <t>28</t>
        </is>
      </c>
      <c r="L2390" s="31" t="inlineStr">
        <is>
          <t>28</t>
        </is>
      </c>
      <c r="M2390" s="31" t="inlineStr">
        <is>
          <t>S2</t>
        </is>
      </c>
      <c r="N2390" s="31" t="inlineStr">
        <is>
          <t>S4</t>
        </is>
      </c>
      <c r="O2390" s="31" t="inlineStr">
        <is>
          <t>336-031-631-0</t>
        </is>
      </c>
      <c r="P2390" s="31" t="inlineStr">
        <is>
          <t>SR Technics Switzerland</t>
        </is>
      </c>
    </row>
    <row r="2391">
      <c r="B2391" s="31" t="inlineStr">
        <is>
          <t>CFM56-5B</t>
        </is>
      </c>
      <c r="C2391" s="31" t="inlineStr">
        <is>
          <t>2025-2026</t>
        </is>
      </c>
      <c r="D2391" s="31" t="inlineStr">
        <is>
          <t>672828</t>
        </is>
      </c>
      <c r="E2391" s="31" t="inlineStr">
        <is>
          <t>72-56-01</t>
        </is>
      </c>
      <c r="F2391" s="31" t="inlineStr">
        <is>
          <t>W</t>
        </is>
      </c>
      <c r="G2391" s="31" t="inlineStr">
        <is>
          <t>LPT</t>
        </is>
      </c>
      <c r="H2391" s="27" t="n">
        <v>1745</v>
      </c>
      <c r="I2391" s="27" t="n">
        <v>1850</v>
      </c>
      <c r="J2391" s="154">
        <f>I2391/H2391-1</f>
        <v/>
      </c>
      <c r="K2391" s="31" t="inlineStr">
        <is>
          <t>28</t>
        </is>
      </c>
      <c r="L2391" s="31" t="inlineStr">
        <is>
          <t>28</t>
        </is>
      </c>
      <c r="M2391" s="31" t="inlineStr">
        <is>
          <t>S2</t>
        </is>
      </c>
      <c r="N2391" s="31" t="inlineStr">
        <is>
          <t>S4</t>
        </is>
      </c>
      <c r="O2391" s="31" t="inlineStr">
        <is>
          <t>336-031-631-0</t>
        </is>
      </c>
      <c r="P2391" s="31" t="inlineStr">
        <is>
          <t>SR Technics Switzerland</t>
        </is>
      </c>
    </row>
    <row r="2392">
      <c r="B2392" s="31" t="inlineStr">
        <is>
          <t>CFM56-5B</t>
        </is>
      </c>
      <c r="C2392" s="31" t="inlineStr">
        <is>
          <t>2025-2026</t>
        </is>
      </c>
      <c r="D2392" s="31" t="inlineStr">
        <is>
          <t>672828</t>
        </is>
      </c>
      <c r="E2392" s="31" t="inlineStr">
        <is>
          <t>72-56-01</t>
        </is>
      </c>
      <c r="F2392" s="31" t="inlineStr">
        <is>
          <t>X</t>
        </is>
      </c>
      <c r="G2392" s="31" t="inlineStr">
        <is>
          <t>LPT</t>
        </is>
      </c>
      <c r="H2392" s="27" t="n">
        <v>1305</v>
      </c>
      <c r="I2392" s="27" t="n">
        <v>1385</v>
      </c>
      <c r="J2392" s="154">
        <f>I2392/H2392-1</f>
        <v/>
      </c>
      <c r="K2392" s="31" t="inlineStr">
        <is>
          <t>28</t>
        </is>
      </c>
      <c r="L2392" s="31" t="inlineStr">
        <is>
          <t>29</t>
        </is>
      </c>
      <c r="M2392" s="31" t="inlineStr">
        <is>
          <t>S2</t>
        </is>
      </c>
      <c r="N2392" s="31" t="inlineStr">
        <is>
          <t>S4</t>
        </is>
      </c>
      <c r="O2392" s="31" t="inlineStr">
        <is>
          <t>336-031-631-0</t>
        </is>
      </c>
      <c r="P2392" s="31" t="inlineStr">
        <is>
          <t>SR Technics Switzerland</t>
        </is>
      </c>
    </row>
    <row r="2393">
      <c r="B2393" s="31" t="inlineStr">
        <is>
          <t>CFM56-5B</t>
        </is>
      </c>
      <c r="C2393" s="31" t="inlineStr">
        <is>
          <t>2025-2026</t>
        </is>
      </c>
      <c r="D2393" s="31" t="inlineStr">
        <is>
          <t>672828</t>
        </is>
      </c>
      <c r="E2393" s="31" t="inlineStr">
        <is>
          <t>72-56-01</t>
        </is>
      </c>
      <c r="F2393" s="31" t="inlineStr">
        <is>
          <t>Y</t>
        </is>
      </c>
      <c r="G2393" s="31" t="inlineStr">
        <is>
          <t>LPT</t>
        </is>
      </c>
      <c r="H2393" s="27" t="n">
        <v>1280</v>
      </c>
      <c r="I2393" s="27" t="n">
        <v>1360</v>
      </c>
      <c r="J2393" s="154">
        <f>I2393/H2393-1</f>
        <v/>
      </c>
      <c r="K2393" s="31" t="inlineStr">
        <is>
          <t>28</t>
        </is>
      </c>
      <c r="L2393" s="31" t="inlineStr">
        <is>
          <t>29</t>
        </is>
      </c>
      <c r="M2393" s="31" t="inlineStr">
        <is>
          <t>S2</t>
        </is>
      </c>
      <c r="N2393" s="31" t="inlineStr">
        <is>
          <t>S4</t>
        </is>
      </c>
      <c r="O2393" s="31" t="inlineStr">
        <is>
          <t>336-031-631-0</t>
        </is>
      </c>
      <c r="P2393" s="31" t="inlineStr">
        <is>
          <t>SR Technics Switzerland</t>
        </is>
      </c>
    </row>
    <row r="2394">
      <c r="B2394" s="31" t="inlineStr">
        <is>
          <t>CFM56-5B</t>
        </is>
      </c>
      <c r="C2394" s="31" t="inlineStr">
        <is>
          <t>2025-2026</t>
        </is>
      </c>
      <c r="D2394" s="31" t="inlineStr">
        <is>
          <t>672828</t>
        </is>
      </c>
      <c r="E2394" s="31" t="inlineStr">
        <is>
          <t>72-56-01</t>
        </is>
      </c>
      <c r="F2394" s="31" t="inlineStr">
        <is>
          <t>Z</t>
        </is>
      </c>
      <c r="G2394" s="31" t="inlineStr">
        <is>
          <t>LPT</t>
        </is>
      </c>
      <c r="H2394" s="27" t="n">
        <v>1955</v>
      </c>
      <c r="I2394" s="27" t="n">
        <v>2075</v>
      </c>
      <c r="J2394" s="154">
        <f>I2394/H2394-1</f>
        <v/>
      </c>
      <c r="K2394" s="31" t="inlineStr">
        <is>
          <t>28</t>
        </is>
      </c>
      <c r="L2394" s="31" t="inlineStr">
        <is>
          <t>29</t>
        </is>
      </c>
      <c r="M2394" s="31" t="inlineStr">
        <is>
          <t>S2</t>
        </is>
      </c>
      <c r="N2394" s="31" t="inlineStr">
        <is>
          <t>S4</t>
        </is>
      </c>
      <c r="O2394" s="31" t="inlineStr">
        <is>
          <t>336-031-631-0</t>
        </is>
      </c>
      <c r="P2394" s="31" t="inlineStr">
        <is>
          <t>SR Technics Switzerland</t>
        </is>
      </c>
    </row>
    <row r="2395">
      <c r="B2395" s="31" t="inlineStr">
        <is>
          <t>CFM56-5B</t>
        </is>
      </c>
      <c r="C2395" s="31" t="inlineStr">
        <is>
          <t>2025-2026</t>
        </is>
      </c>
      <c r="D2395" s="31" t="inlineStr">
        <is>
          <t>673677</t>
        </is>
      </c>
      <c r="E2395" s="31" t="inlineStr">
        <is>
          <t>71-00-01</t>
        </is>
      </c>
      <c r="F2395" s="31" t="inlineStr">
        <is>
          <t>B</t>
        </is>
      </c>
      <c r="G2395" s="31" t="inlineStr">
        <is>
          <t>Other / assembly</t>
        </is>
      </c>
      <c r="H2395" s="27" t="n">
        <v>225</v>
      </c>
      <c r="I2395" s="27" t="n">
        <v>240</v>
      </c>
      <c r="J2395" s="154">
        <f>I2395/H2395-1</f>
        <v/>
      </c>
      <c r="K2395" s="31" t="inlineStr">
        <is>
          <t>90</t>
        </is>
      </c>
      <c r="L2395" s="31" t="inlineStr">
        <is>
          <t>93</t>
        </is>
      </c>
      <c r="M2395" s="31" t="inlineStr">
        <is>
          <t>S2</t>
        </is>
      </c>
      <c r="N2395" s="31" t="inlineStr">
        <is>
          <t>S4</t>
        </is>
      </c>
      <c r="O2395" s="31" t="inlineStr">
        <is>
          <t>321-450-603-0</t>
        </is>
      </c>
      <c r="P2395" s="31" t="inlineStr">
        <is>
          <t>SR Technics Switzerland</t>
        </is>
      </c>
    </row>
    <row r="2396">
      <c r="B2396" s="31" t="inlineStr">
        <is>
          <t>CFM56-5B</t>
        </is>
      </c>
      <c r="C2396" s="31" t="inlineStr">
        <is>
          <t>2025-2026</t>
        </is>
      </c>
      <c r="D2396" s="31" t="inlineStr">
        <is>
          <t>673774</t>
        </is>
      </c>
      <c r="E2396" s="31" t="inlineStr">
        <is>
          <t>72-55-06</t>
        </is>
      </c>
      <c r="F2396" s="31" t="inlineStr">
        <is>
          <t>A</t>
        </is>
      </c>
      <c r="G2396" s="31" t="inlineStr">
        <is>
          <t>LPT</t>
        </is>
      </c>
      <c r="H2396" s="27" t="n">
        <v>510</v>
      </c>
      <c r="I2396" s="27" t="n">
        <v>540</v>
      </c>
      <c r="J2396" s="154">
        <f>I2396/H2396-1</f>
        <v/>
      </c>
      <c r="K2396" s="31" t="inlineStr">
        <is>
          <t>28</t>
        </is>
      </c>
      <c r="L2396" s="31" t="inlineStr">
        <is>
          <t>29</t>
        </is>
      </c>
      <c r="M2396" s="31" t="inlineStr">
        <is>
          <t>S2</t>
        </is>
      </c>
      <c r="N2396" s="31" t="inlineStr">
        <is>
          <t>S4</t>
        </is>
      </c>
      <c r="O2396" s="31" t="inlineStr">
        <is>
          <t>338-069-701-0</t>
        </is>
      </c>
      <c r="P2396" s="31" t="inlineStr">
        <is>
          <t>SR Technics Switzerland</t>
        </is>
      </c>
    </row>
    <row r="2397">
      <c r="B2397" s="31" t="inlineStr">
        <is>
          <t>CFM56-5B</t>
        </is>
      </c>
      <c r="C2397" s="31" t="inlineStr">
        <is>
          <t>2025-2026</t>
        </is>
      </c>
      <c r="D2397" s="31" t="inlineStr">
        <is>
          <t>673774</t>
        </is>
      </c>
      <c r="E2397" s="31" t="inlineStr">
        <is>
          <t>72-55-06</t>
        </is>
      </c>
      <c r="F2397" s="31" t="inlineStr">
        <is>
          <t>AN</t>
        </is>
      </c>
      <c r="G2397" s="31" t="inlineStr">
        <is>
          <t>LPT</t>
        </is>
      </c>
      <c r="H2397" s="27" t="n">
        <v>125</v>
      </c>
      <c r="I2397" s="27" t="n">
        <v>135</v>
      </c>
      <c r="J2397" s="154">
        <f>I2397/H2397-1</f>
        <v/>
      </c>
      <c r="K2397" s="31" t="inlineStr">
        <is>
          <t>28</t>
        </is>
      </c>
      <c r="L2397" s="31" t="inlineStr">
        <is>
          <t>29</t>
        </is>
      </c>
      <c r="M2397" s="31" t="inlineStr">
        <is>
          <t>S2</t>
        </is>
      </c>
      <c r="N2397" s="31" t="inlineStr">
        <is>
          <t>S4</t>
        </is>
      </c>
      <c r="O2397" s="31" t="inlineStr">
        <is>
          <t>338-069-701-0</t>
        </is>
      </c>
      <c r="P2397" s="31" t="inlineStr">
        <is>
          <t>SR Technics Switzerland</t>
        </is>
      </c>
    </row>
    <row r="2398">
      <c r="B2398" s="31" t="inlineStr">
        <is>
          <t>CFM56-5B</t>
        </is>
      </c>
      <c r="C2398" s="31" t="inlineStr">
        <is>
          <t>2025-2026</t>
        </is>
      </c>
      <c r="D2398" s="31" t="inlineStr">
        <is>
          <t>673774</t>
        </is>
      </c>
      <c r="E2398" s="31" t="inlineStr">
        <is>
          <t>72-55-06</t>
        </is>
      </c>
      <c r="F2398" s="31" t="inlineStr">
        <is>
          <t>B</t>
        </is>
      </c>
      <c r="G2398" s="31" t="inlineStr">
        <is>
          <t>LPT</t>
        </is>
      </c>
      <c r="H2398" s="27" t="n">
        <v>2060</v>
      </c>
      <c r="I2398" s="27" t="n">
        <v>2185</v>
      </c>
      <c r="J2398" s="154">
        <f>I2398/H2398-1</f>
        <v/>
      </c>
      <c r="K2398" s="31" t="inlineStr">
        <is>
          <t>28</t>
        </is>
      </c>
      <c r="L2398" s="31" t="inlineStr">
        <is>
          <t>29</t>
        </is>
      </c>
      <c r="M2398" s="31" t="inlineStr">
        <is>
          <t>S2</t>
        </is>
      </c>
      <c r="N2398" s="31" t="inlineStr">
        <is>
          <t>S4</t>
        </is>
      </c>
      <c r="O2398" s="31" t="inlineStr">
        <is>
          <t>338-069-701-0</t>
        </is>
      </c>
      <c r="P2398" s="31" t="inlineStr">
        <is>
          <t>SR Technics Switzerland</t>
        </is>
      </c>
    </row>
    <row r="2399">
      <c r="B2399" s="31" t="inlineStr">
        <is>
          <t>CFM56-5B</t>
        </is>
      </c>
      <c r="C2399" s="31" t="inlineStr">
        <is>
          <t>2025-2026</t>
        </is>
      </c>
      <c r="D2399" s="31" t="inlineStr">
        <is>
          <t>673774</t>
        </is>
      </c>
      <c r="E2399" s="31" t="inlineStr">
        <is>
          <t>72-55-06</t>
        </is>
      </c>
      <c r="F2399" s="31" t="inlineStr">
        <is>
          <t>C</t>
        </is>
      </c>
      <c r="G2399" s="31" t="inlineStr">
        <is>
          <t>LPT</t>
        </is>
      </c>
      <c r="H2399" s="27" t="n">
        <v>2590</v>
      </c>
      <c r="I2399" s="27" t="n">
        <v>2750</v>
      </c>
      <c r="J2399" s="154">
        <f>I2399/H2399-1</f>
        <v/>
      </c>
      <c r="K2399" s="31" t="inlineStr">
        <is>
          <t>28</t>
        </is>
      </c>
      <c r="L2399" s="31" t="inlineStr">
        <is>
          <t>29</t>
        </is>
      </c>
      <c r="M2399" s="31" t="inlineStr">
        <is>
          <t>S2</t>
        </is>
      </c>
      <c r="N2399" s="31" t="inlineStr">
        <is>
          <t>S4</t>
        </is>
      </c>
      <c r="O2399" s="31" t="inlineStr">
        <is>
          <t>338-069-701-0</t>
        </is>
      </c>
      <c r="P2399" s="31" t="inlineStr">
        <is>
          <t>SR Technics Switzerland</t>
        </is>
      </c>
    </row>
    <row r="2400">
      <c r="B2400" s="31" t="inlineStr">
        <is>
          <t>CFM56-5B</t>
        </is>
      </c>
      <c r="C2400" s="31" t="inlineStr">
        <is>
          <t>2025-2026</t>
        </is>
      </c>
      <c r="D2400" s="31" t="inlineStr">
        <is>
          <t>673774</t>
        </is>
      </c>
      <c r="E2400" s="31" t="inlineStr">
        <is>
          <t>72-55-06</t>
        </is>
      </c>
      <c r="F2400" s="31" t="inlineStr">
        <is>
          <t>D</t>
        </is>
      </c>
      <c r="G2400" s="31" t="inlineStr">
        <is>
          <t>LPT</t>
        </is>
      </c>
      <c r="H2400" s="27" t="n">
        <v>3600</v>
      </c>
      <c r="I2400" s="27" t="n">
        <v>3820</v>
      </c>
      <c r="J2400" s="154">
        <f>I2400/H2400-1</f>
        <v/>
      </c>
      <c r="K2400" s="31" t="inlineStr">
        <is>
          <t>28</t>
        </is>
      </c>
      <c r="L2400" s="31" t="inlineStr">
        <is>
          <t>29</t>
        </is>
      </c>
      <c r="M2400" s="31" t="inlineStr">
        <is>
          <t>S2</t>
        </is>
      </c>
      <c r="N2400" s="31" t="inlineStr">
        <is>
          <t>S4</t>
        </is>
      </c>
      <c r="O2400" s="31" t="inlineStr">
        <is>
          <t>338-069-701-0</t>
        </is>
      </c>
      <c r="P2400" s="31" t="inlineStr">
        <is>
          <t>SR Technics Switzerland</t>
        </is>
      </c>
    </row>
    <row r="2401">
      <c r="B2401" s="31" t="inlineStr">
        <is>
          <t>CFM56-5B</t>
        </is>
      </c>
      <c r="C2401" s="31" t="inlineStr">
        <is>
          <t>2025-2026</t>
        </is>
      </c>
      <c r="D2401" s="31" t="inlineStr">
        <is>
          <t>673774</t>
        </is>
      </c>
      <c r="E2401" s="31" t="inlineStr">
        <is>
          <t>72-55-06</t>
        </is>
      </c>
      <c r="F2401" s="31" t="inlineStr">
        <is>
          <t>E</t>
        </is>
      </c>
      <c r="G2401" s="31" t="inlineStr">
        <is>
          <t>LPT</t>
        </is>
      </c>
      <c r="H2401" s="27" t="n">
        <v>3875</v>
      </c>
      <c r="I2401" s="27" t="n">
        <v>4110</v>
      </c>
      <c r="J2401" s="154">
        <f>I2401/H2401-1</f>
        <v/>
      </c>
      <c r="K2401" s="31" t="inlineStr">
        <is>
          <t>28</t>
        </is>
      </c>
      <c r="L2401" s="31" t="inlineStr">
        <is>
          <t>29</t>
        </is>
      </c>
      <c r="M2401" s="31" t="inlineStr">
        <is>
          <t>S2</t>
        </is>
      </c>
      <c r="N2401" s="31" t="inlineStr">
        <is>
          <t>S4</t>
        </is>
      </c>
      <c r="O2401" s="31" t="inlineStr">
        <is>
          <t>338-069-701-0</t>
        </is>
      </c>
      <c r="P2401" s="31" t="inlineStr">
        <is>
          <t>SR Technics Switzerland</t>
        </is>
      </c>
    </row>
    <row r="2402">
      <c r="B2402" s="31" t="inlineStr">
        <is>
          <t>CFM56-5B</t>
        </is>
      </c>
      <c r="C2402" s="31" t="inlineStr">
        <is>
          <t>2025-2026</t>
        </is>
      </c>
      <c r="D2402" s="31" t="inlineStr">
        <is>
          <t>673774</t>
        </is>
      </c>
      <c r="E2402" s="31" t="inlineStr">
        <is>
          <t>72-55-06</t>
        </is>
      </c>
      <c r="F2402" s="31" t="inlineStr">
        <is>
          <t>F</t>
        </is>
      </c>
      <c r="G2402" s="31" t="inlineStr">
        <is>
          <t>LPT</t>
        </is>
      </c>
      <c r="H2402" s="27" t="n">
        <v>2720</v>
      </c>
      <c r="I2402" s="27" t="n">
        <v>2885</v>
      </c>
      <c r="J2402" s="154">
        <f>I2402/H2402-1</f>
        <v/>
      </c>
      <c r="K2402" s="31" t="inlineStr">
        <is>
          <t>28</t>
        </is>
      </c>
      <c r="L2402" s="31" t="inlineStr">
        <is>
          <t>29</t>
        </is>
      </c>
      <c r="M2402" s="31" t="inlineStr">
        <is>
          <t>S2</t>
        </is>
      </c>
      <c r="N2402" s="31" t="inlineStr">
        <is>
          <t>S4</t>
        </is>
      </c>
      <c r="O2402" s="31" t="inlineStr">
        <is>
          <t>338-069-701-0</t>
        </is>
      </c>
      <c r="P2402" s="31" t="inlineStr">
        <is>
          <t>SR Technics Switzerland</t>
        </is>
      </c>
    </row>
    <row r="2403">
      <c r="B2403" s="31" t="inlineStr">
        <is>
          <t>CFM56-5B</t>
        </is>
      </c>
      <c r="C2403" s="31" t="inlineStr">
        <is>
          <t>2025-2026</t>
        </is>
      </c>
      <c r="D2403" s="31" t="inlineStr">
        <is>
          <t>673774</t>
        </is>
      </c>
      <c r="E2403" s="31" t="inlineStr">
        <is>
          <t>72-55-06</t>
        </is>
      </c>
      <c r="F2403" s="31" t="inlineStr">
        <is>
          <t>H</t>
        </is>
      </c>
      <c r="G2403" s="31" t="inlineStr">
        <is>
          <t>LPT</t>
        </is>
      </c>
      <c r="H2403" s="27" t="n">
        <v>4105</v>
      </c>
      <c r="I2403" s="27" t="n">
        <v>4355</v>
      </c>
      <c r="J2403" s="154">
        <f>I2403/H2403-1</f>
        <v/>
      </c>
      <c r="K2403" s="31" t="inlineStr">
        <is>
          <t>28</t>
        </is>
      </c>
      <c r="L2403" s="31" t="inlineStr">
        <is>
          <t>29</t>
        </is>
      </c>
      <c r="M2403" s="31" t="inlineStr">
        <is>
          <t>S2</t>
        </is>
      </c>
      <c r="N2403" s="31" t="inlineStr">
        <is>
          <t>S4</t>
        </is>
      </c>
      <c r="O2403" s="31" t="inlineStr">
        <is>
          <t>338-069-701-0</t>
        </is>
      </c>
      <c r="P2403" s="31" t="inlineStr">
        <is>
          <t>SR Technics Switzerland</t>
        </is>
      </c>
    </row>
    <row r="2404">
      <c r="B2404" s="31" t="inlineStr">
        <is>
          <t>CFM56-5B</t>
        </is>
      </c>
      <c r="C2404" s="31" t="inlineStr">
        <is>
          <t>2025-2026</t>
        </is>
      </c>
      <c r="D2404" s="31" t="inlineStr">
        <is>
          <t>673774</t>
        </is>
      </c>
      <c r="E2404" s="31" t="inlineStr">
        <is>
          <t>72-55-06</t>
        </is>
      </c>
      <c r="F2404" s="31" t="inlineStr">
        <is>
          <t>I</t>
        </is>
      </c>
      <c r="G2404" s="31" t="inlineStr">
        <is>
          <t>LPT</t>
        </is>
      </c>
      <c r="H2404" s="27" t="n">
        <v>2155</v>
      </c>
      <c r="I2404" s="27" t="n">
        <v>2285</v>
      </c>
      <c r="J2404" s="154">
        <f>I2404/H2404-1</f>
        <v/>
      </c>
      <c r="K2404" s="31" t="inlineStr">
        <is>
          <t>28</t>
        </is>
      </c>
      <c r="L2404" s="31" t="inlineStr">
        <is>
          <t>29</t>
        </is>
      </c>
      <c r="M2404" s="31" t="inlineStr">
        <is>
          <t>S2</t>
        </is>
      </c>
      <c r="N2404" s="31" t="inlineStr">
        <is>
          <t>S4</t>
        </is>
      </c>
      <c r="O2404" s="31" t="inlineStr">
        <is>
          <t>338-069-701-0</t>
        </is>
      </c>
      <c r="P2404" s="31" t="inlineStr">
        <is>
          <t>SR Technics Switzerland</t>
        </is>
      </c>
    </row>
    <row r="2405">
      <c r="B2405" s="31" t="inlineStr">
        <is>
          <t>CFM56-5B</t>
        </is>
      </c>
      <c r="C2405" s="31" t="inlineStr">
        <is>
          <t>2025-2026</t>
        </is>
      </c>
      <c r="D2405" s="31" t="inlineStr">
        <is>
          <t>673774</t>
        </is>
      </c>
      <c r="E2405" s="31" t="inlineStr">
        <is>
          <t>72-55-06</t>
        </is>
      </c>
      <c r="F2405" s="31" t="inlineStr">
        <is>
          <t>J</t>
        </is>
      </c>
      <c r="G2405" s="31" t="inlineStr">
        <is>
          <t>LPT</t>
        </is>
      </c>
      <c r="H2405" s="27" t="n">
        <v>435</v>
      </c>
      <c r="I2405" s="27" t="n">
        <v>465</v>
      </c>
      <c r="J2405" s="154">
        <f>I2405/H2405-1</f>
        <v/>
      </c>
      <c r="K2405" s="31" t="inlineStr">
        <is>
          <t>28</t>
        </is>
      </c>
      <c r="L2405" s="31" t="inlineStr">
        <is>
          <t>29</t>
        </is>
      </c>
      <c r="M2405" s="31" t="inlineStr">
        <is>
          <t>S2</t>
        </is>
      </c>
      <c r="N2405" s="31" t="inlineStr">
        <is>
          <t>S4</t>
        </is>
      </c>
      <c r="O2405" s="31" t="inlineStr">
        <is>
          <t>338-069-701-0</t>
        </is>
      </c>
      <c r="P2405" s="31" t="inlineStr">
        <is>
          <t>SR Technics Switzerland</t>
        </is>
      </c>
    </row>
    <row r="2406">
      <c r="B2406" s="31" t="inlineStr">
        <is>
          <t>CFM56-5B</t>
        </is>
      </c>
      <c r="C2406" s="31" t="inlineStr">
        <is>
          <t>2025-2026</t>
        </is>
      </c>
      <c r="D2406" s="31" t="inlineStr">
        <is>
          <t>673774</t>
        </is>
      </c>
      <c r="E2406" s="31" t="inlineStr">
        <is>
          <t>72-55-06</t>
        </is>
      </c>
      <c r="F2406" s="31" t="inlineStr">
        <is>
          <t>K</t>
        </is>
      </c>
      <c r="G2406" s="31" t="inlineStr">
        <is>
          <t>LPT</t>
        </is>
      </c>
      <c r="H2406" s="27" t="n">
        <v>1885</v>
      </c>
      <c r="I2406" s="27" t="n">
        <v>2000</v>
      </c>
      <c r="J2406" s="154">
        <f>I2406/H2406-1</f>
        <v/>
      </c>
      <c r="K2406" s="31" t="inlineStr">
        <is>
          <t>28</t>
        </is>
      </c>
      <c r="L2406" s="31" t="inlineStr">
        <is>
          <t>29</t>
        </is>
      </c>
      <c r="M2406" s="31" t="inlineStr">
        <is>
          <t>S2</t>
        </is>
      </c>
      <c r="N2406" s="31" t="inlineStr">
        <is>
          <t>S4</t>
        </is>
      </c>
      <c r="O2406" s="31" t="inlineStr">
        <is>
          <t>338-069-701-0</t>
        </is>
      </c>
      <c r="P2406" s="31" t="inlineStr">
        <is>
          <t>SR Technics Switzerland</t>
        </is>
      </c>
    </row>
    <row r="2407">
      <c r="B2407" s="31" t="inlineStr">
        <is>
          <t>CFM56-5B</t>
        </is>
      </c>
      <c r="C2407" s="31" t="inlineStr">
        <is>
          <t>2025-2026</t>
        </is>
      </c>
      <c r="D2407" s="31" t="inlineStr">
        <is>
          <t>673774</t>
        </is>
      </c>
      <c r="E2407" s="31" t="inlineStr">
        <is>
          <t>72-55-06</t>
        </is>
      </c>
      <c r="F2407" s="31" t="inlineStr">
        <is>
          <t>L</t>
        </is>
      </c>
      <c r="G2407" s="31" t="inlineStr">
        <is>
          <t>LPT</t>
        </is>
      </c>
      <c r="H2407" s="27" t="n">
        <v>2340</v>
      </c>
      <c r="I2407" s="27" t="n">
        <v>2485</v>
      </c>
      <c r="J2407" s="154">
        <f>I2407/H2407-1</f>
        <v/>
      </c>
      <c r="K2407" s="31" t="inlineStr">
        <is>
          <t>28</t>
        </is>
      </c>
      <c r="L2407" s="31" t="inlineStr">
        <is>
          <t>29</t>
        </is>
      </c>
      <c r="M2407" s="31" t="inlineStr">
        <is>
          <t>S2</t>
        </is>
      </c>
      <c r="N2407" s="31" t="inlineStr">
        <is>
          <t>S4</t>
        </is>
      </c>
      <c r="O2407" s="31" t="inlineStr">
        <is>
          <t>338-069-701-0</t>
        </is>
      </c>
      <c r="P2407" s="31" t="inlineStr">
        <is>
          <t>SR Technics Switzerland</t>
        </is>
      </c>
    </row>
    <row r="2408">
      <c r="B2408" s="31" t="inlineStr">
        <is>
          <t>CFM56-5B</t>
        </is>
      </c>
      <c r="C2408" s="31" t="inlineStr">
        <is>
          <t>2025-2026</t>
        </is>
      </c>
      <c r="D2408" s="31" t="inlineStr">
        <is>
          <t>673774</t>
        </is>
      </c>
      <c r="E2408" s="31" t="inlineStr">
        <is>
          <t>72-55-06</t>
        </is>
      </c>
      <c r="F2408" s="31" t="inlineStr">
        <is>
          <t>O</t>
        </is>
      </c>
      <c r="G2408" s="31" t="inlineStr">
        <is>
          <t>LPT</t>
        </is>
      </c>
      <c r="H2408" s="27" t="n">
        <v>120</v>
      </c>
      <c r="I2408" s="27" t="n">
        <v>130</v>
      </c>
      <c r="J2408" s="154">
        <f>I2408/H2408-1</f>
        <v/>
      </c>
      <c r="K2408" s="31" t="inlineStr">
        <is>
          <t>28</t>
        </is>
      </c>
      <c r="L2408" s="31" t="inlineStr">
        <is>
          <t>29</t>
        </is>
      </c>
      <c r="M2408" s="31" t="inlineStr">
        <is>
          <t>S2</t>
        </is>
      </c>
      <c r="N2408" s="31" t="inlineStr">
        <is>
          <t>S4</t>
        </is>
      </c>
      <c r="O2408" s="31" t="inlineStr">
        <is>
          <t>338-069-701-0</t>
        </is>
      </c>
      <c r="P2408" s="31" t="inlineStr">
        <is>
          <t>SR Technics Switzerland</t>
        </is>
      </c>
    </row>
    <row r="2409">
      <c r="B2409" s="31" t="inlineStr">
        <is>
          <t>CFM56-5B</t>
        </is>
      </c>
      <c r="C2409" s="31" t="inlineStr">
        <is>
          <t>2025-2026</t>
        </is>
      </c>
      <c r="D2409" s="31" t="inlineStr">
        <is>
          <t>68796</t>
        </is>
      </c>
      <c r="E2409" s="31" t="inlineStr">
        <is>
          <t>72-00-52</t>
        </is>
      </c>
      <c r="F2409" s="31" t="inlineStr">
        <is>
          <t>A</t>
        </is>
      </c>
      <c r="G2409" s="31" t="inlineStr">
        <is>
          <t>Other / assembly</t>
        </is>
      </c>
      <c r="H2409" s="27" t="n">
        <v>3710</v>
      </c>
      <c r="I2409" s="27" t="n">
        <v>3900</v>
      </c>
      <c r="J2409" s="154">
        <f>I2409/H2409-1</f>
        <v/>
      </c>
      <c r="K2409" s="31" t="inlineStr">
        <is>
          <t>42</t>
        </is>
      </c>
      <c r="L2409" s="31" t="inlineStr">
        <is>
          <t>43</t>
        </is>
      </c>
      <c r="M2409" s="31" t="inlineStr">
        <is>
          <t>S2</t>
        </is>
      </c>
      <c r="N2409" s="31" t="inlineStr">
        <is>
          <t>S4</t>
        </is>
      </c>
      <c r="O2409" s="31" t="inlineStr">
        <is>
          <t>1887M11G01</t>
        </is>
      </c>
      <c r="P2409" s="31" t="inlineStr">
        <is>
          <t>SR Technics Switzerland</t>
        </is>
      </c>
    </row>
    <row r="2410">
      <c r="B2410" s="31" t="inlineStr">
        <is>
          <t>CFM56-5B</t>
        </is>
      </c>
      <c r="C2410" s="31" t="inlineStr">
        <is>
          <t>2025-2026</t>
        </is>
      </c>
      <c r="D2410" s="31" t="inlineStr">
        <is>
          <t>68796</t>
        </is>
      </c>
      <c r="E2410" s="31" t="inlineStr">
        <is>
          <t>72-00-52</t>
        </is>
      </c>
      <c r="F2410" s="31" t="inlineStr">
        <is>
          <t>B</t>
        </is>
      </c>
      <c r="G2410" s="31" t="inlineStr">
        <is>
          <t>Other / assembly</t>
        </is>
      </c>
      <c r="H2410" s="27" t="n">
        <v>290</v>
      </c>
      <c r="I2410" s="27" t="n">
        <v>310</v>
      </c>
      <c r="J2410" s="154">
        <f>I2410/H2410-1</f>
        <v/>
      </c>
      <c r="K2410" s="31" t="inlineStr">
        <is>
          <t>42</t>
        </is>
      </c>
      <c r="L2410" s="31" t="inlineStr">
        <is>
          <t>43</t>
        </is>
      </c>
      <c r="M2410" s="31" t="inlineStr">
        <is>
          <t>S2</t>
        </is>
      </c>
      <c r="N2410" s="31" t="inlineStr">
        <is>
          <t>S4</t>
        </is>
      </c>
      <c r="O2410" s="31" t="inlineStr">
        <is>
          <t>1887M11G01</t>
        </is>
      </c>
      <c r="P2410" s="31" t="inlineStr">
        <is>
          <t>SR Technics Switzerland</t>
        </is>
      </c>
    </row>
    <row r="2411">
      <c r="B2411" s="31" t="inlineStr">
        <is>
          <t>CFM56-5B</t>
        </is>
      </c>
      <c r="C2411" s="31" t="inlineStr">
        <is>
          <t>2025-2026</t>
        </is>
      </c>
      <c r="D2411" s="31" t="inlineStr">
        <is>
          <t>72531</t>
        </is>
      </c>
      <c r="E2411" s="31" t="inlineStr">
        <is>
          <t>72-31-09</t>
        </is>
      </c>
      <c r="F2411" s="31" t="inlineStr">
        <is>
          <t>B</t>
        </is>
      </c>
      <c r="G2411" s="31" t="inlineStr">
        <is>
          <t>Compressor</t>
        </is>
      </c>
      <c r="H2411" s="27" t="n">
        <v>310</v>
      </c>
      <c r="I2411" s="27" t="n">
        <v>330</v>
      </c>
      <c r="J2411" s="154">
        <f>I2411/H2411-1</f>
        <v/>
      </c>
      <c r="K2411" s="31" t="inlineStr">
        <is>
          <t>8</t>
        </is>
      </c>
      <c r="L2411" s="31" t="inlineStr">
        <is>
          <t>8</t>
        </is>
      </c>
      <c r="M2411" s="31" t="inlineStr">
        <is>
          <t>S2</t>
        </is>
      </c>
      <c r="N2411" s="31" t="inlineStr">
        <is>
          <t>S4</t>
        </is>
      </c>
      <c r="O2411" s="31" t="inlineStr">
        <is>
          <t>9523M11G03</t>
        </is>
      </c>
      <c r="P2411" s="31" t="inlineStr">
        <is>
          <t>SR Technics Switzerland</t>
        </is>
      </c>
    </row>
    <row r="2412">
      <c r="B2412" s="31" t="inlineStr">
        <is>
          <t>CFM56-5B</t>
        </is>
      </c>
      <c r="C2412" s="31" t="inlineStr">
        <is>
          <t>2025-2026</t>
        </is>
      </c>
      <c r="D2412" s="31" t="inlineStr">
        <is>
          <t>73189</t>
        </is>
      </c>
      <c r="E2412" s="31" t="inlineStr">
        <is>
          <t>72-23-21</t>
        </is>
      </c>
      <c r="F2412" s="31" t="inlineStr">
        <is>
          <t>A</t>
        </is>
      </c>
      <c r="G2412" s="31" t="inlineStr">
        <is>
          <t>Fan / booster</t>
        </is>
      </c>
      <c r="H2412" s="27" t="n">
        <v>520</v>
      </c>
      <c r="I2412" s="27" t="n">
        <v>550</v>
      </c>
      <c r="J2412" s="154">
        <f>I2412/H2412-1</f>
        <v/>
      </c>
      <c r="K2412" s="31" t="inlineStr">
        <is>
          <t>8</t>
        </is>
      </c>
      <c r="L2412" s="31" t="inlineStr">
        <is>
          <t>8</t>
        </is>
      </c>
      <c r="M2412" s="31" t="inlineStr">
        <is>
          <t>S2</t>
        </is>
      </c>
      <c r="N2412" s="31" t="inlineStr">
        <is>
          <t>S4</t>
        </is>
      </c>
      <c r="O2412" s="31" t="inlineStr">
        <is>
          <t>338-051-401-0</t>
        </is>
      </c>
      <c r="P2412" s="31" t="inlineStr">
        <is>
          <t>SR Technics Switzerland</t>
        </is>
      </c>
    </row>
    <row r="2413">
      <c r="B2413" s="31" t="inlineStr">
        <is>
          <t>CFM56-5B</t>
        </is>
      </c>
      <c r="C2413" s="31" t="inlineStr">
        <is>
          <t>2025-2026</t>
        </is>
      </c>
      <c r="D2413" s="31" t="inlineStr">
        <is>
          <t>73189</t>
        </is>
      </c>
      <c r="E2413" s="31" t="inlineStr">
        <is>
          <t>72-23-21</t>
        </is>
      </c>
      <c r="F2413" s="31" t="inlineStr">
        <is>
          <t>E</t>
        </is>
      </c>
      <c r="G2413" s="31" t="inlineStr">
        <is>
          <t>Fan / booster</t>
        </is>
      </c>
      <c r="H2413" s="27" t="n">
        <v>510</v>
      </c>
      <c r="I2413" s="27" t="n">
        <v>545</v>
      </c>
      <c r="J2413" s="154">
        <f>I2413/H2413-1</f>
        <v/>
      </c>
      <c r="K2413" s="31" t="inlineStr">
        <is>
          <t>8</t>
        </is>
      </c>
      <c r="L2413" s="31" t="inlineStr">
        <is>
          <t>8</t>
        </is>
      </c>
      <c r="M2413" s="31" t="inlineStr">
        <is>
          <t>S2</t>
        </is>
      </c>
      <c r="N2413" s="31" t="inlineStr">
        <is>
          <t>S4</t>
        </is>
      </c>
      <c r="O2413" s="31" t="inlineStr">
        <is>
          <t>338-051-401-0</t>
        </is>
      </c>
      <c r="P2413" s="31" t="inlineStr">
        <is>
          <t>SR Technics Switzerland</t>
        </is>
      </c>
    </row>
    <row r="2414">
      <c r="B2414" s="31" t="inlineStr">
        <is>
          <t>CFM56-5B</t>
        </is>
      </c>
      <c r="C2414" s="31" t="inlineStr">
        <is>
          <t>2025-2026</t>
        </is>
      </c>
      <c r="D2414" s="31" t="inlineStr">
        <is>
          <t>73189</t>
        </is>
      </c>
      <c r="E2414" s="31" t="inlineStr">
        <is>
          <t>72-23-21</t>
        </is>
      </c>
      <c r="F2414" s="31" t="inlineStr">
        <is>
          <t>U</t>
        </is>
      </c>
      <c r="G2414" s="31" t="inlineStr">
        <is>
          <t>Fan / booster</t>
        </is>
      </c>
      <c r="H2414" s="27" t="n">
        <v>2895</v>
      </c>
      <c r="I2414" s="27" t="n">
        <v>3070</v>
      </c>
      <c r="J2414" s="154">
        <f>I2414/H2414-1</f>
        <v/>
      </c>
      <c r="K2414" s="31" t="inlineStr">
        <is>
          <t>8</t>
        </is>
      </c>
      <c r="L2414" s="31" t="inlineStr">
        <is>
          <t>8</t>
        </is>
      </c>
      <c r="M2414" s="31" t="inlineStr">
        <is>
          <t>S2</t>
        </is>
      </c>
      <c r="N2414" s="31" t="inlineStr">
        <is>
          <t>S4</t>
        </is>
      </c>
      <c r="O2414" s="31" t="inlineStr">
        <is>
          <t>338-051-401-0</t>
        </is>
      </c>
      <c r="P2414" s="31" t="inlineStr">
        <is>
          <t>SR Technics Switzerland</t>
        </is>
      </c>
    </row>
    <row r="2415">
      <c r="B2415" s="31" t="inlineStr">
        <is>
          <t>CFM56-5B</t>
        </is>
      </c>
      <c r="C2415" s="31" t="inlineStr">
        <is>
          <t>2025-2026</t>
        </is>
      </c>
      <c r="D2415" s="31" t="inlineStr">
        <is>
          <t>73189</t>
        </is>
      </c>
      <c r="E2415" s="31" t="inlineStr">
        <is>
          <t>72-23-21</t>
        </is>
      </c>
      <c r="F2415" s="31" t="inlineStr">
        <is>
          <t>X</t>
        </is>
      </c>
      <c r="G2415" s="31" t="inlineStr">
        <is>
          <t>Fan / booster</t>
        </is>
      </c>
      <c r="H2415" s="27" t="n">
        <v>2645</v>
      </c>
      <c r="I2415" s="27" t="n">
        <v>2805</v>
      </c>
      <c r="J2415" s="154">
        <f>I2415/H2415-1</f>
        <v/>
      </c>
      <c r="K2415" s="31" t="inlineStr">
        <is>
          <t>8</t>
        </is>
      </c>
      <c r="L2415" s="31" t="inlineStr">
        <is>
          <t>8</t>
        </is>
      </c>
      <c r="M2415" s="31" t="inlineStr">
        <is>
          <t>S2</t>
        </is>
      </c>
      <c r="N2415" s="31" t="inlineStr">
        <is>
          <t>S4</t>
        </is>
      </c>
      <c r="O2415" s="31" t="inlineStr">
        <is>
          <t>338-051-401-0</t>
        </is>
      </c>
      <c r="P2415" s="31" t="inlineStr">
        <is>
          <t>SR Technics Switzerland</t>
        </is>
      </c>
    </row>
    <row r="2416">
      <c r="B2416" s="31" t="inlineStr">
        <is>
          <t>CFM56-5B</t>
        </is>
      </c>
      <c r="C2416" s="31" t="inlineStr">
        <is>
          <t>2025-2026</t>
        </is>
      </c>
      <c r="D2416" s="31" t="inlineStr">
        <is>
          <t>73190</t>
        </is>
      </c>
      <c r="E2416" s="31" t="inlineStr">
        <is>
          <t>72-23-21</t>
        </is>
      </c>
      <c r="F2416" s="31" t="inlineStr">
        <is>
          <t>A</t>
        </is>
      </c>
      <c r="G2416" s="31" t="inlineStr">
        <is>
          <t>Fan / booster</t>
        </is>
      </c>
      <c r="H2416" s="27" t="n">
        <v>520</v>
      </c>
      <c r="I2416" s="27" t="n">
        <v>550</v>
      </c>
      <c r="J2416" s="154">
        <f>I2416/H2416-1</f>
        <v/>
      </c>
      <c r="K2416" s="31" t="inlineStr">
        <is>
          <t>8</t>
        </is>
      </c>
      <c r="L2416" s="31" t="inlineStr">
        <is>
          <t>8</t>
        </is>
      </c>
      <c r="M2416" s="31" t="inlineStr">
        <is>
          <t>S2</t>
        </is>
      </c>
      <c r="N2416" s="31" t="inlineStr">
        <is>
          <t>S4</t>
        </is>
      </c>
      <c r="O2416" s="31" t="inlineStr">
        <is>
          <t>338-020-703-0</t>
        </is>
      </c>
      <c r="P2416" s="31" t="inlineStr">
        <is>
          <t>SR Technics Switzerland</t>
        </is>
      </c>
    </row>
    <row r="2417">
      <c r="B2417" s="31" t="inlineStr">
        <is>
          <t>CFM56-5B</t>
        </is>
      </c>
      <c r="C2417" s="31" t="inlineStr">
        <is>
          <t>2025-2026</t>
        </is>
      </c>
      <c r="D2417" s="31" t="inlineStr">
        <is>
          <t>73190</t>
        </is>
      </c>
      <c r="E2417" s="31" t="inlineStr">
        <is>
          <t>72-23-21</t>
        </is>
      </c>
      <c r="F2417" s="31" t="inlineStr">
        <is>
          <t>C</t>
        </is>
      </c>
      <c r="G2417" s="31" t="inlineStr">
        <is>
          <t>Fan / booster</t>
        </is>
      </c>
      <c r="H2417" s="27" t="n">
        <v>740</v>
      </c>
      <c r="I2417" s="27" t="n">
        <v>785</v>
      </c>
      <c r="J2417" s="154">
        <f>I2417/H2417-1</f>
        <v/>
      </c>
      <c r="K2417" s="31" t="inlineStr">
        <is>
          <t>8</t>
        </is>
      </c>
      <c r="L2417" s="31" t="inlineStr">
        <is>
          <t>8</t>
        </is>
      </c>
      <c r="M2417" s="31" t="inlineStr">
        <is>
          <t>S2</t>
        </is>
      </c>
      <c r="N2417" s="31" t="inlineStr">
        <is>
          <t>S4</t>
        </is>
      </c>
      <c r="O2417" s="31" t="inlineStr">
        <is>
          <t>338-020-703-0</t>
        </is>
      </c>
      <c r="P2417" s="31" t="inlineStr">
        <is>
          <t>SR Technics Switzerland</t>
        </is>
      </c>
    </row>
    <row r="2418">
      <c r="B2418" s="31" t="inlineStr">
        <is>
          <t>CFM56-5B</t>
        </is>
      </c>
      <c r="C2418" s="31" t="inlineStr">
        <is>
          <t>2025-2026</t>
        </is>
      </c>
      <c r="D2418" s="31" t="inlineStr">
        <is>
          <t>73190</t>
        </is>
      </c>
      <c r="E2418" s="31" t="inlineStr">
        <is>
          <t>72-23-21</t>
        </is>
      </c>
      <c r="F2418" s="31" t="inlineStr">
        <is>
          <t>N</t>
        </is>
      </c>
      <c r="G2418" s="31" t="inlineStr">
        <is>
          <t>Fan / booster</t>
        </is>
      </c>
      <c r="H2418" s="27" t="n">
        <v>1495</v>
      </c>
      <c r="I2418" s="27" t="n">
        <v>1585</v>
      </c>
      <c r="J2418" s="154">
        <f>I2418/H2418-1</f>
        <v/>
      </c>
      <c r="K2418" s="31" t="inlineStr">
        <is>
          <t>8</t>
        </is>
      </c>
      <c r="L2418" s="31" t="inlineStr">
        <is>
          <t>8</t>
        </is>
      </c>
      <c r="M2418" s="31" t="inlineStr">
        <is>
          <t>S2</t>
        </is>
      </c>
      <c r="N2418" s="31" t="inlineStr">
        <is>
          <t>S4</t>
        </is>
      </c>
      <c r="O2418" s="31" t="inlineStr">
        <is>
          <t>338-020-703-0</t>
        </is>
      </c>
      <c r="P2418" s="31" t="inlineStr">
        <is>
          <t>SR Technics Switzerland</t>
        </is>
      </c>
    </row>
    <row r="2419">
      <c r="B2419" s="31" t="inlineStr">
        <is>
          <t>CFM56-5B</t>
        </is>
      </c>
      <c r="C2419" s="31" t="inlineStr">
        <is>
          <t>2025-2026</t>
        </is>
      </c>
      <c r="D2419" s="31" t="inlineStr">
        <is>
          <t>73190</t>
        </is>
      </c>
      <c r="E2419" s="31" t="inlineStr">
        <is>
          <t>72-23-21</t>
        </is>
      </c>
      <c r="F2419" s="31" t="inlineStr">
        <is>
          <t>O</t>
        </is>
      </c>
      <c r="G2419" s="31" t="inlineStr">
        <is>
          <t>Fan / booster</t>
        </is>
      </c>
      <c r="H2419" s="27" t="n">
        <v>1500</v>
      </c>
      <c r="I2419" s="27" t="n">
        <v>1590</v>
      </c>
      <c r="J2419" s="154">
        <f>I2419/H2419-1</f>
        <v/>
      </c>
      <c r="K2419" s="31" t="inlineStr">
        <is>
          <t>8</t>
        </is>
      </c>
      <c r="L2419" s="31" t="inlineStr">
        <is>
          <t>8</t>
        </is>
      </c>
      <c r="M2419" s="31" t="inlineStr">
        <is>
          <t>S2</t>
        </is>
      </c>
      <c r="N2419" s="31" t="inlineStr">
        <is>
          <t>S4</t>
        </is>
      </c>
      <c r="O2419" s="31" t="inlineStr">
        <is>
          <t>338-020-703-0</t>
        </is>
      </c>
      <c r="P2419" s="31" t="inlineStr">
        <is>
          <t>SR Technics Switzerland</t>
        </is>
      </c>
    </row>
    <row r="2420">
      <c r="B2420" s="31" t="inlineStr">
        <is>
          <t>CFM56-5B</t>
        </is>
      </c>
      <c r="C2420" s="31" t="inlineStr">
        <is>
          <t>2025-2026</t>
        </is>
      </c>
      <c r="D2420" s="31" t="inlineStr">
        <is>
          <t>73190</t>
        </is>
      </c>
      <c r="E2420" s="31" t="inlineStr">
        <is>
          <t>72-23-21</t>
        </is>
      </c>
      <c r="F2420" s="31" t="inlineStr">
        <is>
          <t>P</t>
        </is>
      </c>
      <c r="G2420" s="31" t="inlineStr">
        <is>
          <t>Fan / booster</t>
        </is>
      </c>
      <c r="H2420" s="27" t="n">
        <v>685</v>
      </c>
      <c r="I2420" s="27" t="n">
        <v>730</v>
      </c>
      <c r="J2420" s="154">
        <f>I2420/H2420-1</f>
        <v/>
      </c>
      <c r="K2420" s="31" t="inlineStr">
        <is>
          <t>8</t>
        </is>
      </c>
      <c r="L2420" s="31" t="inlineStr">
        <is>
          <t>8</t>
        </is>
      </c>
      <c r="M2420" s="31" t="inlineStr">
        <is>
          <t>S2</t>
        </is>
      </c>
      <c r="N2420" s="31" t="inlineStr">
        <is>
          <t>S4</t>
        </is>
      </c>
      <c r="O2420" s="31" t="inlineStr">
        <is>
          <t>338-020-703-0</t>
        </is>
      </c>
      <c r="P2420" s="31" t="inlineStr">
        <is>
          <t>SR Technics Switzerland</t>
        </is>
      </c>
    </row>
    <row r="2421">
      <c r="B2421" s="31" t="inlineStr">
        <is>
          <t>CFM56-5B</t>
        </is>
      </c>
      <c r="C2421" s="31" t="inlineStr">
        <is>
          <t>2025-2026</t>
        </is>
      </c>
      <c r="D2421" s="31" t="inlineStr">
        <is>
          <t>73190</t>
        </is>
      </c>
      <c r="E2421" s="31" t="inlineStr">
        <is>
          <t>72-23-21</t>
        </is>
      </c>
      <c r="F2421" s="31" t="inlineStr">
        <is>
          <t>SB00</t>
        </is>
      </c>
      <c r="G2421" s="31" t="inlineStr">
        <is>
          <t>Fan / booster</t>
        </is>
      </c>
      <c r="H2421" s="27" t="n">
        <v>365</v>
      </c>
      <c r="I2421" s="27" t="n">
        <v>390</v>
      </c>
      <c r="J2421" s="154">
        <f>I2421/H2421-1</f>
        <v/>
      </c>
      <c r="K2421" s="31" t="inlineStr">
        <is>
          <t>8</t>
        </is>
      </c>
      <c r="L2421" s="31" t="inlineStr">
        <is>
          <t>8</t>
        </is>
      </c>
      <c r="M2421" s="31" t="inlineStr">
        <is>
          <t>S2</t>
        </is>
      </c>
      <c r="N2421" s="31" t="inlineStr">
        <is>
          <t>S4</t>
        </is>
      </c>
      <c r="O2421" s="31" t="inlineStr">
        <is>
          <t>338-020-703-0</t>
        </is>
      </c>
      <c r="P2421" s="31" t="inlineStr">
        <is>
          <t>SR Technics Switzerland</t>
        </is>
      </c>
    </row>
    <row r="2422">
      <c r="B2422" s="31" t="inlineStr">
        <is>
          <t>CFM56-5B</t>
        </is>
      </c>
      <c r="C2422" s="31" t="inlineStr">
        <is>
          <t>2025-2026</t>
        </is>
      </c>
      <c r="D2422" s="31" t="inlineStr">
        <is>
          <t>73191</t>
        </is>
      </c>
      <c r="E2422" s="31" t="inlineStr">
        <is>
          <t>72-23-21</t>
        </is>
      </c>
      <c r="F2422" s="31" t="inlineStr">
        <is>
          <t>A</t>
        </is>
      </c>
      <c r="G2422" s="31" t="inlineStr">
        <is>
          <t>Fan / booster</t>
        </is>
      </c>
      <c r="H2422" s="27" t="n">
        <v>520</v>
      </c>
      <c r="I2422" s="27" t="n">
        <v>550</v>
      </c>
      <c r="J2422" s="154">
        <f>I2422/H2422-1</f>
        <v/>
      </c>
      <c r="K2422" s="31" t="inlineStr">
        <is>
          <t>8</t>
        </is>
      </c>
      <c r="L2422" s="31" t="inlineStr">
        <is>
          <t>8</t>
        </is>
      </c>
      <c r="M2422" s="31" t="inlineStr">
        <is>
          <t>S2</t>
        </is>
      </c>
      <c r="N2422" s="31" t="inlineStr">
        <is>
          <t>S4</t>
        </is>
      </c>
      <c r="O2422" s="31" t="inlineStr">
        <is>
          <t>338-020-603-0</t>
        </is>
      </c>
      <c r="P2422" s="31" t="inlineStr">
        <is>
          <t>SR Technics Switzerland</t>
        </is>
      </c>
    </row>
    <row r="2423">
      <c r="B2423" s="31" t="inlineStr">
        <is>
          <t>CFM56-5B</t>
        </is>
      </c>
      <c r="C2423" s="31" t="inlineStr">
        <is>
          <t>2025-2026</t>
        </is>
      </c>
      <c r="D2423" s="31" t="inlineStr">
        <is>
          <t>73191</t>
        </is>
      </c>
      <c r="E2423" s="31" t="inlineStr">
        <is>
          <t>72-23-21</t>
        </is>
      </c>
      <c r="F2423" s="31" t="inlineStr">
        <is>
          <t>AN</t>
        </is>
      </c>
      <c r="G2423" s="31" t="inlineStr">
        <is>
          <t>Fan / booster</t>
        </is>
      </c>
      <c r="H2423" s="27" t="n">
        <v>690</v>
      </c>
      <c r="I2423" s="27" t="n">
        <v>735</v>
      </c>
      <c r="J2423" s="154">
        <f>I2423/H2423-1</f>
        <v/>
      </c>
      <c r="K2423" s="31" t="inlineStr">
        <is>
          <t>8</t>
        </is>
      </c>
      <c r="L2423" s="31" t="inlineStr">
        <is>
          <t>8</t>
        </is>
      </c>
      <c r="M2423" s="31" t="inlineStr">
        <is>
          <t>S2</t>
        </is>
      </c>
      <c r="N2423" s="31" t="inlineStr">
        <is>
          <t>S4</t>
        </is>
      </c>
      <c r="O2423" s="31" t="inlineStr">
        <is>
          <t>338-020-603-0</t>
        </is>
      </c>
      <c r="P2423" s="31" t="inlineStr">
        <is>
          <t>SR Technics Switzerland</t>
        </is>
      </c>
    </row>
    <row r="2424">
      <c r="B2424" s="31" t="inlineStr">
        <is>
          <t>CFM56-5B</t>
        </is>
      </c>
      <c r="C2424" s="31" t="inlineStr">
        <is>
          <t>2025-2026</t>
        </is>
      </c>
      <c r="D2424" s="31" t="inlineStr">
        <is>
          <t>7611</t>
        </is>
      </c>
      <c r="E2424" s="31" t="inlineStr">
        <is>
          <t>73-21-94</t>
        </is>
      </c>
      <c r="F2424" s="31" t="inlineStr">
        <is>
          <t>A</t>
        </is>
      </c>
      <c r="G2424" s="31" t="inlineStr">
        <is>
          <t>Fuel system</t>
        </is>
      </c>
      <c r="H2424" s="27" t="n">
        <v>360</v>
      </c>
      <c r="I2424" s="27" t="n">
        <v>380</v>
      </c>
      <c r="J2424" s="154">
        <f>I2424/H2424-1</f>
        <v/>
      </c>
      <c r="K2424" s="31" t="inlineStr">
        <is>
          <t>34</t>
        </is>
      </c>
      <c r="L2424" s="31" t="inlineStr">
        <is>
          <t>35</t>
        </is>
      </c>
      <c r="M2424" s="31" t="inlineStr">
        <is>
          <t>S2</t>
        </is>
      </c>
      <c r="N2424" s="31" t="inlineStr">
        <is>
          <t>S4</t>
        </is>
      </c>
      <c r="O2424" s="31" t="inlineStr">
        <is>
          <t>390-610-001-0</t>
        </is>
      </c>
      <c r="P2424" s="31" t="inlineStr">
        <is>
          <t>SR Technics Switzerland</t>
        </is>
      </c>
    </row>
    <row r="2425">
      <c r="B2425" s="31" t="inlineStr">
        <is>
          <t>CFM56-5B</t>
        </is>
      </c>
      <c r="C2425" s="31" t="inlineStr">
        <is>
          <t>2025-2026</t>
        </is>
      </c>
      <c r="D2425" s="31" t="inlineStr">
        <is>
          <t>7611</t>
        </is>
      </c>
      <c r="E2425" s="31" t="inlineStr">
        <is>
          <t>73-21-94</t>
        </is>
      </c>
      <c r="F2425" s="31" t="inlineStr">
        <is>
          <t>B</t>
        </is>
      </c>
      <c r="G2425" s="31" t="inlineStr">
        <is>
          <t>Fuel system</t>
        </is>
      </c>
      <c r="H2425" s="27" t="n">
        <v>810</v>
      </c>
      <c r="I2425" s="27" t="n">
        <v>860</v>
      </c>
      <c r="J2425" s="154">
        <f>I2425/H2425-1</f>
        <v/>
      </c>
      <c r="K2425" s="31" t="inlineStr">
        <is>
          <t>34</t>
        </is>
      </c>
      <c r="L2425" s="31" t="inlineStr">
        <is>
          <t>35</t>
        </is>
      </c>
      <c r="M2425" s="31" t="inlineStr">
        <is>
          <t>S2</t>
        </is>
      </c>
      <c r="N2425" s="31" t="inlineStr">
        <is>
          <t>S4</t>
        </is>
      </c>
      <c r="O2425" s="31" t="inlineStr">
        <is>
          <t>390-610-001-0</t>
        </is>
      </c>
      <c r="P2425" s="31" t="inlineStr">
        <is>
          <t>SR Technics Switzerland</t>
        </is>
      </c>
    </row>
    <row r="2426">
      <c r="B2426" s="31" t="inlineStr">
        <is>
          <t>CFM56-5B</t>
        </is>
      </c>
      <c r="C2426" s="31" t="inlineStr">
        <is>
          <t>2025-2026</t>
        </is>
      </c>
      <c r="D2426" s="31" t="inlineStr">
        <is>
          <t>7611</t>
        </is>
      </c>
      <c r="E2426" s="31" t="inlineStr">
        <is>
          <t>73-21-94</t>
        </is>
      </c>
      <c r="F2426" s="31" t="inlineStr">
        <is>
          <t>C</t>
        </is>
      </c>
      <c r="G2426" s="31" t="inlineStr">
        <is>
          <t>Fuel system</t>
        </is>
      </c>
      <c r="H2426" s="27" t="n">
        <v>1225</v>
      </c>
      <c r="I2426" s="27" t="n">
        <v>1300</v>
      </c>
      <c r="J2426" s="154">
        <f>I2426/H2426-1</f>
        <v/>
      </c>
      <c r="K2426" s="31" t="inlineStr">
        <is>
          <t>34</t>
        </is>
      </c>
      <c r="L2426" s="31" t="inlineStr">
        <is>
          <t>35</t>
        </is>
      </c>
      <c r="M2426" s="31" t="inlineStr">
        <is>
          <t>S2</t>
        </is>
      </c>
      <c r="N2426" s="31" t="inlineStr">
        <is>
          <t>S4</t>
        </is>
      </c>
      <c r="O2426" s="31" t="inlineStr">
        <is>
          <t>390-610-001-0</t>
        </is>
      </c>
      <c r="P2426" s="31" t="inlineStr">
        <is>
          <t>SR Technics Switzerland</t>
        </is>
      </c>
    </row>
    <row r="2427">
      <c r="B2427" s="31" t="inlineStr">
        <is>
          <t>CFM56-5B</t>
        </is>
      </c>
      <c r="C2427" s="31" t="inlineStr">
        <is>
          <t>2025-2026</t>
        </is>
      </c>
      <c r="D2427" s="31" t="inlineStr">
        <is>
          <t>7611</t>
        </is>
      </c>
      <c r="E2427" s="31" t="inlineStr">
        <is>
          <t>73-21-94</t>
        </is>
      </c>
      <c r="F2427" s="31" t="inlineStr">
        <is>
          <t>SB01</t>
        </is>
      </c>
      <c r="G2427" s="31" t="inlineStr">
        <is>
          <t>Fuel system</t>
        </is>
      </c>
      <c r="H2427" s="27" t="n">
        <v>325</v>
      </c>
      <c r="I2427" s="27" t="n">
        <v>345</v>
      </c>
      <c r="J2427" s="154">
        <f>I2427/H2427-1</f>
        <v/>
      </c>
      <c r="K2427" s="31" t="inlineStr">
        <is>
          <t>34</t>
        </is>
      </c>
      <c r="L2427" s="31" t="inlineStr">
        <is>
          <t>36</t>
        </is>
      </c>
      <c r="M2427" s="31" t="inlineStr">
        <is>
          <t>S2</t>
        </is>
      </c>
      <c r="N2427" s="31" t="inlineStr">
        <is>
          <t>S4</t>
        </is>
      </c>
      <c r="O2427" s="31" t="inlineStr">
        <is>
          <t>390-610-001-0</t>
        </is>
      </c>
      <c r="P2427" s="31" t="inlineStr">
        <is>
          <t>SR Technics Switzerland</t>
        </is>
      </c>
    </row>
    <row r="2428">
      <c r="B2428" s="31" t="inlineStr">
        <is>
          <t>CFM56-5B</t>
        </is>
      </c>
      <c r="C2428" s="31" t="inlineStr">
        <is>
          <t>2025-2026</t>
        </is>
      </c>
      <c r="D2428" s="31" t="inlineStr">
        <is>
          <t>7611</t>
        </is>
      </c>
      <c r="E2428" s="31" t="inlineStr">
        <is>
          <t>73-21-94</t>
        </is>
      </c>
      <c r="F2428" s="31" t="inlineStr">
        <is>
          <t>SB02</t>
        </is>
      </c>
      <c r="G2428" s="31" t="inlineStr">
        <is>
          <t>Fuel system</t>
        </is>
      </c>
      <c r="H2428" s="27" t="n">
        <v>325</v>
      </c>
      <c r="I2428" s="27" t="n">
        <v>345</v>
      </c>
      <c r="J2428" s="154">
        <f>I2428/H2428-1</f>
        <v/>
      </c>
      <c r="K2428" s="31" t="inlineStr">
        <is>
          <t>34</t>
        </is>
      </c>
      <c r="L2428" s="31" t="inlineStr">
        <is>
          <t>36</t>
        </is>
      </c>
      <c r="M2428" s="31" t="inlineStr">
        <is>
          <t>S2</t>
        </is>
      </c>
      <c r="N2428" s="31" t="inlineStr">
        <is>
          <t>S4</t>
        </is>
      </c>
      <c r="O2428" s="31" t="inlineStr">
        <is>
          <t>390-610-001-0</t>
        </is>
      </c>
      <c r="P2428" s="31" t="inlineStr">
        <is>
          <t>SR Technics Switzerland</t>
        </is>
      </c>
    </row>
    <row r="2429">
      <c r="B2429" s="31" t="inlineStr">
        <is>
          <t>CFM56-5B</t>
        </is>
      </c>
      <c r="C2429" s="31" t="inlineStr">
        <is>
          <t>2025-2026</t>
        </is>
      </c>
      <c r="D2429" s="31" t="inlineStr">
        <is>
          <t>7808</t>
        </is>
      </c>
      <c r="E2429" s="31" t="inlineStr">
        <is>
          <t>72-55-16</t>
        </is>
      </c>
      <c r="F2429" s="31" t="inlineStr">
        <is>
          <t>A</t>
        </is>
      </c>
      <c r="G2429" s="31" t="inlineStr">
        <is>
          <t>LPT</t>
        </is>
      </c>
      <c r="H2429" s="27" t="n">
        <v>365</v>
      </c>
      <c r="I2429" s="27" t="n">
        <v>485</v>
      </c>
      <c r="J2429" s="154">
        <f>I2429/H2429-1</f>
        <v/>
      </c>
      <c r="K2429" s="31" t="inlineStr">
        <is>
          <t>4</t>
        </is>
      </c>
      <c r="L2429" s="31" t="inlineStr">
        <is>
          <t>4</t>
        </is>
      </c>
      <c r="M2429" s="31" t="inlineStr">
        <is>
          <t>S2</t>
        </is>
      </c>
      <c r="N2429" s="31" t="inlineStr">
        <is>
          <t>S4</t>
        </is>
      </c>
      <c r="O2429" s="31" t="inlineStr">
        <is>
          <t>301-546-107-0</t>
        </is>
      </c>
      <c r="P2429" s="31" t="inlineStr">
        <is>
          <t>SR Technics Switzerland</t>
        </is>
      </c>
    </row>
    <row r="2430">
      <c r="B2430" s="31" t="inlineStr">
        <is>
          <t>CFM56-5B</t>
        </is>
      </c>
      <c r="C2430" s="31" t="inlineStr">
        <is>
          <t>2025-2026</t>
        </is>
      </c>
      <c r="D2430" s="31" t="inlineStr">
        <is>
          <t>7808</t>
        </is>
      </c>
      <c r="E2430" s="31" t="inlineStr">
        <is>
          <t>72-55-16</t>
        </is>
      </c>
      <c r="F2430" s="31" t="inlineStr">
        <is>
          <t>E</t>
        </is>
      </c>
      <c r="G2430" s="31" t="inlineStr">
        <is>
          <t>LPT</t>
        </is>
      </c>
      <c r="H2430" s="27" t="n">
        <v>1155</v>
      </c>
      <c r="I2430" s="27" t="n">
        <v>1715</v>
      </c>
      <c r="J2430" s="154">
        <f>I2430/H2430-1</f>
        <v/>
      </c>
      <c r="K2430" s="31" t="inlineStr">
        <is>
          <t>5</t>
        </is>
      </c>
      <c r="L2430" s="31" t="inlineStr">
        <is>
          <t>4</t>
        </is>
      </c>
      <c r="M2430" s="31" t="inlineStr">
        <is>
          <t>S2</t>
        </is>
      </c>
      <c r="N2430" s="31" t="inlineStr">
        <is>
          <t>S4</t>
        </is>
      </c>
      <c r="O2430" s="31" t="inlineStr">
        <is>
          <t>301-546-107-0</t>
        </is>
      </c>
      <c r="P2430" s="31" t="inlineStr">
        <is>
          <t>SR Technics Switzerland</t>
        </is>
      </c>
    </row>
    <row r="2431">
      <c r="B2431" s="31" t="inlineStr">
        <is>
          <t>CFM56-5B</t>
        </is>
      </c>
      <c r="C2431" s="31" t="inlineStr">
        <is>
          <t>2025-2026</t>
        </is>
      </c>
      <c r="D2431" s="31" t="inlineStr">
        <is>
          <t>7808</t>
        </is>
      </c>
      <c r="E2431" s="31" t="inlineStr">
        <is>
          <t>72-55-16</t>
        </is>
      </c>
      <c r="F2431" s="31" t="inlineStr">
        <is>
          <t>F</t>
        </is>
      </c>
      <c r="G2431" s="31" t="inlineStr">
        <is>
          <t>LPT</t>
        </is>
      </c>
      <c r="H2431" s="27" t="n">
        <v>220</v>
      </c>
      <c r="I2431" s="27" t="n">
        <v>235</v>
      </c>
      <c r="J2431" s="154">
        <f>I2431/H2431-1</f>
        <v/>
      </c>
      <c r="K2431" s="31" t="inlineStr">
        <is>
          <t>5</t>
        </is>
      </c>
      <c r="L2431" s="31" t="inlineStr">
        <is>
          <t>4</t>
        </is>
      </c>
      <c r="M2431" s="31" t="inlineStr">
        <is>
          <t>S2</t>
        </is>
      </c>
      <c r="N2431" s="31" t="inlineStr">
        <is>
          <t>S4</t>
        </is>
      </c>
      <c r="O2431" s="31" t="inlineStr">
        <is>
          <t>301-546-107-0</t>
        </is>
      </c>
      <c r="P2431" s="31" t="inlineStr">
        <is>
          <t>SR Technics Switzerland</t>
        </is>
      </c>
    </row>
    <row r="2432">
      <c r="B2432" s="31" t="inlineStr">
        <is>
          <t>CFM56-5B</t>
        </is>
      </c>
      <c r="C2432" s="31" t="inlineStr">
        <is>
          <t>2025-2026</t>
        </is>
      </c>
      <c r="D2432" s="31" t="inlineStr">
        <is>
          <t>8457</t>
        </is>
      </c>
      <c r="E2432" s="31" t="inlineStr">
        <is>
          <t>71-00-17</t>
        </is>
      </c>
      <c r="F2432" s="31" t="inlineStr">
        <is>
          <t>A</t>
        </is>
      </c>
      <c r="G2432" s="31" t="inlineStr">
        <is>
          <t>Other / assembly</t>
        </is>
      </c>
      <c r="H2432" s="27" t="n">
        <v>820</v>
      </c>
      <c r="I2432" s="27" t="n">
        <v>865</v>
      </c>
      <c r="J2432" s="154">
        <f>I2432/H2432-1</f>
        <v/>
      </c>
      <c r="K2432" s="31" t="inlineStr">
        <is>
          <t>5</t>
        </is>
      </c>
      <c r="L2432" s="31" t="inlineStr">
        <is>
          <t>4</t>
        </is>
      </c>
      <c r="M2432" s="31" t="inlineStr">
        <is>
          <t>S2</t>
        </is>
      </c>
      <c r="N2432" s="31" t="inlineStr">
        <is>
          <t>S4</t>
        </is>
      </c>
      <c r="O2432" s="31" t="inlineStr">
        <is>
          <t>238-0860-501</t>
        </is>
      </c>
      <c r="P2432" s="31" t="inlineStr">
        <is>
          <t>SR Technics Switzerland</t>
        </is>
      </c>
    </row>
    <row r="2433">
      <c r="B2433" s="31" t="inlineStr">
        <is>
          <t>CFM56-5B</t>
        </is>
      </c>
      <c r="C2433" s="31" t="inlineStr">
        <is>
          <t>2025-2026</t>
        </is>
      </c>
      <c r="D2433" s="31" t="inlineStr">
        <is>
          <t>8457</t>
        </is>
      </c>
      <c r="E2433" s="31" t="inlineStr">
        <is>
          <t>71-00-17</t>
        </is>
      </c>
      <c r="F2433" s="31" t="inlineStr">
        <is>
          <t>F</t>
        </is>
      </c>
      <c r="G2433" s="31" t="inlineStr">
        <is>
          <t>Other / assembly</t>
        </is>
      </c>
      <c r="H2433" s="27" t="n">
        <v>300</v>
      </c>
      <c r="I2433" s="27" t="n">
        <v>320</v>
      </c>
      <c r="J2433" s="154">
        <f>I2433/H2433-1</f>
        <v/>
      </c>
      <c r="K2433" s="31" t="inlineStr">
        <is>
          <t>5</t>
        </is>
      </c>
      <c r="L2433" s="31" t="inlineStr">
        <is>
          <t>4</t>
        </is>
      </c>
      <c r="M2433" s="31" t="inlineStr">
        <is>
          <t>S2</t>
        </is>
      </c>
      <c r="N2433" s="31" t="inlineStr">
        <is>
          <t>S4</t>
        </is>
      </c>
      <c r="O2433" s="31" t="inlineStr">
        <is>
          <t>238-0860-501</t>
        </is>
      </c>
      <c r="P2433" s="31" t="inlineStr">
        <is>
          <t>SR Technics Switzerland</t>
        </is>
      </c>
    </row>
    <row r="2434">
      <c r="B2434" s="31" t="inlineStr">
        <is>
          <t>CFM56-5B</t>
        </is>
      </c>
      <c r="C2434" s="31" t="inlineStr">
        <is>
          <t>2025-2026</t>
        </is>
      </c>
      <c r="D2434" s="31" t="inlineStr">
        <is>
          <t>8457</t>
        </is>
      </c>
      <c r="E2434" s="31" t="inlineStr">
        <is>
          <t>71-00-17</t>
        </is>
      </c>
      <c r="F2434" s="31" t="inlineStr">
        <is>
          <t>G</t>
        </is>
      </c>
      <c r="G2434" s="31" t="inlineStr">
        <is>
          <t>Other / assembly</t>
        </is>
      </c>
      <c r="H2434" s="27" t="n">
        <v>350</v>
      </c>
      <c r="I2434" s="27" t="n">
        <v>375</v>
      </c>
      <c r="J2434" s="154">
        <f>I2434/H2434-1</f>
        <v/>
      </c>
      <c r="K2434" s="31" t="inlineStr">
        <is>
          <t>5</t>
        </is>
      </c>
      <c r="L2434" s="31" t="inlineStr">
        <is>
          <t>4</t>
        </is>
      </c>
      <c r="M2434" s="31" t="inlineStr">
        <is>
          <t>S2</t>
        </is>
      </c>
      <c r="N2434" s="31" t="inlineStr">
        <is>
          <t>S4</t>
        </is>
      </c>
      <c r="O2434" s="31" t="inlineStr">
        <is>
          <t>238-0860-501</t>
        </is>
      </c>
      <c r="P2434" s="31" t="inlineStr">
        <is>
          <t>SR Technics Switzerland</t>
        </is>
      </c>
    </row>
    <row r="2435">
      <c r="B2435" s="31" t="inlineStr">
        <is>
          <t>CFM56-5B</t>
        </is>
      </c>
      <c r="C2435" s="31" t="inlineStr">
        <is>
          <t>2025-2026</t>
        </is>
      </c>
      <c r="D2435" s="31" t="inlineStr">
        <is>
          <t>8457</t>
        </is>
      </c>
      <c r="E2435" s="31" t="inlineStr">
        <is>
          <t>71-00-17</t>
        </is>
      </c>
      <c r="F2435" s="31" t="inlineStr">
        <is>
          <t>H</t>
        </is>
      </c>
      <c r="G2435" s="31" t="inlineStr">
        <is>
          <t>Other / assembly</t>
        </is>
      </c>
      <c r="H2435" s="27" t="n">
        <v>305</v>
      </c>
      <c r="I2435" s="27" t="n">
        <v>325</v>
      </c>
      <c r="J2435" s="154">
        <f>I2435/H2435-1</f>
        <v/>
      </c>
      <c r="K2435" s="31" t="inlineStr">
        <is>
          <t>5</t>
        </is>
      </c>
      <c r="L2435" s="31" t="inlineStr">
        <is>
          <t>4</t>
        </is>
      </c>
      <c r="M2435" s="31" t="inlineStr">
        <is>
          <t>S2</t>
        </is>
      </c>
      <c r="N2435" s="31" t="inlineStr">
        <is>
          <t>S4</t>
        </is>
      </c>
      <c r="O2435" s="31" t="inlineStr">
        <is>
          <t>238-0860-501</t>
        </is>
      </c>
      <c r="P2435" s="31" t="inlineStr">
        <is>
          <t>SR Technics Switzerland</t>
        </is>
      </c>
    </row>
    <row r="2436">
      <c r="B2436" s="31" t="inlineStr">
        <is>
          <t>CFM56-5B</t>
        </is>
      </c>
      <c r="C2436" s="31" t="inlineStr">
        <is>
          <t>2025-2026</t>
        </is>
      </c>
      <c r="D2436" s="31" t="inlineStr">
        <is>
          <t>8457</t>
        </is>
      </c>
      <c r="E2436" s="31" t="inlineStr">
        <is>
          <t>71-00-17</t>
        </is>
      </c>
      <c r="F2436" s="31" t="inlineStr">
        <is>
          <t>I</t>
        </is>
      </c>
      <c r="G2436" s="31" t="inlineStr">
        <is>
          <t>Other / assembly</t>
        </is>
      </c>
      <c r="H2436" s="27" t="n">
        <v>330</v>
      </c>
      <c r="I2436" s="27" t="n">
        <v>350</v>
      </c>
      <c r="J2436" s="154">
        <f>I2436/H2436-1</f>
        <v/>
      </c>
      <c r="K2436" s="31" t="inlineStr">
        <is>
          <t>5</t>
        </is>
      </c>
      <c r="L2436" s="31" t="inlineStr">
        <is>
          <t>4</t>
        </is>
      </c>
      <c r="M2436" s="31" t="inlineStr">
        <is>
          <t>S2</t>
        </is>
      </c>
      <c r="N2436" s="31" t="inlineStr">
        <is>
          <t>S4</t>
        </is>
      </c>
      <c r="O2436" s="31" t="inlineStr">
        <is>
          <t>238-0860-501</t>
        </is>
      </c>
      <c r="P2436" s="31" t="inlineStr">
        <is>
          <t>SR Technics Switzerland</t>
        </is>
      </c>
    </row>
    <row r="2437">
      <c r="B2437" s="31" t="inlineStr">
        <is>
          <t>CFM56-5B</t>
        </is>
      </c>
      <c r="C2437" s="31" t="inlineStr">
        <is>
          <t>2025-2026</t>
        </is>
      </c>
      <c r="D2437" s="31" t="inlineStr">
        <is>
          <t>8457</t>
        </is>
      </c>
      <c r="E2437" s="31" t="inlineStr">
        <is>
          <t>71-00-17</t>
        </is>
      </c>
      <c r="F2437" s="31" t="inlineStr">
        <is>
          <t>J</t>
        </is>
      </c>
      <c r="G2437" s="31" t="inlineStr">
        <is>
          <t>Other / assembly</t>
        </is>
      </c>
      <c r="H2437" s="27" t="n">
        <v>505</v>
      </c>
      <c r="I2437" s="27" t="n">
        <v>540</v>
      </c>
      <c r="J2437" s="154">
        <f>I2437/H2437-1</f>
        <v/>
      </c>
      <c r="K2437" s="31" t="inlineStr">
        <is>
          <t>5</t>
        </is>
      </c>
      <c r="L2437" s="31" t="inlineStr">
        <is>
          <t>4</t>
        </is>
      </c>
      <c r="M2437" s="31" t="inlineStr">
        <is>
          <t>S2</t>
        </is>
      </c>
      <c r="N2437" s="31" t="inlineStr">
        <is>
          <t>S4</t>
        </is>
      </c>
      <c r="O2437" s="31" t="inlineStr">
        <is>
          <t>238-0860-501</t>
        </is>
      </c>
      <c r="P2437" s="31" t="inlineStr">
        <is>
          <t>SR Technics Switzerland</t>
        </is>
      </c>
    </row>
    <row r="2438">
      <c r="B2438" s="31" t="inlineStr">
        <is>
          <t>CFM56-5B</t>
        </is>
      </c>
      <c r="C2438" s="31" t="inlineStr">
        <is>
          <t>2025-2026</t>
        </is>
      </c>
      <c r="D2438" s="31" t="inlineStr">
        <is>
          <t>8459</t>
        </is>
      </c>
      <c r="E2438" s="31" t="inlineStr">
        <is>
          <t>71-70-00</t>
        </is>
      </c>
      <c r="F2438" s="31" t="inlineStr">
        <is>
          <t>M</t>
        </is>
      </c>
      <c r="G2438" s="31" t="inlineStr">
        <is>
          <t>Other / assembly</t>
        </is>
      </c>
      <c r="H2438" s="27" t="n">
        <v>1910</v>
      </c>
      <c r="I2438" s="27" t="n">
        <v>2025</v>
      </c>
      <c r="J2438" s="154">
        <f>I2438/H2438-1</f>
        <v/>
      </c>
      <c r="K2438" s="31" t="inlineStr">
        <is>
          <t>35</t>
        </is>
      </c>
      <c r="L2438" s="31" t="inlineStr">
        <is>
          <t>36</t>
        </is>
      </c>
      <c r="M2438" s="31" t="inlineStr">
        <is>
          <t>S2</t>
        </is>
      </c>
      <c r="N2438" s="31" t="inlineStr">
        <is>
          <t>S4</t>
        </is>
      </c>
      <c r="O2438" s="31" t="inlineStr">
        <is>
          <t>238-0802-503</t>
        </is>
      </c>
      <c r="P2438" s="31" t="inlineStr">
        <is>
          <t>SR Technics Switzerland</t>
        </is>
      </c>
    </row>
    <row r="2439">
      <c r="B2439" s="31" t="inlineStr">
        <is>
          <t>CFM56-5B</t>
        </is>
      </c>
      <c r="C2439" s="31" t="inlineStr">
        <is>
          <t>2025-2026</t>
        </is>
      </c>
      <c r="D2439" s="31" t="inlineStr">
        <is>
          <t>8521</t>
        </is>
      </c>
      <c r="E2439" s="31" t="inlineStr">
        <is>
          <t>72-51-08</t>
        </is>
      </c>
      <c r="F2439" s="31" t="inlineStr">
        <is>
          <t>A</t>
        </is>
      </c>
      <c r="G2439" s="31" t="inlineStr">
        <is>
          <t>HPT / nozzle</t>
        </is>
      </c>
      <c r="H2439" s="27" t="n">
        <v>1055</v>
      </c>
      <c r="I2439" s="27" t="n">
        <v>1110</v>
      </c>
      <c r="J2439" s="154">
        <f>I2439/H2439-1</f>
        <v/>
      </c>
      <c r="K2439" s="31" t="inlineStr">
        <is>
          <t>5</t>
        </is>
      </c>
      <c r="L2439" s="31" t="inlineStr">
        <is>
          <t>4</t>
        </is>
      </c>
      <c r="M2439" s="31" t="inlineStr">
        <is>
          <t>S2</t>
        </is>
      </c>
      <c r="N2439" s="31" t="inlineStr">
        <is>
          <t>S4</t>
        </is>
      </c>
      <c r="O2439" s="31" t="inlineStr">
        <is>
          <t>1358M35G02</t>
        </is>
      </c>
      <c r="P2439" s="31" t="inlineStr">
        <is>
          <t>SR Technics Switzerland</t>
        </is>
      </c>
    </row>
    <row r="2440">
      <c r="B2440" s="31" t="inlineStr">
        <is>
          <t>CFM56-5B</t>
        </is>
      </c>
      <c r="C2440" s="31" t="inlineStr">
        <is>
          <t>2025-2026</t>
        </is>
      </c>
      <c r="D2440" s="31" t="inlineStr">
        <is>
          <t>8521</t>
        </is>
      </c>
      <c r="E2440" s="31" t="inlineStr">
        <is>
          <t>72-51-08</t>
        </is>
      </c>
      <c r="F2440" s="31" t="inlineStr">
        <is>
          <t>C</t>
        </is>
      </c>
      <c r="G2440" s="31" t="inlineStr">
        <is>
          <t>HPT / nozzle</t>
        </is>
      </c>
      <c r="H2440" s="27" t="n">
        <v>1940</v>
      </c>
      <c r="I2440" s="27" t="n">
        <v>2060</v>
      </c>
      <c r="J2440" s="154">
        <f>I2440/H2440-1</f>
        <v/>
      </c>
      <c r="K2440" s="31" t="inlineStr">
        <is>
          <t>5</t>
        </is>
      </c>
      <c r="L2440" s="31" t="inlineStr">
        <is>
          <t>4</t>
        </is>
      </c>
      <c r="M2440" s="31" t="inlineStr">
        <is>
          <t>S2</t>
        </is>
      </c>
      <c r="N2440" s="31" t="inlineStr">
        <is>
          <t>S4</t>
        </is>
      </c>
      <c r="O2440" s="31" t="inlineStr">
        <is>
          <t>1358M35G02</t>
        </is>
      </c>
      <c r="P2440" s="31" t="inlineStr">
        <is>
          <t>SR Technics Switzerland</t>
        </is>
      </c>
    </row>
    <row r="2441">
      <c r="B2441" s="31" t="inlineStr">
        <is>
          <t>CFM56-5B</t>
        </is>
      </c>
      <c r="C2441" s="31" t="inlineStr">
        <is>
          <t>2025-2026</t>
        </is>
      </c>
      <c r="D2441" s="31" t="inlineStr">
        <is>
          <t>8521</t>
        </is>
      </c>
      <c r="E2441" s="31" t="inlineStr">
        <is>
          <t>72-51-08</t>
        </is>
      </c>
      <c r="F2441" s="31" t="inlineStr">
        <is>
          <t>SB00</t>
        </is>
      </c>
      <c r="G2441" s="31" t="inlineStr">
        <is>
          <t>HPT / nozzle</t>
        </is>
      </c>
      <c r="H2441" s="27" t="n">
        <v>300</v>
      </c>
      <c r="I2441" s="27" t="n">
        <v>320</v>
      </c>
      <c r="J2441" s="154">
        <f>I2441/H2441-1</f>
        <v/>
      </c>
      <c r="K2441" s="31" t="inlineStr">
        <is>
          <t>5</t>
        </is>
      </c>
      <c r="L2441" s="31" t="inlineStr">
        <is>
          <t>4</t>
        </is>
      </c>
      <c r="M2441" s="31" t="inlineStr">
        <is>
          <t>S2</t>
        </is>
      </c>
      <c r="N2441" s="31" t="inlineStr">
        <is>
          <t>S4</t>
        </is>
      </c>
      <c r="O2441" s="31" t="inlineStr">
        <is>
          <t>1358M35G02</t>
        </is>
      </c>
      <c r="P2441" s="31" t="inlineStr">
        <is>
          <t>SR Technics Switzerland</t>
        </is>
      </c>
    </row>
    <row r="2442">
      <c r="B2442" s="31" t="inlineStr">
        <is>
          <t>CFM56-5B</t>
        </is>
      </c>
      <c r="C2442" s="31" t="inlineStr">
        <is>
          <t>2025-2026</t>
        </is>
      </c>
      <c r="D2442" s="31" t="inlineStr">
        <is>
          <t>8527</t>
        </is>
      </c>
      <c r="E2442" s="31" t="inlineStr">
        <is>
          <t>72-22-12</t>
        </is>
      </c>
      <c r="F2442" s="31" t="inlineStr">
        <is>
          <t>A</t>
        </is>
      </c>
      <c r="G2442" s="31" t="inlineStr">
        <is>
          <t>Fan / booster</t>
        </is>
      </c>
      <c r="H2442" s="27" t="n">
        <v>780</v>
      </c>
      <c r="I2442" s="27" t="n">
        <v>820</v>
      </c>
      <c r="J2442" s="154">
        <f>I2442/H2442-1</f>
        <v/>
      </c>
      <c r="K2442" s="31" t="inlineStr">
        <is>
          <t>5</t>
        </is>
      </c>
      <c r="L2442" s="31" t="inlineStr">
        <is>
          <t>4</t>
        </is>
      </c>
      <c r="M2442" s="31" t="inlineStr">
        <is>
          <t>S2</t>
        </is>
      </c>
      <c r="N2442" s="31" t="inlineStr">
        <is>
          <t>S4</t>
        </is>
      </c>
      <c r="O2442" s="31" t="inlineStr">
        <is>
          <t>301-297-812-0</t>
        </is>
      </c>
      <c r="P2442" s="31" t="inlineStr">
        <is>
          <t>SR Technics Switzerland</t>
        </is>
      </c>
    </row>
    <row r="2443">
      <c r="B2443" s="31" t="inlineStr">
        <is>
          <t>CFM56-7B</t>
        </is>
      </c>
      <c r="C2443" s="31" t="inlineStr">
        <is>
          <t>2025-2026</t>
        </is>
      </c>
      <c r="D2443" s="31" t="inlineStr">
        <is>
          <t>11542</t>
        </is>
      </c>
      <c r="E2443" s="31" t="inlineStr">
        <is>
          <t>72-23-35</t>
        </is>
      </c>
      <c r="F2443" s="31" t="inlineStr">
        <is>
          <t>B</t>
        </is>
      </c>
      <c r="G2443" s="31" t="inlineStr">
        <is>
          <t>Fan / booster</t>
        </is>
      </c>
      <c r="H2443" s="27" t="n">
        <v>170</v>
      </c>
      <c r="I2443" s="27" t="n">
        <v>185</v>
      </c>
      <c r="J2443" s="154">
        <f>I2443/H2443-1</f>
        <v/>
      </c>
      <c r="K2443" s="31" t="inlineStr">
        <is>
          <t>33</t>
        </is>
      </c>
      <c r="L2443" s="31" t="inlineStr">
        <is>
          <t>33</t>
        </is>
      </c>
      <c r="M2443" s="31" t="inlineStr">
        <is>
          <t>S3</t>
        </is>
      </c>
      <c r="N2443" s="31" t="inlineStr">
        <is>
          <t>S5</t>
        </is>
      </c>
      <c r="O2443" s="31" t="inlineStr">
        <is>
          <t>301-792-202-0</t>
        </is>
      </c>
      <c r="P2443" s="31" t="inlineStr">
        <is>
          <t>SR Technics Switzerland</t>
        </is>
      </c>
    </row>
    <row r="2444">
      <c r="B2444" s="31" t="inlineStr">
        <is>
          <t>CFM56-7B</t>
        </is>
      </c>
      <c r="C2444" s="31" t="inlineStr">
        <is>
          <t>2025-2026</t>
        </is>
      </c>
      <c r="D2444" s="31" t="inlineStr">
        <is>
          <t>11542</t>
        </is>
      </c>
      <c r="E2444" s="31" t="inlineStr">
        <is>
          <t>72-23-35</t>
        </is>
      </c>
      <c r="F2444" s="31" t="inlineStr">
        <is>
          <t>SB03</t>
        </is>
      </c>
      <c r="G2444" s="31" t="inlineStr">
        <is>
          <t>Fan / booster</t>
        </is>
      </c>
      <c r="H2444" s="27" t="n">
        <v>175</v>
      </c>
      <c r="I2444" s="27" t="n">
        <v>190</v>
      </c>
      <c r="J2444" s="154">
        <f>I2444/H2444-1</f>
        <v/>
      </c>
      <c r="K2444" s="31" t="inlineStr">
        <is>
          <t>33</t>
        </is>
      </c>
      <c r="L2444" s="31" t="inlineStr">
        <is>
          <t>33</t>
        </is>
      </c>
      <c r="M2444" s="31" t="inlineStr">
        <is>
          <t>S3</t>
        </is>
      </c>
      <c r="N2444" s="31" t="inlineStr">
        <is>
          <t>S5</t>
        </is>
      </c>
      <c r="O2444" s="31" t="inlineStr">
        <is>
          <t>301-792-202-0</t>
        </is>
      </c>
      <c r="P2444" s="31" t="inlineStr">
        <is>
          <t>SR Technics Switzerland</t>
        </is>
      </c>
    </row>
    <row r="2445">
      <c r="B2445" s="31" t="inlineStr">
        <is>
          <t>CFM56-7B</t>
        </is>
      </c>
      <c r="C2445" s="31" t="inlineStr">
        <is>
          <t>2025-2026</t>
        </is>
      </c>
      <c r="D2445" s="31" t="inlineStr">
        <is>
          <t>1291</t>
        </is>
      </c>
      <c r="E2445" s="31" t="inlineStr">
        <is>
          <t>72-22-01</t>
        </is>
      </c>
      <c r="F2445" s="31" t="inlineStr">
        <is>
          <t>B</t>
        </is>
      </c>
      <c r="G2445" s="31" t="inlineStr">
        <is>
          <t>Fan / booster</t>
        </is>
      </c>
      <c r="H2445" s="27" t="n">
        <v>4135</v>
      </c>
      <c r="I2445" s="27" t="n">
        <v>4385</v>
      </c>
      <c r="J2445" s="154">
        <f>I2445/H2445-1</f>
        <v/>
      </c>
      <c r="K2445" s="31" t="inlineStr">
        <is>
          <t>2</t>
        </is>
      </c>
      <c r="L2445" s="31" t="inlineStr">
        <is>
          <t>2</t>
        </is>
      </c>
      <c r="M2445" s="31" t="inlineStr">
        <is>
          <t>S3</t>
        </is>
      </c>
      <c r="N2445" s="31" t="inlineStr">
        <is>
          <t>S5</t>
        </is>
      </c>
      <c r="O2445" s="31" t="inlineStr">
        <is>
          <t>335-006-414-0</t>
        </is>
      </c>
      <c r="P2445" s="31" t="inlineStr">
        <is>
          <t>SR Technics Switzerland</t>
        </is>
      </c>
    </row>
    <row r="2446">
      <c r="B2446" s="31" t="inlineStr">
        <is>
          <t>CFM56-7B</t>
        </is>
      </c>
      <c r="C2446" s="31" t="inlineStr">
        <is>
          <t>2025-2026</t>
        </is>
      </c>
      <c r="D2446" s="31" t="inlineStr">
        <is>
          <t>1291</t>
        </is>
      </c>
      <c r="E2446" s="31" t="inlineStr">
        <is>
          <t>72-22-01</t>
        </is>
      </c>
      <c r="F2446" s="31" t="inlineStr">
        <is>
          <t>D</t>
        </is>
      </c>
      <c r="G2446" s="31" t="inlineStr">
        <is>
          <t>Fan / booster</t>
        </is>
      </c>
      <c r="H2446" s="27" t="n">
        <v>1275</v>
      </c>
      <c r="I2446" s="27" t="n">
        <v>1355</v>
      </c>
      <c r="J2446" s="154">
        <f>I2446/H2446-1</f>
        <v/>
      </c>
      <c r="K2446" s="31" t="inlineStr">
        <is>
          <t>2</t>
        </is>
      </c>
      <c r="L2446" s="31" t="inlineStr">
        <is>
          <t>2</t>
        </is>
      </c>
      <c r="M2446" s="31" t="inlineStr">
        <is>
          <t>S3</t>
        </is>
      </c>
      <c r="N2446" s="31" t="inlineStr">
        <is>
          <t>S5</t>
        </is>
      </c>
      <c r="O2446" s="31" t="inlineStr">
        <is>
          <t>335-006-414-0</t>
        </is>
      </c>
      <c r="P2446" s="31" t="inlineStr">
        <is>
          <t>SR Technics Switzerland</t>
        </is>
      </c>
    </row>
    <row r="2447">
      <c r="B2447" s="31" t="inlineStr">
        <is>
          <t>CFM56-7B</t>
        </is>
      </c>
      <c r="C2447" s="31" t="inlineStr">
        <is>
          <t>2025-2026</t>
        </is>
      </c>
      <c r="D2447" s="31" t="inlineStr">
        <is>
          <t>1291</t>
        </is>
      </c>
      <c r="E2447" s="31" t="inlineStr">
        <is>
          <t>72-22-01</t>
        </is>
      </c>
      <c r="F2447" s="31" t="inlineStr">
        <is>
          <t>G</t>
        </is>
      </c>
      <c r="G2447" s="31" t="inlineStr">
        <is>
          <t>Fan / booster</t>
        </is>
      </c>
      <c r="H2447" s="27" t="n">
        <v>3620</v>
      </c>
      <c r="I2447" s="27" t="n">
        <v>3840</v>
      </c>
      <c r="J2447" s="154">
        <f>I2447/H2447-1</f>
        <v/>
      </c>
      <c r="K2447" s="31" t="inlineStr">
        <is>
          <t>2</t>
        </is>
      </c>
      <c r="L2447" s="31" t="inlineStr">
        <is>
          <t>2</t>
        </is>
      </c>
      <c r="M2447" s="31" t="inlineStr">
        <is>
          <t>S3</t>
        </is>
      </c>
      <c r="N2447" s="31" t="inlineStr">
        <is>
          <t>S5</t>
        </is>
      </c>
      <c r="O2447" s="31" t="inlineStr">
        <is>
          <t>335-006-414-0</t>
        </is>
      </c>
      <c r="P2447" s="31" t="inlineStr">
        <is>
          <t>SR Technics Switzerland</t>
        </is>
      </c>
    </row>
    <row r="2448">
      <c r="B2448" s="31" t="inlineStr">
        <is>
          <t>CFM56-7B</t>
        </is>
      </c>
      <c r="C2448" s="31" t="inlineStr">
        <is>
          <t>2025-2026</t>
        </is>
      </c>
      <c r="D2448" s="31" t="inlineStr">
        <is>
          <t>1291</t>
        </is>
      </c>
      <c r="E2448" s="31" t="inlineStr">
        <is>
          <t>72-22-01</t>
        </is>
      </c>
      <c r="F2448" s="31" t="inlineStr">
        <is>
          <t>O</t>
        </is>
      </c>
      <c r="G2448" s="31" t="inlineStr">
        <is>
          <t>Fan / booster</t>
        </is>
      </c>
      <c r="H2448" s="27" t="n">
        <v>4295</v>
      </c>
      <c r="I2448" s="27" t="n">
        <v>4555</v>
      </c>
      <c r="J2448" s="154">
        <f>I2448/H2448-1</f>
        <v/>
      </c>
      <c r="K2448" s="31" t="inlineStr">
        <is>
          <t>2</t>
        </is>
      </c>
      <c r="L2448" s="31" t="inlineStr">
        <is>
          <t>2</t>
        </is>
      </c>
      <c r="M2448" s="31" t="inlineStr">
        <is>
          <t>S3</t>
        </is>
      </c>
      <c r="N2448" s="31" t="inlineStr">
        <is>
          <t>S5</t>
        </is>
      </c>
      <c r="O2448" s="31" t="inlineStr">
        <is>
          <t>335-006-414-0</t>
        </is>
      </c>
      <c r="P2448" s="31" t="inlineStr">
        <is>
          <t>SR Technics Switzerland</t>
        </is>
      </c>
    </row>
    <row r="2449">
      <c r="B2449" s="31" t="inlineStr">
        <is>
          <t>CFM56-7B</t>
        </is>
      </c>
      <c r="C2449" s="31" t="inlineStr">
        <is>
          <t>2025-2026</t>
        </is>
      </c>
      <c r="D2449" s="31" t="inlineStr">
        <is>
          <t>1291</t>
        </is>
      </c>
      <c r="E2449" s="31" t="inlineStr">
        <is>
          <t>72-22-01</t>
        </is>
      </c>
      <c r="F2449" s="31" t="inlineStr">
        <is>
          <t>R</t>
        </is>
      </c>
      <c r="G2449" s="31" t="inlineStr">
        <is>
          <t>Fan / booster</t>
        </is>
      </c>
      <c r="H2449" s="27" t="n">
        <v>1195</v>
      </c>
      <c r="I2449" s="27" t="n">
        <v>1270</v>
      </c>
      <c r="J2449" s="154">
        <f>I2449/H2449-1</f>
        <v/>
      </c>
      <c r="K2449" s="31" t="inlineStr">
        <is>
          <t>2</t>
        </is>
      </c>
      <c r="L2449" s="31" t="inlineStr">
        <is>
          <t>2</t>
        </is>
      </c>
      <c r="M2449" s="31" t="inlineStr">
        <is>
          <t>S3</t>
        </is>
      </c>
      <c r="N2449" s="31" t="inlineStr">
        <is>
          <t>S5</t>
        </is>
      </c>
      <c r="O2449" s="31" t="inlineStr">
        <is>
          <t>335-006-414-0</t>
        </is>
      </c>
      <c r="P2449" s="31" t="inlineStr">
        <is>
          <t>SR Technics Switzerland</t>
        </is>
      </c>
    </row>
    <row r="2450">
      <c r="B2450" s="31" t="inlineStr">
        <is>
          <t>CFM56-7B</t>
        </is>
      </c>
      <c r="C2450" s="31" t="inlineStr">
        <is>
          <t>2025-2026</t>
        </is>
      </c>
      <c r="D2450" s="31" t="inlineStr">
        <is>
          <t>1291</t>
        </is>
      </c>
      <c r="E2450" s="31" t="inlineStr">
        <is>
          <t>72-22-01</t>
        </is>
      </c>
      <c r="F2450" s="31" t="inlineStr">
        <is>
          <t>SB00</t>
        </is>
      </c>
      <c r="G2450" s="31" t="inlineStr">
        <is>
          <t>Fan / booster</t>
        </is>
      </c>
      <c r="H2450" s="27" t="n">
        <v>400</v>
      </c>
      <c r="I2450" s="27" t="n">
        <v>425</v>
      </c>
      <c r="J2450" s="154">
        <f>I2450/H2450-1</f>
        <v/>
      </c>
      <c r="K2450" s="31" t="inlineStr">
        <is>
          <t>2</t>
        </is>
      </c>
      <c r="L2450" s="31" t="inlineStr">
        <is>
          <t>2</t>
        </is>
      </c>
      <c r="M2450" s="31" t="inlineStr">
        <is>
          <t>S3</t>
        </is>
      </c>
      <c r="N2450" s="31" t="inlineStr">
        <is>
          <t>S5</t>
        </is>
      </c>
      <c r="O2450" s="31" t="inlineStr">
        <is>
          <t>335-006-414-0</t>
        </is>
      </c>
      <c r="P2450" s="31" t="inlineStr">
        <is>
          <t>SR Technics Switzerland</t>
        </is>
      </c>
    </row>
    <row r="2451">
      <c r="B2451" s="31" t="inlineStr">
        <is>
          <t>CFM56-7B</t>
        </is>
      </c>
      <c r="C2451" s="31" t="inlineStr">
        <is>
          <t>2025-2026</t>
        </is>
      </c>
      <c r="D2451" s="31" t="inlineStr">
        <is>
          <t>13445</t>
        </is>
      </c>
      <c r="E2451" s="31" t="inlineStr">
        <is>
          <t>72-23-06</t>
        </is>
      </c>
      <c r="F2451" s="31" t="inlineStr">
        <is>
          <t>SB00</t>
        </is>
      </c>
      <c r="G2451" s="31" t="inlineStr">
        <is>
          <t>Fan / booster</t>
        </is>
      </c>
      <c r="H2451" s="27" t="n">
        <v>165</v>
      </c>
      <c r="I2451" s="27" t="n">
        <v>175</v>
      </c>
      <c r="J2451" s="154">
        <f>I2451/H2451-1</f>
        <v/>
      </c>
      <c r="K2451" s="31" t="inlineStr">
        <is>
          <t>7</t>
        </is>
      </c>
      <c r="L2451" s="31" t="inlineStr">
        <is>
          <t>6</t>
        </is>
      </c>
      <c r="M2451" s="31" t="inlineStr">
        <is>
          <t>S3</t>
        </is>
      </c>
      <c r="N2451" s="31" t="inlineStr">
        <is>
          <t>S5</t>
        </is>
      </c>
      <c r="O2451" s="31" t="inlineStr">
        <is>
          <t>340-050-201-0</t>
        </is>
      </c>
      <c r="P2451" s="31" t="inlineStr">
        <is>
          <t>SR Technics Switzerland</t>
        </is>
      </c>
    </row>
    <row r="2452">
      <c r="B2452" s="31" t="inlineStr">
        <is>
          <t>CFM56-7B</t>
        </is>
      </c>
      <c r="C2452" s="31" t="inlineStr">
        <is>
          <t>2025-2026</t>
        </is>
      </c>
      <c r="D2452" s="31" t="inlineStr">
        <is>
          <t>13459</t>
        </is>
      </c>
      <c r="E2452" s="31" t="inlineStr">
        <is>
          <t>72-23-12</t>
        </is>
      </c>
      <c r="F2452" s="31" t="inlineStr">
        <is>
          <t>B</t>
        </is>
      </c>
      <c r="G2452" s="31" t="inlineStr">
        <is>
          <t>Fan / booster</t>
        </is>
      </c>
      <c r="H2452" s="27" t="n">
        <v>575</v>
      </c>
      <c r="I2452" s="27" t="n">
        <v>610</v>
      </c>
      <c r="J2452" s="154">
        <f>I2452/H2452-1</f>
        <v/>
      </c>
      <c r="K2452" s="31" t="inlineStr">
        <is>
          <t>37</t>
        </is>
      </c>
      <c r="L2452" s="31" t="inlineStr">
        <is>
          <t>36</t>
        </is>
      </c>
      <c r="M2452" s="31" t="inlineStr">
        <is>
          <t>S3</t>
        </is>
      </c>
      <c r="N2452" s="31" t="inlineStr">
        <is>
          <t>S5</t>
        </is>
      </c>
      <c r="O2452" s="31" t="inlineStr">
        <is>
          <t>301-417-104-0</t>
        </is>
      </c>
      <c r="P2452" s="31" t="inlineStr">
        <is>
          <t>SR Technics Switzerland</t>
        </is>
      </c>
    </row>
    <row r="2453">
      <c r="B2453" s="31" t="inlineStr">
        <is>
          <t>CFM56-7B</t>
        </is>
      </c>
      <c r="C2453" s="31" t="inlineStr">
        <is>
          <t>2025-2026</t>
        </is>
      </c>
      <c r="D2453" s="31" t="inlineStr">
        <is>
          <t>13471</t>
        </is>
      </c>
      <c r="E2453" s="31" t="inlineStr">
        <is>
          <t>72-23-15</t>
        </is>
      </c>
      <c r="F2453" s="31" t="inlineStr">
        <is>
          <t>C</t>
        </is>
      </c>
      <c r="G2453" s="31" t="inlineStr">
        <is>
          <t>Fan / booster</t>
        </is>
      </c>
      <c r="H2453" s="27" t="n">
        <v>1175</v>
      </c>
      <c r="I2453" s="27" t="n">
        <v>1250</v>
      </c>
      <c r="J2453" s="154">
        <f>I2453/H2453-1</f>
        <v/>
      </c>
      <c r="K2453" s="31" t="inlineStr">
        <is>
          <t>37</t>
        </is>
      </c>
      <c r="L2453" s="31" t="inlineStr">
        <is>
          <t>37</t>
        </is>
      </c>
      <c r="M2453" s="31" t="inlineStr">
        <is>
          <t>S3</t>
        </is>
      </c>
      <c r="N2453" s="31" t="inlineStr">
        <is>
          <t>S5</t>
        </is>
      </c>
      <c r="O2453" s="31" t="inlineStr">
        <is>
          <t>337-100-804-0</t>
        </is>
      </c>
      <c r="P2453" s="31" t="inlineStr">
        <is>
          <t>SR Technics Switzerland</t>
        </is>
      </c>
    </row>
    <row r="2454">
      <c r="B2454" s="31" t="inlineStr">
        <is>
          <t>CFM56-7B</t>
        </is>
      </c>
      <c r="C2454" s="31" t="inlineStr">
        <is>
          <t>2025-2026</t>
        </is>
      </c>
      <c r="D2454" s="31" t="inlineStr">
        <is>
          <t>13473</t>
        </is>
      </c>
      <c r="E2454" s="31" t="inlineStr">
        <is>
          <t>72-23-16</t>
        </is>
      </c>
      <c r="F2454" s="31" t="inlineStr">
        <is>
          <t>B</t>
        </is>
      </c>
      <c r="G2454" s="31" t="inlineStr">
        <is>
          <t>Fan / booster</t>
        </is>
      </c>
      <c r="H2454" s="27" t="n">
        <v>460</v>
      </c>
      <c r="I2454" s="27" t="n">
        <v>490</v>
      </c>
      <c r="J2454" s="154">
        <f>I2454/H2454-1</f>
        <v/>
      </c>
      <c r="K2454" s="31" t="inlineStr">
        <is>
          <t>37</t>
        </is>
      </c>
      <c r="L2454" s="31" t="inlineStr">
        <is>
          <t>37</t>
        </is>
      </c>
      <c r="M2454" s="31" t="inlineStr">
        <is>
          <t>S3</t>
        </is>
      </c>
      <c r="N2454" s="31" t="inlineStr">
        <is>
          <t>S5</t>
        </is>
      </c>
      <c r="O2454" s="31" t="inlineStr">
        <is>
          <t>336-053-701-0</t>
        </is>
      </c>
      <c r="P2454" s="31" t="inlineStr">
        <is>
          <t>SR Technics Switzerland</t>
        </is>
      </c>
    </row>
    <row r="2455">
      <c r="B2455" s="31" t="inlineStr">
        <is>
          <t>CFM56-7B</t>
        </is>
      </c>
      <c r="C2455" s="31" t="inlineStr">
        <is>
          <t>2025-2026</t>
        </is>
      </c>
      <c r="D2455" s="31" t="inlineStr">
        <is>
          <t>13473</t>
        </is>
      </c>
      <c r="E2455" s="31" t="inlineStr">
        <is>
          <t>72-23-16</t>
        </is>
      </c>
      <c r="F2455" s="31" t="inlineStr">
        <is>
          <t>C</t>
        </is>
      </c>
      <c r="G2455" s="31" t="inlineStr">
        <is>
          <t>Fan / booster</t>
        </is>
      </c>
      <c r="H2455" s="27" t="n">
        <v>335</v>
      </c>
      <c r="I2455" s="27" t="n">
        <v>360</v>
      </c>
      <c r="J2455" s="154">
        <f>I2455/H2455-1</f>
        <v/>
      </c>
      <c r="K2455" s="31" t="inlineStr">
        <is>
          <t>37</t>
        </is>
      </c>
      <c r="L2455" s="31" t="inlineStr">
        <is>
          <t>37</t>
        </is>
      </c>
      <c r="M2455" s="31" t="inlineStr">
        <is>
          <t>S3</t>
        </is>
      </c>
      <c r="N2455" s="31" t="inlineStr">
        <is>
          <t>S5</t>
        </is>
      </c>
      <c r="O2455" s="31" t="inlineStr">
        <is>
          <t>336-053-701-0</t>
        </is>
      </c>
      <c r="P2455" s="31" t="inlineStr">
        <is>
          <t>SR Technics Switzerland</t>
        </is>
      </c>
    </row>
    <row r="2456">
      <c r="B2456" s="31" t="inlineStr">
        <is>
          <t>CFM56-7B</t>
        </is>
      </c>
      <c r="C2456" s="31" t="inlineStr">
        <is>
          <t>2025-2026</t>
        </is>
      </c>
      <c r="D2456" s="31" t="inlineStr">
        <is>
          <t>13473</t>
        </is>
      </c>
      <c r="E2456" s="31" t="inlineStr">
        <is>
          <t>72-23-16</t>
        </is>
      </c>
      <c r="F2456" s="31" t="inlineStr">
        <is>
          <t>D</t>
        </is>
      </c>
      <c r="G2456" s="31" t="inlineStr">
        <is>
          <t>Fan / booster</t>
        </is>
      </c>
      <c r="H2456" s="27" t="n">
        <v>655</v>
      </c>
      <c r="I2456" s="27" t="n">
        <v>695</v>
      </c>
      <c r="J2456" s="154">
        <f>I2456/H2456-1</f>
        <v/>
      </c>
      <c r="K2456" s="31" t="inlineStr">
        <is>
          <t>37</t>
        </is>
      </c>
      <c r="L2456" s="31" t="inlineStr">
        <is>
          <t>37</t>
        </is>
      </c>
      <c r="M2456" s="31" t="inlineStr">
        <is>
          <t>S3</t>
        </is>
      </c>
      <c r="N2456" s="31" t="inlineStr">
        <is>
          <t>S5</t>
        </is>
      </c>
      <c r="O2456" s="31" t="inlineStr">
        <is>
          <t>336-053-701-0</t>
        </is>
      </c>
      <c r="P2456" s="31" t="inlineStr">
        <is>
          <t>SR Technics Switzerland</t>
        </is>
      </c>
    </row>
    <row r="2457">
      <c r="B2457" s="31" t="inlineStr">
        <is>
          <t>CFM56-7B</t>
        </is>
      </c>
      <c r="C2457" s="31" t="inlineStr">
        <is>
          <t>2025-2026</t>
        </is>
      </c>
      <c r="D2457" s="31" t="inlineStr">
        <is>
          <t>13473</t>
        </is>
      </c>
      <c r="E2457" s="31" t="inlineStr">
        <is>
          <t>72-23-16</t>
        </is>
      </c>
      <c r="F2457" s="31" t="inlineStr">
        <is>
          <t>F</t>
        </is>
      </c>
      <c r="G2457" s="31" t="inlineStr">
        <is>
          <t>Fan / booster</t>
        </is>
      </c>
      <c r="H2457" s="27" t="n">
        <v>695</v>
      </c>
      <c r="I2457" s="27" t="n">
        <v>740</v>
      </c>
      <c r="J2457" s="154">
        <f>I2457/H2457-1</f>
        <v/>
      </c>
      <c r="K2457" s="31" t="inlineStr">
        <is>
          <t>37</t>
        </is>
      </c>
      <c r="L2457" s="31" t="inlineStr">
        <is>
          <t>37</t>
        </is>
      </c>
      <c r="M2457" s="31" t="inlineStr">
        <is>
          <t>S3</t>
        </is>
      </c>
      <c r="N2457" s="31" t="inlineStr">
        <is>
          <t>S5</t>
        </is>
      </c>
      <c r="O2457" s="31" t="inlineStr">
        <is>
          <t>336-053-701-0</t>
        </is>
      </c>
      <c r="P2457" s="31" t="inlineStr">
        <is>
          <t>SR Technics Switzerland</t>
        </is>
      </c>
    </row>
    <row r="2458">
      <c r="B2458" s="31" t="inlineStr">
        <is>
          <t>CFM56-7B</t>
        </is>
      </c>
      <c r="C2458" s="31" t="inlineStr">
        <is>
          <t>2025-2026</t>
        </is>
      </c>
      <c r="D2458" s="31" t="inlineStr">
        <is>
          <t>13473</t>
        </is>
      </c>
      <c r="E2458" s="31" t="inlineStr">
        <is>
          <t>72-23-16</t>
        </is>
      </c>
      <c r="F2458" s="31" t="inlineStr">
        <is>
          <t>G</t>
        </is>
      </c>
      <c r="G2458" s="31" t="inlineStr">
        <is>
          <t>Fan / booster</t>
        </is>
      </c>
      <c r="H2458" s="27" t="n">
        <v>350</v>
      </c>
      <c r="I2458" s="27" t="n">
        <v>375</v>
      </c>
      <c r="J2458" s="154">
        <f>I2458/H2458-1</f>
        <v/>
      </c>
      <c r="K2458" s="31" t="inlineStr">
        <is>
          <t>37</t>
        </is>
      </c>
      <c r="L2458" s="31" t="inlineStr">
        <is>
          <t>37</t>
        </is>
      </c>
      <c r="M2458" s="31" t="inlineStr">
        <is>
          <t>S3</t>
        </is>
      </c>
      <c r="N2458" s="31" t="inlineStr">
        <is>
          <t>S5</t>
        </is>
      </c>
      <c r="O2458" s="31" t="inlineStr">
        <is>
          <t>336-053-701-0</t>
        </is>
      </c>
      <c r="P2458" s="31" t="inlineStr">
        <is>
          <t>SR Technics Switzerland</t>
        </is>
      </c>
    </row>
    <row r="2459">
      <c r="B2459" s="31" t="inlineStr">
        <is>
          <t>CFM56-7B</t>
        </is>
      </c>
      <c r="C2459" s="31" t="inlineStr">
        <is>
          <t>2025-2026</t>
        </is>
      </c>
      <c r="D2459" s="31" t="inlineStr">
        <is>
          <t>13473</t>
        </is>
      </c>
      <c r="E2459" s="31" t="inlineStr">
        <is>
          <t>72-23-16</t>
        </is>
      </c>
      <c r="F2459" s="31" t="inlineStr">
        <is>
          <t>H</t>
        </is>
      </c>
      <c r="G2459" s="31" t="inlineStr">
        <is>
          <t>Fan / booster</t>
        </is>
      </c>
      <c r="H2459" s="27" t="n">
        <v>545</v>
      </c>
      <c r="I2459" s="27" t="n">
        <v>580</v>
      </c>
      <c r="J2459" s="154">
        <f>I2459/H2459-1</f>
        <v/>
      </c>
      <c r="K2459" s="31" t="inlineStr">
        <is>
          <t>37</t>
        </is>
      </c>
      <c r="L2459" s="31" t="inlineStr">
        <is>
          <t>37</t>
        </is>
      </c>
      <c r="M2459" s="31" t="inlineStr">
        <is>
          <t>S3</t>
        </is>
      </c>
      <c r="N2459" s="31" t="inlineStr">
        <is>
          <t>S5</t>
        </is>
      </c>
      <c r="O2459" s="31" t="inlineStr">
        <is>
          <t>336-053-701-0</t>
        </is>
      </c>
      <c r="P2459" s="31" t="inlineStr">
        <is>
          <t>SR Technics Switzerland</t>
        </is>
      </c>
    </row>
    <row r="2460">
      <c r="B2460" s="31" t="inlineStr">
        <is>
          <t>CFM56-7B</t>
        </is>
      </c>
      <c r="C2460" s="31" t="inlineStr">
        <is>
          <t>2025-2026</t>
        </is>
      </c>
      <c r="D2460" s="31" t="inlineStr">
        <is>
          <t>13473</t>
        </is>
      </c>
      <c r="E2460" s="31" t="inlineStr">
        <is>
          <t>72-23-16</t>
        </is>
      </c>
      <c r="F2460" s="31" t="inlineStr">
        <is>
          <t>K</t>
        </is>
      </c>
      <c r="G2460" s="31" t="inlineStr">
        <is>
          <t>Fan / booster</t>
        </is>
      </c>
      <c r="H2460" s="27" t="n">
        <v>350</v>
      </c>
      <c r="I2460" s="27" t="n">
        <v>375</v>
      </c>
      <c r="J2460" s="154">
        <f>I2460/H2460-1</f>
        <v/>
      </c>
      <c r="K2460" s="31" t="inlineStr">
        <is>
          <t>37</t>
        </is>
      </c>
      <c r="L2460" s="31" t="inlineStr">
        <is>
          <t>37</t>
        </is>
      </c>
      <c r="M2460" s="31" t="inlineStr">
        <is>
          <t>S3</t>
        </is>
      </c>
      <c r="N2460" s="31" t="inlineStr">
        <is>
          <t>S5</t>
        </is>
      </c>
      <c r="O2460" s="31" t="inlineStr">
        <is>
          <t>336-053-701-0</t>
        </is>
      </c>
      <c r="P2460" s="31" t="inlineStr">
        <is>
          <t>SR Technics Switzerland</t>
        </is>
      </c>
    </row>
    <row r="2461">
      <c r="B2461" s="31" t="inlineStr">
        <is>
          <t>CFM56-7B</t>
        </is>
      </c>
      <c r="C2461" s="31" t="inlineStr">
        <is>
          <t>2025-2026</t>
        </is>
      </c>
      <c r="D2461" s="31" t="inlineStr">
        <is>
          <t>135131</t>
        </is>
      </c>
      <c r="E2461" s="31" t="inlineStr">
        <is>
          <t>73-21-77</t>
        </is>
      </c>
      <c r="F2461" s="31" t="inlineStr">
        <is>
          <t>B</t>
        </is>
      </c>
      <c r="G2461" s="31" t="inlineStr">
        <is>
          <t>Fuel system</t>
        </is>
      </c>
      <c r="H2461" s="27" t="n">
        <v>910</v>
      </c>
      <c r="I2461" s="27" t="n">
        <v>965</v>
      </c>
      <c r="J2461" s="154">
        <f>I2461/H2461-1</f>
        <v/>
      </c>
      <c r="K2461" s="31" t="inlineStr">
        <is>
          <t>9</t>
        </is>
      </c>
      <c r="L2461" s="31" t="inlineStr">
        <is>
          <t>8</t>
        </is>
      </c>
      <c r="M2461" s="31" t="inlineStr">
        <is>
          <t>S3</t>
        </is>
      </c>
      <c r="N2461" s="31" t="inlineStr">
        <is>
          <t>S5</t>
        </is>
      </c>
      <c r="O2461" s="31" t="inlineStr">
        <is>
          <t>1324M94P03</t>
        </is>
      </c>
      <c r="P2461" s="31" t="inlineStr">
        <is>
          <t>SR Technics Switzerland</t>
        </is>
      </c>
    </row>
    <row r="2462">
      <c r="B2462" s="31" t="inlineStr">
        <is>
          <t>CFM56-7B</t>
        </is>
      </c>
      <c r="C2462" s="31" t="inlineStr">
        <is>
          <t>2025-2026</t>
        </is>
      </c>
      <c r="D2462" s="31" t="inlineStr">
        <is>
          <t>135131</t>
        </is>
      </c>
      <c r="E2462" s="31" t="inlineStr">
        <is>
          <t>73-21-77</t>
        </is>
      </c>
      <c r="F2462" s="31" t="inlineStr">
        <is>
          <t>C</t>
        </is>
      </c>
      <c r="G2462" s="31" t="inlineStr">
        <is>
          <t>Fuel system</t>
        </is>
      </c>
      <c r="H2462" s="27" t="n">
        <v>155</v>
      </c>
      <c r="I2462" s="27" t="n">
        <v>165</v>
      </c>
      <c r="J2462" s="154">
        <f>I2462/H2462-1</f>
        <v/>
      </c>
      <c r="K2462" s="31" t="inlineStr">
        <is>
          <t>9</t>
        </is>
      </c>
      <c r="L2462" s="31" t="inlineStr">
        <is>
          <t>8</t>
        </is>
      </c>
      <c r="M2462" s="31" t="inlineStr">
        <is>
          <t>S3</t>
        </is>
      </c>
      <c r="N2462" s="31" t="inlineStr">
        <is>
          <t>S5</t>
        </is>
      </c>
      <c r="O2462" s="31" t="inlineStr">
        <is>
          <t>1324M94P03</t>
        </is>
      </c>
      <c r="P2462" s="31" t="inlineStr">
        <is>
          <t>SR Technics Switzerland</t>
        </is>
      </c>
    </row>
    <row r="2463">
      <c r="B2463" s="31" t="inlineStr">
        <is>
          <t>CFM56-7B</t>
        </is>
      </c>
      <c r="C2463" s="31" t="inlineStr">
        <is>
          <t>2025-2026</t>
        </is>
      </c>
      <c r="D2463" s="31" t="inlineStr">
        <is>
          <t>135150</t>
        </is>
      </c>
      <c r="E2463" s="31" t="inlineStr">
        <is>
          <t>77-23-10</t>
        </is>
      </c>
      <c r="F2463" s="31" t="inlineStr">
        <is>
          <t>C</t>
        </is>
      </c>
      <c r="G2463" s="31" t="inlineStr">
        <is>
          <t>Other / assembly</t>
        </is>
      </c>
      <c r="H2463" s="27" t="n">
        <v>1015</v>
      </c>
      <c r="I2463" s="27" t="n">
        <v>1080</v>
      </c>
      <c r="J2463" s="154">
        <f>I2463/H2463-1</f>
        <v/>
      </c>
      <c r="K2463" s="31" t="inlineStr">
        <is>
          <t>41</t>
        </is>
      </c>
      <c r="L2463" s="31" t="inlineStr">
        <is>
          <t>40</t>
        </is>
      </c>
      <c r="M2463" s="31" t="inlineStr">
        <is>
          <t>S3</t>
        </is>
      </c>
      <c r="N2463" s="31" t="inlineStr">
        <is>
          <t>S5</t>
        </is>
      </c>
      <c r="O2463" s="31" t="inlineStr">
        <is>
          <t>1348M21P01</t>
        </is>
      </c>
      <c r="P2463" s="31" t="inlineStr">
        <is>
          <t>SR Technics Switzerland</t>
        </is>
      </c>
    </row>
    <row r="2464">
      <c r="B2464" s="31" t="inlineStr">
        <is>
          <t>CFM56-7B</t>
        </is>
      </c>
      <c r="C2464" s="31" t="inlineStr">
        <is>
          <t>2025-2026</t>
        </is>
      </c>
      <c r="D2464" s="31" t="inlineStr">
        <is>
          <t>138562</t>
        </is>
      </c>
      <c r="E2464" s="31" t="inlineStr">
        <is>
          <t>71-21-37</t>
        </is>
      </c>
      <c r="F2464" s="31" t="inlineStr">
        <is>
          <t>A</t>
        </is>
      </c>
      <c r="G2464" s="31" t="inlineStr">
        <is>
          <t>Other / assembly</t>
        </is>
      </c>
      <c r="H2464" s="27" t="n">
        <v>990</v>
      </c>
      <c r="I2464" s="27" t="n">
        <v>1040</v>
      </c>
      <c r="J2464" s="154">
        <f>I2464/H2464-1</f>
        <v/>
      </c>
      <c r="K2464" s="31" t="inlineStr">
        <is>
          <t>9</t>
        </is>
      </c>
      <c r="L2464" s="31" t="inlineStr">
        <is>
          <t>8</t>
        </is>
      </c>
      <c r="M2464" s="31" t="inlineStr">
        <is>
          <t>S3</t>
        </is>
      </c>
      <c r="N2464" s="31" t="inlineStr">
        <is>
          <t>S5</t>
        </is>
      </c>
      <c r="O2464" s="31" t="inlineStr">
        <is>
          <t>310A2031-22</t>
        </is>
      </c>
      <c r="P2464" s="31" t="inlineStr">
        <is>
          <t>SR Technics Switzerland</t>
        </is>
      </c>
    </row>
    <row r="2465">
      <c r="B2465" s="31" t="inlineStr">
        <is>
          <t>CFM56-7B</t>
        </is>
      </c>
      <c r="C2465" s="31" t="inlineStr">
        <is>
          <t>2025-2026</t>
        </is>
      </c>
      <c r="D2465" s="31" t="inlineStr">
        <is>
          <t>138562</t>
        </is>
      </c>
      <c r="E2465" s="31" t="inlineStr">
        <is>
          <t>71-21-37</t>
        </is>
      </c>
      <c r="F2465" s="31" t="inlineStr">
        <is>
          <t>B</t>
        </is>
      </c>
      <c r="G2465" s="31" t="inlineStr">
        <is>
          <t>Other / assembly</t>
        </is>
      </c>
      <c r="H2465" s="27" t="n">
        <v>1865</v>
      </c>
      <c r="I2465" s="27" t="n">
        <v>1980</v>
      </c>
      <c r="J2465" s="154">
        <f>I2465/H2465-1</f>
        <v/>
      </c>
      <c r="K2465" s="31" t="inlineStr">
        <is>
          <t>9</t>
        </is>
      </c>
      <c r="L2465" s="31" t="inlineStr">
        <is>
          <t>8</t>
        </is>
      </c>
      <c r="M2465" s="31" t="inlineStr">
        <is>
          <t>S3</t>
        </is>
      </c>
      <c r="N2465" s="31" t="inlineStr">
        <is>
          <t>S5</t>
        </is>
      </c>
      <c r="O2465" s="31" t="inlineStr">
        <is>
          <t>310A2031-22</t>
        </is>
      </c>
      <c r="P2465" s="31" t="inlineStr">
        <is>
          <t>SR Technics Switzerland</t>
        </is>
      </c>
    </row>
    <row r="2466">
      <c r="B2466" s="31" t="inlineStr">
        <is>
          <t>CFM56-7B</t>
        </is>
      </c>
      <c r="C2466" s="31" t="inlineStr">
        <is>
          <t>2025-2026</t>
        </is>
      </c>
      <c r="D2466" s="31" t="inlineStr">
        <is>
          <t>138562</t>
        </is>
      </c>
      <c r="E2466" s="31" t="inlineStr">
        <is>
          <t>71-21-37</t>
        </is>
      </c>
      <c r="F2466" s="31" t="inlineStr">
        <is>
          <t>D</t>
        </is>
      </c>
      <c r="G2466" s="31" t="inlineStr">
        <is>
          <t>Other / assembly</t>
        </is>
      </c>
      <c r="H2466" s="27" t="n">
        <v>1655</v>
      </c>
      <c r="I2466" s="27" t="n">
        <v>1755</v>
      </c>
      <c r="J2466" s="154">
        <f>I2466/H2466-1</f>
        <v/>
      </c>
      <c r="K2466" s="31" t="inlineStr">
        <is>
          <t>9</t>
        </is>
      </c>
      <c r="L2466" s="31" t="inlineStr">
        <is>
          <t>8</t>
        </is>
      </c>
      <c r="M2466" s="31" t="inlineStr">
        <is>
          <t>S3</t>
        </is>
      </c>
      <c r="N2466" s="31" t="inlineStr">
        <is>
          <t>S5</t>
        </is>
      </c>
      <c r="O2466" s="31" t="inlineStr">
        <is>
          <t>310A2031-22</t>
        </is>
      </c>
      <c r="P2466" s="31" t="inlineStr">
        <is>
          <t>SR Technics Switzerland</t>
        </is>
      </c>
    </row>
    <row r="2467">
      <c r="B2467" s="31" t="inlineStr">
        <is>
          <t>CFM56-7B</t>
        </is>
      </c>
      <c r="C2467" s="31" t="inlineStr">
        <is>
          <t>2025-2026</t>
        </is>
      </c>
      <c r="D2467" s="31" t="inlineStr">
        <is>
          <t>138562</t>
        </is>
      </c>
      <c r="E2467" s="31" t="inlineStr">
        <is>
          <t>71-21-37</t>
        </is>
      </c>
      <c r="F2467" s="31" t="inlineStr">
        <is>
          <t>F</t>
        </is>
      </c>
      <c r="G2467" s="31" t="inlineStr">
        <is>
          <t>Other / assembly</t>
        </is>
      </c>
      <c r="H2467" s="27" t="n">
        <v>1115</v>
      </c>
      <c r="I2467" s="27" t="n">
        <v>1185</v>
      </c>
      <c r="J2467" s="154">
        <f>I2467/H2467-1</f>
        <v/>
      </c>
      <c r="K2467" s="31" t="inlineStr">
        <is>
          <t>9</t>
        </is>
      </c>
      <c r="L2467" s="31" t="inlineStr">
        <is>
          <t>8</t>
        </is>
      </c>
      <c r="M2467" s="31" t="inlineStr">
        <is>
          <t>S3</t>
        </is>
      </c>
      <c r="N2467" s="31" t="inlineStr">
        <is>
          <t>S5</t>
        </is>
      </c>
      <c r="O2467" s="31" t="inlineStr">
        <is>
          <t>310A2031-22</t>
        </is>
      </c>
      <c r="P2467" s="31" t="inlineStr">
        <is>
          <t>SR Technics Switzerland</t>
        </is>
      </c>
    </row>
    <row r="2468">
      <c r="B2468" s="31" t="inlineStr">
        <is>
          <t>CFM56-7B</t>
        </is>
      </c>
      <c r="C2468" s="31" t="inlineStr">
        <is>
          <t>2025-2026</t>
        </is>
      </c>
      <c r="D2468" s="31" t="inlineStr">
        <is>
          <t>138566</t>
        </is>
      </c>
      <c r="E2468" s="31" t="inlineStr">
        <is>
          <t>71-21-37</t>
        </is>
      </c>
      <c r="F2468" s="31" t="inlineStr">
        <is>
          <t>A</t>
        </is>
      </c>
      <c r="G2468" s="31" t="inlineStr">
        <is>
          <t>Other / assembly</t>
        </is>
      </c>
      <c r="H2468" s="27" t="n">
        <v>1000</v>
      </c>
      <c r="I2468" s="27" t="n">
        <v>1050</v>
      </c>
      <c r="J2468" s="154">
        <f>I2468/H2468-1</f>
        <v/>
      </c>
      <c r="K2468" s="31" t="inlineStr">
        <is>
          <t>9</t>
        </is>
      </c>
      <c r="L2468" s="31" t="inlineStr">
        <is>
          <t>8</t>
        </is>
      </c>
      <c r="M2468" s="31" t="inlineStr">
        <is>
          <t>S3</t>
        </is>
      </c>
      <c r="N2468" s="31" t="inlineStr">
        <is>
          <t>S5</t>
        </is>
      </c>
      <c r="O2468" s="31" t="inlineStr">
        <is>
          <t>310A2036-5</t>
        </is>
      </c>
      <c r="P2468" s="31" t="inlineStr">
        <is>
          <t>SR Technics Switzerland</t>
        </is>
      </c>
    </row>
    <row r="2469">
      <c r="B2469" s="31" t="inlineStr">
        <is>
          <t>CFM56-7B</t>
        </is>
      </c>
      <c r="C2469" s="31" t="inlineStr">
        <is>
          <t>2025-2026</t>
        </is>
      </c>
      <c r="D2469" s="31" t="inlineStr">
        <is>
          <t>138566</t>
        </is>
      </c>
      <c r="E2469" s="31" t="inlineStr">
        <is>
          <t>71-21-37</t>
        </is>
      </c>
      <c r="F2469" s="31" t="inlineStr">
        <is>
          <t>B</t>
        </is>
      </c>
      <c r="G2469" s="31" t="inlineStr">
        <is>
          <t>Other / assembly</t>
        </is>
      </c>
      <c r="H2469" s="27" t="n">
        <v>1165</v>
      </c>
      <c r="I2469" s="27" t="n">
        <v>1235</v>
      </c>
      <c r="J2469" s="154">
        <f>I2469/H2469-1</f>
        <v/>
      </c>
      <c r="K2469" s="31" t="inlineStr">
        <is>
          <t>9</t>
        </is>
      </c>
      <c r="L2469" s="31" t="inlineStr">
        <is>
          <t>8</t>
        </is>
      </c>
      <c r="M2469" s="31" t="inlineStr">
        <is>
          <t>S3</t>
        </is>
      </c>
      <c r="N2469" s="31" t="inlineStr">
        <is>
          <t>S5</t>
        </is>
      </c>
      <c r="O2469" s="31" t="inlineStr">
        <is>
          <t>310A2036-5</t>
        </is>
      </c>
      <c r="P2469" s="31" t="inlineStr">
        <is>
          <t>SR Technics Switzerland</t>
        </is>
      </c>
    </row>
    <row r="2470">
      <c r="B2470" s="31" t="inlineStr">
        <is>
          <t>CFM56-7B</t>
        </is>
      </c>
      <c r="C2470" s="31" t="inlineStr">
        <is>
          <t>2025-2026</t>
        </is>
      </c>
      <c r="D2470" s="31" t="inlineStr">
        <is>
          <t>138566</t>
        </is>
      </c>
      <c r="E2470" s="31" t="inlineStr">
        <is>
          <t>71-21-37</t>
        </is>
      </c>
      <c r="F2470" s="31" t="inlineStr">
        <is>
          <t>C</t>
        </is>
      </c>
      <c r="G2470" s="31" t="inlineStr">
        <is>
          <t>Other / assembly</t>
        </is>
      </c>
      <c r="H2470" s="27" t="n">
        <v>1420</v>
      </c>
      <c r="I2470" s="27" t="n">
        <v>1510</v>
      </c>
      <c r="J2470" s="154">
        <f>I2470/H2470-1</f>
        <v/>
      </c>
      <c r="K2470" s="31" t="inlineStr">
        <is>
          <t>9</t>
        </is>
      </c>
      <c r="L2470" s="31" t="inlineStr">
        <is>
          <t>8</t>
        </is>
      </c>
      <c r="M2470" s="31" t="inlineStr">
        <is>
          <t>S3</t>
        </is>
      </c>
      <c r="N2470" s="31" t="inlineStr">
        <is>
          <t>S5</t>
        </is>
      </c>
      <c r="O2470" s="31" t="inlineStr">
        <is>
          <t>310A2036-5</t>
        </is>
      </c>
      <c r="P2470" s="31" t="inlineStr">
        <is>
          <t>SR Technics Switzerland</t>
        </is>
      </c>
    </row>
    <row r="2471">
      <c r="B2471" s="31" t="inlineStr">
        <is>
          <t>CFM56-7B</t>
        </is>
      </c>
      <c r="C2471" s="31" t="inlineStr">
        <is>
          <t>2025-2026</t>
        </is>
      </c>
      <c r="D2471" s="31" t="inlineStr">
        <is>
          <t>138566</t>
        </is>
      </c>
      <c r="E2471" s="31" t="inlineStr">
        <is>
          <t>71-21-37</t>
        </is>
      </c>
      <c r="F2471" s="31" t="inlineStr">
        <is>
          <t>D</t>
        </is>
      </c>
      <c r="G2471" s="31" t="inlineStr">
        <is>
          <t>Other / assembly</t>
        </is>
      </c>
      <c r="H2471" s="27" t="n">
        <v>1335</v>
      </c>
      <c r="I2471" s="27" t="n">
        <v>1420</v>
      </c>
      <c r="J2471" s="154">
        <f>I2471/H2471-1</f>
        <v/>
      </c>
      <c r="K2471" s="31" t="inlineStr">
        <is>
          <t>9</t>
        </is>
      </c>
      <c r="L2471" s="31" t="inlineStr">
        <is>
          <t>8</t>
        </is>
      </c>
      <c r="M2471" s="31" t="inlineStr">
        <is>
          <t>S3</t>
        </is>
      </c>
      <c r="N2471" s="31" t="inlineStr">
        <is>
          <t>S5</t>
        </is>
      </c>
      <c r="O2471" s="31" t="inlineStr">
        <is>
          <t>310A2036-5</t>
        </is>
      </c>
      <c r="P2471" s="31" t="inlineStr">
        <is>
          <t>SR Technics Switzerland</t>
        </is>
      </c>
    </row>
    <row r="2472">
      <c r="B2472" s="31" t="inlineStr">
        <is>
          <t>CFM56-7B</t>
        </is>
      </c>
      <c r="C2472" s="31" t="inlineStr">
        <is>
          <t>2025-2026</t>
        </is>
      </c>
      <c r="D2472" s="31" t="inlineStr">
        <is>
          <t>138566</t>
        </is>
      </c>
      <c r="E2472" s="31" t="inlineStr">
        <is>
          <t>71-21-37</t>
        </is>
      </c>
      <c r="F2472" s="31" t="inlineStr">
        <is>
          <t>F</t>
        </is>
      </c>
      <c r="G2472" s="31" t="inlineStr">
        <is>
          <t>Other / assembly</t>
        </is>
      </c>
      <c r="H2472" s="27" t="n">
        <v>1120</v>
      </c>
      <c r="I2472" s="27" t="n">
        <v>1190</v>
      </c>
      <c r="J2472" s="154">
        <f>I2472/H2472-1</f>
        <v/>
      </c>
      <c r="K2472" s="31" t="inlineStr">
        <is>
          <t>9</t>
        </is>
      </c>
      <c r="L2472" s="31" t="inlineStr">
        <is>
          <t>8</t>
        </is>
      </c>
      <c r="M2472" s="31" t="inlineStr">
        <is>
          <t>S3</t>
        </is>
      </c>
      <c r="N2472" s="31" t="inlineStr">
        <is>
          <t>S5</t>
        </is>
      </c>
      <c r="O2472" s="31" t="inlineStr">
        <is>
          <t>310A2036-5</t>
        </is>
      </c>
      <c r="P2472" s="31" t="inlineStr">
        <is>
          <t>SR Technics Switzerland</t>
        </is>
      </c>
    </row>
    <row r="2473">
      <c r="B2473" s="31" t="inlineStr">
        <is>
          <t>CFM56-7B</t>
        </is>
      </c>
      <c r="C2473" s="31" t="inlineStr">
        <is>
          <t>2025-2026</t>
        </is>
      </c>
      <c r="D2473" s="31" t="inlineStr">
        <is>
          <t>138566</t>
        </is>
      </c>
      <c r="E2473" s="31" t="inlineStr">
        <is>
          <t>71-21-37</t>
        </is>
      </c>
      <c r="F2473" s="31" t="inlineStr">
        <is>
          <t>G</t>
        </is>
      </c>
      <c r="G2473" s="31" t="inlineStr">
        <is>
          <t>Other / assembly</t>
        </is>
      </c>
      <c r="H2473" s="27" t="n">
        <v>750</v>
      </c>
      <c r="I2473" s="27" t="n">
        <v>795</v>
      </c>
      <c r="J2473" s="154">
        <f>I2473/H2473-1</f>
        <v/>
      </c>
      <c r="K2473" s="31" t="inlineStr">
        <is>
          <t>9</t>
        </is>
      </c>
      <c r="L2473" s="31" t="inlineStr">
        <is>
          <t>8</t>
        </is>
      </c>
      <c r="M2473" s="31" t="inlineStr">
        <is>
          <t>S3</t>
        </is>
      </c>
      <c r="N2473" s="31" t="inlineStr">
        <is>
          <t>S5</t>
        </is>
      </c>
      <c r="O2473" s="31" t="inlineStr">
        <is>
          <t>310A2036-5</t>
        </is>
      </c>
      <c r="P2473" s="31" t="inlineStr">
        <is>
          <t>SR Technics Switzerland</t>
        </is>
      </c>
    </row>
    <row r="2474">
      <c r="B2474" s="31" t="inlineStr">
        <is>
          <t>CFM56-7B</t>
        </is>
      </c>
      <c r="C2474" s="31" t="inlineStr">
        <is>
          <t>2025-2026</t>
        </is>
      </c>
      <c r="D2474" s="31" t="inlineStr">
        <is>
          <t>138941</t>
        </is>
      </c>
      <c r="E2474" s="31" t="inlineStr">
        <is>
          <t>72-21-07</t>
        </is>
      </c>
      <c r="F2474" s="31" t="inlineStr">
        <is>
          <t>B</t>
        </is>
      </c>
      <c r="G2474" s="31" t="inlineStr">
        <is>
          <t>Fan / booster</t>
        </is>
      </c>
      <c r="H2474" s="27" t="n">
        <v>165</v>
      </c>
      <c r="I2474" s="27" t="n">
        <v>175</v>
      </c>
      <c r="J2474" s="154">
        <f>I2474/H2474-1</f>
        <v/>
      </c>
      <c r="K2474" s="31" t="inlineStr">
        <is>
          <t>41</t>
        </is>
      </c>
      <c r="L2474" s="31" t="inlineStr">
        <is>
          <t>40</t>
        </is>
      </c>
      <c r="M2474" s="31" t="inlineStr">
        <is>
          <t>S3</t>
        </is>
      </c>
      <c r="N2474" s="31" t="inlineStr">
        <is>
          <t>S5</t>
        </is>
      </c>
      <c r="O2474" s="31" t="inlineStr">
        <is>
          <t>335-190-201-0</t>
        </is>
      </c>
      <c r="P2474" s="31" t="inlineStr">
        <is>
          <t>SR Technics Switzerland</t>
        </is>
      </c>
    </row>
    <row r="2475">
      <c r="B2475" s="31" t="inlineStr">
        <is>
          <t>CFM56-7B</t>
        </is>
      </c>
      <c r="C2475" s="31" t="inlineStr">
        <is>
          <t>2025-2026</t>
        </is>
      </c>
      <c r="D2475" s="31" t="inlineStr">
        <is>
          <t>138945</t>
        </is>
      </c>
      <c r="E2475" s="31" t="inlineStr">
        <is>
          <t>72-31-20</t>
        </is>
      </c>
      <c r="F2475" s="31" t="inlineStr">
        <is>
          <t>A</t>
        </is>
      </c>
      <c r="G2475" s="31" t="inlineStr">
        <is>
          <t>Compressor</t>
        </is>
      </c>
      <c r="H2475" s="27" t="n">
        <v>45</v>
      </c>
      <c r="I2475" s="27" t="n">
        <v>50</v>
      </c>
      <c r="J2475" s="154">
        <f>I2475/H2475-1</f>
        <v/>
      </c>
      <c r="K2475" s="31" t="inlineStr">
        <is>
          <t>41</t>
        </is>
      </c>
      <c r="L2475" s="31" t="inlineStr">
        <is>
          <t>40</t>
        </is>
      </c>
      <c r="M2475" s="31" t="inlineStr">
        <is>
          <t>S3</t>
        </is>
      </c>
      <c r="N2475" s="31" t="inlineStr">
        <is>
          <t>S5</t>
        </is>
      </c>
      <c r="O2475" s="31" t="inlineStr">
        <is>
          <t>1523M39P06</t>
        </is>
      </c>
      <c r="P2475" s="31" t="inlineStr">
        <is>
          <t>SR Technics Switzerland</t>
        </is>
      </c>
    </row>
    <row r="2476">
      <c r="B2476" s="31" t="inlineStr">
        <is>
          <t>CFM56-7B</t>
        </is>
      </c>
      <c r="C2476" s="31" t="inlineStr">
        <is>
          <t>2025-2026</t>
        </is>
      </c>
      <c r="D2476" s="31" t="inlineStr">
        <is>
          <t>138947</t>
        </is>
      </c>
      <c r="E2476" s="31" t="inlineStr">
        <is>
          <t>72-32-10</t>
        </is>
      </c>
      <c r="F2476" s="31" t="inlineStr">
        <is>
          <t>A</t>
        </is>
      </c>
      <c r="G2476" s="31" t="inlineStr">
        <is>
          <t>Compressor</t>
        </is>
      </c>
      <c r="H2476" s="27" t="n">
        <v>55</v>
      </c>
      <c r="I2476" s="27" t="n">
        <v>60</v>
      </c>
      <c r="J2476" s="154">
        <f>I2476/H2476-1</f>
        <v/>
      </c>
      <c r="K2476" s="31" t="inlineStr">
        <is>
          <t>41</t>
        </is>
      </c>
      <c r="L2476" s="31" t="inlineStr">
        <is>
          <t>40</t>
        </is>
      </c>
      <c r="M2476" s="31" t="inlineStr">
        <is>
          <t>S3</t>
        </is>
      </c>
      <c r="N2476" s="31" t="inlineStr">
        <is>
          <t>S5</t>
        </is>
      </c>
      <c r="O2476" s="31" t="inlineStr">
        <is>
          <t>1385M33G02</t>
        </is>
      </c>
      <c r="P2476" s="31" t="inlineStr">
        <is>
          <t>SR Technics Switzerland</t>
        </is>
      </c>
    </row>
    <row r="2477">
      <c r="B2477" s="31" t="inlineStr">
        <is>
          <t>CFM56-7B</t>
        </is>
      </c>
      <c r="C2477" s="31" t="inlineStr">
        <is>
          <t>2025-2026</t>
        </is>
      </c>
      <c r="D2477" s="31" t="inlineStr">
        <is>
          <t>138950</t>
        </is>
      </c>
      <c r="E2477" s="31" t="inlineStr">
        <is>
          <t>72-32-05</t>
        </is>
      </c>
      <c r="F2477" s="31" t="inlineStr">
        <is>
          <t>A</t>
        </is>
      </c>
      <c r="G2477" s="31" t="inlineStr">
        <is>
          <t>Compressor</t>
        </is>
      </c>
      <c r="H2477" s="27" t="n">
        <v>110</v>
      </c>
      <c r="I2477" s="27" t="n">
        <v>120</v>
      </c>
      <c r="J2477" s="154">
        <f>I2477/H2477-1</f>
        <v/>
      </c>
      <c r="K2477" s="31" t="inlineStr">
        <is>
          <t>9</t>
        </is>
      </c>
      <c r="L2477" s="31" t="inlineStr">
        <is>
          <t>8</t>
        </is>
      </c>
      <c r="M2477" s="31" t="inlineStr">
        <is>
          <t>S3</t>
        </is>
      </c>
      <c r="N2477" s="31" t="inlineStr">
        <is>
          <t>S5</t>
        </is>
      </c>
      <c r="O2477" s="31" t="inlineStr">
        <is>
          <t>1559M27G01</t>
        </is>
      </c>
      <c r="P2477" s="31" t="inlineStr">
        <is>
          <t>SRTAS</t>
        </is>
      </c>
    </row>
    <row r="2478">
      <c r="B2478" s="31" t="inlineStr">
        <is>
          <t>CFM56-7B</t>
        </is>
      </c>
      <c r="C2478" s="31" t="inlineStr">
        <is>
          <t>2025-2026</t>
        </is>
      </c>
      <c r="D2478" s="31" t="inlineStr">
        <is>
          <t>138950</t>
        </is>
      </c>
      <c r="E2478" s="31" t="inlineStr">
        <is>
          <t>72-32-05</t>
        </is>
      </c>
      <c r="F2478" s="31" t="inlineStr">
        <is>
          <t>B</t>
        </is>
      </c>
      <c r="G2478" s="31" t="inlineStr">
        <is>
          <t>Compressor</t>
        </is>
      </c>
      <c r="H2478" s="27" t="n">
        <v>430</v>
      </c>
      <c r="I2478" s="27" t="n">
        <v>465</v>
      </c>
      <c r="J2478" s="154">
        <f>I2478/H2478-1</f>
        <v/>
      </c>
      <c r="K2478" s="31" t="inlineStr">
        <is>
          <t>9</t>
        </is>
      </c>
      <c r="L2478" s="31" t="inlineStr">
        <is>
          <t>8</t>
        </is>
      </c>
      <c r="M2478" s="31" t="inlineStr">
        <is>
          <t>S3</t>
        </is>
      </c>
      <c r="N2478" s="31" t="inlineStr">
        <is>
          <t>S5</t>
        </is>
      </c>
      <c r="O2478" s="31" t="inlineStr">
        <is>
          <t>1559M27G01</t>
        </is>
      </c>
      <c r="P2478" s="31" t="inlineStr">
        <is>
          <t>SRTAS</t>
        </is>
      </c>
    </row>
    <row r="2479">
      <c r="B2479" s="31" t="inlineStr">
        <is>
          <t>CFM56-7B</t>
        </is>
      </c>
      <c r="C2479" s="31" t="inlineStr">
        <is>
          <t>2025-2026</t>
        </is>
      </c>
      <c r="D2479" s="31" t="inlineStr">
        <is>
          <t>138952</t>
        </is>
      </c>
      <c r="E2479" s="31" t="inlineStr">
        <is>
          <t>72-33-03</t>
        </is>
      </c>
      <c r="F2479" s="31" t="inlineStr">
        <is>
          <t>A</t>
        </is>
      </c>
      <c r="G2479" s="31" t="inlineStr">
        <is>
          <t>Compressor</t>
        </is>
      </c>
      <c r="H2479" s="27" t="n">
        <v>145</v>
      </c>
      <c r="I2479" s="27" t="n">
        <v>160</v>
      </c>
      <c r="J2479" s="154">
        <f>I2479/H2479-1</f>
        <v/>
      </c>
      <c r="K2479" s="31" t="inlineStr">
        <is>
          <t>9</t>
        </is>
      </c>
      <c r="L2479" s="31" t="inlineStr">
        <is>
          <t>8</t>
        </is>
      </c>
      <c r="M2479" s="31" t="inlineStr">
        <is>
          <t>S3</t>
        </is>
      </c>
      <c r="N2479" s="31" t="inlineStr">
        <is>
          <t>S5</t>
        </is>
      </c>
      <c r="O2479" s="31" t="inlineStr">
        <is>
          <t>1559M27G03</t>
        </is>
      </c>
      <c r="P2479" s="31" t="inlineStr">
        <is>
          <t>SRTAS</t>
        </is>
      </c>
    </row>
    <row r="2480">
      <c r="B2480" s="31" t="inlineStr">
        <is>
          <t>CFM56-7B</t>
        </is>
      </c>
      <c r="C2480" s="31" t="inlineStr">
        <is>
          <t>2025-2026</t>
        </is>
      </c>
      <c r="D2480" s="31" t="inlineStr">
        <is>
          <t>138952</t>
        </is>
      </c>
      <c r="E2480" s="31" t="inlineStr">
        <is>
          <t>72-33-03</t>
        </is>
      </c>
      <c r="F2480" s="31" t="inlineStr">
        <is>
          <t>B</t>
        </is>
      </c>
      <c r="G2480" s="31" t="inlineStr">
        <is>
          <t>Compressor</t>
        </is>
      </c>
      <c r="H2480" s="27" t="n">
        <v>380</v>
      </c>
      <c r="I2480" s="27" t="n">
        <v>410</v>
      </c>
      <c r="J2480" s="154">
        <f>I2480/H2480-1</f>
        <v/>
      </c>
      <c r="K2480" s="31" t="inlineStr">
        <is>
          <t>9</t>
        </is>
      </c>
      <c r="L2480" s="31" t="inlineStr">
        <is>
          <t>8</t>
        </is>
      </c>
      <c r="M2480" s="31" t="inlineStr">
        <is>
          <t>S3</t>
        </is>
      </c>
      <c r="N2480" s="31" t="inlineStr">
        <is>
          <t>S5</t>
        </is>
      </c>
      <c r="O2480" s="31" t="inlineStr">
        <is>
          <t>1559M27G03</t>
        </is>
      </c>
      <c r="P2480" s="31" t="inlineStr">
        <is>
          <t>SRTAS</t>
        </is>
      </c>
    </row>
    <row r="2481">
      <c r="B2481" s="31" t="inlineStr">
        <is>
          <t>CFM56-7B</t>
        </is>
      </c>
      <c r="C2481" s="31" t="inlineStr">
        <is>
          <t>2025-2026</t>
        </is>
      </c>
      <c r="D2481" s="31" t="inlineStr">
        <is>
          <t>138952</t>
        </is>
      </c>
      <c r="E2481" s="31" t="inlineStr">
        <is>
          <t>72-33-03</t>
        </is>
      </c>
      <c r="F2481" s="31" t="inlineStr">
        <is>
          <t>D</t>
        </is>
      </c>
      <c r="G2481" s="31" t="inlineStr">
        <is>
          <t>Compressor</t>
        </is>
      </c>
      <c r="H2481" s="27" t="n">
        <v>380</v>
      </c>
      <c r="I2481" s="27" t="n">
        <v>410</v>
      </c>
      <c r="J2481" s="154">
        <f>I2481/H2481-1</f>
        <v/>
      </c>
      <c r="K2481" s="31" t="inlineStr">
        <is>
          <t>9</t>
        </is>
      </c>
      <c r="L2481" s="31" t="inlineStr">
        <is>
          <t>8</t>
        </is>
      </c>
      <c r="M2481" s="31" t="inlineStr">
        <is>
          <t>S3</t>
        </is>
      </c>
      <c r="N2481" s="31" t="inlineStr">
        <is>
          <t>S5</t>
        </is>
      </c>
      <c r="O2481" s="31" t="inlineStr">
        <is>
          <t>1559M27G03</t>
        </is>
      </c>
      <c r="P2481" s="31" t="inlineStr">
        <is>
          <t>SRTAS</t>
        </is>
      </c>
    </row>
    <row r="2482">
      <c r="B2482" s="31" t="inlineStr">
        <is>
          <t>CFM56-7B</t>
        </is>
      </c>
      <c r="C2482" s="31" t="inlineStr">
        <is>
          <t>2025-2026</t>
        </is>
      </c>
      <c r="D2482" s="31" t="inlineStr">
        <is>
          <t>138952</t>
        </is>
      </c>
      <c r="E2482" s="31" t="inlineStr">
        <is>
          <t>72-33-03</t>
        </is>
      </c>
      <c r="F2482" s="31" t="inlineStr">
        <is>
          <t>F</t>
        </is>
      </c>
      <c r="G2482" s="31" t="inlineStr">
        <is>
          <t>Compressor</t>
        </is>
      </c>
      <c r="H2482" s="27" t="n">
        <v>380</v>
      </c>
      <c r="I2482" s="27" t="n">
        <v>410</v>
      </c>
      <c r="J2482" s="154">
        <f>I2482/H2482-1</f>
        <v/>
      </c>
      <c r="K2482" s="31" t="inlineStr">
        <is>
          <t>9</t>
        </is>
      </c>
      <c r="L2482" s="31" t="inlineStr">
        <is>
          <t>8</t>
        </is>
      </c>
      <c r="M2482" s="31" t="inlineStr">
        <is>
          <t>S3</t>
        </is>
      </c>
      <c r="N2482" s="31" t="inlineStr">
        <is>
          <t>S5</t>
        </is>
      </c>
      <c r="O2482" s="31" t="inlineStr">
        <is>
          <t>1559M27G03</t>
        </is>
      </c>
      <c r="P2482" s="31" t="inlineStr">
        <is>
          <t>SRTAS</t>
        </is>
      </c>
    </row>
    <row r="2483">
      <c r="B2483" s="31" t="inlineStr">
        <is>
          <t>CFM56-7B</t>
        </is>
      </c>
      <c r="C2483" s="31" t="inlineStr">
        <is>
          <t>2025-2026</t>
        </is>
      </c>
      <c r="D2483" s="31" t="inlineStr">
        <is>
          <t>138953</t>
        </is>
      </c>
      <c r="E2483" s="31" t="inlineStr">
        <is>
          <t>72-42-06</t>
        </is>
      </c>
      <c r="F2483" s="31" t="inlineStr">
        <is>
          <t>A</t>
        </is>
      </c>
      <c r="G2483" s="31" t="inlineStr">
        <is>
          <t>Combustor</t>
        </is>
      </c>
      <c r="H2483" s="27" t="n">
        <v>110</v>
      </c>
      <c r="I2483" s="27" t="n">
        <v>120</v>
      </c>
      <c r="J2483" s="154">
        <f>I2483/H2483-1</f>
        <v/>
      </c>
      <c r="K2483" s="31" t="inlineStr">
        <is>
          <t>41</t>
        </is>
      </c>
      <c r="L2483" s="31" t="inlineStr">
        <is>
          <t>41</t>
        </is>
      </c>
      <c r="M2483" s="31" t="inlineStr">
        <is>
          <t>S3</t>
        </is>
      </c>
      <c r="N2483" s="31" t="inlineStr">
        <is>
          <t>S5</t>
        </is>
      </c>
      <c r="O2483" s="31" t="inlineStr">
        <is>
          <t>1316M84G01</t>
        </is>
      </c>
      <c r="P2483" s="31" t="inlineStr">
        <is>
          <t>SR Technics Switzerland</t>
        </is>
      </c>
    </row>
    <row r="2484">
      <c r="B2484" s="31" t="inlineStr">
        <is>
          <t>CFM56-7B</t>
        </is>
      </c>
      <c r="C2484" s="31" t="inlineStr">
        <is>
          <t>2025-2026</t>
        </is>
      </c>
      <c r="D2484" s="31" t="inlineStr">
        <is>
          <t>138953</t>
        </is>
      </c>
      <c r="E2484" s="31" t="inlineStr">
        <is>
          <t>72-42-06</t>
        </is>
      </c>
      <c r="F2484" s="31" t="inlineStr">
        <is>
          <t>B</t>
        </is>
      </c>
      <c r="G2484" s="31" t="inlineStr">
        <is>
          <t>Combustor</t>
        </is>
      </c>
      <c r="H2484" s="27" t="n">
        <v>600</v>
      </c>
      <c r="I2484" s="27" t="n">
        <v>640</v>
      </c>
      <c r="J2484" s="154">
        <f>I2484/H2484-1</f>
        <v/>
      </c>
      <c r="K2484" s="31" t="inlineStr">
        <is>
          <t>41</t>
        </is>
      </c>
      <c r="L2484" s="31" t="inlineStr">
        <is>
          <t>41</t>
        </is>
      </c>
      <c r="M2484" s="31" t="inlineStr">
        <is>
          <t>S3</t>
        </is>
      </c>
      <c r="N2484" s="31" t="inlineStr">
        <is>
          <t>S5</t>
        </is>
      </c>
      <c r="O2484" s="31" t="inlineStr">
        <is>
          <t>1316M84G01</t>
        </is>
      </c>
      <c r="P2484" s="31" t="inlineStr">
        <is>
          <t>SR Technics Switzerland</t>
        </is>
      </c>
    </row>
    <row r="2485">
      <c r="B2485" s="31" t="inlineStr">
        <is>
          <t>CFM56-7B</t>
        </is>
      </c>
      <c r="C2485" s="31" t="inlineStr">
        <is>
          <t>2025-2026</t>
        </is>
      </c>
      <c r="D2485" s="31" t="inlineStr">
        <is>
          <t>138955</t>
        </is>
      </c>
      <c r="E2485" s="31" t="inlineStr">
        <is>
          <t>72-42-02</t>
        </is>
      </c>
      <c r="F2485" s="31" t="inlineStr">
        <is>
          <t>A</t>
        </is>
      </c>
      <c r="G2485" s="31" t="inlineStr">
        <is>
          <t>Combustor</t>
        </is>
      </c>
      <c r="H2485" s="27" t="n">
        <v>60</v>
      </c>
      <c r="I2485" s="27" t="n">
        <v>65</v>
      </c>
      <c r="J2485" s="154">
        <f>I2485/H2485-1</f>
        <v/>
      </c>
      <c r="K2485" s="31" t="inlineStr">
        <is>
          <t>9</t>
        </is>
      </c>
      <c r="L2485" s="31" t="inlineStr">
        <is>
          <t>8</t>
        </is>
      </c>
      <c r="M2485" s="31" t="inlineStr">
        <is>
          <t>S3</t>
        </is>
      </c>
      <c r="N2485" s="31" t="inlineStr">
        <is>
          <t>S5</t>
        </is>
      </c>
      <c r="O2485" s="31" t="inlineStr">
        <is>
          <t>1275M27P04</t>
        </is>
      </c>
      <c r="P2485" s="31" t="inlineStr">
        <is>
          <t>SR Technics Switzerland</t>
        </is>
      </c>
    </row>
    <row r="2486">
      <c r="B2486" s="31" t="inlineStr">
        <is>
          <t>CFM56-7B</t>
        </is>
      </c>
      <c r="C2486" s="31" t="inlineStr">
        <is>
          <t>2025-2026</t>
        </is>
      </c>
      <c r="D2486" s="31" t="inlineStr">
        <is>
          <t>138955</t>
        </is>
      </c>
      <c r="E2486" s="31" t="inlineStr">
        <is>
          <t>72-42-02</t>
        </is>
      </c>
      <c r="F2486" s="31" t="inlineStr">
        <is>
          <t>C</t>
        </is>
      </c>
      <c r="G2486" s="31" t="inlineStr">
        <is>
          <t>Combustor</t>
        </is>
      </c>
      <c r="H2486" s="27" t="n">
        <v>185</v>
      </c>
      <c r="I2486" s="27" t="n">
        <v>200</v>
      </c>
      <c r="J2486" s="154">
        <f>I2486/H2486-1</f>
        <v/>
      </c>
      <c r="K2486" s="31" t="inlineStr">
        <is>
          <t>9</t>
        </is>
      </c>
      <c r="L2486" s="31" t="inlineStr">
        <is>
          <t>8</t>
        </is>
      </c>
      <c r="M2486" s="31" t="inlineStr">
        <is>
          <t>S3</t>
        </is>
      </c>
      <c r="N2486" s="31" t="inlineStr">
        <is>
          <t>S5</t>
        </is>
      </c>
      <c r="O2486" s="31" t="inlineStr">
        <is>
          <t>1275M27P04</t>
        </is>
      </c>
      <c r="P2486" s="31" t="inlineStr">
        <is>
          <t>SR Technics Switzerland</t>
        </is>
      </c>
    </row>
    <row r="2487">
      <c r="B2487" s="31" t="inlineStr">
        <is>
          <t>CFM56-7B</t>
        </is>
      </c>
      <c r="C2487" s="31" t="inlineStr">
        <is>
          <t>2025-2026</t>
        </is>
      </c>
      <c r="D2487" s="31" t="inlineStr">
        <is>
          <t>138955</t>
        </is>
      </c>
      <c r="E2487" s="31" t="inlineStr">
        <is>
          <t>72-42-02</t>
        </is>
      </c>
      <c r="F2487" s="31" t="inlineStr">
        <is>
          <t>D</t>
        </is>
      </c>
      <c r="G2487" s="31" t="inlineStr">
        <is>
          <t>Combustor</t>
        </is>
      </c>
      <c r="H2487" s="27" t="n">
        <v>130</v>
      </c>
      <c r="I2487" s="27" t="n">
        <v>140</v>
      </c>
      <c r="J2487" s="154">
        <f>I2487/H2487-1</f>
        <v/>
      </c>
      <c r="K2487" s="31" t="inlineStr">
        <is>
          <t>9</t>
        </is>
      </c>
      <c r="L2487" s="31" t="inlineStr">
        <is>
          <t>8</t>
        </is>
      </c>
      <c r="M2487" s="31" t="inlineStr">
        <is>
          <t>S3</t>
        </is>
      </c>
      <c r="N2487" s="31" t="inlineStr">
        <is>
          <t>S5</t>
        </is>
      </c>
      <c r="O2487" s="31" t="inlineStr">
        <is>
          <t>1275M27P04</t>
        </is>
      </c>
      <c r="P2487" s="31" t="inlineStr">
        <is>
          <t>SR Technics Switzerland</t>
        </is>
      </c>
    </row>
    <row r="2488">
      <c r="B2488" s="31" t="inlineStr">
        <is>
          <t>CFM56-7B</t>
        </is>
      </c>
      <c r="C2488" s="31" t="inlineStr">
        <is>
          <t>2025-2026</t>
        </is>
      </c>
      <c r="D2488" s="31" t="inlineStr">
        <is>
          <t>138977</t>
        </is>
      </c>
      <c r="E2488" s="31" t="inlineStr">
        <is>
          <t>72-61-05</t>
        </is>
      </c>
      <c r="F2488" s="31" t="inlineStr">
        <is>
          <t>A</t>
        </is>
      </c>
      <c r="G2488" s="31" t="inlineStr">
        <is>
          <t>Gearbox</t>
        </is>
      </c>
      <c r="H2488" s="27" t="n">
        <v>1050</v>
      </c>
      <c r="I2488" s="27" t="n">
        <v>1105</v>
      </c>
      <c r="J2488" s="154">
        <f>I2488/H2488-1</f>
        <v/>
      </c>
      <c r="K2488" s="31" t="inlineStr">
        <is>
          <t>9</t>
        </is>
      </c>
      <c r="L2488" s="31" t="inlineStr">
        <is>
          <t>8</t>
        </is>
      </c>
      <c r="M2488" s="31" t="inlineStr">
        <is>
          <t>S3</t>
        </is>
      </c>
      <c r="N2488" s="31" t="inlineStr">
        <is>
          <t>S5</t>
        </is>
      </c>
      <c r="O2488" s="31" t="inlineStr">
        <is>
          <t>9972M46G05</t>
        </is>
      </c>
      <c r="P2488" s="31" t="inlineStr">
        <is>
          <t>SR Technics Switzerland</t>
        </is>
      </c>
    </row>
    <row r="2489">
      <c r="B2489" s="31" t="inlineStr">
        <is>
          <t>CFM56-7B</t>
        </is>
      </c>
      <c r="C2489" s="31" t="inlineStr">
        <is>
          <t>2025-2026</t>
        </is>
      </c>
      <c r="D2489" s="31" t="inlineStr">
        <is>
          <t>138977</t>
        </is>
      </c>
      <c r="E2489" s="31" t="inlineStr">
        <is>
          <t>72-61-05</t>
        </is>
      </c>
      <c r="F2489" s="31" t="inlineStr">
        <is>
          <t>C</t>
        </is>
      </c>
      <c r="G2489" s="31" t="inlineStr">
        <is>
          <t>Gearbox</t>
        </is>
      </c>
      <c r="H2489" s="27" t="n">
        <v>1100</v>
      </c>
      <c r="I2489" s="27" t="n">
        <v>1170</v>
      </c>
      <c r="J2489" s="154">
        <f>I2489/H2489-1</f>
        <v/>
      </c>
      <c r="K2489" s="31" t="inlineStr">
        <is>
          <t>9</t>
        </is>
      </c>
      <c r="L2489" s="31" t="inlineStr">
        <is>
          <t>8</t>
        </is>
      </c>
      <c r="M2489" s="31" t="inlineStr">
        <is>
          <t>S3</t>
        </is>
      </c>
      <c r="N2489" s="31" t="inlineStr">
        <is>
          <t>S5</t>
        </is>
      </c>
      <c r="O2489" s="31" t="inlineStr">
        <is>
          <t>9972M46G05</t>
        </is>
      </c>
      <c r="P2489" s="31" t="inlineStr">
        <is>
          <t>SR Technics Switzerland</t>
        </is>
      </c>
    </row>
    <row r="2490">
      <c r="B2490" s="31" t="inlineStr">
        <is>
          <t>CFM56-7B</t>
        </is>
      </c>
      <c r="C2490" s="31" t="inlineStr">
        <is>
          <t>2025-2026</t>
        </is>
      </c>
      <c r="D2490" s="31" t="inlineStr">
        <is>
          <t>138977</t>
        </is>
      </c>
      <c r="E2490" s="31" t="inlineStr">
        <is>
          <t>72-61-05</t>
        </is>
      </c>
      <c r="F2490" s="31" t="inlineStr">
        <is>
          <t>D</t>
        </is>
      </c>
      <c r="G2490" s="31" t="inlineStr">
        <is>
          <t>Gearbox</t>
        </is>
      </c>
      <c r="H2490" s="27" t="n">
        <v>830</v>
      </c>
      <c r="I2490" s="27" t="n">
        <v>880</v>
      </c>
      <c r="J2490" s="154">
        <f>I2490/H2490-1</f>
        <v/>
      </c>
      <c r="K2490" s="31" t="inlineStr">
        <is>
          <t>9</t>
        </is>
      </c>
      <c r="L2490" s="31" t="inlineStr">
        <is>
          <t>8</t>
        </is>
      </c>
      <c r="M2490" s="31" t="inlineStr">
        <is>
          <t>S3</t>
        </is>
      </c>
      <c r="N2490" s="31" t="inlineStr">
        <is>
          <t>S5</t>
        </is>
      </c>
      <c r="O2490" s="31" t="inlineStr">
        <is>
          <t>9972M46G05</t>
        </is>
      </c>
      <c r="P2490" s="31" t="inlineStr">
        <is>
          <t>SR Technics Switzerland</t>
        </is>
      </c>
    </row>
    <row r="2491">
      <c r="B2491" s="31" t="inlineStr">
        <is>
          <t>CFM56-7B</t>
        </is>
      </c>
      <c r="C2491" s="31" t="inlineStr">
        <is>
          <t>2025-2026</t>
        </is>
      </c>
      <c r="D2491" s="31" t="inlineStr">
        <is>
          <t>138977</t>
        </is>
      </c>
      <c r="E2491" s="31" t="inlineStr">
        <is>
          <t>72-61-05</t>
        </is>
      </c>
      <c r="F2491" s="31" t="inlineStr">
        <is>
          <t>E</t>
        </is>
      </c>
      <c r="G2491" s="31" t="inlineStr">
        <is>
          <t>Gearbox</t>
        </is>
      </c>
      <c r="H2491" s="27" t="n">
        <v>895</v>
      </c>
      <c r="I2491" s="27" t="n">
        <v>950</v>
      </c>
      <c r="J2491" s="154">
        <f>I2491/H2491-1</f>
        <v/>
      </c>
      <c r="K2491" s="31" t="inlineStr">
        <is>
          <t>9</t>
        </is>
      </c>
      <c r="L2491" s="31" t="inlineStr">
        <is>
          <t>8</t>
        </is>
      </c>
      <c r="M2491" s="31" t="inlineStr">
        <is>
          <t>S3</t>
        </is>
      </c>
      <c r="N2491" s="31" t="inlineStr">
        <is>
          <t>S5</t>
        </is>
      </c>
      <c r="O2491" s="31" t="inlineStr">
        <is>
          <t>9972M46G05</t>
        </is>
      </c>
      <c r="P2491" s="31" t="inlineStr">
        <is>
          <t>SR Technics Switzerland</t>
        </is>
      </c>
    </row>
    <row r="2492">
      <c r="B2492" s="31" t="inlineStr">
        <is>
          <t>CFM56-7B</t>
        </is>
      </c>
      <c r="C2492" s="31" t="inlineStr">
        <is>
          <t>2025-2026</t>
        </is>
      </c>
      <c r="D2492" s="31" t="inlineStr">
        <is>
          <t>138977</t>
        </is>
      </c>
      <c r="E2492" s="31" t="inlineStr">
        <is>
          <t>72-61-05</t>
        </is>
      </c>
      <c r="F2492" s="31" t="inlineStr">
        <is>
          <t>F</t>
        </is>
      </c>
      <c r="G2492" s="31" t="inlineStr">
        <is>
          <t>Gearbox</t>
        </is>
      </c>
      <c r="H2492" s="27" t="n">
        <v>795</v>
      </c>
      <c r="I2492" s="27" t="n">
        <v>845</v>
      </c>
      <c r="J2492" s="154">
        <f>I2492/H2492-1</f>
        <v/>
      </c>
      <c r="K2492" s="31" t="inlineStr">
        <is>
          <t>9</t>
        </is>
      </c>
      <c r="L2492" s="31" t="inlineStr">
        <is>
          <t>8</t>
        </is>
      </c>
      <c r="M2492" s="31" t="inlineStr">
        <is>
          <t>S3</t>
        </is>
      </c>
      <c r="N2492" s="31" t="inlineStr">
        <is>
          <t>S5</t>
        </is>
      </c>
      <c r="O2492" s="31" t="inlineStr">
        <is>
          <t>9972M46G05</t>
        </is>
      </c>
      <c r="P2492" s="31" t="inlineStr">
        <is>
          <t>SR Technics Switzerland</t>
        </is>
      </c>
    </row>
    <row r="2493">
      <c r="B2493" s="31" t="inlineStr">
        <is>
          <t>CFM56-7B</t>
        </is>
      </c>
      <c r="C2493" s="31" t="inlineStr">
        <is>
          <t>2025-2026</t>
        </is>
      </c>
      <c r="D2493" s="31" t="inlineStr">
        <is>
          <t>138977</t>
        </is>
      </c>
      <c r="E2493" s="31" t="inlineStr">
        <is>
          <t>72-61-05</t>
        </is>
      </c>
      <c r="F2493" s="31" t="inlineStr">
        <is>
          <t>G</t>
        </is>
      </c>
      <c r="G2493" s="31" t="inlineStr">
        <is>
          <t>Gearbox</t>
        </is>
      </c>
      <c r="H2493" s="27" t="n">
        <v>1650</v>
      </c>
      <c r="I2493" s="27" t="n">
        <v>1750</v>
      </c>
      <c r="J2493" s="154">
        <f>I2493/H2493-1</f>
        <v/>
      </c>
      <c r="K2493" s="31" t="inlineStr">
        <is>
          <t>9</t>
        </is>
      </c>
      <c r="L2493" s="31" t="inlineStr">
        <is>
          <t>8</t>
        </is>
      </c>
      <c r="M2493" s="31" t="inlineStr">
        <is>
          <t>S3</t>
        </is>
      </c>
      <c r="N2493" s="31" t="inlineStr">
        <is>
          <t>S5</t>
        </is>
      </c>
      <c r="O2493" s="31" t="inlineStr">
        <is>
          <t>9972M46G05</t>
        </is>
      </c>
      <c r="P2493" s="31" t="inlineStr">
        <is>
          <t>SR Technics Switzerland</t>
        </is>
      </c>
    </row>
    <row r="2494">
      <c r="B2494" s="31" t="inlineStr">
        <is>
          <t>CFM56-7B</t>
        </is>
      </c>
      <c r="C2494" s="31" t="inlineStr">
        <is>
          <t>2025-2026</t>
        </is>
      </c>
      <c r="D2494" s="31" t="inlineStr">
        <is>
          <t>138977</t>
        </is>
      </c>
      <c r="E2494" s="31" t="inlineStr">
        <is>
          <t>72-61-05</t>
        </is>
      </c>
      <c r="F2494" s="31" t="inlineStr">
        <is>
          <t>SB00</t>
        </is>
      </c>
      <c r="G2494" s="31" t="inlineStr">
        <is>
          <t>Gearbox</t>
        </is>
      </c>
      <c r="H2494" s="27" t="n">
        <v>775</v>
      </c>
      <c r="I2494" s="27" t="n">
        <v>825</v>
      </c>
      <c r="J2494" s="154">
        <f>I2494/H2494-1</f>
        <v/>
      </c>
      <c r="K2494" s="31" t="inlineStr">
        <is>
          <t>9</t>
        </is>
      </c>
      <c r="L2494" s="31" t="inlineStr">
        <is>
          <t>8</t>
        </is>
      </c>
      <c r="M2494" s="31" t="inlineStr">
        <is>
          <t>S3</t>
        </is>
      </c>
      <c r="N2494" s="31" t="inlineStr">
        <is>
          <t>S5</t>
        </is>
      </c>
      <c r="O2494" s="31" t="inlineStr">
        <is>
          <t>9972M46G05</t>
        </is>
      </c>
      <c r="P2494" s="31" t="inlineStr">
        <is>
          <t>SR Technics Switzerland</t>
        </is>
      </c>
    </row>
    <row r="2495">
      <c r="B2495" s="31" t="inlineStr">
        <is>
          <t>CFM56-7B</t>
        </is>
      </c>
      <c r="C2495" s="31" t="inlineStr">
        <is>
          <t>2025-2026</t>
        </is>
      </c>
      <c r="D2495" s="31" t="inlineStr">
        <is>
          <t>138980</t>
        </is>
      </c>
      <c r="E2495" s="31" t="inlineStr">
        <is>
          <t>72-22-16</t>
        </is>
      </c>
      <c r="F2495" s="31" t="inlineStr">
        <is>
          <t>B</t>
        </is>
      </c>
      <c r="G2495" s="31" t="inlineStr">
        <is>
          <t>Fan / booster</t>
        </is>
      </c>
      <c r="H2495" s="27" t="n">
        <v>165</v>
      </c>
      <c r="I2495" s="27" t="n">
        <v>175</v>
      </c>
      <c r="J2495" s="154">
        <f>I2495/H2495-1</f>
        <v/>
      </c>
      <c r="K2495" s="31" t="inlineStr">
        <is>
          <t>41</t>
        </is>
      </c>
      <c r="L2495" s="31" t="inlineStr">
        <is>
          <t>41</t>
        </is>
      </c>
      <c r="M2495" s="31" t="inlineStr">
        <is>
          <t>S3</t>
        </is>
      </c>
      <c r="N2495" s="31" t="inlineStr">
        <is>
          <t>S5</t>
        </is>
      </c>
      <c r="O2495" s="31" t="inlineStr">
        <is>
          <t>301-297-909-0</t>
        </is>
      </c>
      <c r="P2495" s="31" t="inlineStr">
        <is>
          <t>SR Technics Switzerland</t>
        </is>
      </c>
    </row>
    <row r="2496">
      <c r="B2496" s="31" t="inlineStr">
        <is>
          <t>CFM56-7B</t>
        </is>
      </c>
      <c r="C2496" s="31" t="inlineStr">
        <is>
          <t>2025-2026</t>
        </is>
      </c>
      <c r="D2496" s="31" t="inlineStr">
        <is>
          <t>138980</t>
        </is>
      </c>
      <c r="E2496" s="31" t="inlineStr">
        <is>
          <t>72-22-16</t>
        </is>
      </c>
      <c r="F2496" s="31" t="inlineStr">
        <is>
          <t>D</t>
        </is>
      </c>
      <c r="G2496" s="31" t="inlineStr">
        <is>
          <t>Fan / booster</t>
        </is>
      </c>
      <c r="H2496" s="27" t="n">
        <v>585</v>
      </c>
      <c r="I2496" s="27" t="n">
        <v>625</v>
      </c>
      <c r="J2496" s="154">
        <f>I2496/H2496-1</f>
        <v/>
      </c>
      <c r="K2496" s="31" t="inlineStr">
        <is>
          <t>42</t>
        </is>
      </c>
      <c r="L2496" s="31" t="inlineStr">
        <is>
          <t>41</t>
        </is>
      </c>
      <c r="M2496" s="31" t="inlineStr">
        <is>
          <t>S3</t>
        </is>
      </c>
      <c r="N2496" s="31" t="inlineStr">
        <is>
          <t>S5</t>
        </is>
      </c>
      <c r="O2496" s="31" t="inlineStr">
        <is>
          <t>301-297-909-0</t>
        </is>
      </c>
      <c r="P2496" s="31" t="inlineStr">
        <is>
          <t>SR Technics Switzerland</t>
        </is>
      </c>
    </row>
    <row r="2497">
      <c r="B2497" s="31" t="inlineStr">
        <is>
          <t>CFM56-7B</t>
        </is>
      </c>
      <c r="C2497" s="31" t="inlineStr">
        <is>
          <t>2025-2026</t>
        </is>
      </c>
      <c r="D2497" s="31" t="inlineStr">
        <is>
          <t>139002</t>
        </is>
      </c>
      <c r="E2497" s="31" t="inlineStr">
        <is>
          <t>71-21-37</t>
        </is>
      </c>
      <c r="F2497" s="31" t="inlineStr">
        <is>
          <t>A</t>
        </is>
      </c>
      <c r="G2497" s="31" t="inlineStr">
        <is>
          <t>Other / assembly</t>
        </is>
      </c>
      <c r="H2497" s="27" t="n">
        <v>85</v>
      </c>
      <c r="I2497" s="27" t="n">
        <v>90</v>
      </c>
      <c r="J2497" s="154">
        <f>I2497/H2497-1</f>
        <v/>
      </c>
      <c r="K2497" s="31" t="inlineStr">
        <is>
          <t>42</t>
        </is>
      </c>
      <c r="L2497" s="31" t="inlineStr">
        <is>
          <t>41</t>
        </is>
      </c>
      <c r="M2497" s="31" t="inlineStr">
        <is>
          <t>S3</t>
        </is>
      </c>
      <c r="N2497" s="31" t="inlineStr">
        <is>
          <t>S5</t>
        </is>
      </c>
      <c r="O2497" s="31" t="inlineStr">
        <is>
          <t>SL4081CA10</t>
        </is>
      </c>
      <c r="P2497" s="31" t="inlineStr">
        <is>
          <t>SR Technics Switzerland</t>
        </is>
      </c>
    </row>
    <row r="2498">
      <c r="B2498" s="31" t="inlineStr">
        <is>
          <t>CFM56-7B</t>
        </is>
      </c>
      <c r="C2498" s="31" t="inlineStr">
        <is>
          <t>2025-2026</t>
        </is>
      </c>
      <c r="D2498" s="31" t="inlineStr">
        <is>
          <t>139015</t>
        </is>
      </c>
      <c r="E2498" s="31" t="inlineStr">
        <is>
          <t>72-63-21</t>
        </is>
      </c>
      <c r="F2498" s="31" t="inlineStr">
        <is>
          <t>B</t>
        </is>
      </c>
      <c r="G2498" s="31" t="inlineStr">
        <is>
          <t>Gearbox</t>
        </is>
      </c>
      <c r="H2498" s="27" t="n">
        <v>435</v>
      </c>
      <c r="I2498" s="27" t="n">
        <v>465</v>
      </c>
      <c r="J2498" s="154">
        <f>I2498/H2498-1</f>
        <v/>
      </c>
      <c r="K2498" s="31" t="inlineStr">
        <is>
          <t>42</t>
        </is>
      </c>
      <c r="L2498" s="31" t="inlineStr">
        <is>
          <t>42</t>
        </is>
      </c>
      <c r="M2498" s="31" t="inlineStr">
        <is>
          <t>S3</t>
        </is>
      </c>
      <c r="N2498" s="31" t="inlineStr">
        <is>
          <t>S5</t>
        </is>
      </c>
      <c r="O2498" s="31" t="inlineStr">
        <is>
          <t>305-115-704-0</t>
        </is>
      </c>
      <c r="P2498" s="31" t="inlineStr">
        <is>
          <t>SR Technics Switzerland</t>
        </is>
      </c>
    </row>
    <row r="2499">
      <c r="B2499" s="31" t="inlineStr">
        <is>
          <t>CFM56-7B</t>
        </is>
      </c>
      <c r="C2499" s="31" t="inlineStr">
        <is>
          <t>2025-2026</t>
        </is>
      </c>
      <c r="D2499" s="31" t="inlineStr">
        <is>
          <t>139015</t>
        </is>
      </c>
      <c r="E2499" s="31" t="inlineStr">
        <is>
          <t>72-63-21</t>
        </is>
      </c>
      <c r="F2499" s="31" t="inlineStr">
        <is>
          <t>C</t>
        </is>
      </c>
      <c r="G2499" s="31" t="inlineStr">
        <is>
          <t>Gearbox</t>
        </is>
      </c>
      <c r="H2499" s="27" t="n">
        <v>205</v>
      </c>
      <c r="I2499" s="27" t="n">
        <v>220</v>
      </c>
      <c r="J2499" s="154">
        <f>I2499/H2499-1</f>
        <v/>
      </c>
      <c r="K2499" s="31" t="inlineStr">
        <is>
          <t>42</t>
        </is>
      </c>
      <c r="L2499" s="31" t="inlineStr">
        <is>
          <t>42</t>
        </is>
      </c>
      <c r="M2499" s="31" t="inlineStr">
        <is>
          <t>S3</t>
        </is>
      </c>
      <c r="N2499" s="31" t="inlineStr">
        <is>
          <t>S5</t>
        </is>
      </c>
      <c r="O2499" s="31" t="inlineStr">
        <is>
          <t>305-115-704-0</t>
        </is>
      </c>
      <c r="P2499" s="31" t="inlineStr">
        <is>
          <t>SR Technics Switzerland</t>
        </is>
      </c>
    </row>
    <row r="2500">
      <c r="B2500" s="31" t="inlineStr">
        <is>
          <t>CFM56-7B</t>
        </is>
      </c>
      <c r="C2500" s="31" t="inlineStr">
        <is>
          <t>2025-2026</t>
        </is>
      </c>
      <c r="D2500" s="31" t="inlineStr">
        <is>
          <t>139021</t>
        </is>
      </c>
      <c r="E2500" s="31" t="inlineStr">
        <is>
          <t>72-63-14</t>
        </is>
      </c>
      <c r="F2500" s="31" t="inlineStr">
        <is>
          <t>B</t>
        </is>
      </c>
      <c r="G2500" s="31" t="inlineStr">
        <is>
          <t>Gearbox</t>
        </is>
      </c>
      <c r="H2500" s="27" t="n">
        <v>740</v>
      </c>
      <c r="I2500" s="27" t="n">
        <v>785</v>
      </c>
      <c r="J2500" s="154">
        <f>I2500/H2500-1</f>
        <v/>
      </c>
      <c r="K2500" s="31" t="inlineStr">
        <is>
          <t>42</t>
        </is>
      </c>
      <c r="L2500" s="31" t="inlineStr">
        <is>
          <t>42</t>
        </is>
      </c>
      <c r="M2500" s="31" t="inlineStr">
        <is>
          <t>S3</t>
        </is>
      </c>
      <c r="N2500" s="31" t="inlineStr">
        <is>
          <t>S5</t>
        </is>
      </c>
      <c r="O2500" s="31" t="inlineStr">
        <is>
          <t>301-495-102-0</t>
        </is>
      </c>
      <c r="P2500" s="31" t="inlineStr">
        <is>
          <t>SR Technics Switzerland</t>
        </is>
      </c>
    </row>
    <row r="2501">
      <c r="B2501" s="31" t="inlineStr">
        <is>
          <t>CFM56-7B</t>
        </is>
      </c>
      <c r="C2501" s="31" t="inlineStr">
        <is>
          <t>2025-2026</t>
        </is>
      </c>
      <c r="D2501" s="31" t="inlineStr">
        <is>
          <t>139021</t>
        </is>
      </c>
      <c r="E2501" s="31" t="inlineStr">
        <is>
          <t>72-63-14</t>
        </is>
      </c>
      <c r="F2501" s="31" t="inlineStr">
        <is>
          <t>C</t>
        </is>
      </c>
      <c r="G2501" s="31" t="inlineStr">
        <is>
          <t>Gearbox</t>
        </is>
      </c>
      <c r="H2501" s="27" t="n">
        <v>930</v>
      </c>
      <c r="I2501" s="27" t="n">
        <v>990</v>
      </c>
      <c r="J2501" s="154">
        <f>I2501/H2501-1</f>
        <v/>
      </c>
      <c r="K2501" s="31" t="inlineStr">
        <is>
          <t>42</t>
        </is>
      </c>
      <c r="L2501" s="31" t="inlineStr">
        <is>
          <t>42</t>
        </is>
      </c>
      <c r="M2501" s="31" t="inlineStr">
        <is>
          <t>S3</t>
        </is>
      </c>
      <c r="N2501" s="31" t="inlineStr">
        <is>
          <t>S5</t>
        </is>
      </c>
      <c r="O2501" s="31" t="inlineStr">
        <is>
          <t>301-495-102-0</t>
        </is>
      </c>
      <c r="P2501" s="31" t="inlineStr">
        <is>
          <t>SR Technics Switzerland</t>
        </is>
      </c>
    </row>
    <row r="2502">
      <c r="B2502" s="31" t="inlineStr">
        <is>
          <t>CFM56-7B</t>
        </is>
      </c>
      <c r="C2502" s="31" t="inlineStr">
        <is>
          <t>2025-2026</t>
        </is>
      </c>
      <c r="D2502" s="31" t="inlineStr">
        <is>
          <t>139023</t>
        </is>
      </c>
      <c r="E2502" s="31" t="inlineStr">
        <is>
          <t>72-55-11</t>
        </is>
      </c>
      <c r="F2502" s="31" t="inlineStr">
        <is>
          <t>A</t>
        </is>
      </c>
      <c r="G2502" s="31" t="inlineStr">
        <is>
          <t>LPT</t>
        </is>
      </c>
      <c r="H2502" s="27" t="n">
        <v>160</v>
      </c>
      <c r="I2502" s="27" t="n">
        <v>170</v>
      </c>
      <c r="J2502" s="154">
        <f>I2502/H2502-1</f>
        <v/>
      </c>
      <c r="K2502" s="31" t="inlineStr">
        <is>
          <t>42</t>
        </is>
      </c>
      <c r="L2502" s="31" t="inlineStr">
        <is>
          <t>42</t>
        </is>
      </c>
      <c r="M2502" s="31" t="inlineStr">
        <is>
          <t>S3</t>
        </is>
      </c>
      <c r="N2502" s="31" t="inlineStr">
        <is>
          <t>S5</t>
        </is>
      </c>
      <c r="O2502" s="31" t="inlineStr">
        <is>
          <t>301-367-605-0</t>
        </is>
      </c>
      <c r="P2502" s="31" t="inlineStr">
        <is>
          <t>SR Technics Switzerland</t>
        </is>
      </c>
    </row>
    <row r="2503">
      <c r="B2503" s="31" t="inlineStr">
        <is>
          <t>CFM56-7B</t>
        </is>
      </c>
      <c r="C2503" s="31" t="inlineStr">
        <is>
          <t>2025-2026</t>
        </is>
      </c>
      <c r="D2503" s="31" t="inlineStr">
        <is>
          <t>139024</t>
        </is>
      </c>
      <c r="E2503" s="31" t="inlineStr">
        <is>
          <t>72-54-14</t>
        </is>
      </c>
      <c r="F2503" s="31" t="inlineStr">
        <is>
          <t>E</t>
        </is>
      </c>
      <c r="G2503" s="31" t="inlineStr">
        <is>
          <t>LPT</t>
        </is>
      </c>
      <c r="H2503" s="27" t="n">
        <v>155</v>
      </c>
      <c r="I2503" s="27" t="n">
        <v>165</v>
      </c>
      <c r="J2503" s="154">
        <f>I2503/H2503-1</f>
        <v/>
      </c>
      <c r="K2503" s="31" t="inlineStr">
        <is>
          <t>43</t>
        </is>
      </c>
      <c r="L2503" s="31" t="inlineStr">
        <is>
          <t>42</t>
        </is>
      </c>
      <c r="M2503" s="31" t="inlineStr">
        <is>
          <t>S3</t>
        </is>
      </c>
      <c r="N2503" s="31" t="inlineStr">
        <is>
          <t>S5</t>
        </is>
      </c>
      <c r="O2503" s="31" t="inlineStr">
        <is>
          <t>338-072-601-0</t>
        </is>
      </c>
      <c r="P2503" s="31" t="inlineStr">
        <is>
          <t>SR Technics Switzerland</t>
        </is>
      </c>
    </row>
    <row r="2504">
      <c r="B2504" s="31" t="inlineStr">
        <is>
          <t>CFM56-7B</t>
        </is>
      </c>
      <c r="C2504" s="31" t="inlineStr">
        <is>
          <t>2025-2026</t>
        </is>
      </c>
      <c r="D2504" s="31" t="inlineStr">
        <is>
          <t>13903</t>
        </is>
      </c>
      <c r="E2504" s="31" t="inlineStr">
        <is>
          <t>72-54-10</t>
        </is>
      </c>
      <c r="F2504" s="31" t="inlineStr">
        <is>
          <t>B</t>
        </is>
      </c>
      <c r="G2504" s="31" t="inlineStr">
        <is>
          <t>LPT</t>
        </is>
      </c>
      <c r="H2504" s="27" t="n">
        <v>230</v>
      </c>
      <c r="I2504" s="27" t="n">
        <v>245</v>
      </c>
      <c r="J2504" s="154">
        <f>I2504/H2504-1</f>
        <v/>
      </c>
      <c r="K2504" s="31" t="inlineStr">
        <is>
          <t>38</t>
        </is>
      </c>
      <c r="L2504" s="31" t="inlineStr">
        <is>
          <t>37</t>
        </is>
      </c>
      <c r="M2504" s="31" t="inlineStr">
        <is>
          <t>S3</t>
        </is>
      </c>
      <c r="N2504" s="31" t="inlineStr">
        <is>
          <t>S5</t>
        </is>
      </c>
      <c r="O2504" s="31" t="inlineStr">
        <is>
          <t>336-042-501-0</t>
        </is>
      </c>
      <c r="P2504" s="31" t="inlineStr">
        <is>
          <t>SR Technics Switzerland</t>
        </is>
      </c>
    </row>
    <row r="2505">
      <c r="B2505" s="31" t="inlineStr">
        <is>
          <t>CFM56-7B</t>
        </is>
      </c>
      <c r="C2505" s="31" t="inlineStr">
        <is>
          <t>2025-2026</t>
        </is>
      </c>
      <c r="D2505" s="31" t="inlineStr">
        <is>
          <t>139030</t>
        </is>
      </c>
      <c r="E2505" s="31" t="inlineStr">
        <is>
          <t>72-23-17</t>
        </is>
      </c>
      <c r="F2505" s="31" t="inlineStr">
        <is>
          <t>N</t>
        </is>
      </c>
      <c r="G2505" s="31" t="inlineStr">
        <is>
          <t>Fan / booster</t>
        </is>
      </c>
      <c r="H2505" s="27" t="n">
        <v>1465</v>
      </c>
      <c r="I2505" s="27" t="n">
        <v>1555</v>
      </c>
      <c r="J2505" s="154">
        <f>I2505/H2505-1</f>
        <v/>
      </c>
      <c r="K2505" s="31" t="inlineStr">
        <is>
          <t>43</t>
        </is>
      </c>
      <c r="L2505" s="31" t="inlineStr">
        <is>
          <t>42</t>
        </is>
      </c>
      <c r="M2505" s="31" t="inlineStr">
        <is>
          <t>S3</t>
        </is>
      </c>
      <c r="N2505" s="31" t="inlineStr">
        <is>
          <t>S5</t>
        </is>
      </c>
      <c r="O2505" s="31" t="inlineStr">
        <is>
          <t>338-011-201-0</t>
        </is>
      </c>
      <c r="P2505" s="31" t="inlineStr">
        <is>
          <t>SR Technics Switzerland</t>
        </is>
      </c>
    </row>
    <row r="2506">
      <c r="B2506" s="31" t="inlineStr">
        <is>
          <t>CFM56-7B</t>
        </is>
      </c>
      <c r="C2506" s="31" t="inlineStr">
        <is>
          <t>2025-2026</t>
        </is>
      </c>
      <c r="D2506" s="31" t="inlineStr">
        <is>
          <t>139035</t>
        </is>
      </c>
      <c r="E2506" s="31" t="inlineStr">
        <is>
          <t>72-23-08</t>
        </is>
      </c>
      <c r="F2506" s="31" t="inlineStr">
        <is>
          <t>L</t>
        </is>
      </c>
      <c r="G2506" s="31" t="inlineStr">
        <is>
          <t>Fan / booster</t>
        </is>
      </c>
      <c r="H2506" s="27" t="n">
        <v>2970</v>
      </c>
      <c r="I2506" s="27" t="n">
        <v>3150</v>
      </c>
      <c r="J2506" s="154">
        <f>I2506/H2506-1</f>
        <v/>
      </c>
      <c r="K2506" s="31" t="inlineStr">
        <is>
          <t>43</t>
        </is>
      </c>
      <c r="L2506" s="31" t="inlineStr">
        <is>
          <t>43</t>
        </is>
      </c>
      <c r="M2506" s="31" t="inlineStr">
        <is>
          <t>S3</t>
        </is>
      </c>
      <c r="N2506" s="31" t="inlineStr">
        <is>
          <t>S5</t>
        </is>
      </c>
      <c r="O2506" s="31" t="inlineStr">
        <is>
          <t>338-068-007-0</t>
        </is>
      </c>
      <c r="P2506" s="31" t="inlineStr">
        <is>
          <t>SR Technics Switzerland</t>
        </is>
      </c>
    </row>
    <row r="2507">
      <c r="B2507" s="31" t="inlineStr">
        <is>
          <t>CFM56-7B</t>
        </is>
      </c>
      <c r="C2507" s="31" t="inlineStr">
        <is>
          <t>2025-2026</t>
        </is>
      </c>
      <c r="D2507" s="31" t="inlineStr">
        <is>
          <t>139040</t>
        </is>
      </c>
      <c r="E2507" s="31" t="inlineStr">
        <is>
          <t>72-23-07</t>
        </is>
      </c>
      <c r="F2507" s="31" t="inlineStr">
        <is>
          <t>B</t>
        </is>
      </c>
      <c r="G2507" s="31" t="inlineStr">
        <is>
          <t>Fan / booster</t>
        </is>
      </c>
      <c r="H2507" s="27" t="n">
        <v>1250</v>
      </c>
      <c r="I2507" s="27" t="n">
        <v>1325</v>
      </c>
      <c r="J2507" s="154">
        <f>I2507/H2507-1</f>
        <v/>
      </c>
      <c r="K2507" s="31" t="inlineStr">
        <is>
          <t>44</t>
        </is>
      </c>
      <c r="L2507" s="31" t="inlineStr">
        <is>
          <t>43</t>
        </is>
      </c>
      <c r="M2507" s="31" t="inlineStr">
        <is>
          <t>S3</t>
        </is>
      </c>
      <c r="N2507" s="31" t="inlineStr">
        <is>
          <t>S5</t>
        </is>
      </c>
      <c r="O2507" s="31" t="inlineStr">
        <is>
          <t>338-070-102-0</t>
        </is>
      </c>
      <c r="P2507" s="31" t="inlineStr">
        <is>
          <t>SR Technics Switzerland</t>
        </is>
      </c>
    </row>
    <row r="2508">
      <c r="B2508" s="31" t="inlineStr">
        <is>
          <t>CFM56-7B</t>
        </is>
      </c>
      <c r="C2508" s="31" t="inlineStr">
        <is>
          <t>2025-2026</t>
        </is>
      </c>
      <c r="D2508" s="31" t="inlineStr">
        <is>
          <t>139040</t>
        </is>
      </c>
      <c r="E2508" s="31" t="inlineStr">
        <is>
          <t>72-23-07</t>
        </is>
      </c>
      <c r="F2508" s="31" t="inlineStr">
        <is>
          <t>E</t>
        </is>
      </c>
      <c r="G2508" s="31" t="inlineStr">
        <is>
          <t>Fan / booster</t>
        </is>
      </c>
      <c r="H2508" s="27" t="n">
        <v>700</v>
      </c>
      <c r="I2508" s="27" t="n">
        <v>745</v>
      </c>
      <c r="J2508" s="154">
        <f>I2508/H2508-1</f>
        <v/>
      </c>
      <c r="K2508" s="31" t="inlineStr">
        <is>
          <t>44</t>
        </is>
      </c>
      <c r="L2508" s="31" t="inlineStr">
        <is>
          <t>43</t>
        </is>
      </c>
      <c r="M2508" s="31" t="inlineStr">
        <is>
          <t>S3</t>
        </is>
      </c>
      <c r="N2508" s="31" t="inlineStr">
        <is>
          <t>S5</t>
        </is>
      </c>
      <c r="O2508" s="31" t="inlineStr">
        <is>
          <t>338-070-102-0</t>
        </is>
      </c>
      <c r="P2508" s="31" t="inlineStr">
        <is>
          <t>SR Technics Switzerland</t>
        </is>
      </c>
    </row>
    <row r="2509">
      <c r="B2509" s="31" t="inlineStr">
        <is>
          <t>CFM56-7B</t>
        </is>
      </c>
      <c r="C2509" s="31" t="inlineStr">
        <is>
          <t>2025-2026</t>
        </is>
      </c>
      <c r="D2509" s="31" t="inlineStr">
        <is>
          <t>139040</t>
        </is>
      </c>
      <c r="E2509" s="31" t="inlineStr">
        <is>
          <t>72-23-07</t>
        </is>
      </c>
      <c r="F2509" s="31" t="inlineStr">
        <is>
          <t>F</t>
        </is>
      </c>
      <c r="G2509" s="31" t="inlineStr">
        <is>
          <t>Fan / booster</t>
        </is>
      </c>
      <c r="H2509" s="27" t="n">
        <v>815</v>
      </c>
      <c r="I2509" s="27" t="n">
        <v>865</v>
      </c>
      <c r="J2509" s="154">
        <f>I2509/H2509-1</f>
        <v/>
      </c>
      <c r="K2509" s="31" t="inlineStr">
        <is>
          <t>44</t>
        </is>
      </c>
      <c r="L2509" s="31" t="inlineStr">
        <is>
          <t>43</t>
        </is>
      </c>
      <c r="M2509" s="31" t="inlineStr">
        <is>
          <t>S3</t>
        </is>
      </c>
      <c r="N2509" s="31" t="inlineStr">
        <is>
          <t>S5</t>
        </is>
      </c>
      <c r="O2509" s="31" t="inlineStr">
        <is>
          <t>338-070-102-0</t>
        </is>
      </c>
      <c r="P2509" s="31" t="inlineStr">
        <is>
          <t>SR Technics Switzerland</t>
        </is>
      </c>
    </row>
    <row r="2510">
      <c r="B2510" s="31" t="inlineStr">
        <is>
          <t>CFM56-7B</t>
        </is>
      </c>
      <c r="C2510" s="31" t="inlineStr">
        <is>
          <t>2025-2026</t>
        </is>
      </c>
      <c r="D2510" s="31" t="inlineStr">
        <is>
          <t>139040</t>
        </is>
      </c>
      <c r="E2510" s="31" t="inlineStr">
        <is>
          <t>72-23-07</t>
        </is>
      </c>
      <c r="F2510" s="31" t="inlineStr">
        <is>
          <t>H</t>
        </is>
      </c>
      <c r="G2510" s="31" t="inlineStr">
        <is>
          <t>Fan / booster</t>
        </is>
      </c>
      <c r="H2510" s="27" t="n">
        <v>810</v>
      </c>
      <c r="I2510" s="27" t="n">
        <v>860</v>
      </c>
      <c r="J2510" s="154">
        <f>I2510/H2510-1</f>
        <v/>
      </c>
      <c r="K2510" s="31" t="inlineStr">
        <is>
          <t>44</t>
        </is>
      </c>
      <c r="L2510" s="31" t="inlineStr">
        <is>
          <t>43</t>
        </is>
      </c>
      <c r="M2510" s="31" t="inlineStr">
        <is>
          <t>S3</t>
        </is>
      </c>
      <c r="N2510" s="31" t="inlineStr">
        <is>
          <t>S5</t>
        </is>
      </c>
      <c r="O2510" s="31" t="inlineStr">
        <is>
          <t>338-070-102-0</t>
        </is>
      </c>
      <c r="P2510" s="31" t="inlineStr">
        <is>
          <t>SR Technics Switzerland</t>
        </is>
      </c>
    </row>
    <row r="2511">
      <c r="B2511" s="31" t="inlineStr">
        <is>
          <t>CFM56-7B</t>
        </is>
      </c>
      <c r="C2511" s="31" t="inlineStr">
        <is>
          <t>2025-2026</t>
        </is>
      </c>
      <c r="D2511" s="31" t="inlineStr">
        <is>
          <t>139040</t>
        </is>
      </c>
      <c r="E2511" s="31" t="inlineStr">
        <is>
          <t>72-23-07</t>
        </is>
      </c>
      <c r="F2511" s="31" t="inlineStr">
        <is>
          <t>SB00</t>
        </is>
      </c>
      <c r="G2511" s="31" t="inlineStr">
        <is>
          <t>Fan / booster</t>
        </is>
      </c>
      <c r="H2511" s="27" t="n">
        <v>425</v>
      </c>
      <c r="I2511" s="27" t="n">
        <v>455</v>
      </c>
      <c r="J2511" s="154">
        <f>I2511/H2511-1</f>
        <v/>
      </c>
      <c r="K2511" s="31" t="inlineStr">
        <is>
          <t>44</t>
        </is>
      </c>
      <c r="L2511" s="31" t="inlineStr">
        <is>
          <t>43</t>
        </is>
      </c>
      <c r="M2511" s="31" t="inlineStr">
        <is>
          <t>S3</t>
        </is>
      </c>
      <c r="N2511" s="31" t="inlineStr">
        <is>
          <t>S5</t>
        </is>
      </c>
      <c r="O2511" s="31" t="inlineStr">
        <is>
          <t>338-070-102-0</t>
        </is>
      </c>
      <c r="P2511" s="31" t="inlineStr">
        <is>
          <t>SR Technics Switzerland</t>
        </is>
      </c>
    </row>
    <row r="2512">
      <c r="B2512" s="31" t="inlineStr">
        <is>
          <t>CFM56-7B</t>
        </is>
      </c>
      <c r="C2512" s="31" t="inlineStr">
        <is>
          <t>2025-2026</t>
        </is>
      </c>
      <c r="D2512" s="31" t="inlineStr">
        <is>
          <t>139054</t>
        </is>
      </c>
      <c r="E2512" s="31" t="inlineStr">
        <is>
          <t>72-32-20</t>
        </is>
      </c>
      <c r="F2512" s="31" t="inlineStr">
        <is>
          <t>A</t>
        </is>
      </c>
      <c r="G2512" s="31" t="inlineStr">
        <is>
          <t>Compressor</t>
        </is>
      </c>
      <c r="H2512" s="27" t="n">
        <v>380</v>
      </c>
      <c r="I2512" s="27" t="n">
        <v>400</v>
      </c>
      <c r="J2512" s="154">
        <f>I2512/H2512-1</f>
        <v/>
      </c>
      <c r="K2512" s="31" t="inlineStr">
        <is>
          <t>9</t>
        </is>
      </c>
      <c r="L2512" s="31" t="inlineStr">
        <is>
          <t>8</t>
        </is>
      </c>
      <c r="M2512" s="31" t="inlineStr">
        <is>
          <t>S3</t>
        </is>
      </c>
      <c r="N2512" s="31" t="inlineStr">
        <is>
          <t>S5</t>
        </is>
      </c>
      <c r="O2512" s="31" t="inlineStr">
        <is>
          <t>9992M86G07</t>
        </is>
      </c>
      <c r="P2512" s="31" t="inlineStr">
        <is>
          <t>SR Technics Switzerland</t>
        </is>
      </c>
    </row>
    <row r="2513">
      <c r="B2513" s="31" t="inlineStr">
        <is>
          <t>CFM56-7B</t>
        </is>
      </c>
      <c r="C2513" s="31" t="inlineStr">
        <is>
          <t>2025-2026</t>
        </is>
      </c>
      <c r="D2513" s="31" t="inlineStr">
        <is>
          <t>139055</t>
        </is>
      </c>
      <c r="E2513" s="31" t="inlineStr">
        <is>
          <t>72-21-10</t>
        </is>
      </c>
      <c r="F2513" s="31" t="inlineStr">
        <is>
          <t>A</t>
        </is>
      </c>
      <c r="G2513" s="31" t="inlineStr">
        <is>
          <t>Fan / booster</t>
        </is>
      </c>
      <c r="H2513" s="27" t="n">
        <v>85</v>
      </c>
      <c r="I2513" s="27" t="n">
        <v>90</v>
      </c>
      <c r="J2513" s="154">
        <f>I2513/H2513-1</f>
        <v/>
      </c>
      <c r="K2513" s="31" t="inlineStr">
        <is>
          <t>45</t>
        </is>
      </c>
      <c r="L2513" s="31" t="inlineStr">
        <is>
          <t>44</t>
        </is>
      </c>
      <c r="M2513" s="31" t="inlineStr">
        <is>
          <t>S3</t>
        </is>
      </c>
      <c r="N2513" s="31" t="inlineStr">
        <is>
          <t>S5</t>
        </is>
      </c>
      <c r="O2513" s="31" t="inlineStr">
        <is>
          <t>338-006-102-0</t>
        </is>
      </c>
      <c r="P2513" s="31" t="inlineStr">
        <is>
          <t>SR Technics Switzerland</t>
        </is>
      </c>
    </row>
    <row r="2514">
      <c r="B2514" s="31" t="inlineStr">
        <is>
          <t>CFM56-7B</t>
        </is>
      </c>
      <c r="C2514" s="31" t="inlineStr">
        <is>
          <t>2025-2026</t>
        </is>
      </c>
      <c r="D2514" s="31" t="inlineStr">
        <is>
          <t>139055</t>
        </is>
      </c>
      <c r="E2514" s="31" t="inlineStr">
        <is>
          <t>72-21-10</t>
        </is>
      </c>
      <c r="F2514" s="31" t="inlineStr">
        <is>
          <t>SB00</t>
        </is>
      </c>
      <c r="G2514" s="31" t="inlineStr">
        <is>
          <t>Fan / booster</t>
        </is>
      </c>
      <c r="H2514" s="27" t="n">
        <v>160</v>
      </c>
      <c r="I2514" s="27" t="n">
        <v>170</v>
      </c>
      <c r="J2514" s="154">
        <f>I2514/H2514-1</f>
        <v/>
      </c>
      <c r="K2514" s="31" t="inlineStr">
        <is>
          <t>45</t>
        </is>
      </c>
      <c r="L2514" s="31" t="inlineStr">
        <is>
          <t>44</t>
        </is>
      </c>
      <c r="M2514" s="31" t="inlineStr">
        <is>
          <t>S3</t>
        </is>
      </c>
      <c r="N2514" s="31" t="inlineStr">
        <is>
          <t>S5</t>
        </is>
      </c>
      <c r="O2514" s="31" t="inlineStr">
        <is>
          <t>338-006-102-0</t>
        </is>
      </c>
      <c r="P2514" s="31" t="inlineStr">
        <is>
          <t>SR Technics Switzerland</t>
        </is>
      </c>
    </row>
    <row r="2515">
      <c r="B2515" s="31" t="inlineStr">
        <is>
          <t>CFM56-7B</t>
        </is>
      </c>
      <c r="C2515" s="31" t="inlineStr">
        <is>
          <t>2025-2026</t>
        </is>
      </c>
      <c r="D2515" s="31" t="inlineStr">
        <is>
          <t>139056</t>
        </is>
      </c>
      <c r="E2515" s="31" t="inlineStr">
        <is>
          <t>72-23-05</t>
        </is>
      </c>
      <c r="F2515" s="31" t="inlineStr">
        <is>
          <t>F</t>
        </is>
      </c>
      <c r="G2515" s="31" t="inlineStr">
        <is>
          <t>Fan / booster</t>
        </is>
      </c>
      <c r="H2515" s="27" t="n">
        <v>1570</v>
      </c>
      <c r="I2515" s="27" t="n">
        <v>1665</v>
      </c>
      <c r="J2515" s="154">
        <f>I2515/H2515-1</f>
        <v/>
      </c>
      <c r="K2515" s="31" t="inlineStr">
        <is>
          <t>45</t>
        </is>
      </c>
      <c r="L2515" s="31" t="inlineStr">
        <is>
          <t>44</t>
        </is>
      </c>
      <c r="M2515" s="31" t="inlineStr">
        <is>
          <t>S3</t>
        </is>
      </c>
      <c r="N2515" s="31" t="inlineStr">
        <is>
          <t>S5</t>
        </is>
      </c>
      <c r="O2515" s="31" t="inlineStr">
        <is>
          <t>301-295-106-0</t>
        </is>
      </c>
      <c r="P2515" s="31" t="inlineStr">
        <is>
          <t>SR Technics Switzerland</t>
        </is>
      </c>
    </row>
    <row r="2516">
      <c r="B2516" s="31" t="inlineStr">
        <is>
          <t>CFM56-7B</t>
        </is>
      </c>
      <c r="C2516" s="31" t="inlineStr">
        <is>
          <t>2025-2026</t>
        </is>
      </c>
      <c r="D2516" s="31" t="inlineStr">
        <is>
          <t>139056</t>
        </is>
      </c>
      <c r="E2516" s="31" t="inlineStr">
        <is>
          <t>72-23-05</t>
        </is>
      </c>
      <c r="F2516" s="31" t="inlineStr">
        <is>
          <t>G</t>
        </is>
      </c>
      <c r="G2516" s="31" t="inlineStr">
        <is>
          <t>Fan / booster</t>
        </is>
      </c>
      <c r="H2516" s="27" t="n">
        <v>2205</v>
      </c>
      <c r="I2516" s="27" t="n">
        <v>2340</v>
      </c>
      <c r="J2516" s="154">
        <f>I2516/H2516-1</f>
        <v/>
      </c>
      <c r="K2516" s="31" t="inlineStr">
        <is>
          <t>45</t>
        </is>
      </c>
      <c r="L2516" s="31" t="inlineStr">
        <is>
          <t>44</t>
        </is>
      </c>
      <c r="M2516" s="31" t="inlineStr">
        <is>
          <t>S3</t>
        </is>
      </c>
      <c r="N2516" s="31" t="inlineStr">
        <is>
          <t>S5</t>
        </is>
      </c>
      <c r="O2516" s="31" t="inlineStr">
        <is>
          <t>301-295-106-0</t>
        </is>
      </c>
      <c r="P2516" s="31" t="inlineStr">
        <is>
          <t>SR Technics Switzerland</t>
        </is>
      </c>
    </row>
    <row r="2517">
      <c r="B2517" s="31" t="inlineStr">
        <is>
          <t>CFM56-7B</t>
        </is>
      </c>
      <c r="C2517" s="31" t="inlineStr">
        <is>
          <t>2025-2026</t>
        </is>
      </c>
      <c r="D2517" s="31" t="inlineStr">
        <is>
          <t>139334</t>
        </is>
      </c>
      <c r="E2517" s="31" t="inlineStr">
        <is>
          <t>72-52-10</t>
        </is>
      </c>
      <c r="F2517" s="31" t="inlineStr">
        <is>
          <t>A</t>
        </is>
      </c>
      <c r="G2517" s="31" t="inlineStr">
        <is>
          <t>HPT / nozzle</t>
        </is>
      </c>
      <c r="H2517" s="27" t="n">
        <v>630</v>
      </c>
      <c r="I2517" s="27" t="n">
        <v>665</v>
      </c>
      <c r="J2517" s="154">
        <f>I2517/H2517-1</f>
        <v/>
      </c>
      <c r="K2517" s="31" t="inlineStr">
        <is>
          <t>9</t>
        </is>
      </c>
      <c r="L2517" s="31" t="inlineStr">
        <is>
          <t>8</t>
        </is>
      </c>
      <c r="M2517" s="31" t="inlineStr">
        <is>
          <t>S3</t>
        </is>
      </c>
      <c r="N2517" s="31" t="inlineStr">
        <is>
          <t>S5</t>
        </is>
      </c>
      <c r="O2517" s="31" t="inlineStr">
        <is>
          <t>1319M17P01</t>
        </is>
      </c>
      <c r="P2517" s="31" t="inlineStr">
        <is>
          <t>SR Technics Switzerland</t>
        </is>
      </c>
    </row>
    <row r="2518">
      <c r="B2518" s="31" t="inlineStr">
        <is>
          <t>CFM56-7B</t>
        </is>
      </c>
      <c r="C2518" s="31" t="inlineStr">
        <is>
          <t>2025-2026</t>
        </is>
      </c>
      <c r="D2518" s="31" t="inlineStr">
        <is>
          <t>139334</t>
        </is>
      </c>
      <c r="E2518" s="31" t="inlineStr">
        <is>
          <t>72-52-10</t>
        </is>
      </c>
      <c r="F2518" s="31" t="inlineStr">
        <is>
          <t>C</t>
        </is>
      </c>
      <c r="G2518" s="31" t="inlineStr">
        <is>
          <t>HPT / nozzle</t>
        </is>
      </c>
      <c r="H2518" s="27" t="n">
        <v>4370</v>
      </c>
      <c r="I2518" s="27" t="n">
        <v>4635</v>
      </c>
      <c r="J2518" s="154">
        <f>I2518/H2518-1</f>
        <v/>
      </c>
      <c r="K2518" s="31" t="inlineStr">
        <is>
          <t>9</t>
        </is>
      </c>
      <c r="L2518" s="31" t="inlineStr">
        <is>
          <t>9</t>
        </is>
      </c>
      <c r="M2518" s="31" t="inlineStr">
        <is>
          <t>S3</t>
        </is>
      </c>
      <c r="N2518" s="31" t="inlineStr">
        <is>
          <t>S5</t>
        </is>
      </c>
      <c r="O2518" s="31" t="inlineStr">
        <is>
          <t>1319M17P01</t>
        </is>
      </c>
      <c r="P2518" s="31" t="inlineStr">
        <is>
          <t>SR Technics Switzerland</t>
        </is>
      </c>
    </row>
    <row r="2519">
      <c r="B2519" s="31" t="inlineStr">
        <is>
          <t>CFM56-7B</t>
        </is>
      </c>
      <c r="C2519" s="31" t="inlineStr">
        <is>
          <t>2025-2026</t>
        </is>
      </c>
      <c r="D2519" s="31" t="inlineStr">
        <is>
          <t>139334</t>
        </is>
      </c>
      <c r="E2519" s="31" t="inlineStr">
        <is>
          <t>72-52-10</t>
        </is>
      </c>
      <c r="F2519" s="31" t="inlineStr">
        <is>
          <t>F</t>
        </is>
      </c>
      <c r="G2519" s="31" t="inlineStr">
        <is>
          <t>HPT / nozzle</t>
        </is>
      </c>
      <c r="H2519" s="27" t="n">
        <v>350</v>
      </c>
      <c r="I2519" s="27" t="n">
        <v>375</v>
      </c>
      <c r="J2519" s="154">
        <f>I2519/H2519-1</f>
        <v/>
      </c>
      <c r="K2519" s="31" t="inlineStr">
        <is>
          <t>9</t>
        </is>
      </c>
      <c r="L2519" s="31" t="inlineStr">
        <is>
          <t>9</t>
        </is>
      </c>
      <c r="M2519" s="31" t="inlineStr">
        <is>
          <t>S3</t>
        </is>
      </c>
      <c r="N2519" s="31" t="inlineStr">
        <is>
          <t>S5</t>
        </is>
      </c>
      <c r="O2519" s="31" t="inlineStr">
        <is>
          <t>1319M17P01</t>
        </is>
      </c>
      <c r="P2519" s="31" t="inlineStr">
        <is>
          <t>SR Technics Switzerland</t>
        </is>
      </c>
    </row>
    <row r="2520">
      <c r="B2520" s="31" t="inlineStr">
        <is>
          <t>CFM56-7B</t>
        </is>
      </c>
      <c r="C2520" s="31" t="inlineStr">
        <is>
          <t>2025-2026</t>
        </is>
      </c>
      <c r="D2520" s="31" t="inlineStr">
        <is>
          <t>139335</t>
        </is>
      </c>
      <c r="E2520" s="31" t="inlineStr">
        <is>
          <t>72-61-01</t>
        </is>
      </c>
      <c r="F2520" s="31" t="inlineStr">
        <is>
          <t>B</t>
        </is>
      </c>
      <c r="G2520" s="31" t="inlineStr">
        <is>
          <t>Gearbox</t>
        </is>
      </c>
      <c r="H2520" s="27" t="n">
        <v>1280</v>
      </c>
      <c r="I2520" s="27" t="n">
        <v>1360</v>
      </c>
      <c r="J2520" s="154">
        <f>I2520/H2520-1</f>
        <v/>
      </c>
      <c r="K2520" s="31" t="inlineStr">
        <is>
          <t>9</t>
        </is>
      </c>
      <c r="L2520" s="31" t="inlineStr">
        <is>
          <t>9</t>
        </is>
      </c>
      <c r="M2520" s="31" t="inlineStr">
        <is>
          <t>S3</t>
        </is>
      </c>
      <c r="N2520" s="31" t="inlineStr">
        <is>
          <t>S5</t>
        </is>
      </c>
      <c r="O2520" s="31" t="inlineStr">
        <is>
          <t>1360M70G01</t>
        </is>
      </c>
      <c r="P2520" s="31" t="inlineStr">
        <is>
          <t>SR Technics Switzerland</t>
        </is>
      </c>
    </row>
    <row r="2521">
      <c r="B2521" s="31" t="inlineStr">
        <is>
          <t>CFM56-7B</t>
        </is>
      </c>
      <c r="C2521" s="31" t="inlineStr">
        <is>
          <t>2025-2026</t>
        </is>
      </c>
      <c r="D2521" s="31" t="inlineStr">
        <is>
          <t>139335</t>
        </is>
      </c>
      <c r="E2521" s="31" t="inlineStr">
        <is>
          <t>72-61-01</t>
        </is>
      </c>
      <c r="F2521" s="31" t="inlineStr">
        <is>
          <t>C</t>
        </is>
      </c>
      <c r="G2521" s="31" t="inlineStr">
        <is>
          <t>Gearbox</t>
        </is>
      </c>
      <c r="H2521" s="27" t="n">
        <v>980</v>
      </c>
      <c r="I2521" s="27" t="n">
        <v>1040</v>
      </c>
      <c r="J2521" s="154">
        <f>I2521/H2521-1</f>
        <v/>
      </c>
      <c r="K2521" s="31" t="inlineStr">
        <is>
          <t>9</t>
        </is>
      </c>
      <c r="L2521" s="31" t="inlineStr">
        <is>
          <t>9</t>
        </is>
      </c>
      <c r="M2521" s="31" t="inlineStr">
        <is>
          <t>S3</t>
        </is>
      </c>
      <c r="N2521" s="31" t="inlineStr">
        <is>
          <t>S5</t>
        </is>
      </c>
      <c r="O2521" s="31" t="inlineStr">
        <is>
          <t>1360M70G01</t>
        </is>
      </c>
      <c r="P2521" s="31" t="inlineStr">
        <is>
          <t>SR Technics Switzerland</t>
        </is>
      </c>
    </row>
    <row r="2522">
      <c r="B2522" s="31" t="inlineStr">
        <is>
          <t>CFM56-7B</t>
        </is>
      </c>
      <c r="C2522" s="31" t="inlineStr">
        <is>
          <t>2025-2026</t>
        </is>
      </c>
      <c r="D2522" s="31" t="inlineStr">
        <is>
          <t>139335</t>
        </is>
      </c>
      <c r="E2522" s="31" t="inlineStr">
        <is>
          <t>72-61-01</t>
        </is>
      </c>
      <c r="F2522" s="31" t="inlineStr">
        <is>
          <t>H</t>
        </is>
      </c>
      <c r="G2522" s="31" t="inlineStr">
        <is>
          <t>Gearbox</t>
        </is>
      </c>
      <c r="H2522" s="27" t="n">
        <v>3255</v>
      </c>
      <c r="I2522" s="27" t="n">
        <v>3455</v>
      </c>
      <c r="J2522" s="154">
        <f>I2522/H2522-1</f>
        <v/>
      </c>
      <c r="K2522" s="31" t="inlineStr">
        <is>
          <t>9</t>
        </is>
      </c>
      <c r="L2522" s="31" t="inlineStr">
        <is>
          <t>9</t>
        </is>
      </c>
      <c r="M2522" s="31" t="inlineStr">
        <is>
          <t>S3</t>
        </is>
      </c>
      <c r="N2522" s="31" t="inlineStr">
        <is>
          <t>S5</t>
        </is>
      </c>
      <c r="O2522" s="31" t="inlineStr">
        <is>
          <t>1360M70G01</t>
        </is>
      </c>
      <c r="P2522" s="31" t="inlineStr">
        <is>
          <t>SR Technics Switzerland</t>
        </is>
      </c>
    </row>
    <row r="2523">
      <c r="B2523" s="31" t="inlineStr">
        <is>
          <t>CFM56-7B</t>
        </is>
      </c>
      <c r="C2523" s="31" t="inlineStr">
        <is>
          <t>2025-2026</t>
        </is>
      </c>
      <c r="D2523" s="31" t="inlineStr">
        <is>
          <t>139335</t>
        </is>
      </c>
      <c r="E2523" s="31" t="inlineStr">
        <is>
          <t>72-61-01</t>
        </is>
      </c>
      <c r="F2523" s="31" t="inlineStr">
        <is>
          <t>SB00</t>
        </is>
      </c>
      <c r="G2523" s="31" t="inlineStr">
        <is>
          <t>Gearbox</t>
        </is>
      </c>
      <c r="H2523" s="27" t="n">
        <v>985</v>
      </c>
      <c r="I2523" s="27" t="n">
        <v>1045</v>
      </c>
      <c r="J2523" s="154">
        <f>I2523/H2523-1</f>
        <v/>
      </c>
      <c r="K2523" s="31" t="inlineStr">
        <is>
          <t>9</t>
        </is>
      </c>
      <c r="L2523" s="31" t="inlineStr">
        <is>
          <t>9</t>
        </is>
      </c>
      <c r="M2523" s="31" t="inlineStr">
        <is>
          <t>S3</t>
        </is>
      </c>
      <c r="N2523" s="31" t="inlineStr">
        <is>
          <t>S5</t>
        </is>
      </c>
      <c r="O2523" s="31" t="inlineStr">
        <is>
          <t>1360M70G01</t>
        </is>
      </c>
      <c r="P2523" s="31" t="inlineStr">
        <is>
          <t>SR Technics Switzerland</t>
        </is>
      </c>
    </row>
    <row r="2524">
      <c r="B2524" s="31" t="inlineStr">
        <is>
          <t>CFM56-7B</t>
        </is>
      </c>
      <c r="C2524" s="31" t="inlineStr">
        <is>
          <t>2025-2026</t>
        </is>
      </c>
      <c r="D2524" s="31" t="inlineStr">
        <is>
          <t>139336</t>
        </is>
      </c>
      <c r="E2524" s="31" t="inlineStr">
        <is>
          <t>72-61-04</t>
        </is>
      </c>
      <c r="F2524" s="31" t="inlineStr">
        <is>
          <t>B</t>
        </is>
      </c>
      <c r="G2524" s="31" t="inlineStr">
        <is>
          <t>Gearbox</t>
        </is>
      </c>
      <c r="H2524" s="27" t="n">
        <v>1275</v>
      </c>
      <c r="I2524" s="27" t="n">
        <v>1355</v>
      </c>
      <c r="J2524" s="154">
        <f>I2524/H2524-1</f>
        <v/>
      </c>
      <c r="K2524" s="31" t="inlineStr">
        <is>
          <t>10</t>
        </is>
      </c>
      <c r="L2524" s="31" t="inlineStr">
        <is>
          <t>9</t>
        </is>
      </c>
      <c r="M2524" s="31" t="inlineStr">
        <is>
          <t>S3</t>
        </is>
      </c>
      <c r="N2524" s="31" t="inlineStr">
        <is>
          <t>S5</t>
        </is>
      </c>
      <c r="O2524" s="31" t="inlineStr">
        <is>
          <t>1361M13P01</t>
        </is>
      </c>
      <c r="P2524" s="31" t="inlineStr">
        <is>
          <t>SR Technics Switzerland</t>
        </is>
      </c>
    </row>
    <row r="2525">
      <c r="B2525" s="31" t="inlineStr">
        <is>
          <t>CFM56-7B</t>
        </is>
      </c>
      <c r="C2525" s="31" t="inlineStr">
        <is>
          <t>2025-2026</t>
        </is>
      </c>
      <c r="D2525" s="31" t="inlineStr">
        <is>
          <t>139339</t>
        </is>
      </c>
      <c r="E2525" s="31" t="inlineStr">
        <is>
          <t>72-32-06</t>
        </is>
      </c>
      <c r="F2525" s="31" t="inlineStr">
        <is>
          <t>C</t>
        </is>
      </c>
      <c r="G2525" s="31" t="inlineStr">
        <is>
          <t>Compressor</t>
        </is>
      </c>
      <c r="H2525" s="27" t="n">
        <v>3255</v>
      </c>
      <c r="I2525" s="27" t="n">
        <v>3255</v>
      </c>
      <c r="J2525" s="154">
        <f>I2525/H2525-1</f>
        <v/>
      </c>
      <c r="K2525" s="31" t="inlineStr">
        <is>
          <t>10</t>
        </is>
      </c>
      <c r="L2525" s="31" t="inlineStr">
        <is>
          <t>9</t>
        </is>
      </c>
      <c r="M2525" s="31" t="inlineStr">
        <is>
          <t>S3</t>
        </is>
      </c>
      <c r="N2525" s="31" t="inlineStr">
        <is>
          <t>S5</t>
        </is>
      </c>
      <c r="O2525" s="31" t="inlineStr">
        <is>
          <t>1475M30G03</t>
        </is>
      </c>
      <c r="P2525" s="31" t="inlineStr">
        <is>
          <t>SR Technics Switzerland</t>
        </is>
      </c>
    </row>
    <row r="2526">
      <c r="B2526" s="31" t="inlineStr">
        <is>
          <t>CFM56-7B</t>
        </is>
      </c>
      <c r="C2526" s="31" t="inlineStr">
        <is>
          <t>2025-2026</t>
        </is>
      </c>
      <c r="D2526" s="31" t="inlineStr">
        <is>
          <t>139339</t>
        </is>
      </c>
      <c r="E2526" s="31" t="inlineStr">
        <is>
          <t>72-32-06</t>
        </is>
      </c>
      <c r="F2526" s="31" t="inlineStr">
        <is>
          <t>D</t>
        </is>
      </c>
      <c r="G2526" s="31" t="inlineStr">
        <is>
          <t>Compressor</t>
        </is>
      </c>
      <c r="H2526" s="27" t="n">
        <v>190</v>
      </c>
      <c r="I2526" s="27" t="n">
        <v>190</v>
      </c>
      <c r="J2526" s="154">
        <f>I2526/H2526-1</f>
        <v/>
      </c>
      <c r="K2526" s="31" t="inlineStr">
        <is>
          <t>10</t>
        </is>
      </c>
      <c r="L2526" s="31" t="inlineStr">
        <is>
          <t>9</t>
        </is>
      </c>
      <c r="M2526" s="31" t="inlineStr">
        <is>
          <t>S3</t>
        </is>
      </c>
      <c r="N2526" s="31" t="inlineStr">
        <is>
          <t>S5</t>
        </is>
      </c>
      <c r="O2526" s="31" t="inlineStr">
        <is>
          <t>1475M30G03</t>
        </is>
      </c>
      <c r="P2526" s="31" t="inlineStr">
        <is>
          <t>SR Technics Switzerland</t>
        </is>
      </c>
    </row>
    <row r="2527">
      <c r="B2527" s="31" t="inlineStr">
        <is>
          <t>CFM56-7B</t>
        </is>
      </c>
      <c r="C2527" s="31" t="inlineStr">
        <is>
          <t>2025-2026</t>
        </is>
      </c>
      <c r="D2527" s="31" t="inlineStr">
        <is>
          <t>139339</t>
        </is>
      </c>
      <c r="E2527" s="31" t="inlineStr">
        <is>
          <t>72-32-06</t>
        </is>
      </c>
      <c r="F2527" s="31" t="inlineStr">
        <is>
          <t>E</t>
        </is>
      </c>
      <c r="G2527" s="31" t="inlineStr">
        <is>
          <t>Compressor</t>
        </is>
      </c>
      <c r="H2527" s="27" t="n">
        <v>2965</v>
      </c>
      <c r="I2527" s="27" t="n">
        <v>2965</v>
      </c>
      <c r="J2527" s="154">
        <f>I2527/H2527-1</f>
        <v/>
      </c>
      <c r="K2527" s="31" t="inlineStr">
        <is>
          <t>10</t>
        </is>
      </c>
      <c r="L2527" s="31" t="inlineStr">
        <is>
          <t>9</t>
        </is>
      </c>
      <c r="M2527" s="31" t="inlineStr">
        <is>
          <t>S3</t>
        </is>
      </c>
      <c r="N2527" s="31" t="inlineStr">
        <is>
          <t>S5</t>
        </is>
      </c>
      <c r="O2527" s="31" t="inlineStr">
        <is>
          <t>1475M30G03</t>
        </is>
      </c>
      <c r="P2527" s="31" t="inlineStr">
        <is>
          <t>SR Technics Switzerland</t>
        </is>
      </c>
    </row>
    <row r="2528">
      <c r="B2528" s="31" t="inlineStr">
        <is>
          <t>CFM56-7B</t>
        </is>
      </c>
      <c r="C2528" s="31" t="inlineStr">
        <is>
          <t>2025-2026</t>
        </is>
      </c>
      <c r="D2528" s="31" t="inlineStr">
        <is>
          <t>139339</t>
        </is>
      </c>
      <c r="E2528" s="31" t="inlineStr">
        <is>
          <t>72-32-06</t>
        </is>
      </c>
      <c r="F2528" s="31" t="inlineStr">
        <is>
          <t>G</t>
        </is>
      </c>
      <c r="G2528" s="31" t="inlineStr">
        <is>
          <t>Compressor</t>
        </is>
      </c>
      <c r="H2528" s="27" t="n">
        <v>6180</v>
      </c>
      <c r="I2528" s="27" t="n">
        <v>6180</v>
      </c>
      <c r="J2528" s="154">
        <f>I2528/H2528-1</f>
        <v/>
      </c>
      <c r="K2528" s="31" t="inlineStr">
        <is>
          <t>10</t>
        </is>
      </c>
      <c r="L2528" s="31" t="inlineStr">
        <is>
          <t>9</t>
        </is>
      </c>
      <c r="M2528" s="31" t="inlineStr">
        <is>
          <t>S3</t>
        </is>
      </c>
      <c r="N2528" s="31" t="inlineStr">
        <is>
          <t>S5</t>
        </is>
      </c>
      <c r="O2528" s="31" t="inlineStr">
        <is>
          <t>1475M30G03</t>
        </is>
      </c>
      <c r="P2528" s="31" t="inlineStr">
        <is>
          <t>SR Technics Switzerland</t>
        </is>
      </c>
    </row>
    <row r="2529">
      <c r="B2529" s="31" t="inlineStr">
        <is>
          <t>CFM56-7B</t>
        </is>
      </c>
      <c r="C2529" s="31" t="inlineStr">
        <is>
          <t>2025-2026</t>
        </is>
      </c>
      <c r="D2529" s="31" t="inlineStr">
        <is>
          <t>139341</t>
        </is>
      </c>
      <c r="E2529" s="31" t="inlineStr">
        <is>
          <t>72-52-04</t>
        </is>
      </c>
      <c r="F2529" s="31" t="inlineStr">
        <is>
          <t>B</t>
        </is>
      </c>
      <c r="G2529" s="31" t="inlineStr">
        <is>
          <t>HPT / nozzle</t>
        </is>
      </c>
      <c r="H2529" s="27" t="n">
        <v>455</v>
      </c>
      <c r="I2529" s="27" t="n">
        <v>485</v>
      </c>
      <c r="J2529" s="154">
        <f>I2529/H2529-1</f>
        <v/>
      </c>
      <c r="K2529" s="31" t="inlineStr">
        <is>
          <t>10</t>
        </is>
      </c>
      <c r="L2529" s="31" t="inlineStr">
        <is>
          <t>9</t>
        </is>
      </c>
      <c r="M2529" s="31" t="inlineStr">
        <is>
          <t>S3</t>
        </is>
      </c>
      <c r="N2529" s="31" t="inlineStr">
        <is>
          <t>S5</t>
        </is>
      </c>
      <c r="O2529" s="31" t="inlineStr">
        <is>
          <t>1498M40P03</t>
        </is>
      </c>
      <c r="P2529" s="31" t="inlineStr">
        <is>
          <t>SR Technics Switzerland</t>
        </is>
      </c>
    </row>
    <row r="2530">
      <c r="B2530" s="31" t="inlineStr">
        <is>
          <t>CFM56-7B</t>
        </is>
      </c>
      <c r="C2530" s="31" t="inlineStr">
        <is>
          <t>2025-2026</t>
        </is>
      </c>
      <c r="D2530" s="31" t="inlineStr">
        <is>
          <t>139341</t>
        </is>
      </c>
      <c r="E2530" s="31" t="inlineStr">
        <is>
          <t>72-52-04</t>
        </is>
      </c>
      <c r="F2530" s="31" t="inlineStr">
        <is>
          <t>C</t>
        </is>
      </c>
      <c r="G2530" s="31" t="inlineStr">
        <is>
          <t>HPT / nozzle</t>
        </is>
      </c>
      <c r="H2530" s="27" t="n">
        <v>5170</v>
      </c>
      <c r="I2530" s="27" t="n">
        <v>5485</v>
      </c>
      <c r="J2530" s="154">
        <f>I2530/H2530-1</f>
        <v/>
      </c>
      <c r="K2530" s="31" t="inlineStr">
        <is>
          <t>10</t>
        </is>
      </c>
      <c r="L2530" s="31" t="inlineStr">
        <is>
          <t>9</t>
        </is>
      </c>
      <c r="M2530" s="31" t="inlineStr">
        <is>
          <t>S3</t>
        </is>
      </c>
      <c r="N2530" s="31" t="inlineStr">
        <is>
          <t>S5</t>
        </is>
      </c>
      <c r="O2530" s="31" t="inlineStr">
        <is>
          <t>1498M40P03</t>
        </is>
      </c>
      <c r="P2530" s="31" t="inlineStr">
        <is>
          <t>SR Technics Switzerland</t>
        </is>
      </c>
    </row>
    <row r="2531">
      <c r="B2531" s="31" t="inlineStr">
        <is>
          <t>CFM56-7B</t>
        </is>
      </c>
      <c r="C2531" s="31" t="inlineStr">
        <is>
          <t>2025-2026</t>
        </is>
      </c>
      <c r="D2531" s="31" t="inlineStr">
        <is>
          <t>139341</t>
        </is>
      </c>
      <c r="E2531" s="31" t="inlineStr">
        <is>
          <t>72-52-04</t>
        </is>
      </c>
      <c r="F2531" s="31" t="inlineStr">
        <is>
          <t>E</t>
        </is>
      </c>
      <c r="G2531" s="31" t="inlineStr">
        <is>
          <t>HPT / nozzle</t>
        </is>
      </c>
      <c r="H2531" s="27" t="n">
        <v>3210</v>
      </c>
      <c r="I2531" s="27" t="n">
        <v>3405</v>
      </c>
      <c r="J2531" s="154">
        <f>I2531/H2531-1</f>
        <v/>
      </c>
      <c r="K2531" s="31" t="inlineStr">
        <is>
          <t>10</t>
        </is>
      </c>
      <c r="L2531" s="31" t="inlineStr">
        <is>
          <t>9</t>
        </is>
      </c>
      <c r="M2531" s="31" t="inlineStr">
        <is>
          <t>S3</t>
        </is>
      </c>
      <c r="N2531" s="31" t="inlineStr">
        <is>
          <t>S5</t>
        </is>
      </c>
      <c r="O2531" s="31" t="inlineStr">
        <is>
          <t>1498M40P03</t>
        </is>
      </c>
      <c r="P2531" s="31" t="inlineStr">
        <is>
          <t>SR Technics Switzerland</t>
        </is>
      </c>
    </row>
    <row r="2532">
      <c r="B2532" s="31" t="inlineStr">
        <is>
          <t>CFM56-7B</t>
        </is>
      </c>
      <c r="C2532" s="31" t="inlineStr">
        <is>
          <t>2025-2026</t>
        </is>
      </c>
      <c r="D2532" s="31" t="inlineStr">
        <is>
          <t>139341</t>
        </is>
      </c>
      <c r="E2532" s="31" t="inlineStr">
        <is>
          <t>72-52-04</t>
        </is>
      </c>
      <c r="F2532" s="31" t="inlineStr">
        <is>
          <t>F</t>
        </is>
      </c>
      <c r="G2532" s="31" t="inlineStr">
        <is>
          <t>HPT / nozzle</t>
        </is>
      </c>
      <c r="H2532" s="27" t="n">
        <v>1155</v>
      </c>
      <c r="I2532" s="27" t="n">
        <v>1225</v>
      </c>
      <c r="J2532" s="154">
        <f>I2532/H2532-1</f>
        <v/>
      </c>
      <c r="K2532" s="31" t="inlineStr">
        <is>
          <t>10</t>
        </is>
      </c>
      <c r="L2532" s="31" t="inlineStr">
        <is>
          <t>9</t>
        </is>
      </c>
      <c r="M2532" s="31" t="inlineStr">
        <is>
          <t>S3</t>
        </is>
      </c>
      <c r="N2532" s="31" t="inlineStr">
        <is>
          <t>S5</t>
        </is>
      </c>
      <c r="O2532" s="31" t="inlineStr">
        <is>
          <t>1498M40P03</t>
        </is>
      </c>
      <c r="P2532" s="31" t="inlineStr">
        <is>
          <t>SR Technics Switzerland</t>
        </is>
      </c>
    </row>
    <row r="2533">
      <c r="B2533" s="31" t="inlineStr">
        <is>
          <t>CFM56-7B</t>
        </is>
      </c>
      <c r="C2533" s="31" t="inlineStr">
        <is>
          <t>2025-2026</t>
        </is>
      </c>
      <c r="D2533" s="31" t="inlineStr">
        <is>
          <t>139341</t>
        </is>
      </c>
      <c r="E2533" s="31" t="inlineStr">
        <is>
          <t>72-52-04</t>
        </is>
      </c>
      <c r="F2533" s="31" t="inlineStr">
        <is>
          <t>SB01</t>
        </is>
      </c>
      <c r="G2533" s="31" t="inlineStr">
        <is>
          <t>HPT / nozzle</t>
        </is>
      </c>
      <c r="H2533" s="27" t="n">
        <v>1200</v>
      </c>
      <c r="I2533" s="27" t="n">
        <v>1275</v>
      </c>
      <c r="J2533" s="154">
        <f>I2533/H2533-1</f>
        <v/>
      </c>
      <c r="K2533" s="31" t="inlineStr">
        <is>
          <t>10</t>
        </is>
      </c>
      <c r="L2533" s="31" t="inlineStr">
        <is>
          <t>9</t>
        </is>
      </c>
      <c r="M2533" s="31" t="inlineStr">
        <is>
          <t>S3</t>
        </is>
      </c>
      <c r="N2533" s="31" t="inlineStr">
        <is>
          <t>S5</t>
        </is>
      </c>
      <c r="O2533" s="31" t="inlineStr">
        <is>
          <t>1498M40P03</t>
        </is>
      </c>
      <c r="P2533" s="31" t="inlineStr">
        <is>
          <t>SR Technics Switzerland</t>
        </is>
      </c>
    </row>
    <row r="2534">
      <c r="B2534" s="31" t="inlineStr">
        <is>
          <t>CFM56-7B</t>
        </is>
      </c>
      <c r="C2534" s="31" t="inlineStr">
        <is>
          <t>2025-2026</t>
        </is>
      </c>
      <c r="D2534" s="31" t="inlineStr">
        <is>
          <t>139342</t>
        </is>
      </c>
      <c r="E2534" s="31" t="inlineStr">
        <is>
          <t>72-52-02</t>
        </is>
      </c>
      <c r="F2534" s="31" t="inlineStr">
        <is>
          <t>B</t>
        </is>
      </c>
      <c r="G2534" s="31" t="inlineStr">
        <is>
          <t>HPT / nozzle</t>
        </is>
      </c>
      <c r="H2534" s="27" t="n">
        <v>3335</v>
      </c>
      <c r="I2534" s="27" t="n">
        <v>3540</v>
      </c>
      <c r="J2534" s="154">
        <f>I2534/H2534-1</f>
        <v/>
      </c>
      <c r="K2534" s="31" t="inlineStr">
        <is>
          <t>10</t>
        </is>
      </c>
      <c r="L2534" s="31" t="inlineStr">
        <is>
          <t>9</t>
        </is>
      </c>
      <c r="M2534" s="31" t="inlineStr">
        <is>
          <t>S3</t>
        </is>
      </c>
      <c r="N2534" s="31" t="inlineStr">
        <is>
          <t>S5</t>
        </is>
      </c>
      <c r="O2534" s="31" t="inlineStr">
        <is>
          <t>1498M43P04</t>
        </is>
      </c>
      <c r="P2534" s="31" t="inlineStr">
        <is>
          <t>SR Technics Switzerland</t>
        </is>
      </c>
    </row>
    <row r="2535">
      <c r="B2535" s="31" t="inlineStr">
        <is>
          <t>CFM56-7B</t>
        </is>
      </c>
      <c r="C2535" s="31" t="inlineStr">
        <is>
          <t>2025-2026</t>
        </is>
      </c>
      <c r="D2535" s="31" t="inlineStr">
        <is>
          <t>139342</t>
        </is>
      </c>
      <c r="E2535" s="31" t="inlineStr">
        <is>
          <t>72-52-02</t>
        </is>
      </c>
      <c r="F2535" s="31" t="inlineStr">
        <is>
          <t>D</t>
        </is>
      </c>
      <c r="G2535" s="31" t="inlineStr">
        <is>
          <t>HPT / nozzle</t>
        </is>
      </c>
      <c r="H2535" s="27" t="n">
        <v>3370</v>
      </c>
      <c r="I2535" s="27" t="n">
        <v>3575</v>
      </c>
      <c r="J2535" s="154">
        <f>I2535/H2535-1</f>
        <v/>
      </c>
      <c r="K2535" s="31" t="inlineStr">
        <is>
          <t>10</t>
        </is>
      </c>
      <c r="L2535" s="31" t="inlineStr">
        <is>
          <t>9</t>
        </is>
      </c>
      <c r="M2535" s="31" t="inlineStr">
        <is>
          <t>S3</t>
        </is>
      </c>
      <c r="N2535" s="31" t="inlineStr">
        <is>
          <t>S5</t>
        </is>
      </c>
      <c r="O2535" s="31" t="inlineStr">
        <is>
          <t>1498M43P04</t>
        </is>
      </c>
      <c r="P2535" s="31" t="inlineStr">
        <is>
          <t>SR Technics Switzerland</t>
        </is>
      </c>
    </row>
    <row r="2536">
      <c r="B2536" s="31" t="inlineStr">
        <is>
          <t>CFM56-7B</t>
        </is>
      </c>
      <c r="C2536" s="31" t="inlineStr">
        <is>
          <t>2025-2026</t>
        </is>
      </c>
      <c r="D2536" s="31" t="inlineStr">
        <is>
          <t>139342</t>
        </is>
      </c>
      <c r="E2536" s="31" t="inlineStr">
        <is>
          <t>72-52-02</t>
        </is>
      </c>
      <c r="F2536" s="31" t="inlineStr">
        <is>
          <t>F</t>
        </is>
      </c>
      <c r="G2536" s="31" t="inlineStr">
        <is>
          <t>HPT / nozzle</t>
        </is>
      </c>
      <c r="H2536" s="27" t="n">
        <v>3355</v>
      </c>
      <c r="I2536" s="27" t="n">
        <v>3560</v>
      </c>
      <c r="J2536" s="154">
        <f>I2536/H2536-1</f>
        <v/>
      </c>
      <c r="K2536" s="31" t="inlineStr">
        <is>
          <t>10</t>
        </is>
      </c>
      <c r="L2536" s="31" t="inlineStr">
        <is>
          <t>9</t>
        </is>
      </c>
      <c r="M2536" s="31" t="inlineStr">
        <is>
          <t>S3</t>
        </is>
      </c>
      <c r="N2536" s="31" t="inlineStr">
        <is>
          <t>S5</t>
        </is>
      </c>
      <c r="O2536" s="31" t="inlineStr">
        <is>
          <t>1498M43P04</t>
        </is>
      </c>
      <c r="P2536" s="31" t="inlineStr">
        <is>
          <t>SR Technics Switzerland</t>
        </is>
      </c>
    </row>
    <row r="2537">
      <c r="B2537" s="31" t="inlineStr">
        <is>
          <t>CFM56-7B</t>
        </is>
      </c>
      <c r="C2537" s="31" t="inlineStr">
        <is>
          <t>2025-2026</t>
        </is>
      </c>
      <c r="D2537" s="31" t="inlineStr">
        <is>
          <t>139342</t>
        </is>
      </c>
      <c r="E2537" s="31" t="inlineStr">
        <is>
          <t>72-52-02</t>
        </is>
      </c>
      <c r="F2537" s="31" t="inlineStr">
        <is>
          <t>G</t>
        </is>
      </c>
      <c r="G2537" s="31" t="inlineStr">
        <is>
          <t>HPT / nozzle</t>
        </is>
      </c>
      <c r="H2537" s="27" t="n">
        <v>1045</v>
      </c>
      <c r="I2537" s="27" t="n">
        <v>1110</v>
      </c>
      <c r="J2537" s="154">
        <f>I2537/H2537-1</f>
        <v/>
      </c>
      <c r="K2537" s="31" t="inlineStr">
        <is>
          <t>10</t>
        </is>
      </c>
      <c r="L2537" s="31" t="inlineStr">
        <is>
          <t>9</t>
        </is>
      </c>
      <c r="M2537" s="31" t="inlineStr">
        <is>
          <t>S3</t>
        </is>
      </c>
      <c r="N2537" s="31" t="inlineStr">
        <is>
          <t>S5</t>
        </is>
      </c>
      <c r="O2537" s="31" t="inlineStr">
        <is>
          <t>1498M43P04</t>
        </is>
      </c>
      <c r="P2537" s="31" t="inlineStr">
        <is>
          <t>SR Technics Switzerland</t>
        </is>
      </c>
    </row>
    <row r="2538">
      <c r="B2538" s="31" t="inlineStr">
        <is>
          <t>CFM56-7B</t>
        </is>
      </c>
      <c r="C2538" s="31" t="inlineStr">
        <is>
          <t>2025-2026</t>
        </is>
      </c>
      <c r="D2538" s="31" t="inlineStr">
        <is>
          <t>139342</t>
        </is>
      </c>
      <c r="E2538" s="31" t="inlineStr">
        <is>
          <t>72-52-02</t>
        </is>
      </c>
      <c r="F2538" s="31" t="inlineStr">
        <is>
          <t>I</t>
        </is>
      </c>
      <c r="G2538" s="31" t="inlineStr">
        <is>
          <t>HPT / nozzle</t>
        </is>
      </c>
      <c r="H2538" s="27" t="n">
        <v>895</v>
      </c>
      <c r="I2538" s="27" t="n">
        <v>950</v>
      </c>
      <c r="J2538" s="154">
        <f>I2538/H2538-1</f>
        <v/>
      </c>
      <c r="K2538" s="31" t="inlineStr">
        <is>
          <t>10</t>
        </is>
      </c>
      <c r="L2538" s="31" t="inlineStr">
        <is>
          <t>9</t>
        </is>
      </c>
      <c r="M2538" s="31" t="inlineStr">
        <is>
          <t>S3</t>
        </is>
      </c>
      <c r="N2538" s="31" t="inlineStr">
        <is>
          <t>S5</t>
        </is>
      </c>
      <c r="O2538" s="31" t="inlineStr">
        <is>
          <t>1498M43P04</t>
        </is>
      </c>
      <c r="P2538" s="31" t="inlineStr">
        <is>
          <t>SR Technics Switzerland</t>
        </is>
      </c>
    </row>
    <row r="2539">
      <c r="B2539" s="31" t="inlineStr">
        <is>
          <t>CFM56-7B</t>
        </is>
      </c>
      <c r="C2539" s="31" t="inlineStr">
        <is>
          <t>2025-2026</t>
        </is>
      </c>
      <c r="D2539" s="31" t="inlineStr">
        <is>
          <t>139349</t>
        </is>
      </c>
      <c r="E2539" s="31" t="inlineStr">
        <is>
          <t>72-31-08</t>
        </is>
      </c>
      <c r="F2539" s="31" t="inlineStr">
        <is>
          <t>A</t>
        </is>
      </c>
      <c r="G2539" s="31" t="inlineStr">
        <is>
          <t>Compressor</t>
        </is>
      </c>
      <c r="H2539" s="27" t="n">
        <v>1465</v>
      </c>
      <c r="I2539" s="27" t="n">
        <v>1540</v>
      </c>
      <c r="J2539" s="154">
        <f>I2539/H2539-1</f>
        <v/>
      </c>
      <c r="K2539" s="31" t="inlineStr">
        <is>
          <t>10</t>
        </is>
      </c>
      <c r="L2539" s="31" t="inlineStr">
        <is>
          <t>9</t>
        </is>
      </c>
      <c r="M2539" s="31" t="inlineStr">
        <is>
          <t>S3</t>
        </is>
      </c>
      <c r="N2539" s="31" t="inlineStr">
        <is>
          <t>S5</t>
        </is>
      </c>
      <c r="O2539" s="31" t="inlineStr">
        <is>
          <t>1523M35P01</t>
        </is>
      </c>
      <c r="P2539" s="31" t="inlineStr">
        <is>
          <t>SR Technics Switzerland</t>
        </is>
      </c>
    </row>
    <row r="2540">
      <c r="B2540" s="31" t="inlineStr">
        <is>
          <t>CFM56-7B</t>
        </is>
      </c>
      <c r="C2540" s="31" t="inlineStr">
        <is>
          <t>2025-2026</t>
        </is>
      </c>
      <c r="D2540" s="31" t="inlineStr">
        <is>
          <t>139349</t>
        </is>
      </c>
      <c r="E2540" s="31" t="inlineStr">
        <is>
          <t>72-31-08</t>
        </is>
      </c>
      <c r="F2540" s="31" t="inlineStr">
        <is>
          <t>B</t>
        </is>
      </c>
      <c r="G2540" s="31" t="inlineStr">
        <is>
          <t>Compressor</t>
        </is>
      </c>
      <c r="H2540" s="27" t="n">
        <v>1180</v>
      </c>
      <c r="I2540" s="27" t="n">
        <v>1255</v>
      </c>
      <c r="J2540" s="154">
        <f>I2540/H2540-1</f>
        <v/>
      </c>
      <c r="K2540" s="31" t="inlineStr">
        <is>
          <t>10</t>
        </is>
      </c>
      <c r="L2540" s="31" t="inlineStr">
        <is>
          <t>9</t>
        </is>
      </c>
      <c r="M2540" s="31" t="inlineStr">
        <is>
          <t>S3</t>
        </is>
      </c>
      <c r="N2540" s="31" t="inlineStr">
        <is>
          <t>S5</t>
        </is>
      </c>
      <c r="O2540" s="31" t="inlineStr">
        <is>
          <t>1523M35P01</t>
        </is>
      </c>
      <c r="P2540" s="31" t="inlineStr">
        <is>
          <t>SR Technics Switzerland</t>
        </is>
      </c>
    </row>
    <row r="2541">
      <c r="B2541" s="31" t="inlineStr">
        <is>
          <t>CFM56-7B</t>
        </is>
      </c>
      <c r="C2541" s="31" t="inlineStr">
        <is>
          <t>2025-2026</t>
        </is>
      </c>
      <c r="D2541" s="31" t="inlineStr">
        <is>
          <t>139349</t>
        </is>
      </c>
      <c r="E2541" s="31" t="inlineStr">
        <is>
          <t>72-31-08</t>
        </is>
      </c>
      <c r="F2541" s="31" t="inlineStr">
        <is>
          <t>C</t>
        </is>
      </c>
      <c r="G2541" s="31" t="inlineStr">
        <is>
          <t>Compressor</t>
        </is>
      </c>
      <c r="H2541" s="27" t="n">
        <v>4165</v>
      </c>
      <c r="I2541" s="27" t="n">
        <v>4415</v>
      </c>
      <c r="J2541" s="154">
        <f>I2541/H2541-1</f>
        <v/>
      </c>
      <c r="K2541" s="31" t="inlineStr">
        <is>
          <t>10</t>
        </is>
      </c>
      <c r="L2541" s="31" t="inlineStr">
        <is>
          <t>9</t>
        </is>
      </c>
      <c r="M2541" s="31" t="inlineStr">
        <is>
          <t>S3</t>
        </is>
      </c>
      <c r="N2541" s="31" t="inlineStr">
        <is>
          <t>S5</t>
        </is>
      </c>
      <c r="O2541" s="31" t="inlineStr">
        <is>
          <t>1523M35P01</t>
        </is>
      </c>
      <c r="P2541" s="31" t="inlineStr">
        <is>
          <t>SR Technics Switzerland</t>
        </is>
      </c>
    </row>
    <row r="2542">
      <c r="B2542" s="31" t="inlineStr">
        <is>
          <t>CFM56-7B</t>
        </is>
      </c>
      <c r="C2542" s="31" t="inlineStr">
        <is>
          <t>2025-2026</t>
        </is>
      </c>
      <c r="D2542" s="31" t="inlineStr">
        <is>
          <t>139349</t>
        </is>
      </c>
      <c r="E2542" s="31" t="inlineStr">
        <is>
          <t>72-31-08</t>
        </is>
      </c>
      <c r="F2542" s="31" t="inlineStr">
        <is>
          <t>D</t>
        </is>
      </c>
      <c r="G2542" s="31" t="inlineStr">
        <is>
          <t>Compressor</t>
        </is>
      </c>
      <c r="H2542" s="27" t="n">
        <v>3940</v>
      </c>
      <c r="I2542" s="27" t="n">
        <v>4180</v>
      </c>
      <c r="J2542" s="154">
        <f>I2542/H2542-1</f>
        <v/>
      </c>
      <c r="K2542" s="31" t="inlineStr">
        <is>
          <t>10</t>
        </is>
      </c>
      <c r="L2542" s="31" t="inlineStr">
        <is>
          <t>9</t>
        </is>
      </c>
      <c r="M2542" s="31" t="inlineStr">
        <is>
          <t>S3</t>
        </is>
      </c>
      <c r="N2542" s="31" t="inlineStr">
        <is>
          <t>S5</t>
        </is>
      </c>
      <c r="O2542" s="31" t="inlineStr">
        <is>
          <t>1523M35P01</t>
        </is>
      </c>
      <c r="P2542" s="31" t="inlineStr">
        <is>
          <t>SR Technics Switzerland</t>
        </is>
      </c>
    </row>
    <row r="2543">
      <c r="B2543" s="31" t="inlineStr">
        <is>
          <t>CFM56-7B</t>
        </is>
      </c>
      <c r="C2543" s="31" t="inlineStr">
        <is>
          <t>2025-2026</t>
        </is>
      </c>
      <c r="D2543" s="31" t="inlineStr">
        <is>
          <t>139349</t>
        </is>
      </c>
      <c r="E2543" s="31" t="inlineStr">
        <is>
          <t>72-31-08</t>
        </is>
      </c>
      <c r="F2543" s="31" t="inlineStr">
        <is>
          <t>SB00</t>
        </is>
      </c>
      <c r="G2543" s="31" t="inlineStr">
        <is>
          <t>Compressor</t>
        </is>
      </c>
      <c r="H2543" s="27" t="n">
        <v>670</v>
      </c>
      <c r="I2543" s="27" t="n">
        <v>715</v>
      </c>
      <c r="J2543" s="154">
        <f>I2543/H2543-1</f>
        <v/>
      </c>
      <c r="K2543" s="31" t="inlineStr">
        <is>
          <t>10</t>
        </is>
      </c>
      <c r="L2543" s="31" t="inlineStr">
        <is>
          <t>9</t>
        </is>
      </c>
      <c r="M2543" s="31" t="inlineStr">
        <is>
          <t>S3</t>
        </is>
      </c>
      <c r="N2543" s="31" t="inlineStr">
        <is>
          <t>S5</t>
        </is>
      </c>
      <c r="O2543" s="31" t="inlineStr">
        <is>
          <t>1523M35P01</t>
        </is>
      </c>
      <c r="P2543" s="31" t="inlineStr">
        <is>
          <t>SR Technics Switzerland</t>
        </is>
      </c>
    </row>
    <row r="2544">
      <c r="B2544" s="31" t="inlineStr">
        <is>
          <t>CFM56-7B</t>
        </is>
      </c>
      <c r="C2544" s="31" t="inlineStr">
        <is>
          <t>2025-2026</t>
        </is>
      </c>
      <c r="D2544" s="31" t="inlineStr">
        <is>
          <t>139350</t>
        </is>
      </c>
      <c r="E2544" s="31" t="inlineStr">
        <is>
          <t>72-41-05</t>
        </is>
      </c>
      <c r="F2544" s="31" t="inlineStr">
        <is>
          <t>A</t>
        </is>
      </c>
      <c r="G2544" s="31" t="inlineStr">
        <is>
          <t>Combustor</t>
        </is>
      </c>
      <c r="H2544" s="27" t="n">
        <v>820</v>
      </c>
      <c r="I2544" s="27" t="n">
        <v>865</v>
      </c>
      <c r="J2544" s="154">
        <f>I2544/H2544-1</f>
        <v/>
      </c>
      <c r="K2544" s="31" t="inlineStr">
        <is>
          <t>10</t>
        </is>
      </c>
      <c r="L2544" s="31" t="inlineStr">
        <is>
          <t>9</t>
        </is>
      </c>
      <c r="M2544" s="31" t="inlineStr">
        <is>
          <t>S3</t>
        </is>
      </c>
      <c r="N2544" s="31" t="inlineStr">
        <is>
          <t>S5</t>
        </is>
      </c>
      <c r="O2544" s="31" t="inlineStr">
        <is>
          <t>1523M37P01</t>
        </is>
      </c>
      <c r="P2544" s="31" t="inlineStr">
        <is>
          <t>SR Technics Switzerland</t>
        </is>
      </c>
    </row>
    <row r="2545">
      <c r="B2545" s="31" t="inlineStr">
        <is>
          <t>CFM56-7B</t>
        </is>
      </c>
      <c r="C2545" s="31" t="inlineStr">
        <is>
          <t>2025-2026</t>
        </is>
      </c>
      <c r="D2545" s="31" t="inlineStr">
        <is>
          <t>139350</t>
        </is>
      </c>
      <c r="E2545" s="31" t="inlineStr">
        <is>
          <t>72-41-05</t>
        </is>
      </c>
      <c r="F2545" s="31" t="inlineStr">
        <is>
          <t>B</t>
        </is>
      </c>
      <c r="G2545" s="31" t="inlineStr">
        <is>
          <t>Combustor</t>
        </is>
      </c>
      <c r="H2545" s="27" t="n">
        <v>2060</v>
      </c>
      <c r="I2545" s="27" t="n">
        <v>2185</v>
      </c>
      <c r="J2545" s="154">
        <f>I2545/H2545-1</f>
        <v/>
      </c>
      <c r="K2545" s="31" t="inlineStr">
        <is>
          <t>10</t>
        </is>
      </c>
      <c r="L2545" s="31" t="inlineStr">
        <is>
          <t>9</t>
        </is>
      </c>
      <c r="M2545" s="31" t="inlineStr">
        <is>
          <t>S3</t>
        </is>
      </c>
      <c r="N2545" s="31" t="inlineStr">
        <is>
          <t>S5</t>
        </is>
      </c>
      <c r="O2545" s="31" t="inlineStr">
        <is>
          <t>1523M37P01</t>
        </is>
      </c>
      <c r="P2545" s="31" t="inlineStr">
        <is>
          <t>SR Technics Switzerland</t>
        </is>
      </c>
    </row>
    <row r="2546">
      <c r="B2546" s="31" t="inlineStr">
        <is>
          <t>CFM56-7B</t>
        </is>
      </c>
      <c r="C2546" s="31" t="inlineStr">
        <is>
          <t>2025-2026</t>
        </is>
      </c>
      <c r="D2546" s="31" t="inlineStr">
        <is>
          <t>139350</t>
        </is>
      </c>
      <c r="E2546" s="31" t="inlineStr">
        <is>
          <t>72-41-05</t>
        </is>
      </c>
      <c r="F2546" s="31" t="inlineStr">
        <is>
          <t>SB01</t>
        </is>
      </c>
      <c r="G2546" s="31" t="inlineStr">
        <is>
          <t>Combustor</t>
        </is>
      </c>
      <c r="H2546" s="27" t="n">
        <v>900</v>
      </c>
      <c r="I2546" s="27" t="n">
        <v>955</v>
      </c>
      <c r="J2546" s="154">
        <f>I2546/H2546-1</f>
        <v/>
      </c>
      <c r="K2546" s="31" t="inlineStr">
        <is>
          <t>10</t>
        </is>
      </c>
      <c r="L2546" s="31" t="inlineStr">
        <is>
          <t>9</t>
        </is>
      </c>
      <c r="M2546" s="31" t="inlineStr">
        <is>
          <t>S3</t>
        </is>
      </c>
      <c r="N2546" s="31" t="inlineStr">
        <is>
          <t>S5</t>
        </is>
      </c>
      <c r="O2546" s="31" t="inlineStr">
        <is>
          <t>1523M37P01</t>
        </is>
      </c>
      <c r="P2546" s="31" t="inlineStr">
        <is>
          <t>SR Technics Switzerland</t>
        </is>
      </c>
    </row>
    <row r="2547">
      <c r="B2547" s="31" t="inlineStr">
        <is>
          <t>CFM56-7B</t>
        </is>
      </c>
      <c r="C2547" s="31" t="inlineStr">
        <is>
          <t>2025-2026</t>
        </is>
      </c>
      <c r="D2547" s="31" t="inlineStr">
        <is>
          <t>139353</t>
        </is>
      </c>
      <c r="E2547" s="31" t="inlineStr">
        <is>
          <t>72-51-11</t>
        </is>
      </c>
      <c r="F2547" s="31" t="inlineStr">
        <is>
          <t>B</t>
        </is>
      </c>
      <c r="G2547" s="31" t="inlineStr">
        <is>
          <t>HPT / nozzle</t>
        </is>
      </c>
      <c r="H2547" s="27" t="n">
        <v>4185</v>
      </c>
      <c r="I2547" s="27" t="n">
        <v>4440</v>
      </c>
      <c r="J2547" s="154">
        <f>I2547/H2547-1</f>
        <v/>
      </c>
      <c r="K2547" s="31" t="inlineStr">
        <is>
          <t>10</t>
        </is>
      </c>
      <c r="L2547" s="31" t="inlineStr">
        <is>
          <t>9</t>
        </is>
      </c>
      <c r="M2547" s="31" t="inlineStr">
        <is>
          <t>S3</t>
        </is>
      </c>
      <c r="N2547" s="31" t="inlineStr">
        <is>
          <t>S5</t>
        </is>
      </c>
      <c r="O2547" s="31" t="inlineStr">
        <is>
          <t>1523M43P01</t>
        </is>
      </c>
      <c r="P2547" s="31" t="inlineStr">
        <is>
          <t>SR Technics Switzerland</t>
        </is>
      </c>
    </row>
    <row r="2548">
      <c r="B2548" s="31" t="inlineStr">
        <is>
          <t>CFM56-7B</t>
        </is>
      </c>
      <c r="C2548" s="31" t="inlineStr">
        <is>
          <t>2025-2026</t>
        </is>
      </c>
      <c r="D2548" s="31" t="inlineStr">
        <is>
          <t>139354</t>
        </is>
      </c>
      <c r="E2548" s="31" t="inlineStr">
        <is>
          <t>72-53-04</t>
        </is>
      </c>
      <c r="F2548" s="31" t="inlineStr">
        <is>
          <t>D</t>
        </is>
      </c>
      <c r="G2548" s="31" t="inlineStr">
        <is>
          <t>HPT / nozzle</t>
        </is>
      </c>
      <c r="H2548" s="27" t="n">
        <v>515</v>
      </c>
      <c r="I2548" s="27" t="n">
        <v>565</v>
      </c>
      <c r="J2548" s="154">
        <f>I2548/H2548-1</f>
        <v/>
      </c>
      <c r="K2548" s="31" t="inlineStr">
        <is>
          <t>11</t>
        </is>
      </c>
      <c r="L2548" s="31" t="inlineStr">
        <is>
          <t>10</t>
        </is>
      </c>
      <c r="M2548" s="31" t="inlineStr">
        <is>
          <t>S3</t>
        </is>
      </c>
      <c r="N2548" s="31" t="inlineStr">
        <is>
          <t>S5</t>
        </is>
      </c>
      <c r="O2548" s="31" t="inlineStr">
        <is>
          <t>1523M59G01</t>
        </is>
      </c>
      <c r="P2548" s="31" t="inlineStr">
        <is>
          <t>SRTAS</t>
        </is>
      </c>
    </row>
    <row r="2549">
      <c r="B2549" s="31" t="inlineStr">
        <is>
          <t>CFM56-7B</t>
        </is>
      </c>
      <c r="C2549" s="31" t="inlineStr">
        <is>
          <t>2025-2026</t>
        </is>
      </c>
      <c r="D2549" s="31" t="inlineStr">
        <is>
          <t>139354</t>
        </is>
      </c>
      <c r="E2549" s="31" t="inlineStr">
        <is>
          <t>72-53-04</t>
        </is>
      </c>
      <c r="F2549" s="31" t="inlineStr">
        <is>
          <t>I</t>
        </is>
      </c>
      <c r="G2549" s="31" t="inlineStr">
        <is>
          <t>HPT / nozzle</t>
        </is>
      </c>
      <c r="H2549" s="27" t="n">
        <v>1015</v>
      </c>
      <c r="I2549" s="27" t="n">
        <v>1090</v>
      </c>
      <c r="J2549" s="154">
        <f>I2549/H2549-1</f>
        <v/>
      </c>
      <c r="K2549" s="31" t="inlineStr">
        <is>
          <t>11</t>
        </is>
      </c>
      <c r="L2549" s="31" t="inlineStr">
        <is>
          <t>10</t>
        </is>
      </c>
      <c r="M2549" s="31" t="inlineStr">
        <is>
          <t>S3</t>
        </is>
      </c>
      <c r="N2549" s="31" t="inlineStr">
        <is>
          <t>S5</t>
        </is>
      </c>
      <c r="O2549" s="31" t="inlineStr">
        <is>
          <t>1523M59G01</t>
        </is>
      </c>
      <c r="P2549" s="31" t="inlineStr">
        <is>
          <t>SRTAS</t>
        </is>
      </c>
    </row>
    <row r="2550">
      <c r="B2550" s="31" t="inlineStr">
        <is>
          <t>CFM56-7B</t>
        </is>
      </c>
      <c r="C2550" s="31" t="inlineStr">
        <is>
          <t>2025-2026</t>
        </is>
      </c>
      <c r="D2550" s="31" t="inlineStr">
        <is>
          <t>139360</t>
        </is>
      </c>
      <c r="E2550" s="31" t="inlineStr">
        <is>
          <t>72-32-03</t>
        </is>
      </c>
      <c r="F2550" s="31" t="inlineStr">
        <is>
          <t>A</t>
        </is>
      </c>
      <c r="G2550" s="31" t="inlineStr">
        <is>
          <t>Compressor</t>
        </is>
      </c>
      <c r="H2550" s="27" t="n">
        <v>215</v>
      </c>
      <c r="I2550" s="27" t="n">
        <v>235</v>
      </c>
      <c r="J2550" s="154">
        <f>I2550/H2550-1</f>
        <v/>
      </c>
      <c r="K2550" s="31" t="inlineStr">
        <is>
          <t>45</t>
        </is>
      </c>
      <c r="L2550" s="31" t="inlineStr">
        <is>
          <t>45</t>
        </is>
      </c>
      <c r="M2550" s="31" t="inlineStr">
        <is>
          <t>S3</t>
        </is>
      </c>
      <c r="N2550" s="31" t="inlineStr">
        <is>
          <t>S5</t>
        </is>
      </c>
      <c r="O2550" s="31" t="inlineStr">
        <is>
          <t>1559M14G05</t>
        </is>
      </c>
      <c r="P2550" s="31" t="inlineStr">
        <is>
          <t>SRTAS</t>
        </is>
      </c>
    </row>
    <row r="2551">
      <c r="B2551" s="31" t="inlineStr">
        <is>
          <t>CFM56-7B</t>
        </is>
      </c>
      <c r="C2551" s="31" t="inlineStr">
        <is>
          <t>2025-2026</t>
        </is>
      </c>
      <c r="D2551" s="31" t="inlineStr">
        <is>
          <t>139360</t>
        </is>
      </c>
      <c r="E2551" s="31" t="inlineStr">
        <is>
          <t>72-32-03</t>
        </is>
      </c>
      <c r="F2551" s="31" t="inlineStr">
        <is>
          <t>B</t>
        </is>
      </c>
      <c r="G2551" s="31" t="inlineStr">
        <is>
          <t>Compressor</t>
        </is>
      </c>
      <c r="H2551" s="27" t="n">
        <v>535</v>
      </c>
      <c r="I2551" s="27" t="n">
        <v>575</v>
      </c>
      <c r="J2551" s="154">
        <f>I2551/H2551-1</f>
        <v/>
      </c>
      <c r="K2551" s="31" t="inlineStr">
        <is>
          <t>45</t>
        </is>
      </c>
      <c r="L2551" s="31" t="inlineStr">
        <is>
          <t>45</t>
        </is>
      </c>
      <c r="M2551" s="31" t="inlineStr">
        <is>
          <t>S3</t>
        </is>
      </c>
      <c r="N2551" s="31" t="inlineStr">
        <is>
          <t>S5</t>
        </is>
      </c>
      <c r="O2551" s="31" t="inlineStr">
        <is>
          <t>1559M14G05</t>
        </is>
      </c>
      <c r="P2551" s="31" t="inlineStr">
        <is>
          <t>SRTAS</t>
        </is>
      </c>
    </row>
    <row r="2552">
      <c r="B2552" s="31" t="inlineStr">
        <is>
          <t>CFM56-7B</t>
        </is>
      </c>
      <c r="C2552" s="31" t="inlineStr">
        <is>
          <t>2025-2026</t>
        </is>
      </c>
      <c r="D2552" s="31" t="inlineStr">
        <is>
          <t>139360</t>
        </is>
      </c>
      <c r="E2552" s="31" t="inlineStr">
        <is>
          <t>72-32-03</t>
        </is>
      </c>
      <c r="F2552" s="31" t="inlineStr">
        <is>
          <t>G</t>
        </is>
      </c>
      <c r="G2552" s="31" t="inlineStr">
        <is>
          <t>Compressor</t>
        </is>
      </c>
      <c r="H2552" s="27" t="n">
        <v>175</v>
      </c>
      <c r="I2552" s="27" t="n">
        <v>190</v>
      </c>
      <c r="J2552" s="154">
        <f>I2552/H2552-1</f>
        <v/>
      </c>
      <c r="K2552" s="31" t="inlineStr">
        <is>
          <t>45</t>
        </is>
      </c>
      <c r="L2552" s="31" t="inlineStr">
        <is>
          <t>45</t>
        </is>
      </c>
      <c r="M2552" s="31" t="inlineStr">
        <is>
          <t>S3</t>
        </is>
      </c>
      <c r="N2552" s="31" t="inlineStr">
        <is>
          <t>S5</t>
        </is>
      </c>
      <c r="O2552" s="31" t="inlineStr">
        <is>
          <t>1559M14G05</t>
        </is>
      </c>
      <c r="P2552" s="31" t="inlineStr">
        <is>
          <t>SRTAS</t>
        </is>
      </c>
    </row>
    <row r="2553">
      <c r="B2553" s="31" t="inlineStr">
        <is>
          <t>CFM56-7B</t>
        </is>
      </c>
      <c r="C2553" s="31" t="inlineStr">
        <is>
          <t>2025-2026</t>
        </is>
      </c>
      <c r="D2553" s="31" t="inlineStr">
        <is>
          <t>139360</t>
        </is>
      </c>
      <c r="E2553" s="31" t="inlineStr">
        <is>
          <t>72-32-03</t>
        </is>
      </c>
      <c r="F2553" s="31" t="inlineStr">
        <is>
          <t>H</t>
        </is>
      </c>
      <c r="G2553" s="31" t="inlineStr">
        <is>
          <t>Compressor</t>
        </is>
      </c>
      <c r="H2553" s="27" t="n">
        <v>920</v>
      </c>
      <c r="I2553" s="27" t="n">
        <v>985</v>
      </c>
      <c r="J2553" s="154">
        <f>I2553/H2553-1</f>
        <v/>
      </c>
      <c r="K2553" s="31" t="inlineStr">
        <is>
          <t>45</t>
        </is>
      </c>
      <c r="L2553" s="31" t="inlineStr">
        <is>
          <t>45</t>
        </is>
      </c>
      <c r="M2553" s="31" t="inlineStr">
        <is>
          <t>S3</t>
        </is>
      </c>
      <c r="N2553" s="31" t="inlineStr">
        <is>
          <t>S5</t>
        </is>
      </c>
      <c r="O2553" s="31" t="inlineStr">
        <is>
          <t>1559M14G05</t>
        </is>
      </c>
      <c r="P2553" s="31" t="inlineStr">
        <is>
          <t>SRTAS</t>
        </is>
      </c>
    </row>
    <row r="2554">
      <c r="B2554" s="31" t="inlineStr">
        <is>
          <t>CFM56-7B</t>
        </is>
      </c>
      <c r="C2554" s="31" t="inlineStr">
        <is>
          <t>2025-2026</t>
        </is>
      </c>
      <c r="D2554" s="31" t="inlineStr">
        <is>
          <t>139360</t>
        </is>
      </c>
      <c r="E2554" s="31" t="inlineStr">
        <is>
          <t>72-32-03</t>
        </is>
      </c>
      <c r="F2554" s="31" t="inlineStr">
        <is>
          <t>I</t>
        </is>
      </c>
      <c r="G2554" s="31" t="inlineStr">
        <is>
          <t>Compressor</t>
        </is>
      </c>
      <c r="H2554" s="27" t="n">
        <v>555</v>
      </c>
      <c r="I2554" s="27" t="n">
        <v>595</v>
      </c>
      <c r="J2554" s="154">
        <f>I2554/H2554-1</f>
        <v/>
      </c>
      <c r="K2554" s="31" t="inlineStr">
        <is>
          <t>45</t>
        </is>
      </c>
      <c r="L2554" s="31" t="inlineStr">
        <is>
          <t>45</t>
        </is>
      </c>
      <c r="M2554" s="31" t="inlineStr">
        <is>
          <t>S3</t>
        </is>
      </c>
      <c r="N2554" s="31" t="inlineStr">
        <is>
          <t>S5</t>
        </is>
      </c>
      <c r="O2554" s="31" t="inlineStr">
        <is>
          <t>1559M14G05</t>
        </is>
      </c>
      <c r="P2554" s="31" t="inlineStr">
        <is>
          <t>SRTAS</t>
        </is>
      </c>
    </row>
    <row r="2555">
      <c r="B2555" s="31" t="inlineStr">
        <is>
          <t>CFM56-7B</t>
        </is>
      </c>
      <c r="C2555" s="31" t="inlineStr">
        <is>
          <t>2025-2026</t>
        </is>
      </c>
      <c r="D2555" s="31" t="inlineStr">
        <is>
          <t>139360</t>
        </is>
      </c>
      <c r="E2555" s="31" t="inlineStr">
        <is>
          <t>72-32-03</t>
        </is>
      </c>
      <c r="F2555" s="31" t="inlineStr">
        <is>
          <t>N</t>
        </is>
      </c>
      <c r="G2555" s="31" t="inlineStr">
        <is>
          <t>Compressor</t>
        </is>
      </c>
      <c r="H2555" s="27" t="n">
        <v>100</v>
      </c>
      <c r="I2555" s="27" t="n">
        <v>110</v>
      </c>
      <c r="J2555" s="154">
        <f>I2555/H2555-1</f>
        <v/>
      </c>
      <c r="K2555" s="31" t="inlineStr">
        <is>
          <t>45</t>
        </is>
      </c>
      <c r="L2555" s="31" t="inlineStr">
        <is>
          <t>45</t>
        </is>
      </c>
      <c r="M2555" s="31" t="inlineStr">
        <is>
          <t>S3</t>
        </is>
      </c>
      <c r="N2555" s="31" t="inlineStr">
        <is>
          <t>S5</t>
        </is>
      </c>
      <c r="O2555" s="31" t="inlineStr">
        <is>
          <t>1559M14G05</t>
        </is>
      </c>
      <c r="P2555" s="31" t="inlineStr">
        <is>
          <t>SRTAS</t>
        </is>
      </c>
    </row>
    <row r="2556">
      <c r="B2556" s="31" t="inlineStr">
        <is>
          <t>CFM56-7B</t>
        </is>
      </c>
      <c r="C2556" s="31" t="inlineStr">
        <is>
          <t>2025-2026</t>
        </is>
      </c>
      <c r="D2556" s="31" t="inlineStr">
        <is>
          <t>139360</t>
        </is>
      </c>
      <c r="E2556" s="31" t="inlineStr">
        <is>
          <t>72-32-03</t>
        </is>
      </c>
      <c r="F2556" s="31" t="inlineStr">
        <is>
          <t>O</t>
        </is>
      </c>
      <c r="G2556" s="31" t="inlineStr">
        <is>
          <t>Compressor</t>
        </is>
      </c>
      <c r="H2556" s="27" t="n">
        <v>955</v>
      </c>
      <c r="I2556" s="27" t="n">
        <v>1025</v>
      </c>
      <c r="J2556" s="154">
        <f>I2556/H2556-1</f>
        <v/>
      </c>
      <c r="K2556" s="31" t="inlineStr">
        <is>
          <t>45</t>
        </is>
      </c>
      <c r="L2556" s="31" t="inlineStr">
        <is>
          <t>45</t>
        </is>
      </c>
      <c r="M2556" s="31" t="inlineStr">
        <is>
          <t>S3</t>
        </is>
      </c>
      <c r="N2556" s="31" t="inlineStr">
        <is>
          <t>S5</t>
        </is>
      </c>
      <c r="O2556" s="31" t="inlineStr">
        <is>
          <t>1559M14G05</t>
        </is>
      </c>
      <c r="P2556" s="31" t="inlineStr">
        <is>
          <t>SRTAS</t>
        </is>
      </c>
    </row>
    <row r="2557">
      <c r="B2557" s="31" t="inlineStr">
        <is>
          <t>CFM56-7B</t>
        </is>
      </c>
      <c r="C2557" s="31" t="inlineStr">
        <is>
          <t>2025-2026</t>
        </is>
      </c>
      <c r="D2557" s="31" t="inlineStr">
        <is>
          <t>139381</t>
        </is>
      </c>
      <c r="E2557" s="31" t="inlineStr">
        <is>
          <t>72-22-14</t>
        </is>
      </c>
      <c r="F2557" s="31" t="inlineStr">
        <is>
          <t>A</t>
        </is>
      </c>
      <c r="G2557" s="31" t="inlineStr">
        <is>
          <t>Fan / booster</t>
        </is>
      </c>
      <c r="H2557" s="27" t="n">
        <v>595</v>
      </c>
      <c r="I2557" s="27" t="n">
        <v>625</v>
      </c>
      <c r="J2557" s="154">
        <f>I2557/H2557-1</f>
        <v/>
      </c>
      <c r="K2557" s="31" t="inlineStr">
        <is>
          <t>11</t>
        </is>
      </c>
      <c r="L2557" s="31" t="inlineStr">
        <is>
          <t>10</t>
        </is>
      </c>
      <c r="M2557" s="31" t="inlineStr">
        <is>
          <t>S3</t>
        </is>
      </c>
      <c r="N2557" s="31" t="inlineStr">
        <is>
          <t>S5</t>
        </is>
      </c>
      <c r="O2557" s="31" t="inlineStr">
        <is>
          <t>301-475-207-6</t>
        </is>
      </c>
      <c r="P2557" s="31" t="inlineStr">
        <is>
          <t>SR Technics Switzerland</t>
        </is>
      </c>
    </row>
    <row r="2558">
      <c r="B2558" s="31" t="inlineStr">
        <is>
          <t>CFM56-7B</t>
        </is>
      </c>
      <c r="C2558" s="31" t="inlineStr">
        <is>
          <t>2025-2026</t>
        </is>
      </c>
      <c r="D2558" s="31" t="inlineStr">
        <is>
          <t>139381</t>
        </is>
      </c>
      <c r="E2558" s="31" t="inlineStr">
        <is>
          <t>72-22-14</t>
        </is>
      </c>
      <c r="F2558" s="31" t="inlineStr">
        <is>
          <t>B</t>
        </is>
      </c>
      <c r="G2558" s="31" t="inlineStr">
        <is>
          <t>Fan / booster</t>
        </is>
      </c>
      <c r="H2558" s="27" t="n">
        <v>4425</v>
      </c>
      <c r="I2558" s="27" t="n">
        <v>4695</v>
      </c>
      <c r="J2558" s="154">
        <f>I2558/H2558-1</f>
        <v/>
      </c>
      <c r="K2558" s="31" t="inlineStr">
        <is>
          <t>11</t>
        </is>
      </c>
      <c r="L2558" s="31" t="inlineStr">
        <is>
          <t>10</t>
        </is>
      </c>
      <c r="M2558" s="31" t="inlineStr">
        <is>
          <t>S3</t>
        </is>
      </c>
      <c r="N2558" s="31" t="inlineStr">
        <is>
          <t>S5</t>
        </is>
      </c>
      <c r="O2558" s="31" t="inlineStr">
        <is>
          <t>301-475-207-6</t>
        </is>
      </c>
      <c r="P2558" s="31" t="inlineStr">
        <is>
          <t>SR Technics Switzerland</t>
        </is>
      </c>
    </row>
    <row r="2559">
      <c r="B2559" s="31" t="inlineStr">
        <is>
          <t>CFM56-7B</t>
        </is>
      </c>
      <c r="C2559" s="31" t="inlineStr">
        <is>
          <t>2025-2026</t>
        </is>
      </c>
      <c r="D2559" s="31" t="inlineStr">
        <is>
          <t>139381</t>
        </is>
      </c>
      <c r="E2559" s="31" t="inlineStr">
        <is>
          <t>72-22-14</t>
        </is>
      </c>
      <c r="F2559" s="31" t="inlineStr">
        <is>
          <t>C</t>
        </is>
      </c>
      <c r="G2559" s="31" t="inlineStr">
        <is>
          <t>Fan / booster</t>
        </is>
      </c>
      <c r="H2559" s="27" t="n">
        <v>845</v>
      </c>
      <c r="I2559" s="27" t="n">
        <v>900</v>
      </c>
      <c r="J2559" s="154">
        <f>I2559/H2559-1</f>
        <v/>
      </c>
      <c r="K2559" s="31" t="inlineStr">
        <is>
          <t>11</t>
        </is>
      </c>
      <c r="L2559" s="31" t="inlineStr">
        <is>
          <t>10</t>
        </is>
      </c>
      <c r="M2559" s="31" t="inlineStr">
        <is>
          <t>S3</t>
        </is>
      </c>
      <c r="N2559" s="31" t="inlineStr">
        <is>
          <t>S5</t>
        </is>
      </c>
      <c r="O2559" s="31" t="inlineStr">
        <is>
          <t>301-475-207-6</t>
        </is>
      </c>
      <c r="P2559" s="31" t="inlineStr">
        <is>
          <t>SR Technics Switzerland</t>
        </is>
      </c>
    </row>
    <row r="2560">
      <c r="B2560" s="31" t="inlineStr">
        <is>
          <t>CFM56-7B</t>
        </is>
      </c>
      <c r="C2560" s="31" t="inlineStr">
        <is>
          <t>2025-2026</t>
        </is>
      </c>
      <c r="D2560" s="31" t="inlineStr">
        <is>
          <t>139388</t>
        </is>
      </c>
      <c r="E2560" s="31" t="inlineStr">
        <is>
          <t>72-63-01</t>
        </is>
      </c>
      <c r="F2560" s="31" t="inlineStr">
        <is>
          <t>A</t>
        </is>
      </c>
      <c r="G2560" s="31" t="inlineStr">
        <is>
          <t>Gearbox</t>
        </is>
      </c>
      <c r="H2560" s="27" t="n">
        <v>1355</v>
      </c>
      <c r="I2560" s="27" t="n">
        <v>1425</v>
      </c>
      <c r="J2560" s="154">
        <f>I2560/H2560-1</f>
        <v/>
      </c>
      <c r="K2560" s="31" t="inlineStr">
        <is>
          <t>11</t>
        </is>
      </c>
      <c r="L2560" s="31" t="inlineStr">
        <is>
          <t>10</t>
        </is>
      </c>
      <c r="M2560" s="31" t="inlineStr">
        <is>
          <t>S3</t>
        </is>
      </c>
      <c r="N2560" s="31" t="inlineStr">
        <is>
          <t>S5</t>
        </is>
      </c>
      <c r="O2560" s="31" t="inlineStr">
        <is>
          <t>305-135-904-0</t>
        </is>
      </c>
      <c r="P2560" s="31" t="inlineStr">
        <is>
          <t>SR Technics Switzerland</t>
        </is>
      </c>
    </row>
    <row r="2561">
      <c r="B2561" s="31" t="inlineStr">
        <is>
          <t>CFM56-7B</t>
        </is>
      </c>
      <c r="C2561" s="31" t="inlineStr">
        <is>
          <t>2025-2026</t>
        </is>
      </c>
      <c r="D2561" s="31" t="inlineStr">
        <is>
          <t>139388</t>
        </is>
      </c>
      <c r="E2561" s="31" t="inlineStr">
        <is>
          <t>72-63-01</t>
        </is>
      </c>
      <c r="F2561" s="31" t="inlineStr">
        <is>
          <t>C</t>
        </is>
      </c>
      <c r="G2561" s="31" t="inlineStr">
        <is>
          <t>Gearbox</t>
        </is>
      </c>
      <c r="H2561" s="27" t="n">
        <v>1085</v>
      </c>
      <c r="I2561" s="27" t="n">
        <v>1155</v>
      </c>
      <c r="J2561" s="154">
        <f>I2561/H2561-1</f>
        <v/>
      </c>
      <c r="K2561" s="31" t="inlineStr">
        <is>
          <t>11</t>
        </is>
      </c>
      <c r="L2561" s="31" t="inlineStr">
        <is>
          <t>10</t>
        </is>
      </c>
      <c r="M2561" s="31" t="inlineStr">
        <is>
          <t>S3</t>
        </is>
      </c>
      <c r="N2561" s="31" t="inlineStr">
        <is>
          <t>S5</t>
        </is>
      </c>
      <c r="O2561" s="31" t="inlineStr">
        <is>
          <t>305-135-904-0</t>
        </is>
      </c>
      <c r="P2561" s="31" t="inlineStr">
        <is>
          <t>SR Technics Switzerland</t>
        </is>
      </c>
    </row>
    <row r="2562">
      <c r="B2562" s="31" t="inlineStr">
        <is>
          <t>CFM56-7B</t>
        </is>
      </c>
      <c r="C2562" s="31" t="inlineStr">
        <is>
          <t>2025-2026</t>
        </is>
      </c>
      <c r="D2562" s="31" t="inlineStr">
        <is>
          <t>139388</t>
        </is>
      </c>
      <c r="E2562" s="31" t="inlineStr">
        <is>
          <t>72-63-01</t>
        </is>
      </c>
      <c r="F2562" s="31" t="inlineStr">
        <is>
          <t>D</t>
        </is>
      </c>
      <c r="G2562" s="31" t="inlineStr">
        <is>
          <t>Gearbox</t>
        </is>
      </c>
      <c r="H2562" s="27" t="n">
        <v>945</v>
      </c>
      <c r="I2562" s="27" t="n">
        <v>1005</v>
      </c>
      <c r="J2562" s="154">
        <f>I2562/H2562-1</f>
        <v/>
      </c>
      <c r="K2562" s="31" t="inlineStr">
        <is>
          <t>11</t>
        </is>
      </c>
      <c r="L2562" s="31" t="inlineStr">
        <is>
          <t>10</t>
        </is>
      </c>
      <c r="M2562" s="31" t="inlineStr">
        <is>
          <t>S3</t>
        </is>
      </c>
      <c r="N2562" s="31" t="inlineStr">
        <is>
          <t>S5</t>
        </is>
      </c>
      <c r="O2562" s="31" t="inlineStr">
        <is>
          <t>305-135-904-0</t>
        </is>
      </c>
      <c r="P2562" s="31" t="inlineStr">
        <is>
          <t>SR Technics Switzerland</t>
        </is>
      </c>
    </row>
    <row r="2563">
      <c r="B2563" s="31" t="inlineStr">
        <is>
          <t>CFM56-7B</t>
        </is>
      </c>
      <c r="C2563" s="31" t="inlineStr">
        <is>
          <t>2025-2026</t>
        </is>
      </c>
      <c r="D2563" s="31" t="inlineStr">
        <is>
          <t>139388</t>
        </is>
      </c>
      <c r="E2563" s="31" t="inlineStr">
        <is>
          <t>72-63-01</t>
        </is>
      </c>
      <c r="F2563" s="31" t="inlineStr">
        <is>
          <t>H</t>
        </is>
      </c>
      <c r="G2563" s="31" t="inlineStr">
        <is>
          <t>Gearbox</t>
        </is>
      </c>
      <c r="H2563" s="27" t="n">
        <v>1590</v>
      </c>
      <c r="I2563" s="27" t="n">
        <v>1690</v>
      </c>
      <c r="J2563" s="154">
        <f>I2563/H2563-1</f>
        <v/>
      </c>
      <c r="K2563" s="31" t="inlineStr">
        <is>
          <t>11</t>
        </is>
      </c>
      <c r="L2563" s="31" t="inlineStr">
        <is>
          <t>10</t>
        </is>
      </c>
      <c r="M2563" s="31" t="inlineStr">
        <is>
          <t>S3</t>
        </is>
      </c>
      <c r="N2563" s="31" t="inlineStr">
        <is>
          <t>S5</t>
        </is>
      </c>
      <c r="O2563" s="31" t="inlineStr">
        <is>
          <t>305-135-904-0</t>
        </is>
      </c>
      <c r="P2563" s="31" t="inlineStr">
        <is>
          <t>SR Technics Switzerland</t>
        </is>
      </c>
    </row>
    <row r="2564">
      <c r="B2564" s="31" t="inlineStr">
        <is>
          <t>CFM56-7B</t>
        </is>
      </c>
      <c r="C2564" s="31" t="inlineStr">
        <is>
          <t>2025-2026</t>
        </is>
      </c>
      <c r="D2564" s="31" t="inlineStr">
        <is>
          <t>139388</t>
        </is>
      </c>
      <c r="E2564" s="31" t="inlineStr">
        <is>
          <t>72-63-01</t>
        </is>
      </c>
      <c r="F2564" s="31" t="inlineStr">
        <is>
          <t>I</t>
        </is>
      </c>
      <c r="G2564" s="31" t="inlineStr">
        <is>
          <t>Gearbox</t>
        </is>
      </c>
      <c r="H2564" s="27" t="n">
        <v>500</v>
      </c>
      <c r="I2564" s="27" t="n">
        <v>530</v>
      </c>
      <c r="J2564" s="154">
        <f>I2564/H2564-1</f>
        <v/>
      </c>
      <c r="K2564" s="31" t="inlineStr">
        <is>
          <t>11</t>
        </is>
      </c>
      <c r="L2564" s="31" t="inlineStr">
        <is>
          <t>10</t>
        </is>
      </c>
      <c r="M2564" s="31" t="inlineStr">
        <is>
          <t>S3</t>
        </is>
      </c>
      <c r="N2564" s="31" t="inlineStr">
        <is>
          <t>S5</t>
        </is>
      </c>
      <c r="O2564" s="31" t="inlineStr">
        <is>
          <t>305-135-904-0</t>
        </is>
      </c>
      <c r="P2564" s="31" t="inlineStr">
        <is>
          <t>SR Technics Switzerland</t>
        </is>
      </c>
    </row>
    <row r="2565">
      <c r="B2565" s="31" t="inlineStr">
        <is>
          <t>CFM56-7B</t>
        </is>
      </c>
      <c r="C2565" s="31" t="inlineStr">
        <is>
          <t>2025-2026</t>
        </is>
      </c>
      <c r="D2565" s="31" t="inlineStr">
        <is>
          <t>139388</t>
        </is>
      </c>
      <c r="E2565" s="31" t="inlineStr">
        <is>
          <t>72-63-01</t>
        </is>
      </c>
      <c r="F2565" s="31" t="inlineStr">
        <is>
          <t>K</t>
        </is>
      </c>
      <c r="G2565" s="31" t="inlineStr">
        <is>
          <t>Gearbox</t>
        </is>
      </c>
      <c r="H2565" s="27" t="n">
        <v>930</v>
      </c>
      <c r="I2565" s="27" t="n">
        <v>990</v>
      </c>
      <c r="J2565" s="154">
        <f>I2565/H2565-1</f>
        <v/>
      </c>
      <c r="K2565" s="31" t="inlineStr">
        <is>
          <t>11</t>
        </is>
      </c>
      <c r="L2565" s="31" t="inlineStr">
        <is>
          <t>10</t>
        </is>
      </c>
      <c r="M2565" s="31" t="inlineStr">
        <is>
          <t>S3</t>
        </is>
      </c>
      <c r="N2565" s="31" t="inlineStr">
        <is>
          <t>S5</t>
        </is>
      </c>
      <c r="O2565" s="31" t="inlineStr">
        <is>
          <t>305-135-904-0</t>
        </is>
      </c>
      <c r="P2565" s="31" t="inlineStr">
        <is>
          <t>SR Technics Switzerland</t>
        </is>
      </c>
    </row>
    <row r="2566">
      <c r="B2566" s="31" t="inlineStr">
        <is>
          <t>CFM56-7B</t>
        </is>
      </c>
      <c r="C2566" s="31" t="inlineStr">
        <is>
          <t>2025-2026</t>
        </is>
      </c>
      <c r="D2566" s="31" t="inlineStr">
        <is>
          <t>139388</t>
        </is>
      </c>
      <c r="E2566" s="31" t="inlineStr">
        <is>
          <t>72-63-01</t>
        </is>
      </c>
      <c r="F2566" s="31" t="inlineStr">
        <is>
          <t>N</t>
        </is>
      </c>
      <c r="G2566" s="31" t="inlineStr">
        <is>
          <t>Gearbox</t>
        </is>
      </c>
      <c r="H2566" s="27" t="n">
        <v>9915</v>
      </c>
      <c r="I2566" s="27" t="n">
        <v>10510</v>
      </c>
      <c r="J2566" s="154">
        <f>I2566/H2566-1</f>
        <v/>
      </c>
      <c r="K2566" s="31" t="inlineStr">
        <is>
          <t>11</t>
        </is>
      </c>
      <c r="L2566" s="31" t="inlineStr">
        <is>
          <t>10</t>
        </is>
      </c>
      <c r="M2566" s="31" t="inlineStr">
        <is>
          <t>S3</t>
        </is>
      </c>
      <c r="N2566" s="31" t="inlineStr">
        <is>
          <t>S5</t>
        </is>
      </c>
      <c r="O2566" s="31" t="inlineStr">
        <is>
          <t>305-135-904-0</t>
        </is>
      </c>
      <c r="P2566" s="31" t="inlineStr">
        <is>
          <t>SR Technics Switzerland</t>
        </is>
      </c>
    </row>
    <row r="2567">
      <c r="B2567" s="31" t="inlineStr">
        <is>
          <t>CFM56-7B</t>
        </is>
      </c>
      <c r="C2567" s="31" t="inlineStr">
        <is>
          <t>2025-2026</t>
        </is>
      </c>
      <c r="D2567" s="31" t="inlineStr">
        <is>
          <t>139388</t>
        </is>
      </c>
      <c r="E2567" s="31" t="inlineStr">
        <is>
          <t>72-63-01</t>
        </is>
      </c>
      <c r="F2567" s="31" t="inlineStr">
        <is>
          <t>O</t>
        </is>
      </c>
      <c r="G2567" s="31" t="inlineStr">
        <is>
          <t>Gearbox</t>
        </is>
      </c>
      <c r="H2567" s="27" t="n">
        <v>560</v>
      </c>
      <c r="I2567" s="27" t="n">
        <v>595</v>
      </c>
      <c r="J2567" s="154">
        <f>I2567/H2567-1</f>
        <v/>
      </c>
      <c r="K2567" s="31" t="inlineStr">
        <is>
          <t>11</t>
        </is>
      </c>
      <c r="L2567" s="31" t="inlineStr">
        <is>
          <t>10</t>
        </is>
      </c>
      <c r="M2567" s="31" t="inlineStr">
        <is>
          <t>S3</t>
        </is>
      </c>
      <c r="N2567" s="31" t="inlineStr">
        <is>
          <t>S5</t>
        </is>
      </c>
      <c r="O2567" s="31" t="inlineStr">
        <is>
          <t>305-135-904-0</t>
        </is>
      </c>
      <c r="P2567" s="31" t="inlineStr">
        <is>
          <t>SR Technics Switzerland</t>
        </is>
      </c>
    </row>
    <row r="2568">
      <c r="B2568" s="31" t="inlineStr">
        <is>
          <t>CFM56-7B</t>
        </is>
      </c>
      <c r="C2568" s="31" t="inlineStr">
        <is>
          <t>2025-2026</t>
        </is>
      </c>
      <c r="D2568" s="31" t="inlineStr">
        <is>
          <t>139388</t>
        </is>
      </c>
      <c r="E2568" s="31" t="inlineStr">
        <is>
          <t>72-63-01</t>
        </is>
      </c>
      <c r="F2568" s="31" t="inlineStr">
        <is>
          <t>Q</t>
        </is>
      </c>
      <c r="G2568" s="31" t="inlineStr">
        <is>
          <t>Gearbox</t>
        </is>
      </c>
      <c r="H2568" s="27" t="n">
        <v>700</v>
      </c>
      <c r="I2568" s="27" t="n">
        <v>745</v>
      </c>
      <c r="J2568" s="154">
        <f>I2568/H2568-1</f>
        <v/>
      </c>
      <c r="K2568" s="31" t="inlineStr">
        <is>
          <t>11</t>
        </is>
      </c>
      <c r="L2568" s="31" t="inlineStr">
        <is>
          <t>10</t>
        </is>
      </c>
      <c r="M2568" s="31" t="inlineStr">
        <is>
          <t>S3</t>
        </is>
      </c>
      <c r="N2568" s="31" t="inlineStr">
        <is>
          <t>S5</t>
        </is>
      </c>
      <c r="O2568" s="31" t="inlineStr">
        <is>
          <t>305-135-904-0</t>
        </is>
      </c>
      <c r="P2568" s="31" t="inlineStr">
        <is>
          <t>SR Technics Switzerland</t>
        </is>
      </c>
    </row>
    <row r="2569">
      <c r="B2569" s="31" t="inlineStr">
        <is>
          <t>CFM56-7B</t>
        </is>
      </c>
      <c r="C2569" s="31" t="inlineStr">
        <is>
          <t>2025-2026</t>
        </is>
      </c>
      <c r="D2569" s="31" t="inlineStr">
        <is>
          <t>139389</t>
        </is>
      </c>
      <c r="E2569" s="31" t="inlineStr">
        <is>
          <t>72-62-01</t>
        </is>
      </c>
      <c r="F2569" s="31" t="inlineStr">
        <is>
          <t>A</t>
        </is>
      </c>
      <c r="G2569" s="31" t="inlineStr">
        <is>
          <t>Gearbox</t>
        </is>
      </c>
      <c r="H2569" s="27" t="n">
        <v>1115</v>
      </c>
      <c r="I2569" s="27" t="n">
        <v>1175</v>
      </c>
      <c r="J2569" s="154">
        <f>I2569/H2569-1</f>
        <v/>
      </c>
      <c r="K2569" s="31" t="inlineStr">
        <is>
          <t>11</t>
        </is>
      </c>
      <c r="L2569" s="31" t="inlineStr">
        <is>
          <t>10</t>
        </is>
      </c>
      <c r="M2569" s="31" t="inlineStr">
        <is>
          <t>S3</t>
        </is>
      </c>
      <c r="N2569" s="31" t="inlineStr">
        <is>
          <t>S5</t>
        </is>
      </c>
      <c r="O2569" s="31" t="inlineStr">
        <is>
          <t>305-136-503-0</t>
        </is>
      </c>
      <c r="P2569" s="31" t="inlineStr">
        <is>
          <t>SR Technics Switzerland</t>
        </is>
      </c>
    </row>
    <row r="2570">
      <c r="B2570" s="31" t="inlineStr">
        <is>
          <t>CFM56-7B</t>
        </is>
      </c>
      <c r="C2570" s="31" t="inlineStr">
        <is>
          <t>2025-2026</t>
        </is>
      </c>
      <c r="D2570" s="31" t="inlineStr">
        <is>
          <t>139389</t>
        </is>
      </c>
      <c r="E2570" s="31" t="inlineStr">
        <is>
          <t>72-62-01</t>
        </is>
      </c>
      <c r="F2570" s="31" t="inlineStr">
        <is>
          <t>AA</t>
        </is>
      </c>
      <c r="G2570" s="31" t="inlineStr">
        <is>
          <t>Gearbox</t>
        </is>
      </c>
      <c r="H2570" s="27" t="n">
        <v>910</v>
      </c>
      <c r="I2570" s="27" t="n">
        <v>965</v>
      </c>
      <c r="J2570" s="154">
        <f>I2570/H2570-1</f>
        <v/>
      </c>
      <c r="K2570" s="31" t="inlineStr">
        <is>
          <t>11</t>
        </is>
      </c>
      <c r="L2570" s="31" t="inlineStr">
        <is>
          <t>10</t>
        </is>
      </c>
      <c r="M2570" s="31" t="inlineStr">
        <is>
          <t>S3</t>
        </is>
      </c>
      <c r="N2570" s="31" t="inlineStr">
        <is>
          <t>S5</t>
        </is>
      </c>
      <c r="O2570" s="31" t="inlineStr">
        <is>
          <t>305-136-503-0</t>
        </is>
      </c>
      <c r="P2570" s="31" t="inlineStr">
        <is>
          <t>SR Technics Switzerland</t>
        </is>
      </c>
    </row>
    <row r="2571">
      <c r="B2571" s="31" t="inlineStr">
        <is>
          <t>CFM56-7B</t>
        </is>
      </c>
      <c r="C2571" s="31" t="inlineStr">
        <is>
          <t>2025-2026</t>
        </is>
      </c>
      <c r="D2571" s="31" t="inlineStr">
        <is>
          <t>139389</t>
        </is>
      </c>
      <c r="E2571" s="31" t="inlineStr">
        <is>
          <t>72-62-01</t>
        </is>
      </c>
      <c r="F2571" s="31" t="inlineStr">
        <is>
          <t>AK</t>
        </is>
      </c>
      <c r="G2571" s="31" t="inlineStr">
        <is>
          <t>Gearbox</t>
        </is>
      </c>
      <c r="H2571" s="27" t="n">
        <v>910</v>
      </c>
      <c r="I2571" s="27" t="n">
        <v>965</v>
      </c>
      <c r="J2571" s="154">
        <f>I2571/H2571-1</f>
        <v/>
      </c>
      <c r="K2571" s="31" t="inlineStr">
        <is>
          <t>11</t>
        </is>
      </c>
      <c r="L2571" s="31" t="inlineStr">
        <is>
          <t>10</t>
        </is>
      </c>
      <c r="M2571" s="31" t="inlineStr">
        <is>
          <t>S3</t>
        </is>
      </c>
      <c r="N2571" s="31" t="inlineStr">
        <is>
          <t>S5</t>
        </is>
      </c>
      <c r="O2571" s="31" t="inlineStr">
        <is>
          <t>305-136-503-0</t>
        </is>
      </c>
      <c r="P2571" s="31" t="inlineStr">
        <is>
          <t>SR Technics Switzerland</t>
        </is>
      </c>
    </row>
    <row r="2572">
      <c r="B2572" s="31" t="inlineStr">
        <is>
          <t>CFM56-7B</t>
        </is>
      </c>
      <c r="C2572" s="31" t="inlineStr">
        <is>
          <t>2025-2026</t>
        </is>
      </c>
      <c r="D2572" s="31" t="inlineStr">
        <is>
          <t>139389</t>
        </is>
      </c>
      <c r="E2572" s="31" t="inlineStr">
        <is>
          <t>72-62-01</t>
        </is>
      </c>
      <c r="F2572" s="31" t="inlineStr">
        <is>
          <t>E</t>
        </is>
      </c>
      <c r="G2572" s="31" t="inlineStr">
        <is>
          <t>Gearbox</t>
        </is>
      </c>
      <c r="H2572" s="27" t="n">
        <v>910</v>
      </c>
      <c r="I2572" s="27" t="n">
        <v>965</v>
      </c>
      <c r="J2572" s="154">
        <f>I2572/H2572-1</f>
        <v/>
      </c>
      <c r="K2572" s="31" t="inlineStr">
        <is>
          <t>11</t>
        </is>
      </c>
      <c r="L2572" s="31" t="inlineStr">
        <is>
          <t>10</t>
        </is>
      </c>
      <c r="M2572" s="31" t="inlineStr">
        <is>
          <t>S3</t>
        </is>
      </c>
      <c r="N2572" s="31" t="inlineStr">
        <is>
          <t>S5</t>
        </is>
      </c>
      <c r="O2572" s="31" t="inlineStr">
        <is>
          <t>305-136-503-0</t>
        </is>
      </c>
      <c r="P2572" s="31" t="inlineStr">
        <is>
          <t>SR Technics Switzerland</t>
        </is>
      </c>
    </row>
    <row r="2573">
      <c r="B2573" s="31" t="inlineStr">
        <is>
          <t>CFM56-7B</t>
        </is>
      </c>
      <c r="C2573" s="31" t="inlineStr">
        <is>
          <t>2025-2026</t>
        </is>
      </c>
      <c r="D2573" s="31" t="inlineStr">
        <is>
          <t>139389</t>
        </is>
      </c>
      <c r="E2573" s="31" t="inlineStr">
        <is>
          <t>72-62-01</t>
        </is>
      </c>
      <c r="F2573" s="31" t="inlineStr">
        <is>
          <t>F</t>
        </is>
      </c>
      <c r="G2573" s="31" t="inlineStr">
        <is>
          <t>Gearbox</t>
        </is>
      </c>
      <c r="H2573" s="27" t="n">
        <v>910</v>
      </c>
      <c r="I2573" s="27" t="n">
        <v>965</v>
      </c>
      <c r="J2573" s="154">
        <f>I2573/H2573-1</f>
        <v/>
      </c>
      <c r="K2573" s="31" t="inlineStr">
        <is>
          <t>11</t>
        </is>
      </c>
      <c r="L2573" s="31" t="inlineStr">
        <is>
          <t>10</t>
        </is>
      </c>
      <c r="M2573" s="31" t="inlineStr">
        <is>
          <t>S3</t>
        </is>
      </c>
      <c r="N2573" s="31" t="inlineStr">
        <is>
          <t>S5</t>
        </is>
      </c>
      <c r="O2573" s="31" t="inlineStr">
        <is>
          <t>305-136-503-0</t>
        </is>
      </c>
      <c r="P2573" s="31" t="inlineStr">
        <is>
          <t>SR Technics Switzerland</t>
        </is>
      </c>
    </row>
    <row r="2574">
      <c r="B2574" s="31" t="inlineStr">
        <is>
          <t>CFM56-7B</t>
        </is>
      </c>
      <c r="C2574" s="31" t="inlineStr">
        <is>
          <t>2025-2026</t>
        </is>
      </c>
      <c r="D2574" s="31" t="inlineStr">
        <is>
          <t>139389</t>
        </is>
      </c>
      <c r="E2574" s="31" t="inlineStr">
        <is>
          <t>72-62-01</t>
        </is>
      </c>
      <c r="F2574" s="31" t="inlineStr">
        <is>
          <t>G</t>
        </is>
      </c>
      <c r="G2574" s="31" t="inlineStr">
        <is>
          <t>Gearbox</t>
        </is>
      </c>
      <c r="H2574" s="27" t="n">
        <v>910</v>
      </c>
      <c r="I2574" s="27" t="n">
        <v>965</v>
      </c>
      <c r="J2574" s="154">
        <f>I2574/H2574-1</f>
        <v/>
      </c>
      <c r="K2574" s="31" t="inlineStr">
        <is>
          <t>11</t>
        </is>
      </c>
      <c r="L2574" s="31" t="inlineStr">
        <is>
          <t>10</t>
        </is>
      </c>
      <c r="M2574" s="31" t="inlineStr">
        <is>
          <t>S3</t>
        </is>
      </c>
      <c r="N2574" s="31" t="inlineStr">
        <is>
          <t>S5</t>
        </is>
      </c>
      <c r="O2574" s="31" t="inlineStr">
        <is>
          <t>305-136-503-0</t>
        </is>
      </c>
      <c r="P2574" s="31" t="inlineStr">
        <is>
          <t>SR Technics Switzerland</t>
        </is>
      </c>
    </row>
    <row r="2575">
      <c r="B2575" s="31" t="inlineStr">
        <is>
          <t>CFM56-7B</t>
        </is>
      </c>
      <c r="C2575" s="31" t="inlineStr">
        <is>
          <t>2025-2026</t>
        </is>
      </c>
      <c r="D2575" s="31" t="inlineStr">
        <is>
          <t>139389</t>
        </is>
      </c>
      <c r="E2575" s="31" t="inlineStr">
        <is>
          <t>72-62-01</t>
        </is>
      </c>
      <c r="F2575" s="31" t="inlineStr">
        <is>
          <t>K</t>
        </is>
      </c>
      <c r="G2575" s="31" t="inlineStr">
        <is>
          <t>Gearbox</t>
        </is>
      </c>
      <c r="H2575" s="27" t="n">
        <v>910</v>
      </c>
      <c r="I2575" s="27" t="n">
        <v>965</v>
      </c>
      <c r="J2575" s="154">
        <f>I2575/H2575-1</f>
        <v/>
      </c>
      <c r="K2575" s="31" t="inlineStr">
        <is>
          <t>11</t>
        </is>
      </c>
      <c r="L2575" s="31" t="inlineStr">
        <is>
          <t>10</t>
        </is>
      </c>
      <c r="M2575" s="31" t="inlineStr">
        <is>
          <t>S3</t>
        </is>
      </c>
      <c r="N2575" s="31" t="inlineStr">
        <is>
          <t>S5</t>
        </is>
      </c>
      <c r="O2575" s="31" t="inlineStr">
        <is>
          <t>305-136-503-0</t>
        </is>
      </c>
      <c r="P2575" s="31" t="inlineStr">
        <is>
          <t>SR Technics Switzerland</t>
        </is>
      </c>
    </row>
    <row r="2576">
      <c r="B2576" s="31" t="inlineStr">
        <is>
          <t>CFM56-7B</t>
        </is>
      </c>
      <c r="C2576" s="31" t="inlineStr">
        <is>
          <t>2025-2026</t>
        </is>
      </c>
      <c r="D2576" s="31" t="inlineStr">
        <is>
          <t>139389</t>
        </is>
      </c>
      <c r="E2576" s="31" t="inlineStr">
        <is>
          <t>72-62-01</t>
        </is>
      </c>
      <c r="F2576" s="31" t="inlineStr">
        <is>
          <t>P</t>
        </is>
      </c>
      <c r="G2576" s="31" t="inlineStr">
        <is>
          <t>Gearbox</t>
        </is>
      </c>
      <c r="H2576" s="27" t="n">
        <v>910</v>
      </c>
      <c r="I2576" s="27" t="n">
        <v>965</v>
      </c>
      <c r="J2576" s="154">
        <f>I2576/H2576-1</f>
        <v/>
      </c>
      <c r="K2576" s="31" t="inlineStr">
        <is>
          <t>11</t>
        </is>
      </c>
      <c r="L2576" s="31" t="inlineStr">
        <is>
          <t>10</t>
        </is>
      </c>
      <c r="M2576" s="31" t="inlineStr">
        <is>
          <t>S3</t>
        </is>
      </c>
      <c r="N2576" s="31" t="inlineStr">
        <is>
          <t>S5</t>
        </is>
      </c>
      <c r="O2576" s="31" t="inlineStr">
        <is>
          <t>305-136-503-0</t>
        </is>
      </c>
      <c r="P2576" s="31" t="inlineStr">
        <is>
          <t>SR Technics Switzerland</t>
        </is>
      </c>
    </row>
    <row r="2577">
      <c r="B2577" s="31" t="inlineStr">
        <is>
          <t>CFM56-7B</t>
        </is>
      </c>
      <c r="C2577" s="31" t="inlineStr">
        <is>
          <t>2025-2026</t>
        </is>
      </c>
      <c r="D2577" s="31" t="inlineStr">
        <is>
          <t>139389</t>
        </is>
      </c>
      <c r="E2577" s="31" t="inlineStr">
        <is>
          <t>72-62-01</t>
        </is>
      </c>
      <c r="F2577" s="31" t="inlineStr">
        <is>
          <t>Q</t>
        </is>
      </c>
      <c r="G2577" s="31" t="inlineStr">
        <is>
          <t>Gearbox</t>
        </is>
      </c>
      <c r="H2577" s="27" t="n">
        <v>910</v>
      </c>
      <c r="I2577" s="27" t="n">
        <v>965</v>
      </c>
      <c r="J2577" s="154">
        <f>I2577/H2577-1</f>
        <v/>
      </c>
      <c r="K2577" s="31" t="inlineStr">
        <is>
          <t>11</t>
        </is>
      </c>
      <c r="L2577" s="31" t="inlineStr">
        <is>
          <t>10</t>
        </is>
      </c>
      <c r="M2577" s="31" t="inlineStr">
        <is>
          <t>S3</t>
        </is>
      </c>
      <c r="N2577" s="31" t="inlineStr">
        <is>
          <t>S5</t>
        </is>
      </c>
      <c r="O2577" s="31" t="inlineStr">
        <is>
          <t>305-136-503-0</t>
        </is>
      </c>
      <c r="P2577" s="31" t="inlineStr">
        <is>
          <t>SR Technics Switzerland</t>
        </is>
      </c>
    </row>
    <row r="2578">
      <c r="B2578" s="31" t="inlineStr">
        <is>
          <t>CFM56-7B</t>
        </is>
      </c>
      <c r="C2578" s="31" t="inlineStr">
        <is>
          <t>2025-2026</t>
        </is>
      </c>
      <c r="D2578" s="31" t="inlineStr">
        <is>
          <t>139389</t>
        </is>
      </c>
      <c r="E2578" s="31" t="inlineStr">
        <is>
          <t>72-62-01</t>
        </is>
      </c>
      <c r="F2578" s="31" t="inlineStr">
        <is>
          <t>Z</t>
        </is>
      </c>
      <c r="G2578" s="31" t="inlineStr">
        <is>
          <t>Gearbox</t>
        </is>
      </c>
      <c r="H2578" s="27" t="n">
        <v>910</v>
      </c>
      <c r="I2578" s="27" t="n">
        <v>965</v>
      </c>
      <c r="J2578" s="154">
        <f>I2578/H2578-1</f>
        <v/>
      </c>
      <c r="K2578" s="31" t="inlineStr">
        <is>
          <t>11</t>
        </is>
      </c>
      <c r="L2578" s="31" t="inlineStr">
        <is>
          <t>10</t>
        </is>
      </c>
      <c r="M2578" s="31" t="inlineStr">
        <is>
          <t>S3</t>
        </is>
      </c>
      <c r="N2578" s="31" t="inlineStr">
        <is>
          <t>S5</t>
        </is>
      </c>
      <c r="O2578" s="31" t="inlineStr">
        <is>
          <t>305-136-503-0</t>
        </is>
      </c>
      <c r="P2578" s="31" t="inlineStr">
        <is>
          <t>SR Technics Switzerland</t>
        </is>
      </c>
    </row>
    <row r="2579">
      <c r="B2579" s="31" t="inlineStr">
        <is>
          <t>CFM56-7B</t>
        </is>
      </c>
      <c r="C2579" s="31" t="inlineStr">
        <is>
          <t>2025-2026</t>
        </is>
      </c>
      <c r="D2579" s="31" t="inlineStr">
        <is>
          <t>139390</t>
        </is>
      </c>
      <c r="E2579" s="31" t="inlineStr">
        <is>
          <t>72-62-02</t>
        </is>
      </c>
      <c r="F2579" s="31" t="inlineStr">
        <is>
          <t>F</t>
        </is>
      </c>
      <c r="G2579" s="31" t="inlineStr">
        <is>
          <t>Gearbox</t>
        </is>
      </c>
      <c r="H2579" s="27" t="n">
        <v>870</v>
      </c>
      <c r="I2579" s="27" t="n">
        <v>925</v>
      </c>
      <c r="J2579" s="154">
        <f>I2579/H2579-1</f>
        <v/>
      </c>
      <c r="K2579" s="31" t="inlineStr">
        <is>
          <t>46</t>
        </is>
      </c>
      <c r="L2579" s="31" t="inlineStr">
        <is>
          <t>46</t>
        </is>
      </c>
      <c r="M2579" s="31" t="inlineStr">
        <is>
          <t>S3</t>
        </is>
      </c>
      <c r="N2579" s="31" t="inlineStr">
        <is>
          <t>S5</t>
        </is>
      </c>
      <c r="O2579" s="31" t="inlineStr">
        <is>
          <t>305-136-605-0</t>
        </is>
      </c>
      <c r="P2579" s="31" t="inlineStr">
        <is>
          <t>SR Technics Switzerland</t>
        </is>
      </c>
    </row>
    <row r="2580">
      <c r="B2580" s="31" t="inlineStr">
        <is>
          <t>CFM56-7B</t>
        </is>
      </c>
      <c r="C2580" s="31" t="inlineStr">
        <is>
          <t>2025-2026</t>
        </is>
      </c>
      <c r="D2580" s="31" t="inlineStr">
        <is>
          <t>139390</t>
        </is>
      </c>
      <c r="E2580" s="31" t="inlineStr">
        <is>
          <t>72-62-02</t>
        </is>
      </c>
      <c r="F2580" s="31" t="inlineStr">
        <is>
          <t>I</t>
        </is>
      </c>
      <c r="G2580" s="31" t="inlineStr">
        <is>
          <t>Gearbox</t>
        </is>
      </c>
      <c r="H2580" s="27" t="n">
        <v>1795</v>
      </c>
      <c r="I2580" s="27" t="n">
        <v>1905</v>
      </c>
      <c r="J2580" s="154">
        <f>I2580/H2580-1</f>
        <v/>
      </c>
      <c r="K2580" s="31" t="inlineStr">
        <is>
          <t>46</t>
        </is>
      </c>
      <c r="L2580" s="31" t="inlineStr">
        <is>
          <t>46</t>
        </is>
      </c>
      <c r="M2580" s="31" t="inlineStr">
        <is>
          <t>S3</t>
        </is>
      </c>
      <c r="N2580" s="31" t="inlineStr">
        <is>
          <t>S5</t>
        </is>
      </c>
      <c r="O2580" s="31" t="inlineStr">
        <is>
          <t>305-136-605-0</t>
        </is>
      </c>
      <c r="P2580" s="31" t="inlineStr">
        <is>
          <t>SR Technics Switzerland</t>
        </is>
      </c>
    </row>
    <row r="2581">
      <c r="B2581" s="31" t="inlineStr">
        <is>
          <t>CFM56-7B</t>
        </is>
      </c>
      <c r="C2581" s="31" t="inlineStr">
        <is>
          <t>2025-2026</t>
        </is>
      </c>
      <c r="D2581" s="31" t="inlineStr">
        <is>
          <t>139401</t>
        </is>
      </c>
      <c r="E2581" s="31" t="inlineStr">
        <is>
          <t>72-63-02</t>
        </is>
      </c>
      <c r="F2581" s="31" t="inlineStr">
        <is>
          <t>C</t>
        </is>
      </c>
      <c r="G2581" s="31" t="inlineStr">
        <is>
          <t>Gearbox</t>
        </is>
      </c>
      <c r="H2581" s="27" t="n">
        <v>1050</v>
      </c>
      <c r="I2581" s="27" t="n">
        <v>1115</v>
      </c>
      <c r="J2581" s="154">
        <f>I2581/H2581-1</f>
        <v/>
      </c>
      <c r="K2581" s="31" t="inlineStr">
        <is>
          <t>46</t>
        </is>
      </c>
      <c r="L2581" s="31" t="inlineStr">
        <is>
          <t>46</t>
        </is>
      </c>
      <c r="M2581" s="31" t="inlineStr">
        <is>
          <t>S3</t>
        </is>
      </c>
      <c r="N2581" s="31" t="inlineStr">
        <is>
          <t>S5</t>
        </is>
      </c>
      <c r="O2581" s="31" t="inlineStr">
        <is>
          <t>305-138-805-0</t>
        </is>
      </c>
      <c r="P2581" s="31" t="inlineStr">
        <is>
          <t>SR Technics Switzerland</t>
        </is>
      </c>
    </row>
    <row r="2582">
      <c r="B2582" s="31" t="inlineStr">
        <is>
          <t>CFM56-7B</t>
        </is>
      </c>
      <c r="C2582" s="31" t="inlineStr">
        <is>
          <t>2025-2026</t>
        </is>
      </c>
      <c r="D2582" s="31" t="inlineStr">
        <is>
          <t>139401</t>
        </is>
      </c>
      <c r="E2582" s="31" t="inlineStr">
        <is>
          <t>72-63-02</t>
        </is>
      </c>
      <c r="F2582" s="31" t="inlineStr">
        <is>
          <t>G</t>
        </is>
      </c>
      <c r="G2582" s="31" t="inlineStr">
        <is>
          <t>Gearbox</t>
        </is>
      </c>
      <c r="H2582" s="27" t="n">
        <v>535</v>
      </c>
      <c r="I2582" s="27" t="n">
        <v>570</v>
      </c>
      <c r="J2582" s="154">
        <f>I2582/H2582-1</f>
        <v/>
      </c>
      <c r="K2582" s="31" t="inlineStr">
        <is>
          <t>46</t>
        </is>
      </c>
      <c r="L2582" s="31" t="inlineStr">
        <is>
          <t>46</t>
        </is>
      </c>
      <c r="M2582" s="31" t="inlineStr">
        <is>
          <t>S3</t>
        </is>
      </c>
      <c r="N2582" s="31" t="inlineStr">
        <is>
          <t>S5</t>
        </is>
      </c>
      <c r="O2582" s="31" t="inlineStr">
        <is>
          <t>305-138-805-0</t>
        </is>
      </c>
      <c r="P2582" s="31" t="inlineStr">
        <is>
          <t>SR Technics Switzerland</t>
        </is>
      </c>
    </row>
    <row r="2583">
      <c r="B2583" s="31" t="inlineStr">
        <is>
          <t>CFM56-7B</t>
        </is>
      </c>
      <c r="C2583" s="31" t="inlineStr">
        <is>
          <t>2025-2026</t>
        </is>
      </c>
      <c r="D2583" s="31" t="inlineStr">
        <is>
          <t>139422</t>
        </is>
      </c>
      <c r="E2583" s="31" t="inlineStr">
        <is>
          <t>72-62-04</t>
        </is>
      </c>
      <c r="F2583" s="31" t="inlineStr">
        <is>
          <t>B</t>
        </is>
      </c>
      <c r="G2583" s="31" t="inlineStr">
        <is>
          <t>Gearbox</t>
        </is>
      </c>
      <c r="H2583" s="27" t="n">
        <v>1570</v>
      </c>
      <c r="I2583" s="27" t="n">
        <v>1570</v>
      </c>
      <c r="J2583" s="154">
        <f>I2583/H2583-1</f>
        <v/>
      </c>
      <c r="K2583" s="31" t="inlineStr">
        <is>
          <t>11</t>
        </is>
      </c>
      <c r="L2583" s="31" t="inlineStr">
        <is>
          <t>46</t>
        </is>
      </c>
      <c r="M2583" s="31" t="inlineStr">
        <is>
          <t>S3</t>
        </is>
      </c>
      <c r="N2583" s="31" t="inlineStr">
        <is>
          <t>S5</t>
        </is>
      </c>
      <c r="O2583" s="31" t="inlineStr">
        <is>
          <t>305-148-801-0</t>
        </is>
      </c>
      <c r="P2583" s="31" t="inlineStr">
        <is>
          <t>SR Technics Switzerland</t>
        </is>
      </c>
    </row>
    <row r="2584">
      <c r="B2584" s="31" t="inlineStr">
        <is>
          <t>CFM56-7B</t>
        </is>
      </c>
      <c r="C2584" s="31" t="inlineStr">
        <is>
          <t>2025-2026</t>
        </is>
      </c>
      <c r="D2584" s="31" t="inlineStr">
        <is>
          <t>139423</t>
        </is>
      </c>
      <c r="E2584" s="31" t="inlineStr">
        <is>
          <t>72-63-03</t>
        </is>
      </c>
      <c r="F2584" s="31" t="inlineStr">
        <is>
          <t>B</t>
        </is>
      </c>
      <c r="G2584" s="31" t="inlineStr">
        <is>
          <t>Gearbox</t>
        </is>
      </c>
      <c r="H2584" s="27" t="n">
        <v>295</v>
      </c>
      <c r="I2584" s="27" t="n">
        <v>315</v>
      </c>
      <c r="J2584" s="154">
        <f>I2584/H2584-1</f>
        <v/>
      </c>
      <c r="K2584" s="31" t="inlineStr">
        <is>
          <t>47</t>
        </is>
      </c>
      <c r="L2584" s="31" t="inlineStr">
        <is>
          <t>46</t>
        </is>
      </c>
      <c r="M2584" s="31" t="inlineStr">
        <is>
          <t>S3</t>
        </is>
      </c>
      <c r="N2584" s="31" t="inlineStr">
        <is>
          <t>S5</t>
        </is>
      </c>
      <c r="O2584" s="31" t="inlineStr">
        <is>
          <t>305-137-101-0</t>
        </is>
      </c>
      <c r="P2584" s="31" t="inlineStr">
        <is>
          <t>SR Technics Switzerland</t>
        </is>
      </c>
    </row>
    <row r="2585">
      <c r="B2585" s="31" t="inlineStr">
        <is>
          <t>CFM56-7B</t>
        </is>
      </c>
      <c r="C2585" s="31" t="inlineStr">
        <is>
          <t>2025-2026</t>
        </is>
      </c>
      <c r="D2585" s="31" t="inlineStr">
        <is>
          <t>139423</t>
        </is>
      </c>
      <c r="E2585" s="31" t="inlineStr">
        <is>
          <t>72-63-03</t>
        </is>
      </c>
      <c r="F2585" s="31" t="inlineStr">
        <is>
          <t>F</t>
        </is>
      </c>
      <c r="G2585" s="31" t="inlineStr">
        <is>
          <t>Gearbox</t>
        </is>
      </c>
      <c r="H2585" s="27" t="n">
        <v>1460</v>
      </c>
      <c r="I2585" s="27" t="n">
        <v>1550</v>
      </c>
      <c r="J2585" s="154">
        <f>I2585/H2585-1</f>
        <v/>
      </c>
      <c r="K2585" s="31" t="inlineStr">
        <is>
          <t>47</t>
        </is>
      </c>
      <c r="L2585" s="31" t="inlineStr">
        <is>
          <t>46</t>
        </is>
      </c>
      <c r="M2585" s="31" t="inlineStr">
        <is>
          <t>S3</t>
        </is>
      </c>
      <c r="N2585" s="31" t="inlineStr">
        <is>
          <t>S5</t>
        </is>
      </c>
      <c r="O2585" s="31" t="inlineStr">
        <is>
          <t>305-137-101-0</t>
        </is>
      </c>
      <c r="P2585" s="31" t="inlineStr">
        <is>
          <t>SR Technics Switzerland</t>
        </is>
      </c>
    </row>
    <row r="2586">
      <c r="B2586" s="31" t="inlineStr">
        <is>
          <t>CFM56-7B</t>
        </is>
      </c>
      <c r="C2586" s="31" t="inlineStr">
        <is>
          <t>2025-2026</t>
        </is>
      </c>
      <c r="D2586" s="31" t="inlineStr">
        <is>
          <t>139423</t>
        </is>
      </c>
      <c r="E2586" s="31" t="inlineStr">
        <is>
          <t>72-63-03</t>
        </is>
      </c>
      <c r="F2586" s="31" t="inlineStr">
        <is>
          <t>I</t>
        </is>
      </c>
      <c r="G2586" s="31" t="inlineStr">
        <is>
          <t>Gearbox</t>
        </is>
      </c>
      <c r="H2586" s="27" t="n">
        <v>1000</v>
      </c>
      <c r="I2586" s="27" t="n">
        <v>1060</v>
      </c>
      <c r="J2586" s="154">
        <f>I2586/H2586-1</f>
        <v/>
      </c>
      <c r="K2586" s="31" t="inlineStr">
        <is>
          <t>47</t>
        </is>
      </c>
      <c r="L2586" s="31" t="inlineStr">
        <is>
          <t>46</t>
        </is>
      </c>
      <c r="M2586" s="31" t="inlineStr">
        <is>
          <t>S3</t>
        </is>
      </c>
      <c r="N2586" s="31" t="inlineStr">
        <is>
          <t>S5</t>
        </is>
      </c>
      <c r="O2586" s="31" t="inlineStr">
        <is>
          <t>305-137-101-0</t>
        </is>
      </c>
      <c r="P2586" s="31" t="inlineStr">
        <is>
          <t>SR Technics Switzerland</t>
        </is>
      </c>
    </row>
    <row r="2587">
      <c r="B2587" s="31" t="inlineStr">
        <is>
          <t>CFM56-7B</t>
        </is>
      </c>
      <c r="C2587" s="31" t="inlineStr">
        <is>
          <t>2025-2026</t>
        </is>
      </c>
      <c r="D2587" s="31" t="inlineStr">
        <is>
          <t>139423</t>
        </is>
      </c>
      <c r="E2587" s="31" t="inlineStr">
        <is>
          <t>72-63-03</t>
        </is>
      </c>
      <c r="F2587" s="31" t="inlineStr">
        <is>
          <t>SB01</t>
        </is>
      </c>
      <c r="G2587" s="31" t="inlineStr">
        <is>
          <t>Gearbox</t>
        </is>
      </c>
      <c r="H2587" s="27" t="n">
        <v>530</v>
      </c>
      <c r="I2587" s="27" t="n">
        <v>565</v>
      </c>
      <c r="J2587" s="154">
        <f>I2587/H2587-1</f>
        <v/>
      </c>
      <c r="K2587" s="31" t="inlineStr">
        <is>
          <t>47</t>
        </is>
      </c>
      <c r="L2587" s="31" t="inlineStr">
        <is>
          <t>46</t>
        </is>
      </c>
      <c r="M2587" s="31" t="inlineStr">
        <is>
          <t>S3</t>
        </is>
      </c>
      <c r="N2587" s="31" t="inlineStr">
        <is>
          <t>S5</t>
        </is>
      </c>
      <c r="O2587" s="31" t="inlineStr">
        <is>
          <t>305-137-101-0</t>
        </is>
      </c>
      <c r="P2587" s="31" t="inlineStr">
        <is>
          <t>SR Technics Switzerland</t>
        </is>
      </c>
    </row>
    <row r="2588">
      <c r="B2588" s="31" t="inlineStr">
        <is>
          <t>CFM56-7B</t>
        </is>
      </c>
      <c r="C2588" s="31" t="inlineStr">
        <is>
          <t>2025-2026</t>
        </is>
      </c>
      <c r="D2588" s="31" t="inlineStr">
        <is>
          <t>139424</t>
        </is>
      </c>
      <c r="E2588" s="31" t="inlineStr">
        <is>
          <t>72-63-25</t>
        </is>
      </c>
      <c r="F2588" s="31" t="inlineStr">
        <is>
          <t>A</t>
        </is>
      </c>
      <c r="G2588" s="31" t="inlineStr">
        <is>
          <t>Gearbox</t>
        </is>
      </c>
      <c r="H2588" s="27" t="n">
        <v>365</v>
      </c>
      <c r="I2588" s="27" t="n">
        <v>385</v>
      </c>
      <c r="J2588" s="154">
        <f>I2588/H2588-1</f>
        <v/>
      </c>
      <c r="K2588" s="31" t="inlineStr">
        <is>
          <t>47</t>
        </is>
      </c>
      <c r="L2588" s="31" t="inlineStr">
        <is>
          <t>47</t>
        </is>
      </c>
      <c r="M2588" s="31" t="inlineStr">
        <is>
          <t>S3</t>
        </is>
      </c>
      <c r="N2588" s="31" t="inlineStr">
        <is>
          <t>S5</t>
        </is>
      </c>
      <c r="O2588" s="31" t="inlineStr">
        <is>
          <t>305-140-501-0</t>
        </is>
      </c>
      <c r="P2588" s="31" t="inlineStr">
        <is>
          <t>SR Technics Switzerland</t>
        </is>
      </c>
    </row>
    <row r="2589">
      <c r="B2589" s="31" t="inlineStr">
        <is>
          <t>CFM56-7B</t>
        </is>
      </c>
      <c r="C2589" s="31" t="inlineStr">
        <is>
          <t>2025-2026</t>
        </is>
      </c>
      <c r="D2589" s="31" t="inlineStr">
        <is>
          <t>139429</t>
        </is>
      </c>
      <c r="E2589" s="31" t="inlineStr">
        <is>
          <t>72-22-05</t>
        </is>
      </c>
      <c r="F2589" s="31" t="inlineStr">
        <is>
          <t>A</t>
        </is>
      </c>
      <c r="G2589" s="31" t="inlineStr">
        <is>
          <t>Fan / booster</t>
        </is>
      </c>
      <c r="H2589" s="27" t="n">
        <v>380</v>
      </c>
      <c r="I2589" s="27" t="n">
        <v>400</v>
      </c>
      <c r="J2589" s="154">
        <f>I2589/H2589-1</f>
        <v/>
      </c>
      <c r="K2589" s="31" t="inlineStr">
        <is>
          <t>11</t>
        </is>
      </c>
      <c r="L2589" s="31" t="inlineStr">
        <is>
          <t>10</t>
        </is>
      </c>
      <c r="M2589" s="31" t="inlineStr">
        <is>
          <t>S3</t>
        </is>
      </c>
      <c r="N2589" s="31" t="inlineStr">
        <is>
          <t>S5</t>
        </is>
      </c>
      <c r="O2589" s="31" t="inlineStr">
        <is>
          <t>305-396-303-0</t>
        </is>
      </c>
      <c r="P2589" s="31" t="inlineStr">
        <is>
          <t>SR Technics Switzerland</t>
        </is>
      </c>
    </row>
    <row r="2590">
      <c r="B2590" s="31" t="inlineStr">
        <is>
          <t>CFM56-7B</t>
        </is>
      </c>
      <c r="C2590" s="31" t="inlineStr">
        <is>
          <t>2025-2026</t>
        </is>
      </c>
      <c r="D2590" s="31" t="inlineStr">
        <is>
          <t>139430</t>
        </is>
      </c>
      <c r="E2590" s="31" t="inlineStr">
        <is>
          <t>72-55-10</t>
        </is>
      </c>
      <c r="F2590" s="31" t="inlineStr">
        <is>
          <t>A</t>
        </is>
      </c>
      <c r="G2590" s="31" t="inlineStr">
        <is>
          <t>LPT</t>
        </is>
      </c>
      <c r="H2590" s="27" t="n">
        <v>740</v>
      </c>
      <c r="I2590" s="27" t="n">
        <v>780</v>
      </c>
      <c r="J2590" s="154">
        <f>I2590/H2590-1</f>
        <v/>
      </c>
      <c r="K2590" s="31" t="inlineStr">
        <is>
          <t>11</t>
        </is>
      </c>
      <c r="L2590" s="31" t="inlineStr">
        <is>
          <t>10</t>
        </is>
      </c>
      <c r="M2590" s="31" t="inlineStr">
        <is>
          <t>S3</t>
        </is>
      </c>
      <c r="N2590" s="31" t="inlineStr">
        <is>
          <t>S5</t>
        </is>
      </c>
      <c r="O2590" s="31" t="inlineStr">
        <is>
          <t>305-408-301-0</t>
        </is>
      </c>
      <c r="P2590" s="31" t="inlineStr">
        <is>
          <t>SR Technics Switzerland</t>
        </is>
      </c>
    </row>
    <row r="2591">
      <c r="B2591" s="31" t="inlineStr">
        <is>
          <t>CFM56-7B</t>
        </is>
      </c>
      <c r="C2591" s="31" t="inlineStr">
        <is>
          <t>2025-2026</t>
        </is>
      </c>
      <c r="D2591" s="31" t="inlineStr">
        <is>
          <t>139430</t>
        </is>
      </c>
      <c r="E2591" s="31" t="inlineStr">
        <is>
          <t>72-55-10</t>
        </is>
      </c>
      <c r="F2591" s="31" t="inlineStr">
        <is>
          <t>B</t>
        </is>
      </c>
      <c r="G2591" s="31" t="inlineStr">
        <is>
          <t>LPT</t>
        </is>
      </c>
      <c r="H2591" s="27" t="n">
        <v>980</v>
      </c>
      <c r="I2591" s="27" t="n">
        <v>1040</v>
      </c>
      <c r="J2591" s="154">
        <f>I2591/H2591-1</f>
        <v/>
      </c>
      <c r="K2591" s="31" t="inlineStr">
        <is>
          <t>11</t>
        </is>
      </c>
      <c r="L2591" s="31" t="inlineStr">
        <is>
          <t>10</t>
        </is>
      </c>
      <c r="M2591" s="31" t="inlineStr">
        <is>
          <t>S3</t>
        </is>
      </c>
      <c r="N2591" s="31" t="inlineStr">
        <is>
          <t>S5</t>
        </is>
      </c>
      <c r="O2591" s="31" t="inlineStr">
        <is>
          <t>305-408-301-0</t>
        </is>
      </c>
      <c r="P2591" s="31" t="inlineStr">
        <is>
          <t>SR Technics Switzerland</t>
        </is>
      </c>
    </row>
    <row r="2592">
      <c r="B2592" s="31" t="inlineStr">
        <is>
          <t>CFM56-7B</t>
        </is>
      </c>
      <c r="C2592" s="31" t="inlineStr">
        <is>
          <t>2025-2026</t>
        </is>
      </c>
      <c r="D2592" s="31" t="inlineStr">
        <is>
          <t>139430</t>
        </is>
      </c>
      <c r="E2592" s="31" t="inlineStr">
        <is>
          <t>72-55-10</t>
        </is>
      </c>
      <c r="F2592" s="31" t="inlineStr">
        <is>
          <t>C</t>
        </is>
      </c>
      <c r="G2592" s="31" t="inlineStr">
        <is>
          <t>LPT</t>
        </is>
      </c>
      <c r="H2592" s="27" t="n">
        <v>3115</v>
      </c>
      <c r="I2592" s="27" t="n">
        <v>3305</v>
      </c>
      <c r="J2592" s="154">
        <f>I2592/H2592-1</f>
        <v/>
      </c>
      <c r="K2592" s="31" t="inlineStr">
        <is>
          <t>11</t>
        </is>
      </c>
      <c r="L2592" s="31" t="inlineStr">
        <is>
          <t>10</t>
        </is>
      </c>
      <c r="M2592" s="31" t="inlineStr">
        <is>
          <t>S3</t>
        </is>
      </c>
      <c r="N2592" s="31" t="inlineStr">
        <is>
          <t>S5</t>
        </is>
      </c>
      <c r="O2592" s="31" t="inlineStr">
        <is>
          <t>305-408-301-0</t>
        </is>
      </c>
      <c r="P2592" s="31" t="inlineStr">
        <is>
          <t>SR Technics Switzerland</t>
        </is>
      </c>
    </row>
    <row r="2593">
      <c r="B2593" s="31" t="inlineStr">
        <is>
          <t>CFM56-7B</t>
        </is>
      </c>
      <c r="C2593" s="31" t="inlineStr">
        <is>
          <t>2025-2026</t>
        </is>
      </c>
      <c r="D2593" s="31" t="inlineStr">
        <is>
          <t>139430</t>
        </is>
      </c>
      <c r="E2593" s="31" t="inlineStr">
        <is>
          <t>72-55-10</t>
        </is>
      </c>
      <c r="F2593" s="31" t="inlineStr">
        <is>
          <t>D</t>
        </is>
      </c>
      <c r="G2593" s="31" t="inlineStr">
        <is>
          <t>LPT</t>
        </is>
      </c>
      <c r="H2593" s="27" t="n">
        <v>4695</v>
      </c>
      <c r="I2593" s="27" t="n">
        <v>4980</v>
      </c>
      <c r="J2593" s="154">
        <f>I2593/H2593-1</f>
        <v/>
      </c>
      <c r="K2593" s="31" t="inlineStr">
        <is>
          <t>11</t>
        </is>
      </c>
      <c r="L2593" s="31" t="inlineStr">
        <is>
          <t>11</t>
        </is>
      </c>
      <c r="M2593" s="31" t="inlineStr">
        <is>
          <t>S3</t>
        </is>
      </c>
      <c r="N2593" s="31" t="inlineStr">
        <is>
          <t>S5</t>
        </is>
      </c>
      <c r="O2593" s="31" t="inlineStr">
        <is>
          <t>305-408-301-0</t>
        </is>
      </c>
      <c r="P2593" s="31" t="inlineStr">
        <is>
          <t>SR Technics Switzerland</t>
        </is>
      </c>
    </row>
    <row r="2594">
      <c r="B2594" s="31" t="inlineStr">
        <is>
          <t>CFM56-7B</t>
        </is>
      </c>
      <c r="C2594" s="31" t="inlineStr">
        <is>
          <t>2025-2026</t>
        </is>
      </c>
      <c r="D2594" s="31" t="inlineStr">
        <is>
          <t>139430</t>
        </is>
      </c>
      <c r="E2594" s="31" t="inlineStr">
        <is>
          <t>72-55-10</t>
        </is>
      </c>
      <c r="F2594" s="31" t="inlineStr">
        <is>
          <t>H</t>
        </is>
      </c>
      <c r="G2594" s="31" t="inlineStr">
        <is>
          <t>LPT</t>
        </is>
      </c>
      <c r="H2594" s="27" t="n">
        <v>2675</v>
      </c>
      <c r="I2594" s="27" t="n">
        <v>2840</v>
      </c>
      <c r="J2594" s="154">
        <f>I2594/H2594-1</f>
        <v/>
      </c>
      <c r="K2594" s="31" t="inlineStr">
        <is>
          <t>11</t>
        </is>
      </c>
      <c r="L2594" s="31" t="inlineStr">
        <is>
          <t>11</t>
        </is>
      </c>
      <c r="M2594" s="31" t="inlineStr">
        <is>
          <t>S3</t>
        </is>
      </c>
      <c r="N2594" s="31" t="inlineStr">
        <is>
          <t>S5</t>
        </is>
      </c>
      <c r="O2594" s="31" t="inlineStr">
        <is>
          <t>305-408-301-0</t>
        </is>
      </c>
      <c r="P2594" s="31" t="inlineStr">
        <is>
          <t>SR Technics Switzerland</t>
        </is>
      </c>
    </row>
    <row r="2595">
      <c r="B2595" s="31" t="inlineStr">
        <is>
          <t>CFM56-7B</t>
        </is>
      </c>
      <c r="C2595" s="31" t="inlineStr">
        <is>
          <t>2025-2026</t>
        </is>
      </c>
      <c r="D2595" s="31" t="inlineStr">
        <is>
          <t>139430</t>
        </is>
      </c>
      <c r="E2595" s="31" t="inlineStr">
        <is>
          <t>72-55-10</t>
        </is>
      </c>
      <c r="F2595" s="31" t="inlineStr">
        <is>
          <t>I</t>
        </is>
      </c>
      <c r="G2595" s="31" t="inlineStr">
        <is>
          <t>LPT</t>
        </is>
      </c>
      <c r="H2595" s="27" t="n">
        <v>1080</v>
      </c>
      <c r="I2595" s="27" t="n">
        <v>1145</v>
      </c>
      <c r="J2595" s="154">
        <f>I2595/H2595-1</f>
        <v/>
      </c>
      <c r="K2595" s="31" t="inlineStr">
        <is>
          <t>11</t>
        </is>
      </c>
      <c r="L2595" s="31" t="inlineStr">
        <is>
          <t>11</t>
        </is>
      </c>
      <c r="M2595" s="31" t="inlineStr">
        <is>
          <t>S3</t>
        </is>
      </c>
      <c r="N2595" s="31" t="inlineStr">
        <is>
          <t>S5</t>
        </is>
      </c>
      <c r="O2595" s="31" t="inlineStr">
        <is>
          <t>305-408-301-0</t>
        </is>
      </c>
      <c r="P2595" s="31" t="inlineStr">
        <is>
          <t>SR Technics Switzerland</t>
        </is>
      </c>
    </row>
    <row r="2596">
      <c r="B2596" s="31" t="inlineStr">
        <is>
          <t>CFM56-7B</t>
        </is>
      </c>
      <c r="C2596" s="31" t="inlineStr">
        <is>
          <t>2025-2026</t>
        </is>
      </c>
      <c r="D2596" s="31" t="inlineStr">
        <is>
          <t>139432</t>
        </is>
      </c>
      <c r="E2596" s="31" t="inlineStr">
        <is>
          <t>72-54-03</t>
        </is>
      </c>
      <c r="F2596" s="31" t="inlineStr">
        <is>
          <t>A</t>
        </is>
      </c>
      <c r="G2596" s="31" t="inlineStr">
        <is>
          <t>LPT</t>
        </is>
      </c>
      <c r="H2596" s="27" t="n">
        <v>1180</v>
      </c>
      <c r="I2596" s="27" t="n">
        <v>1240</v>
      </c>
      <c r="J2596" s="154">
        <f>I2596/H2596-1</f>
        <v/>
      </c>
      <c r="K2596" s="31" t="inlineStr">
        <is>
          <t>12</t>
        </is>
      </c>
      <c r="L2596" s="31" t="inlineStr">
        <is>
          <t>11</t>
        </is>
      </c>
      <c r="M2596" s="31" t="inlineStr">
        <is>
          <t>S3</t>
        </is>
      </c>
      <c r="N2596" s="31" t="inlineStr">
        <is>
          <t>S5</t>
        </is>
      </c>
      <c r="O2596" s="31" t="inlineStr">
        <is>
          <t>336-001-804-0</t>
        </is>
      </c>
      <c r="P2596" s="31" t="inlineStr">
        <is>
          <t>SR Technics Switzerland</t>
        </is>
      </c>
    </row>
    <row r="2597">
      <c r="B2597" s="31" t="inlineStr">
        <is>
          <t>CFM56-7B</t>
        </is>
      </c>
      <c r="C2597" s="31" t="inlineStr">
        <is>
          <t>2025-2026</t>
        </is>
      </c>
      <c r="D2597" s="31" t="inlineStr">
        <is>
          <t>139432</t>
        </is>
      </c>
      <c r="E2597" s="31" t="inlineStr">
        <is>
          <t>72-54-03</t>
        </is>
      </c>
      <c r="F2597" s="31" t="inlineStr">
        <is>
          <t>B</t>
        </is>
      </c>
      <c r="G2597" s="31" t="inlineStr">
        <is>
          <t>LPT</t>
        </is>
      </c>
      <c r="H2597" s="27" t="n">
        <v>3190</v>
      </c>
      <c r="I2597" s="27" t="n">
        <v>3385</v>
      </c>
      <c r="J2597" s="154">
        <f>I2597/H2597-1</f>
        <v/>
      </c>
      <c r="K2597" s="31" t="inlineStr">
        <is>
          <t>12</t>
        </is>
      </c>
      <c r="L2597" s="31" t="inlineStr">
        <is>
          <t>11</t>
        </is>
      </c>
      <c r="M2597" s="31" t="inlineStr">
        <is>
          <t>S3</t>
        </is>
      </c>
      <c r="N2597" s="31" t="inlineStr">
        <is>
          <t>S5</t>
        </is>
      </c>
      <c r="O2597" s="31" t="inlineStr">
        <is>
          <t>336-001-804-0</t>
        </is>
      </c>
      <c r="P2597" s="31" t="inlineStr">
        <is>
          <t>SR Technics Switzerland</t>
        </is>
      </c>
    </row>
    <row r="2598">
      <c r="B2598" s="31" t="inlineStr">
        <is>
          <t>CFM56-7B</t>
        </is>
      </c>
      <c r="C2598" s="31" t="inlineStr">
        <is>
          <t>2025-2026</t>
        </is>
      </c>
      <c r="D2598" s="31" t="inlineStr">
        <is>
          <t>139432</t>
        </is>
      </c>
      <c r="E2598" s="31" t="inlineStr">
        <is>
          <t>72-54-03</t>
        </is>
      </c>
      <c r="F2598" s="31" t="inlineStr">
        <is>
          <t>D</t>
        </is>
      </c>
      <c r="G2598" s="31" t="inlineStr">
        <is>
          <t>LPT</t>
        </is>
      </c>
      <c r="H2598" s="27" t="n">
        <v>1695</v>
      </c>
      <c r="I2598" s="27" t="n">
        <v>1800</v>
      </c>
      <c r="J2598" s="154">
        <f>I2598/H2598-1</f>
        <v/>
      </c>
      <c r="K2598" s="31" t="inlineStr">
        <is>
          <t>12</t>
        </is>
      </c>
      <c r="L2598" s="31" t="inlineStr">
        <is>
          <t>11</t>
        </is>
      </c>
      <c r="M2598" s="31" t="inlineStr">
        <is>
          <t>S3</t>
        </is>
      </c>
      <c r="N2598" s="31" t="inlineStr">
        <is>
          <t>S5</t>
        </is>
      </c>
      <c r="O2598" s="31" t="inlineStr">
        <is>
          <t>336-001-804-0</t>
        </is>
      </c>
      <c r="P2598" s="31" t="inlineStr">
        <is>
          <t>SR Technics Switzerland</t>
        </is>
      </c>
    </row>
    <row r="2599">
      <c r="B2599" s="31" t="inlineStr">
        <is>
          <t>CFM56-7B</t>
        </is>
      </c>
      <c r="C2599" s="31" t="inlineStr">
        <is>
          <t>2025-2026</t>
        </is>
      </c>
      <c r="D2599" s="31" t="inlineStr">
        <is>
          <t>139432</t>
        </is>
      </c>
      <c r="E2599" s="31" t="inlineStr">
        <is>
          <t>72-54-03</t>
        </is>
      </c>
      <c r="F2599" s="31" t="inlineStr">
        <is>
          <t>F</t>
        </is>
      </c>
      <c r="G2599" s="31" t="inlineStr">
        <is>
          <t>LPT</t>
        </is>
      </c>
      <c r="H2599" s="27" t="n">
        <v>4100</v>
      </c>
      <c r="I2599" s="27" t="n">
        <v>4350</v>
      </c>
      <c r="J2599" s="154">
        <f>I2599/H2599-1</f>
        <v/>
      </c>
      <c r="K2599" s="31" t="inlineStr">
        <is>
          <t>12</t>
        </is>
      </c>
      <c r="L2599" s="31" t="inlineStr">
        <is>
          <t>11</t>
        </is>
      </c>
      <c r="M2599" s="31" t="inlineStr">
        <is>
          <t>S3</t>
        </is>
      </c>
      <c r="N2599" s="31" t="inlineStr">
        <is>
          <t>S5</t>
        </is>
      </c>
      <c r="O2599" s="31" t="inlineStr">
        <is>
          <t>336-001-804-0</t>
        </is>
      </c>
      <c r="P2599" s="31" t="inlineStr">
        <is>
          <t>SR Technics Switzerland</t>
        </is>
      </c>
    </row>
    <row r="2600">
      <c r="B2600" s="31" t="inlineStr">
        <is>
          <t>CFM56-7B</t>
        </is>
      </c>
      <c r="C2600" s="31" t="inlineStr">
        <is>
          <t>2025-2026</t>
        </is>
      </c>
      <c r="D2600" s="31" t="inlineStr">
        <is>
          <t>139432</t>
        </is>
      </c>
      <c r="E2600" s="31" t="inlineStr">
        <is>
          <t>72-54-03</t>
        </is>
      </c>
      <c r="F2600" s="31" t="inlineStr">
        <is>
          <t>G</t>
        </is>
      </c>
      <c r="G2600" s="31" t="inlineStr">
        <is>
          <t>LPT</t>
        </is>
      </c>
      <c r="H2600" s="27" t="n">
        <v>5345</v>
      </c>
      <c r="I2600" s="27" t="n">
        <v>5670</v>
      </c>
      <c r="J2600" s="154">
        <f>I2600/H2600-1</f>
        <v/>
      </c>
      <c r="K2600" s="31" t="inlineStr">
        <is>
          <t>12</t>
        </is>
      </c>
      <c r="L2600" s="31" t="inlineStr">
        <is>
          <t>11</t>
        </is>
      </c>
      <c r="M2600" s="31" t="inlineStr">
        <is>
          <t>S3</t>
        </is>
      </c>
      <c r="N2600" s="31" t="inlineStr">
        <is>
          <t>S5</t>
        </is>
      </c>
      <c r="O2600" s="31" t="inlineStr">
        <is>
          <t>336-001-804-0</t>
        </is>
      </c>
      <c r="P2600" s="31" t="inlineStr">
        <is>
          <t>SR Technics Switzerland</t>
        </is>
      </c>
    </row>
    <row r="2601">
      <c r="B2601" s="31" t="inlineStr">
        <is>
          <t>CFM56-7B</t>
        </is>
      </c>
      <c r="C2601" s="31" t="inlineStr">
        <is>
          <t>2025-2026</t>
        </is>
      </c>
      <c r="D2601" s="31" t="inlineStr">
        <is>
          <t>139432</t>
        </is>
      </c>
      <c r="E2601" s="31" t="inlineStr">
        <is>
          <t>72-54-03</t>
        </is>
      </c>
      <c r="F2601" s="31" t="inlineStr">
        <is>
          <t>J</t>
        </is>
      </c>
      <c r="G2601" s="31" t="inlineStr">
        <is>
          <t>LPT</t>
        </is>
      </c>
      <c r="H2601" s="27" t="n">
        <v>1955</v>
      </c>
      <c r="I2601" s="27" t="n">
        <v>2075</v>
      </c>
      <c r="J2601" s="154">
        <f>I2601/H2601-1</f>
        <v/>
      </c>
      <c r="K2601" s="31" t="inlineStr">
        <is>
          <t>12</t>
        </is>
      </c>
      <c r="L2601" s="31" t="inlineStr">
        <is>
          <t>11</t>
        </is>
      </c>
      <c r="M2601" s="31" t="inlineStr">
        <is>
          <t>S3</t>
        </is>
      </c>
      <c r="N2601" s="31" t="inlineStr">
        <is>
          <t>S5</t>
        </is>
      </c>
      <c r="O2601" s="31" t="inlineStr">
        <is>
          <t>336-001-804-0</t>
        </is>
      </c>
      <c r="P2601" s="31" t="inlineStr">
        <is>
          <t>SR Technics Switzerland</t>
        </is>
      </c>
    </row>
    <row r="2602">
      <c r="B2602" s="31" t="inlineStr">
        <is>
          <t>CFM56-7B</t>
        </is>
      </c>
      <c r="C2602" s="31" t="inlineStr">
        <is>
          <t>2025-2026</t>
        </is>
      </c>
      <c r="D2602" s="31" t="inlineStr">
        <is>
          <t>139432</t>
        </is>
      </c>
      <c r="E2602" s="31" t="inlineStr">
        <is>
          <t>72-54-03</t>
        </is>
      </c>
      <c r="F2602" s="31" t="inlineStr">
        <is>
          <t>K</t>
        </is>
      </c>
      <c r="G2602" s="31" t="inlineStr">
        <is>
          <t>LPT</t>
        </is>
      </c>
      <c r="H2602" s="27" t="n">
        <v>1955</v>
      </c>
      <c r="I2602" s="27" t="n">
        <v>2075</v>
      </c>
      <c r="J2602" s="154">
        <f>I2602/H2602-1</f>
        <v/>
      </c>
      <c r="K2602" s="31" t="inlineStr">
        <is>
          <t>12</t>
        </is>
      </c>
      <c r="L2602" s="31" t="inlineStr">
        <is>
          <t>11</t>
        </is>
      </c>
      <c r="M2602" s="31" t="inlineStr">
        <is>
          <t>S3</t>
        </is>
      </c>
      <c r="N2602" s="31" t="inlineStr">
        <is>
          <t>S5</t>
        </is>
      </c>
      <c r="O2602" s="31" t="inlineStr">
        <is>
          <t>336-001-804-0</t>
        </is>
      </c>
      <c r="P2602" s="31" t="inlineStr">
        <is>
          <t>SR Technics Switzerland</t>
        </is>
      </c>
    </row>
    <row r="2603">
      <c r="B2603" s="31" t="inlineStr">
        <is>
          <t>CFM56-7B</t>
        </is>
      </c>
      <c r="C2603" s="31" t="inlineStr">
        <is>
          <t>2025-2026</t>
        </is>
      </c>
      <c r="D2603" s="31" t="inlineStr">
        <is>
          <t>139432</t>
        </is>
      </c>
      <c r="E2603" s="31" t="inlineStr">
        <is>
          <t>72-54-03</t>
        </is>
      </c>
      <c r="F2603" s="31" t="inlineStr">
        <is>
          <t>L</t>
        </is>
      </c>
      <c r="G2603" s="31" t="inlineStr">
        <is>
          <t>LPT</t>
        </is>
      </c>
      <c r="H2603" s="27" t="n">
        <v>1955</v>
      </c>
      <c r="I2603" s="27" t="n">
        <v>2075</v>
      </c>
      <c r="J2603" s="154">
        <f>I2603/H2603-1</f>
        <v/>
      </c>
      <c r="K2603" s="31" t="inlineStr">
        <is>
          <t>12</t>
        </is>
      </c>
      <c r="L2603" s="31" t="inlineStr">
        <is>
          <t>11</t>
        </is>
      </c>
      <c r="M2603" s="31" t="inlineStr">
        <is>
          <t>S3</t>
        </is>
      </c>
      <c r="N2603" s="31" t="inlineStr">
        <is>
          <t>S5</t>
        </is>
      </c>
      <c r="O2603" s="31" t="inlineStr">
        <is>
          <t>336-001-804-0</t>
        </is>
      </c>
      <c r="P2603" s="31" t="inlineStr">
        <is>
          <t>SR Technics Switzerland</t>
        </is>
      </c>
    </row>
    <row r="2604">
      <c r="B2604" s="31" t="inlineStr">
        <is>
          <t>CFM56-7B</t>
        </is>
      </c>
      <c r="C2604" s="31" t="inlineStr">
        <is>
          <t>2025-2026</t>
        </is>
      </c>
      <c r="D2604" s="31" t="inlineStr">
        <is>
          <t>139432</t>
        </is>
      </c>
      <c r="E2604" s="31" t="inlineStr">
        <is>
          <t>72-54-03</t>
        </is>
      </c>
      <c r="F2604" s="31" t="inlineStr">
        <is>
          <t>M</t>
        </is>
      </c>
      <c r="G2604" s="31" t="inlineStr">
        <is>
          <t>LPT</t>
        </is>
      </c>
      <c r="H2604" s="27" t="n">
        <v>1955</v>
      </c>
      <c r="I2604" s="27" t="n">
        <v>2075</v>
      </c>
      <c r="J2604" s="154">
        <f>I2604/H2604-1</f>
        <v/>
      </c>
      <c r="K2604" s="31" t="inlineStr">
        <is>
          <t>12</t>
        </is>
      </c>
      <c r="L2604" s="31" t="inlineStr">
        <is>
          <t>11</t>
        </is>
      </c>
      <c r="M2604" s="31" t="inlineStr">
        <is>
          <t>S3</t>
        </is>
      </c>
      <c r="N2604" s="31" t="inlineStr">
        <is>
          <t>S5</t>
        </is>
      </c>
      <c r="O2604" s="31" t="inlineStr">
        <is>
          <t>336-001-804-0</t>
        </is>
      </c>
      <c r="P2604" s="31" t="inlineStr">
        <is>
          <t>SR Technics Switzerland</t>
        </is>
      </c>
    </row>
    <row r="2605">
      <c r="B2605" s="31" t="inlineStr">
        <is>
          <t>CFM56-7B</t>
        </is>
      </c>
      <c r="C2605" s="31" t="inlineStr">
        <is>
          <t>2025-2026</t>
        </is>
      </c>
      <c r="D2605" s="31" t="inlineStr">
        <is>
          <t>139432</t>
        </is>
      </c>
      <c r="E2605" s="31" t="inlineStr">
        <is>
          <t>72-54-03</t>
        </is>
      </c>
      <c r="F2605" s="31" t="inlineStr">
        <is>
          <t>O</t>
        </is>
      </c>
      <c r="G2605" s="31" t="inlineStr">
        <is>
          <t>LPT</t>
        </is>
      </c>
      <c r="H2605" s="27" t="n">
        <v>8420</v>
      </c>
      <c r="I2605" s="27" t="n">
        <v>8930</v>
      </c>
      <c r="J2605" s="154">
        <f>I2605/H2605-1</f>
        <v/>
      </c>
      <c r="K2605" s="31" t="inlineStr">
        <is>
          <t>12</t>
        </is>
      </c>
      <c r="L2605" s="31" t="inlineStr">
        <is>
          <t>11</t>
        </is>
      </c>
      <c r="M2605" s="31" t="inlineStr">
        <is>
          <t>S3</t>
        </is>
      </c>
      <c r="N2605" s="31" t="inlineStr">
        <is>
          <t>S5</t>
        </is>
      </c>
      <c r="O2605" s="31" t="inlineStr">
        <is>
          <t>336-001-804-0</t>
        </is>
      </c>
      <c r="P2605" s="31" t="inlineStr">
        <is>
          <t>SR Technics Switzerland</t>
        </is>
      </c>
    </row>
    <row r="2606">
      <c r="B2606" s="31" t="inlineStr">
        <is>
          <t>CFM56-7B</t>
        </is>
      </c>
      <c r="C2606" s="31" t="inlineStr">
        <is>
          <t>2025-2026</t>
        </is>
      </c>
      <c r="D2606" s="31" t="inlineStr">
        <is>
          <t>139432</t>
        </is>
      </c>
      <c r="E2606" s="31" t="inlineStr">
        <is>
          <t>72-54-03</t>
        </is>
      </c>
      <c r="F2606" s="31" t="inlineStr">
        <is>
          <t>P</t>
        </is>
      </c>
      <c r="G2606" s="31" t="inlineStr">
        <is>
          <t>LPT</t>
        </is>
      </c>
      <c r="H2606" s="27" t="n">
        <v>8420</v>
      </c>
      <c r="I2606" s="27" t="n">
        <v>8930</v>
      </c>
      <c r="J2606" s="154">
        <f>I2606/H2606-1</f>
        <v/>
      </c>
      <c r="K2606" s="31" t="inlineStr">
        <is>
          <t>12</t>
        </is>
      </c>
      <c r="L2606" s="31" t="inlineStr">
        <is>
          <t>11</t>
        </is>
      </c>
      <c r="M2606" s="31" t="inlineStr">
        <is>
          <t>S3</t>
        </is>
      </c>
      <c r="N2606" s="31" t="inlineStr">
        <is>
          <t>S5</t>
        </is>
      </c>
      <c r="O2606" s="31" t="inlineStr">
        <is>
          <t>336-001-804-0</t>
        </is>
      </c>
      <c r="P2606" s="31" t="inlineStr">
        <is>
          <t>SR Technics Switzerland</t>
        </is>
      </c>
    </row>
    <row r="2607">
      <c r="B2607" s="31" t="inlineStr">
        <is>
          <t>CFM56-7B</t>
        </is>
      </c>
      <c r="C2607" s="31" t="inlineStr">
        <is>
          <t>2025-2026</t>
        </is>
      </c>
      <c r="D2607" s="31" t="inlineStr">
        <is>
          <t>139432</t>
        </is>
      </c>
      <c r="E2607" s="31" t="inlineStr">
        <is>
          <t>72-54-03</t>
        </is>
      </c>
      <c r="F2607" s="31" t="inlineStr">
        <is>
          <t>Q</t>
        </is>
      </c>
      <c r="G2607" s="31" t="inlineStr">
        <is>
          <t>LPT</t>
        </is>
      </c>
      <c r="H2607" s="27" t="n">
        <v>8420</v>
      </c>
      <c r="I2607" s="27" t="n">
        <v>8930</v>
      </c>
      <c r="J2607" s="154">
        <f>I2607/H2607-1</f>
        <v/>
      </c>
      <c r="K2607" s="31" t="inlineStr">
        <is>
          <t>12</t>
        </is>
      </c>
      <c r="L2607" s="31" t="inlineStr">
        <is>
          <t>11</t>
        </is>
      </c>
      <c r="M2607" s="31" t="inlineStr">
        <is>
          <t>S3</t>
        </is>
      </c>
      <c r="N2607" s="31" t="inlineStr">
        <is>
          <t>S5</t>
        </is>
      </c>
      <c r="O2607" s="31" t="inlineStr">
        <is>
          <t>336-001-804-0</t>
        </is>
      </c>
      <c r="P2607" s="31" t="inlineStr">
        <is>
          <t>SR Technics Switzerland</t>
        </is>
      </c>
    </row>
    <row r="2608">
      <c r="B2608" s="31" t="inlineStr">
        <is>
          <t>CFM56-7B</t>
        </is>
      </c>
      <c r="C2608" s="31" t="inlineStr">
        <is>
          <t>2025-2026</t>
        </is>
      </c>
      <c r="D2608" s="31" t="inlineStr">
        <is>
          <t>139432</t>
        </is>
      </c>
      <c r="E2608" s="31" t="inlineStr">
        <is>
          <t>72-54-03</t>
        </is>
      </c>
      <c r="F2608" s="31" t="inlineStr">
        <is>
          <t>R</t>
        </is>
      </c>
      <c r="G2608" s="31" t="inlineStr">
        <is>
          <t>LPT</t>
        </is>
      </c>
      <c r="H2608" s="27" t="n">
        <v>8420</v>
      </c>
      <c r="I2608" s="27" t="n">
        <v>8930</v>
      </c>
      <c r="J2608" s="154">
        <f>I2608/H2608-1</f>
        <v/>
      </c>
      <c r="K2608" s="31" t="inlineStr">
        <is>
          <t>12</t>
        </is>
      </c>
      <c r="L2608" s="31" t="inlineStr">
        <is>
          <t>11</t>
        </is>
      </c>
      <c r="M2608" s="31" t="inlineStr">
        <is>
          <t>S3</t>
        </is>
      </c>
      <c r="N2608" s="31" t="inlineStr">
        <is>
          <t>S5</t>
        </is>
      </c>
      <c r="O2608" s="31" t="inlineStr">
        <is>
          <t>336-001-804-0</t>
        </is>
      </c>
      <c r="P2608" s="31" t="inlineStr">
        <is>
          <t>SR Technics Switzerland</t>
        </is>
      </c>
    </row>
    <row r="2609">
      <c r="B2609" s="31" t="inlineStr">
        <is>
          <t>CFM56-7B</t>
        </is>
      </c>
      <c r="C2609" s="31" t="inlineStr">
        <is>
          <t>2025-2026</t>
        </is>
      </c>
      <c r="D2609" s="31" t="inlineStr">
        <is>
          <t>139432</t>
        </is>
      </c>
      <c r="E2609" s="31" t="inlineStr">
        <is>
          <t>72-54-03</t>
        </is>
      </c>
      <c r="F2609" s="31" t="inlineStr">
        <is>
          <t>SB00</t>
        </is>
      </c>
      <c r="G2609" s="31" t="inlineStr">
        <is>
          <t>LPT</t>
        </is>
      </c>
      <c r="H2609" s="27" t="n">
        <v>465</v>
      </c>
      <c r="I2609" s="27" t="n">
        <v>495</v>
      </c>
      <c r="J2609" s="154">
        <f>I2609/H2609-1</f>
        <v/>
      </c>
      <c r="K2609" s="31" t="inlineStr">
        <is>
          <t>12</t>
        </is>
      </c>
      <c r="L2609" s="31" t="inlineStr">
        <is>
          <t>11</t>
        </is>
      </c>
      <c r="M2609" s="31" t="inlineStr">
        <is>
          <t>S3</t>
        </is>
      </c>
      <c r="N2609" s="31" t="inlineStr">
        <is>
          <t>S5</t>
        </is>
      </c>
      <c r="O2609" s="31" t="inlineStr">
        <is>
          <t>336-001-804-0</t>
        </is>
      </c>
      <c r="P2609" s="31" t="inlineStr">
        <is>
          <t>SR Technics Switzerland</t>
        </is>
      </c>
    </row>
    <row r="2610">
      <c r="B2610" s="31" t="inlineStr">
        <is>
          <t>CFM56-7B</t>
        </is>
      </c>
      <c r="C2610" s="31" t="inlineStr">
        <is>
          <t>2025-2026</t>
        </is>
      </c>
      <c r="D2610" s="31" t="inlineStr">
        <is>
          <t>139432</t>
        </is>
      </c>
      <c r="E2610" s="31" t="inlineStr">
        <is>
          <t>72-54-03</t>
        </is>
      </c>
      <c r="F2610" s="31" t="inlineStr">
        <is>
          <t>SB01</t>
        </is>
      </c>
      <c r="G2610" s="31" t="inlineStr">
        <is>
          <t>LPT</t>
        </is>
      </c>
      <c r="H2610" s="27" t="n">
        <v>465</v>
      </c>
      <c r="I2610" s="27" t="n">
        <v>495</v>
      </c>
      <c r="J2610" s="154">
        <f>I2610/H2610-1</f>
        <v/>
      </c>
      <c r="K2610" s="31" t="inlineStr">
        <is>
          <t>12</t>
        </is>
      </c>
      <c r="L2610" s="31" t="inlineStr">
        <is>
          <t>11</t>
        </is>
      </c>
      <c r="M2610" s="31" t="inlineStr">
        <is>
          <t>S3</t>
        </is>
      </c>
      <c r="N2610" s="31" t="inlineStr">
        <is>
          <t>S5</t>
        </is>
      </c>
      <c r="O2610" s="31" t="inlineStr">
        <is>
          <t>336-001-804-0</t>
        </is>
      </c>
      <c r="P2610" s="31" t="inlineStr">
        <is>
          <t>SR Technics Switzerland</t>
        </is>
      </c>
    </row>
    <row r="2611">
      <c r="B2611" s="31" t="inlineStr">
        <is>
          <t>CFM56-7B</t>
        </is>
      </c>
      <c r="C2611" s="31" t="inlineStr">
        <is>
          <t>2025-2026</t>
        </is>
      </c>
      <c r="D2611" s="31" t="inlineStr">
        <is>
          <t>139432</t>
        </is>
      </c>
      <c r="E2611" s="31" t="inlineStr">
        <is>
          <t>72-54-03</t>
        </is>
      </c>
      <c r="F2611" s="31" t="inlineStr">
        <is>
          <t>SB02</t>
        </is>
      </c>
      <c r="G2611" s="31" t="inlineStr">
        <is>
          <t>LPT</t>
        </is>
      </c>
      <c r="H2611" s="27" t="n">
        <v>465</v>
      </c>
      <c r="I2611" s="27" t="n">
        <v>495</v>
      </c>
      <c r="J2611" s="154">
        <f>I2611/H2611-1</f>
        <v/>
      </c>
      <c r="K2611" s="31" t="inlineStr">
        <is>
          <t>12</t>
        </is>
      </c>
      <c r="L2611" s="31" t="inlineStr">
        <is>
          <t>11</t>
        </is>
      </c>
      <c r="M2611" s="31" t="inlineStr">
        <is>
          <t>S3</t>
        </is>
      </c>
      <c r="N2611" s="31" t="inlineStr">
        <is>
          <t>S5</t>
        </is>
      </c>
      <c r="O2611" s="31" t="inlineStr">
        <is>
          <t>336-001-804-0</t>
        </is>
      </c>
      <c r="P2611" s="31" t="inlineStr">
        <is>
          <t>SR Technics Switzerland</t>
        </is>
      </c>
    </row>
    <row r="2612">
      <c r="B2612" s="31" t="inlineStr">
        <is>
          <t>CFM56-7B</t>
        </is>
      </c>
      <c r="C2612" s="31" t="inlineStr">
        <is>
          <t>2025-2026</t>
        </is>
      </c>
      <c r="D2612" s="31" t="inlineStr">
        <is>
          <t>139432</t>
        </is>
      </c>
      <c r="E2612" s="31" t="inlineStr">
        <is>
          <t>72-54-03</t>
        </is>
      </c>
      <c r="F2612" s="31" t="inlineStr">
        <is>
          <t>SB03</t>
        </is>
      </c>
      <c r="G2612" s="31" t="inlineStr">
        <is>
          <t>LPT</t>
        </is>
      </c>
      <c r="H2612" s="27" t="n">
        <v>465</v>
      </c>
      <c r="I2612" s="27" t="n">
        <v>495</v>
      </c>
      <c r="J2612" s="154">
        <f>I2612/H2612-1</f>
        <v/>
      </c>
      <c r="K2612" s="31" t="inlineStr">
        <is>
          <t>12</t>
        </is>
      </c>
      <c r="L2612" s="31" t="inlineStr">
        <is>
          <t>11</t>
        </is>
      </c>
      <c r="M2612" s="31" t="inlineStr">
        <is>
          <t>S3</t>
        </is>
      </c>
      <c r="N2612" s="31" t="inlineStr">
        <is>
          <t>S5</t>
        </is>
      </c>
      <c r="O2612" s="31" t="inlineStr">
        <is>
          <t>336-001-804-0</t>
        </is>
      </c>
      <c r="P2612" s="31" t="inlineStr">
        <is>
          <t>SR Technics Switzerland</t>
        </is>
      </c>
    </row>
    <row r="2613">
      <c r="B2613" s="31" t="inlineStr">
        <is>
          <t>CFM56-7B</t>
        </is>
      </c>
      <c r="C2613" s="31" t="inlineStr">
        <is>
          <t>2025-2026</t>
        </is>
      </c>
      <c r="D2613" s="31" t="inlineStr">
        <is>
          <t>139432</t>
        </is>
      </c>
      <c r="E2613" s="31" t="inlineStr">
        <is>
          <t>72-54-03</t>
        </is>
      </c>
      <c r="F2613" s="31" t="inlineStr">
        <is>
          <t>SB04</t>
        </is>
      </c>
      <c r="G2613" s="31" t="inlineStr">
        <is>
          <t>LPT</t>
        </is>
      </c>
      <c r="H2613" s="27" t="n">
        <v>465</v>
      </c>
      <c r="I2613" s="27" t="n">
        <v>495</v>
      </c>
      <c r="J2613" s="154">
        <f>I2613/H2613-1</f>
        <v/>
      </c>
      <c r="K2613" s="31" t="inlineStr">
        <is>
          <t>12</t>
        </is>
      </c>
      <c r="L2613" s="31" t="inlineStr">
        <is>
          <t>11</t>
        </is>
      </c>
      <c r="M2613" s="31" t="inlineStr">
        <is>
          <t>S3</t>
        </is>
      </c>
      <c r="N2613" s="31" t="inlineStr">
        <is>
          <t>S5</t>
        </is>
      </c>
      <c r="O2613" s="31" t="inlineStr">
        <is>
          <t>336-001-804-0</t>
        </is>
      </c>
      <c r="P2613" s="31" t="inlineStr">
        <is>
          <t>SR Technics Switzerland</t>
        </is>
      </c>
    </row>
    <row r="2614">
      <c r="B2614" s="31" t="inlineStr">
        <is>
          <t>CFM56-7B</t>
        </is>
      </c>
      <c r="C2614" s="31" t="inlineStr">
        <is>
          <t>2025-2026</t>
        </is>
      </c>
      <c r="D2614" s="31" t="inlineStr">
        <is>
          <t>139432</t>
        </is>
      </c>
      <c r="E2614" s="31" t="inlineStr">
        <is>
          <t>72-54-03</t>
        </is>
      </c>
      <c r="F2614" s="31" t="inlineStr">
        <is>
          <t>SB06</t>
        </is>
      </c>
      <c r="G2614" s="31" t="inlineStr">
        <is>
          <t>LPT</t>
        </is>
      </c>
      <c r="H2614" s="27" t="n">
        <v>265</v>
      </c>
      <c r="I2614" s="27" t="n">
        <v>285</v>
      </c>
      <c r="J2614" s="154">
        <f>I2614/H2614-1</f>
        <v/>
      </c>
      <c r="K2614" s="31" t="inlineStr">
        <is>
          <t>12</t>
        </is>
      </c>
      <c r="L2614" s="31" t="inlineStr">
        <is>
          <t>11</t>
        </is>
      </c>
      <c r="M2614" s="31" t="inlineStr">
        <is>
          <t>S3</t>
        </is>
      </c>
      <c r="N2614" s="31" t="inlineStr">
        <is>
          <t>S5</t>
        </is>
      </c>
      <c r="O2614" s="31" t="inlineStr">
        <is>
          <t>336-001-804-0</t>
        </is>
      </c>
      <c r="P2614" s="31" t="inlineStr">
        <is>
          <t>SR Technics Switzerland</t>
        </is>
      </c>
    </row>
    <row r="2615">
      <c r="B2615" s="31" t="inlineStr">
        <is>
          <t>CFM56-7B</t>
        </is>
      </c>
      <c r="C2615" s="31" t="inlineStr">
        <is>
          <t>2025-2026</t>
        </is>
      </c>
      <c r="D2615" s="31" t="inlineStr">
        <is>
          <t>139440</t>
        </is>
      </c>
      <c r="E2615" s="31" t="inlineStr">
        <is>
          <t>72-54-06</t>
        </is>
      </c>
      <c r="F2615" s="31" t="inlineStr">
        <is>
          <t>A</t>
        </is>
      </c>
      <c r="G2615" s="31" t="inlineStr">
        <is>
          <t>LPT</t>
        </is>
      </c>
      <c r="H2615" s="27" t="n">
        <v>595</v>
      </c>
      <c r="I2615" s="27" t="n">
        <v>625</v>
      </c>
      <c r="J2615" s="154">
        <f>I2615/H2615-1</f>
        <v/>
      </c>
      <c r="K2615" s="31" t="inlineStr">
        <is>
          <t>48</t>
        </is>
      </c>
      <c r="L2615" s="31" t="inlineStr">
        <is>
          <t>47</t>
        </is>
      </c>
      <c r="M2615" s="31" t="inlineStr">
        <is>
          <t>S3</t>
        </is>
      </c>
      <c r="N2615" s="31" t="inlineStr">
        <is>
          <t>S5</t>
        </is>
      </c>
      <c r="O2615" s="31" t="inlineStr">
        <is>
          <t>336-002-203-0</t>
        </is>
      </c>
      <c r="P2615" s="31" t="inlineStr">
        <is>
          <t>SR Technics Switzerland</t>
        </is>
      </c>
    </row>
    <row r="2616">
      <c r="B2616" s="31" t="inlineStr">
        <is>
          <t>CFM56-7B</t>
        </is>
      </c>
      <c r="C2616" s="31" t="inlineStr">
        <is>
          <t>2025-2026</t>
        </is>
      </c>
      <c r="D2616" s="31" t="inlineStr">
        <is>
          <t>139440</t>
        </is>
      </c>
      <c r="E2616" s="31" t="inlineStr">
        <is>
          <t>72-54-06</t>
        </is>
      </c>
      <c r="F2616" s="31" t="inlineStr">
        <is>
          <t>AN</t>
        </is>
      </c>
      <c r="G2616" s="31" t="inlineStr">
        <is>
          <t>LPT</t>
        </is>
      </c>
      <c r="H2616" s="27" t="n">
        <v>260</v>
      </c>
      <c r="I2616" s="27" t="n">
        <v>280</v>
      </c>
      <c r="J2616" s="154">
        <f>I2616/H2616-1</f>
        <v/>
      </c>
      <c r="K2616" s="31" t="inlineStr">
        <is>
          <t>48</t>
        </is>
      </c>
      <c r="L2616" s="31" t="inlineStr">
        <is>
          <t>47</t>
        </is>
      </c>
      <c r="M2616" s="31" t="inlineStr">
        <is>
          <t>S3</t>
        </is>
      </c>
      <c r="N2616" s="31" t="inlineStr">
        <is>
          <t>S5</t>
        </is>
      </c>
      <c r="O2616" s="31" t="inlineStr">
        <is>
          <t>336-002-203-0</t>
        </is>
      </c>
      <c r="P2616" s="31" t="inlineStr">
        <is>
          <t>SR Technics Switzerland</t>
        </is>
      </c>
    </row>
    <row r="2617">
      <c r="B2617" s="31" t="inlineStr">
        <is>
          <t>CFM56-7B</t>
        </is>
      </c>
      <c r="C2617" s="31" t="inlineStr">
        <is>
          <t>2025-2026</t>
        </is>
      </c>
      <c r="D2617" s="31" t="inlineStr">
        <is>
          <t>139440</t>
        </is>
      </c>
      <c r="E2617" s="31" t="inlineStr">
        <is>
          <t>72-54-06</t>
        </is>
      </c>
      <c r="F2617" s="31" t="inlineStr">
        <is>
          <t>E</t>
        </is>
      </c>
      <c r="G2617" s="31" t="inlineStr">
        <is>
          <t>LPT</t>
        </is>
      </c>
      <c r="H2617" s="27" t="n">
        <v>1045</v>
      </c>
      <c r="I2617" s="27" t="n">
        <v>1110</v>
      </c>
      <c r="J2617" s="154">
        <f>I2617/H2617-1</f>
        <v/>
      </c>
      <c r="K2617" s="31" t="inlineStr">
        <is>
          <t>48</t>
        </is>
      </c>
      <c r="L2617" s="31" t="inlineStr">
        <is>
          <t>47</t>
        </is>
      </c>
      <c r="M2617" s="31" t="inlineStr">
        <is>
          <t>S3</t>
        </is>
      </c>
      <c r="N2617" s="31" t="inlineStr">
        <is>
          <t>S5</t>
        </is>
      </c>
      <c r="O2617" s="31" t="inlineStr">
        <is>
          <t>336-002-203-0</t>
        </is>
      </c>
      <c r="P2617" s="31" t="inlineStr">
        <is>
          <t>SR Technics Switzerland</t>
        </is>
      </c>
    </row>
    <row r="2618">
      <c r="B2618" s="31" t="inlineStr">
        <is>
          <t>CFM56-7B</t>
        </is>
      </c>
      <c r="C2618" s="31" t="inlineStr">
        <is>
          <t>2025-2026</t>
        </is>
      </c>
      <c r="D2618" s="31" t="inlineStr">
        <is>
          <t>139440</t>
        </is>
      </c>
      <c r="E2618" s="31" t="inlineStr">
        <is>
          <t>72-54-06</t>
        </is>
      </c>
      <c r="F2618" s="31" t="inlineStr">
        <is>
          <t>J</t>
        </is>
      </c>
      <c r="G2618" s="31" t="inlineStr">
        <is>
          <t>LPT</t>
        </is>
      </c>
      <c r="H2618" s="27" t="n">
        <v>4000</v>
      </c>
      <c r="I2618" s="27" t="n">
        <v>4240</v>
      </c>
      <c r="J2618" s="154">
        <f>I2618/H2618-1</f>
        <v/>
      </c>
      <c r="K2618" s="31" t="inlineStr">
        <is>
          <t>48</t>
        </is>
      </c>
      <c r="L2618" s="31" t="inlineStr">
        <is>
          <t>47</t>
        </is>
      </c>
      <c r="M2618" s="31" t="inlineStr">
        <is>
          <t>S3</t>
        </is>
      </c>
      <c r="N2618" s="31" t="inlineStr">
        <is>
          <t>S5</t>
        </is>
      </c>
      <c r="O2618" s="31" t="inlineStr">
        <is>
          <t>336-002-203-0</t>
        </is>
      </c>
      <c r="P2618" s="31" t="inlineStr">
        <is>
          <t>SR Technics Switzerland</t>
        </is>
      </c>
    </row>
    <row r="2619">
      <c r="B2619" s="31" t="inlineStr">
        <is>
          <t>CFM56-7B</t>
        </is>
      </c>
      <c r="C2619" s="31" t="inlineStr">
        <is>
          <t>2025-2026</t>
        </is>
      </c>
      <c r="D2619" s="31" t="inlineStr">
        <is>
          <t>139443</t>
        </is>
      </c>
      <c r="E2619" s="31" t="inlineStr">
        <is>
          <t>72-54-17</t>
        </is>
      </c>
      <c r="F2619" s="31" t="inlineStr">
        <is>
          <t>A</t>
        </is>
      </c>
      <c r="G2619" s="31" t="inlineStr">
        <is>
          <t>LPT</t>
        </is>
      </c>
      <c r="H2619" s="27" t="n">
        <v>880</v>
      </c>
      <c r="I2619" s="27" t="n">
        <v>925</v>
      </c>
      <c r="J2619" s="154">
        <f>I2619/H2619-1</f>
        <v/>
      </c>
      <c r="K2619" s="31" t="inlineStr">
        <is>
          <t>12</t>
        </is>
      </c>
      <c r="L2619" s="31" t="inlineStr">
        <is>
          <t>11</t>
        </is>
      </c>
      <c r="M2619" s="31" t="inlineStr">
        <is>
          <t>S3</t>
        </is>
      </c>
      <c r="N2619" s="31" t="inlineStr">
        <is>
          <t>S5</t>
        </is>
      </c>
      <c r="O2619" s="31" t="inlineStr">
        <is>
          <t>336-013-101-0</t>
        </is>
      </c>
      <c r="P2619" s="31" t="inlineStr">
        <is>
          <t>SR Technics Switzerland</t>
        </is>
      </c>
    </row>
    <row r="2620">
      <c r="B2620" s="31" t="inlineStr">
        <is>
          <t>CFM56-7B</t>
        </is>
      </c>
      <c r="C2620" s="31" t="inlineStr">
        <is>
          <t>2025-2026</t>
        </is>
      </c>
      <c r="D2620" s="31" t="inlineStr">
        <is>
          <t>139443</t>
        </is>
      </c>
      <c r="E2620" s="31" t="inlineStr">
        <is>
          <t>72-54-17</t>
        </is>
      </c>
      <c r="F2620" s="31" t="inlineStr">
        <is>
          <t>B</t>
        </is>
      </c>
      <c r="G2620" s="31" t="inlineStr">
        <is>
          <t>LPT</t>
        </is>
      </c>
      <c r="H2620" s="27" t="n">
        <v>2665</v>
      </c>
      <c r="I2620" s="27" t="n">
        <v>2825</v>
      </c>
      <c r="J2620" s="154">
        <f>I2620/H2620-1</f>
        <v/>
      </c>
      <c r="K2620" s="31" t="inlineStr">
        <is>
          <t>12</t>
        </is>
      </c>
      <c r="L2620" s="31" t="inlineStr">
        <is>
          <t>11</t>
        </is>
      </c>
      <c r="M2620" s="31" t="inlineStr">
        <is>
          <t>S3</t>
        </is>
      </c>
      <c r="N2620" s="31" t="inlineStr">
        <is>
          <t>S5</t>
        </is>
      </c>
      <c r="O2620" s="31" t="inlineStr">
        <is>
          <t>336-013-101-0</t>
        </is>
      </c>
      <c r="P2620" s="31" t="inlineStr">
        <is>
          <t>SR Technics Switzerland</t>
        </is>
      </c>
    </row>
    <row r="2621">
      <c r="B2621" s="31" t="inlineStr">
        <is>
          <t>CFM56-7B</t>
        </is>
      </c>
      <c r="C2621" s="31" t="inlineStr">
        <is>
          <t>2025-2026</t>
        </is>
      </c>
      <c r="D2621" s="31" t="inlineStr">
        <is>
          <t>139443</t>
        </is>
      </c>
      <c r="E2621" s="31" t="inlineStr">
        <is>
          <t>72-54-17</t>
        </is>
      </c>
      <c r="F2621" s="31" t="inlineStr">
        <is>
          <t>C</t>
        </is>
      </c>
      <c r="G2621" s="31" t="inlineStr">
        <is>
          <t>LPT</t>
        </is>
      </c>
      <c r="H2621" s="27" t="n">
        <v>2675</v>
      </c>
      <c r="I2621" s="27" t="n">
        <v>2840</v>
      </c>
      <c r="J2621" s="154">
        <f>I2621/H2621-1</f>
        <v/>
      </c>
      <c r="K2621" s="31" t="inlineStr">
        <is>
          <t>12</t>
        </is>
      </c>
      <c r="L2621" s="31" t="inlineStr">
        <is>
          <t>11</t>
        </is>
      </c>
      <c r="M2621" s="31" t="inlineStr">
        <is>
          <t>S3</t>
        </is>
      </c>
      <c r="N2621" s="31" t="inlineStr">
        <is>
          <t>S5</t>
        </is>
      </c>
      <c r="O2621" s="31" t="inlineStr">
        <is>
          <t>336-013-101-0</t>
        </is>
      </c>
      <c r="P2621" s="31" t="inlineStr">
        <is>
          <t>SR Technics Switzerland</t>
        </is>
      </c>
    </row>
    <row r="2622">
      <c r="B2622" s="31" t="inlineStr">
        <is>
          <t>CFM56-7B</t>
        </is>
      </c>
      <c r="C2622" s="31" t="inlineStr">
        <is>
          <t>2025-2026</t>
        </is>
      </c>
      <c r="D2622" s="31" t="inlineStr">
        <is>
          <t>139448</t>
        </is>
      </c>
      <c r="E2622" s="31" t="inlineStr">
        <is>
          <t>72-54-01</t>
        </is>
      </c>
      <c r="F2622" s="31" t="inlineStr">
        <is>
          <t>C</t>
        </is>
      </c>
      <c r="G2622" s="31" t="inlineStr">
        <is>
          <t>LPT</t>
        </is>
      </c>
      <c r="H2622" s="27" t="n">
        <v>145</v>
      </c>
      <c r="I2622" s="27" t="n">
        <v>160</v>
      </c>
      <c r="J2622" s="154">
        <f>I2622/H2622-1</f>
        <v/>
      </c>
      <c r="K2622" s="31" t="inlineStr">
        <is>
          <t>12</t>
        </is>
      </c>
      <c r="L2622" s="31" t="inlineStr">
        <is>
          <t>11</t>
        </is>
      </c>
      <c r="M2622" s="31" t="inlineStr">
        <is>
          <t>S3</t>
        </is>
      </c>
      <c r="N2622" s="31" t="inlineStr">
        <is>
          <t>S5</t>
        </is>
      </c>
      <c r="O2622" s="31" t="inlineStr">
        <is>
          <t>338-000-405-0</t>
        </is>
      </c>
      <c r="P2622" s="31" t="inlineStr">
        <is>
          <t>SRTAS</t>
        </is>
      </c>
    </row>
    <row r="2623">
      <c r="B2623" s="31" t="inlineStr">
        <is>
          <t>CFM56-7B</t>
        </is>
      </c>
      <c r="C2623" s="31" t="inlineStr">
        <is>
          <t>2025-2026</t>
        </is>
      </c>
      <c r="D2623" s="31" t="inlineStr">
        <is>
          <t>139485</t>
        </is>
      </c>
      <c r="E2623" s="31" t="inlineStr">
        <is>
          <t>72-09-02</t>
        </is>
      </c>
      <c r="F2623" s="31" t="inlineStr">
        <is>
          <t>A</t>
        </is>
      </c>
      <c r="G2623" s="31" t="inlineStr">
        <is>
          <t>Other / assembly</t>
        </is>
      </c>
      <c r="H2623" s="27" t="n">
        <v>460</v>
      </c>
      <c r="I2623" s="27" t="n">
        <v>485</v>
      </c>
      <c r="J2623" s="154">
        <f>I2623/H2623-1</f>
        <v/>
      </c>
      <c r="K2623" s="31" t="inlineStr">
        <is>
          <t>48</t>
        </is>
      </c>
      <c r="L2623" s="31" t="inlineStr">
        <is>
          <t>47</t>
        </is>
      </c>
      <c r="M2623" s="31" t="inlineStr">
        <is>
          <t>S3</t>
        </is>
      </c>
      <c r="N2623" s="31" t="inlineStr">
        <is>
          <t>S5</t>
        </is>
      </c>
      <c r="O2623" s="31" t="inlineStr">
        <is>
          <t>1585M80G01</t>
        </is>
      </c>
      <c r="P2623" s="31" t="inlineStr">
        <is>
          <t>SR Technics Switzerland</t>
        </is>
      </c>
    </row>
    <row r="2624">
      <c r="B2624" s="31" t="inlineStr">
        <is>
          <t>CFM56-7B</t>
        </is>
      </c>
      <c r="C2624" s="31" t="inlineStr">
        <is>
          <t>2025-2026</t>
        </is>
      </c>
      <c r="D2624" s="31" t="inlineStr">
        <is>
          <t>139490</t>
        </is>
      </c>
      <c r="E2624" s="31" t="inlineStr">
        <is>
          <t>72-54-02</t>
        </is>
      </c>
      <c r="F2624" s="31" t="inlineStr">
        <is>
          <t>C</t>
        </is>
      </c>
      <c r="G2624" s="31" t="inlineStr">
        <is>
          <t>LPT</t>
        </is>
      </c>
      <c r="H2624" s="27" t="n">
        <v>295</v>
      </c>
      <c r="I2624" s="27" t="n">
        <v>330</v>
      </c>
      <c r="J2624" s="154">
        <f>I2624/H2624-1</f>
        <v/>
      </c>
      <c r="K2624" s="31" t="inlineStr">
        <is>
          <t>13</t>
        </is>
      </c>
      <c r="L2624" s="31" t="inlineStr">
        <is>
          <t>12</t>
        </is>
      </c>
      <c r="M2624" s="31" t="inlineStr">
        <is>
          <t>S3</t>
        </is>
      </c>
      <c r="N2624" s="31" t="inlineStr">
        <is>
          <t>S5</t>
        </is>
      </c>
      <c r="O2624" s="31" t="inlineStr">
        <is>
          <t>338-075-801-0</t>
        </is>
      </c>
      <c r="P2624" s="31" t="inlineStr">
        <is>
          <t>SRTAS</t>
        </is>
      </c>
    </row>
    <row r="2625">
      <c r="B2625" s="31" t="inlineStr">
        <is>
          <t>CFM56-7B</t>
        </is>
      </c>
      <c r="C2625" s="31" t="inlineStr">
        <is>
          <t>2025-2026</t>
        </is>
      </c>
      <c r="D2625" s="31" t="inlineStr">
        <is>
          <t>139490</t>
        </is>
      </c>
      <c r="E2625" s="31" t="inlineStr">
        <is>
          <t>72-54-02</t>
        </is>
      </c>
      <c r="F2625" s="31" t="inlineStr">
        <is>
          <t>D</t>
        </is>
      </c>
      <c r="G2625" s="31" t="inlineStr">
        <is>
          <t>LPT</t>
        </is>
      </c>
      <c r="H2625" s="27" t="n">
        <v>305</v>
      </c>
      <c r="I2625" s="27" t="n">
        <v>330</v>
      </c>
      <c r="J2625" s="154">
        <f>I2625/H2625-1</f>
        <v/>
      </c>
      <c r="K2625" s="31" t="inlineStr">
        <is>
          <t>13</t>
        </is>
      </c>
      <c r="L2625" s="31" t="inlineStr">
        <is>
          <t>12</t>
        </is>
      </c>
      <c r="M2625" s="31" t="inlineStr">
        <is>
          <t>S3</t>
        </is>
      </c>
      <c r="N2625" s="31" t="inlineStr">
        <is>
          <t>S5</t>
        </is>
      </c>
      <c r="O2625" s="31" t="inlineStr">
        <is>
          <t>338-075-801-0</t>
        </is>
      </c>
      <c r="P2625" s="31" t="inlineStr">
        <is>
          <t>SRTAS</t>
        </is>
      </c>
    </row>
    <row r="2626">
      <c r="B2626" s="31" t="inlineStr">
        <is>
          <t>CFM56-7B</t>
        </is>
      </c>
      <c r="C2626" s="31" t="inlineStr">
        <is>
          <t>2025-2026</t>
        </is>
      </c>
      <c r="D2626" s="31" t="inlineStr">
        <is>
          <t>139490</t>
        </is>
      </c>
      <c r="E2626" s="31" t="inlineStr">
        <is>
          <t>72-54-02</t>
        </is>
      </c>
      <c r="F2626" s="31" t="inlineStr">
        <is>
          <t>M</t>
        </is>
      </c>
      <c r="G2626" s="31" t="inlineStr">
        <is>
          <t>LPT</t>
        </is>
      </c>
      <c r="H2626" s="27" t="n">
        <v>360</v>
      </c>
      <c r="I2626" s="27" t="n">
        <v>390</v>
      </c>
      <c r="J2626" s="154">
        <f>I2626/H2626-1</f>
        <v/>
      </c>
      <c r="K2626" s="31" t="inlineStr">
        <is>
          <t>13</t>
        </is>
      </c>
      <c r="L2626" s="31" t="inlineStr">
        <is>
          <t>12, 13</t>
        </is>
      </c>
      <c r="M2626" s="31" t="inlineStr">
        <is>
          <t>S3</t>
        </is>
      </c>
      <c r="N2626" s="31" t="inlineStr">
        <is>
          <t>S5</t>
        </is>
      </c>
      <c r="O2626" s="31" t="inlineStr">
        <is>
          <t>338-075-801-0</t>
        </is>
      </c>
      <c r="P2626" s="31" t="inlineStr">
        <is>
          <t>SRTAS</t>
        </is>
      </c>
    </row>
    <row r="2627">
      <c r="B2627" s="31" t="inlineStr">
        <is>
          <t>CFM56-7B</t>
        </is>
      </c>
      <c r="C2627" s="31" t="inlineStr">
        <is>
          <t>2025-2026</t>
        </is>
      </c>
      <c r="D2627" s="31" t="inlineStr">
        <is>
          <t>139490</t>
        </is>
      </c>
      <c r="E2627" s="31" t="inlineStr">
        <is>
          <t>72-54-02</t>
        </is>
      </c>
      <c r="F2627" s="31" t="inlineStr">
        <is>
          <t>O</t>
        </is>
      </c>
      <c r="G2627" s="31" t="inlineStr">
        <is>
          <t>LPT</t>
        </is>
      </c>
      <c r="H2627" s="27" t="n">
        <v>360</v>
      </c>
      <c r="I2627" s="27" t="n">
        <v>390</v>
      </c>
      <c r="J2627" s="154">
        <f>I2627/H2627-1</f>
        <v/>
      </c>
      <c r="K2627" s="31" t="inlineStr">
        <is>
          <t>13, 14</t>
        </is>
      </c>
      <c r="L2627" s="31" t="inlineStr">
        <is>
          <t>13</t>
        </is>
      </c>
      <c r="M2627" s="31" t="inlineStr">
        <is>
          <t>S3</t>
        </is>
      </c>
      <c r="N2627" s="31" t="inlineStr">
        <is>
          <t>S5</t>
        </is>
      </c>
      <c r="O2627" s="31" t="inlineStr">
        <is>
          <t>338-075-801-0</t>
        </is>
      </c>
      <c r="P2627" s="31" t="inlineStr">
        <is>
          <t>SRTAS</t>
        </is>
      </c>
    </row>
    <row r="2628">
      <c r="B2628" s="31" t="inlineStr">
        <is>
          <t>CFM56-7B</t>
        </is>
      </c>
      <c r="C2628" s="31" t="inlineStr">
        <is>
          <t>2025-2026</t>
        </is>
      </c>
      <c r="D2628" s="31" t="inlineStr">
        <is>
          <t>139515</t>
        </is>
      </c>
      <c r="E2628" s="31" t="inlineStr">
        <is>
          <t>72-61-02</t>
        </is>
      </c>
      <c r="F2628" s="31" t="inlineStr">
        <is>
          <t>B</t>
        </is>
      </c>
      <c r="G2628" s="31" t="inlineStr">
        <is>
          <t>Gearbox</t>
        </is>
      </c>
      <c r="H2628" s="27" t="n">
        <v>3040</v>
      </c>
      <c r="I2628" s="27" t="n">
        <v>3225</v>
      </c>
      <c r="J2628" s="154">
        <f>I2628/H2628-1</f>
        <v/>
      </c>
      <c r="K2628" s="31" t="inlineStr">
        <is>
          <t>14</t>
        </is>
      </c>
      <c r="L2628" s="31" t="inlineStr">
        <is>
          <t>13</t>
        </is>
      </c>
      <c r="M2628" s="31" t="inlineStr">
        <is>
          <t>S3</t>
        </is>
      </c>
      <c r="N2628" s="31" t="inlineStr">
        <is>
          <t>S5</t>
        </is>
      </c>
      <c r="O2628" s="31" t="inlineStr">
        <is>
          <t>9542M67P01</t>
        </is>
      </c>
      <c r="P2628" s="31" t="inlineStr">
        <is>
          <t>SR Technics Switzerland</t>
        </is>
      </c>
    </row>
    <row r="2629">
      <c r="B2629" s="31" t="inlineStr">
        <is>
          <t>CFM56-7B</t>
        </is>
      </c>
      <c r="C2629" s="31" t="inlineStr">
        <is>
          <t>2025-2026</t>
        </is>
      </c>
      <c r="D2629" s="31" t="inlineStr">
        <is>
          <t>139515</t>
        </is>
      </c>
      <c r="E2629" s="31" t="inlineStr">
        <is>
          <t>72-61-02</t>
        </is>
      </c>
      <c r="F2629" s="31" t="inlineStr">
        <is>
          <t>C</t>
        </is>
      </c>
      <c r="G2629" s="31" t="inlineStr">
        <is>
          <t>Gearbox</t>
        </is>
      </c>
      <c r="H2629" s="27" t="n">
        <v>3040</v>
      </c>
      <c r="I2629" s="27" t="n">
        <v>3225</v>
      </c>
      <c r="J2629" s="154">
        <f>I2629/H2629-1</f>
        <v/>
      </c>
      <c r="K2629" s="31" t="inlineStr">
        <is>
          <t>14</t>
        </is>
      </c>
      <c r="L2629" s="31" t="inlineStr">
        <is>
          <t>13</t>
        </is>
      </c>
      <c r="M2629" s="31" t="inlineStr">
        <is>
          <t>S3</t>
        </is>
      </c>
      <c r="N2629" s="31" t="inlineStr">
        <is>
          <t>S5</t>
        </is>
      </c>
      <c r="O2629" s="31" t="inlineStr">
        <is>
          <t>9542M67P01</t>
        </is>
      </c>
      <c r="P2629" s="31" t="inlineStr">
        <is>
          <t>SR Technics Switzerland</t>
        </is>
      </c>
    </row>
    <row r="2630">
      <c r="B2630" s="31" t="inlineStr">
        <is>
          <t>CFM56-7B</t>
        </is>
      </c>
      <c r="C2630" s="31" t="inlineStr">
        <is>
          <t>2025-2026</t>
        </is>
      </c>
      <c r="D2630" s="31" t="inlineStr">
        <is>
          <t>139515</t>
        </is>
      </c>
      <c r="E2630" s="31" t="inlineStr">
        <is>
          <t>72-61-02</t>
        </is>
      </c>
      <c r="F2630" s="31" t="inlineStr">
        <is>
          <t>D</t>
        </is>
      </c>
      <c r="G2630" s="31" t="inlineStr">
        <is>
          <t>Gearbox</t>
        </is>
      </c>
      <c r="H2630" s="27" t="n">
        <v>3040</v>
      </c>
      <c r="I2630" s="27" t="n">
        <v>3225</v>
      </c>
      <c r="J2630" s="154">
        <f>I2630/H2630-1</f>
        <v/>
      </c>
      <c r="K2630" s="31" t="inlineStr">
        <is>
          <t>14</t>
        </is>
      </c>
      <c r="L2630" s="31" t="inlineStr">
        <is>
          <t>13</t>
        </is>
      </c>
      <c r="M2630" s="31" t="inlineStr">
        <is>
          <t>S3</t>
        </is>
      </c>
      <c r="N2630" s="31" t="inlineStr">
        <is>
          <t>S5</t>
        </is>
      </c>
      <c r="O2630" s="31" t="inlineStr">
        <is>
          <t>9542M67P01</t>
        </is>
      </c>
      <c r="P2630" s="31" t="inlineStr">
        <is>
          <t>SR Technics Switzerland</t>
        </is>
      </c>
    </row>
    <row r="2631">
      <c r="B2631" s="31" t="inlineStr">
        <is>
          <t>CFM56-7B</t>
        </is>
      </c>
      <c r="C2631" s="31" t="inlineStr">
        <is>
          <t>2025-2026</t>
        </is>
      </c>
      <c r="D2631" s="31" t="inlineStr">
        <is>
          <t>139515</t>
        </is>
      </c>
      <c r="E2631" s="31" t="inlineStr">
        <is>
          <t>72-61-02</t>
        </is>
      </c>
      <c r="F2631" s="31" t="inlineStr">
        <is>
          <t>E</t>
        </is>
      </c>
      <c r="G2631" s="31" t="inlineStr">
        <is>
          <t>Gearbox</t>
        </is>
      </c>
      <c r="H2631" s="27" t="n">
        <v>3040</v>
      </c>
      <c r="I2631" s="27" t="n">
        <v>3225</v>
      </c>
      <c r="J2631" s="154">
        <f>I2631/H2631-1</f>
        <v/>
      </c>
      <c r="K2631" s="31" t="inlineStr">
        <is>
          <t>14</t>
        </is>
      </c>
      <c r="L2631" s="31" t="inlineStr">
        <is>
          <t>13</t>
        </is>
      </c>
      <c r="M2631" s="31" t="inlineStr">
        <is>
          <t>S3</t>
        </is>
      </c>
      <c r="N2631" s="31" t="inlineStr">
        <is>
          <t>S5</t>
        </is>
      </c>
      <c r="O2631" s="31" t="inlineStr">
        <is>
          <t>9542M67P01</t>
        </is>
      </c>
      <c r="P2631" s="31" t="inlineStr">
        <is>
          <t>SR Technics Switzerland</t>
        </is>
      </c>
    </row>
    <row r="2632">
      <c r="B2632" s="31" t="inlineStr">
        <is>
          <t>CFM56-7B</t>
        </is>
      </c>
      <c r="C2632" s="31" t="inlineStr">
        <is>
          <t>2025-2026</t>
        </is>
      </c>
      <c r="D2632" s="31" t="inlineStr">
        <is>
          <t>139515</t>
        </is>
      </c>
      <c r="E2632" s="31" t="inlineStr">
        <is>
          <t>72-61-02</t>
        </is>
      </c>
      <c r="F2632" s="31" t="inlineStr">
        <is>
          <t>F</t>
        </is>
      </c>
      <c r="G2632" s="31" t="inlineStr">
        <is>
          <t>Gearbox</t>
        </is>
      </c>
      <c r="H2632" s="27" t="n">
        <v>1085</v>
      </c>
      <c r="I2632" s="27" t="n">
        <v>1155</v>
      </c>
      <c r="J2632" s="154">
        <f>I2632/H2632-1</f>
        <v/>
      </c>
      <c r="K2632" s="31" t="inlineStr">
        <is>
          <t>14</t>
        </is>
      </c>
      <c r="L2632" s="31" t="inlineStr">
        <is>
          <t>13</t>
        </is>
      </c>
      <c r="M2632" s="31" t="inlineStr">
        <is>
          <t>S3</t>
        </is>
      </c>
      <c r="N2632" s="31" t="inlineStr">
        <is>
          <t>S5</t>
        </is>
      </c>
      <c r="O2632" s="31" t="inlineStr">
        <is>
          <t>9542M67P01</t>
        </is>
      </c>
      <c r="P2632" s="31" t="inlineStr">
        <is>
          <t>SR Technics Switzerland</t>
        </is>
      </c>
    </row>
    <row r="2633">
      <c r="B2633" s="31" t="inlineStr">
        <is>
          <t>CFM56-7B</t>
        </is>
      </c>
      <c r="C2633" s="31" t="inlineStr">
        <is>
          <t>2025-2026</t>
        </is>
      </c>
      <c r="D2633" s="31" t="inlineStr">
        <is>
          <t>139517</t>
        </is>
      </c>
      <c r="E2633" s="31" t="inlineStr">
        <is>
          <t>72-61-03</t>
        </is>
      </c>
      <c r="F2633" s="31" t="inlineStr">
        <is>
          <t>B</t>
        </is>
      </c>
      <c r="G2633" s="31" t="inlineStr">
        <is>
          <t>Gearbox</t>
        </is>
      </c>
      <c r="H2633" s="27" t="n">
        <v>1305</v>
      </c>
      <c r="I2633" s="27" t="n">
        <v>1385</v>
      </c>
      <c r="J2633" s="154">
        <f>I2633/H2633-1</f>
        <v/>
      </c>
      <c r="K2633" s="31" t="inlineStr">
        <is>
          <t>14</t>
        </is>
      </c>
      <c r="L2633" s="31" t="inlineStr">
        <is>
          <t>13</t>
        </is>
      </c>
      <c r="M2633" s="31" t="inlineStr">
        <is>
          <t>S3</t>
        </is>
      </c>
      <c r="N2633" s="31" t="inlineStr">
        <is>
          <t>S5</t>
        </is>
      </c>
      <c r="O2633" s="31" t="inlineStr">
        <is>
          <t>9972M31G03</t>
        </is>
      </c>
      <c r="P2633" s="31" t="inlineStr">
        <is>
          <t>SR Technics Switzerland</t>
        </is>
      </c>
    </row>
    <row r="2634">
      <c r="B2634" s="31" t="inlineStr">
        <is>
          <t>CFM56-7B</t>
        </is>
      </c>
      <c r="C2634" s="31" t="inlineStr">
        <is>
          <t>2025-2026</t>
        </is>
      </c>
      <c r="D2634" s="31" t="inlineStr">
        <is>
          <t>139520</t>
        </is>
      </c>
      <c r="E2634" s="31" t="inlineStr">
        <is>
          <t>72-61-07</t>
        </is>
      </c>
      <c r="F2634" s="31" t="inlineStr">
        <is>
          <t>B</t>
        </is>
      </c>
      <c r="G2634" s="31" t="inlineStr">
        <is>
          <t>Gearbox</t>
        </is>
      </c>
      <c r="H2634" s="27" t="n">
        <v>1120</v>
      </c>
      <c r="I2634" s="27" t="n">
        <v>1190</v>
      </c>
      <c r="J2634" s="154">
        <f>I2634/H2634-1</f>
        <v/>
      </c>
      <c r="K2634" s="31" t="inlineStr">
        <is>
          <t>14</t>
        </is>
      </c>
      <c r="L2634" s="31" t="inlineStr">
        <is>
          <t>13</t>
        </is>
      </c>
      <c r="M2634" s="31" t="inlineStr">
        <is>
          <t>S3</t>
        </is>
      </c>
      <c r="N2634" s="31" t="inlineStr">
        <is>
          <t>S5</t>
        </is>
      </c>
      <c r="O2634" s="31" t="inlineStr">
        <is>
          <t>9972M49G02</t>
        </is>
      </c>
      <c r="P2634" s="31" t="inlineStr">
        <is>
          <t>SR Technics Switzerland</t>
        </is>
      </c>
    </row>
    <row r="2635">
      <c r="B2635" s="31" t="inlineStr">
        <is>
          <t>CFM56-7B</t>
        </is>
      </c>
      <c r="C2635" s="31" t="inlineStr">
        <is>
          <t>2025-2026</t>
        </is>
      </c>
      <c r="D2635" s="31" t="inlineStr">
        <is>
          <t>139520</t>
        </is>
      </c>
      <c r="E2635" s="31" t="inlineStr">
        <is>
          <t>72-61-07</t>
        </is>
      </c>
      <c r="F2635" s="31" t="inlineStr">
        <is>
          <t>SB00</t>
        </is>
      </c>
      <c r="G2635" s="31" t="inlineStr">
        <is>
          <t>Gearbox</t>
        </is>
      </c>
      <c r="H2635" s="27" t="n">
        <v>495</v>
      </c>
      <c r="I2635" s="27" t="n">
        <v>525</v>
      </c>
      <c r="J2635" s="154">
        <f>I2635/H2635-1</f>
        <v/>
      </c>
      <c r="K2635" s="31" t="inlineStr">
        <is>
          <t>14</t>
        </is>
      </c>
      <c r="L2635" s="31" t="inlineStr">
        <is>
          <t>13</t>
        </is>
      </c>
      <c r="M2635" s="31" t="inlineStr">
        <is>
          <t>S3</t>
        </is>
      </c>
      <c r="N2635" s="31" t="inlineStr">
        <is>
          <t>S5</t>
        </is>
      </c>
      <c r="O2635" s="31" t="inlineStr">
        <is>
          <t>9972M49G02</t>
        </is>
      </c>
      <c r="P2635" s="31" t="inlineStr">
        <is>
          <t>SR Technics Switzerland</t>
        </is>
      </c>
    </row>
    <row r="2636">
      <c r="B2636" s="31" t="inlineStr">
        <is>
          <t>CFM56-7B</t>
        </is>
      </c>
      <c r="C2636" s="31" t="inlineStr">
        <is>
          <t>2025-2026</t>
        </is>
      </c>
      <c r="D2636" s="31" t="inlineStr">
        <is>
          <t>139541</t>
        </is>
      </c>
      <c r="E2636" s="31" t="inlineStr">
        <is>
          <t>72-31-06</t>
        </is>
      </c>
      <c r="F2636" s="31" t="inlineStr">
        <is>
          <t>E</t>
        </is>
      </c>
      <c r="G2636" s="31" t="inlineStr">
        <is>
          <t>Compressor</t>
        </is>
      </c>
      <c r="H2636" s="27" t="n">
        <v>7520</v>
      </c>
      <c r="I2636" s="27" t="n">
        <v>7975</v>
      </c>
      <c r="J2636" s="154">
        <f>I2636/H2636-1</f>
        <v/>
      </c>
      <c r="K2636" s="31" t="inlineStr">
        <is>
          <t>14</t>
        </is>
      </c>
      <c r="L2636" s="31" t="inlineStr">
        <is>
          <t>13</t>
        </is>
      </c>
      <c r="M2636" s="31" t="inlineStr">
        <is>
          <t>S3</t>
        </is>
      </c>
      <c r="N2636" s="31" t="inlineStr">
        <is>
          <t>S5</t>
        </is>
      </c>
      <c r="O2636" s="31" t="inlineStr">
        <is>
          <t>1588M89G02</t>
        </is>
      </c>
      <c r="P2636" s="31" t="inlineStr">
        <is>
          <t>SR Technics Switzerland</t>
        </is>
      </c>
    </row>
    <row r="2637">
      <c r="B2637" s="31" t="inlineStr">
        <is>
          <t>CFM56-7B</t>
        </is>
      </c>
      <c r="C2637" s="31" t="inlineStr">
        <is>
          <t>2025-2026</t>
        </is>
      </c>
      <c r="D2637" s="31" t="inlineStr">
        <is>
          <t>139541</t>
        </is>
      </c>
      <c r="E2637" s="31" t="inlineStr">
        <is>
          <t>72-31-06</t>
        </is>
      </c>
      <c r="F2637" s="31" t="inlineStr">
        <is>
          <t>G</t>
        </is>
      </c>
      <c r="G2637" s="31" t="inlineStr">
        <is>
          <t>Compressor</t>
        </is>
      </c>
      <c r="H2637" s="27" t="n">
        <v>4115</v>
      </c>
      <c r="I2637" s="27" t="n">
        <v>4365</v>
      </c>
      <c r="J2637" s="154">
        <f>I2637/H2637-1</f>
        <v/>
      </c>
      <c r="K2637" s="31" t="inlineStr">
        <is>
          <t>14</t>
        </is>
      </c>
      <c r="L2637" s="31" t="inlineStr">
        <is>
          <t>13</t>
        </is>
      </c>
      <c r="M2637" s="31" t="inlineStr">
        <is>
          <t>S3</t>
        </is>
      </c>
      <c r="N2637" s="31" t="inlineStr">
        <is>
          <t>S5</t>
        </is>
      </c>
      <c r="O2637" s="31" t="inlineStr">
        <is>
          <t>1588M89G02</t>
        </is>
      </c>
      <c r="P2637" s="31" t="inlineStr">
        <is>
          <t>SR Technics Switzerland</t>
        </is>
      </c>
    </row>
    <row r="2638">
      <c r="B2638" s="31" t="inlineStr">
        <is>
          <t>CFM56-7B</t>
        </is>
      </c>
      <c r="C2638" s="31" t="inlineStr">
        <is>
          <t>2025-2026</t>
        </is>
      </c>
      <c r="D2638" s="31" t="inlineStr">
        <is>
          <t>139541</t>
        </is>
      </c>
      <c r="E2638" s="31" t="inlineStr">
        <is>
          <t>72-31-06</t>
        </is>
      </c>
      <c r="F2638" s="31" t="inlineStr">
        <is>
          <t>I</t>
        </is>
      </c>
      <c r="G2638" s="31" t="inlineStr">
        <is>
          <t>Compressor</t>
        </is>
      </c>
      <c r="H2638" s="27" t="n">
        <v>5475</v>
      </c>
      <c r="I2638" s="27" t="n">
        <v>5805</v>
      </c>
      <c r="J2638" s="154">
        <f>I2638/H2638-1</f>
        <v/>
      </c>
      <c r="K2638" s="31" t="inlineStr">
        <is>
          <t>14</t>
        </is>
      </c>
      <c r="L2638" s="31" t="inlineStr">
        <is>
          <t>13</t>
        </is>
      </c>
      <c r="M2638" s="31" t="inlineStr">
        <is>
          <t>S3</t>
        </is>
      </c>
      <c r="N2638" s="31" t="inlineStr">
        <is>
          <t>S5</t>
        </is>
      </c>
      <c r="O2638" s="31" t="inlineStr">
        <is>
          <t>1588M89G02</t>
        </is>
      </c>
      <c r="P2638" s="31" t="inlineStr">
        <is>
          <t>SR Technics Switzerland</t>
        </is>
      </c>
    </row>
    <row r="2639">
      <c r="B2639" s="31" t="inlineStr">
        <is>
          <t>CFM56-7B</t>
        </is>
      </c>
      <c r="C2639" s="31" t="inlineStr">
        <is>
          <t>2025-2026</t>
        </is>
      </c>
      <c r="D2639" s="31" t="inlineStr">
        <is>
          <t>139541</t>
        </is>
      </c>
      <c r="E2639" s="31" t="inlineStr">
        <is>
          <t>72-31-06</t>
        </is>
      </c>
      <c r="F2639" s="31" t="inlineStr">
        <is>
          <t>SB00</t>
        </is>
      </c>
      <c r="G2639" s="31" t="inlineStr">
        <is>
          <t>Compressor</t>
        </is>
      </c>
      <c r="H2639" s="27" t="n">
        <v>1850</v>
      </c>
      <c r="I2639" s="27" t="n">
        <v>1965</v>
      </c>
      <c r="J2639" s="154">
        <f>I2639/H2639-1</f>
        <v/>
      </c>
      <c r="K2639" s="31" t="inlineStr">
        <is>
          <t>14</t>
        </is>
      </c>
      <c r="L2639" s="31" t="inlineStr">
        <is>
          <t>13</t>
        </is>
      </c>
      <c r="M2639" s="31" t="inlineStr">
        <is>
          <t>S3</t>
        </is>
      </c>
      <c r="N2639" s="31" t="inlineStr">
        <is>
          <t>S5</t>
        </is>
      </c>
      <c r="O2639" s="31" t="inlineStr">
        <is>
          <t>1588M89G02</t>
        </is>
      </c>
      <c r="P2639" s="31" t="inlineStr">
        <is>
          <t>SR Technics Switzerland</t>
        </is>
      </c>
    </row>
    <row r="2640">
      <c r="B2640" s="31" t="inlineStr">
        <is>
          <t>CFM56-7B</t>
        </is>
      </c>
      <c r="C2640" s="31" t="inlineStr">
        <is>
          <t>2025-2026</t>
        </is>
      </c>
      <c r="D2640" s="31" t="inlineStr">
        <is>
          <t>139550</t>
        </is>
      </c>
      <c r="E2640" s="31" t="inlineStr">
        <is>
          <t>72-21-02</t>
        </is>
      </c>
      <c r="F2640" s="31" t="inlineStr">
        <is>
          <t>A</t>
        </is>
      </c>
      <c r="G2640" s="31" t="inlineStr">
        <is>
          <t>Fan / booster</t>
        </is>
      </c>
      <c r="H2640" s="27" t="n">
        <v>45</v>
      </c>
      <c r="I2640" s="27" t="n">
        <v>50</v>
      </c>
      <c r="J2640" s="154">
        <f>I2640/H2640-1</f>
        <v/>
      </c>
      <c r="K2640" s="31" t="inlineStr">
        <is>
          <t>48</t>
        </is>
      </c>
      <c r="L2640" s="31" t="inlineStr">
        <is>
          <t>48</t>
        </is>
      </c>
      <c r="M2640" s="31" t="inlineStr">
        <is>
          <t>S3</t>
        </is>
      </c>
      <c r="N2640" s="31" t="inlineStr">
        <is>
          <t>S5</t>
        </is>
      </c>
      <c r="O2640" s="31" t="inlineStr">
        <is>
          <t>335-191-202-0</t>
        </is>
      </c>
      <c r="P2640" s="31" t="inlineStr">
        <is>
          <t>SR Technics Switzerland</t>
        </is>
      </c>
    </row>
    <row r="2641">
      <c r="B2641" s="31" t="inlineStr">
        <is>
          <t>CFM56-7B</t>
        </is>
      </c>
      <c r="C2641" s="31" t="inlineStr">
        <is>
          <t>2025-2026</t>
        </is>
      </c>
      <c r="D2641" s="31" t="inlineStr">
        <is>
          <t>139550</t>
        </is>
      </c>
      <c r="E2641" s="31" t="inlineStr">
        <is>
          <t>72-21-02</t>
        </is>
      </c>
      <c r="F2641" s="31" t="inlineStr">
        <is>
          <t>E</t>
        </is>
      </c>
      <c r="G2641" s="31" t="inlineStr">
        <is>
          <t>Fan / booster</t>
        </is>
      </c>
      <c r="H2641" s="27" t="n">
        <v>45</v>
      </c>
      <c r="I2641" s="27" t="n">
        <v>50</v>
      </c>
      <c r="J2641" s="154">
        <f>I2641/H2641-1</f>
        <v/>
      </c>
      <c r="K2641" s="31" t="inlineStr">
        <is>
          <t>48</t>
        </is>
      </c>
      <c r="L2641" s="31" t="inlineStr">
        <is>
          <t>48</t>
        </is>
      </c>
      <c r="M2641" s="31" t="inlineStr">
        <is>
          <t>S3</t>
        </is>
      </c>
      <c r="N2641" s="31" t="inlineStr">
        <is>
          <t>S5</t>
        </is>
      </c>
      <c r="O2641" s="31" t="inlineStr">
        <is>
          <t>335-191-202-0</t>
        </is>
      </c>
      <c r="P2641" s="31" t="inlineStr">
        <is>
          <t>SR Technics Switzerland</t>
        </is>
      </c>
    </row>
    <row r="2642">
      <c r="B2642" s="31" t="inlineStr">
        <is>
          <t>CFM56-7B</t>
        </is>
      </c>
      <c r="C2642" s="31" t="inlineStr">
        <is>
          <t>2025-2026</t>
        </is>
      </c>
      <c r="D2642" s="31" t="inlineStr">
        <is>
          <t>139576</t>
        </is>
      </c>
      <c r="E2642" s="31" t="inlineStr">
        <is>
          <t>72-23-04</t>
        </is>
      </c>
      <c r="F2642" s="31" t="inlineStr">
        <is>
          <t>A</t>
        </is>
      </c>
      <c r="G2642" s="31" t="inlineStr">
        <is>
          <t>Fan / booster</t>
        </is>
      </c>
      <c r="H2642" s="27" t="n">
        <v>890</v>
      </c>
      <c r="I2642" s="27" t="n">
        <v>935</v>
      </c>
      <c r="J2642" s="154">
        <f>I2642/H2642-1</f>
        <v/>
      </c>
      <c r="K2642" s="31" t="inlineStr">
        <is>
          <t>14</t>
        </is>
      </c>
      <c r="L2642" s="31" t="inlineStr">
        <is>
          <t>13</t>
        </is>
      </c>
      <c r="M2642" s="31" t="inlineStr">
        <is>
          <t>S3</t>
        </is>
      </c>
      <c r="N2642" s="31" t="inlineStr">
        <is>
          <t>S5</t>
        </is>
      </c>
      <c r="O2642" s="31" t="inlineStr">
        <is>
          <t>2423M70G01</t>
        </is>
      </c>
      <c r="P2642" s="31" t="inlineStr">
        <is>
          <t>SR Technics Switzerland</t>
        </is>
      </c>
    </row>
    <row r="2643">
      <c r="B2643" s="31" t="inlineStr">
        <is>
          <t>CFM56-7B</t>
        </is>
      </c>
      <c r="C2643" s="31" t="inlineStr">
        <is>
          <t>2025-2026</t>
        </is>
      </c>
      <c r="D2643" s="31" t="inlineStr">
        <is>
          <t>139576</t>
        </is>
      </c>
      <c r="E2643" s="31" t="inlineStr">
        <is>
          <t>72-23-04</t>
        </is>
      </c>
      <c r="F2643" s="31" t="inlineStr">
        <is>
          <t>B</t>
        </is>
      </c>
      <c r="G2643" s="31" t="inlineStr">
        <is>
          <t>Fan / booster</t>
        </is>
      </c>
      <c r="H2643" s="27" t="n">
        <v>870</v>
      </c>
      <c r="I2643" s="27" t="n">
        <v>925</v>
      </c>
      <c r="J2643" s="154">
        <f>I2643/H2643-1</f>
        <v/>
      </c>
      <c r="K2643" s="31" t="inlineStr">
        <is>
          <t>14</t>
        </is>
      </c>
      <c r="L2643" s="31" t="inlineStr">
        <is>
          <t>13</t>
        </is>
      </c>
      <c r="M2643" s="31" t="inlineStr">
        <is>
          <t>S3</t>
        </is>
      </c>
      <c r="N2643" s="31" t="inlineStr">
        <is>
          <t>S5</t>
        </is>
      </c>
      <c r="O2643" s="31" t="inlineStr">
        <is>
          <t>2423M70G01</t>
        </is>
      </c>
      <c r="P2643" s="31" t="inlineStr">
        <is>
          <t>SR Technics Switzerland</t>
        </is>
      </c>
    </row>
    <row r="2644">
      <c r="B2644" s="31" t="inlineStr">
        <is>
          <t>CFM56-7B</t>
        </is>
      </c>
      <c r="C2644" s="31" t="inlineStr">
        <is>
          <t>2025-2026</t>
        </is>
      </c>
      <c r="D2644" s="31" t="inlineStr">
        <is>
          <t>139576</t>
        </is>
      </c>
      <c r="E2644" s="31" t="inlineStr">
        <is>
          <t>72-23-04</t>
        </is>
      </c>
      <c r="F2644" s="31" t="inlineStr">
        <is>
          <t>C</t>
        </is>
      </c>
      <c r="G2644" s="31" t="inlineStr">
        <is>
          <t>Fan / booster</t>
        </is>
      </c>
      <c r="H2644" s="27" t="n">
        <v>860</v>
      </c>
      <c r="I2644" s="27" t="n">
        <v>915</v>
      </c>
      <c r="J2644" s="154">
        <f>I2644/H2644-1</f>
        <v/>
      </c>
      <c r="K2644" s="31" t="inlineStr">
        <is>
          <t>14</t>
        </is>
      </c>
      <c r="L2644" s="31" t="inlineStr">
        <is>
          <t>13</t>
        </is>
      </c>
      <c r="M2644" s="31" t="inlineStr">
        <is>
          <t>S3</t>
        </is>
      </c>
      <c r="N2644" s="31" t="inlineStr">
        <is>
          <t>S5</t>
        </is>
      </c>
      <c r="O2644" s="31" t="inlineStr">
        <is>
          <t>2423M70G01</t>
        </is>
      </c>
      <c r="P2644" s="31" t="inlineStr">
        <is>
          <t>SR Technics Switzerland</t>
        </is>
      </c>
    </row>
    <row r="2645">
      <c r="B2645" s="31" t="inlineStr">
        <is>
          <t>CFM56-7B</t>
        </is>
      </c>
      <c r="C2645" s="31" t="inlineStr">
        <is>
          <t>2025-2026</t>
        </is>
      </c>
      <c r="D2645" s="31" t="inlineStr">
        <is>
          <t>139576</t>
        </is>
      </c>
      <c r="E2645" s="31" t="inlineStr">
        <is>
          <t>72-23-04</t>
        </is>
      </c>
      <c r="F2645" s="31" t="inlineStr">
        <is>
          <t>H</t>
        </is>
      </c>
      <c r="G2645" s="31" t="inlineStr">
        <is>
          <t>Fan / booster</t>
        </is>
      </c>
      <c r="H2645" s="27" t="n">
        <v>840</v>
      </c>
      <c r="I2645" s="27" t="n">
        <v>895</v>
      </c>
      <c r="J2645" s="154">
        <f>I2645/H2645-1</f>
        <v/>
      </c>
      <c r="K2645" s="31" t="inlineStr">
        <is>
          <t>14</t>
        </is>
      </c>
      <c r="L2645" s="31" t="inlineStr">
        <is>
          <t>13</t>
        </is>
      </c>
      <c r="M2645" s="31" t="inlineStr">
        <is>
          <t>S3</t>
        </is>
      </c>
      <c r="N2645" s="31" t="inlineStr">
        <is>
          <t>S5</t>
        </is>
      </c>
      <c r="O2645" s="31" t="inlineStr">
        <is>
          <t>2423M70G01</t>
        </is>
      </c>
      <c r="P2645" s="31" t="inlineStr">
        <is>
          <t>SR Technics Switzerland</t>
        </is>
      </c>
    </row>
    <row r="2646">
      <c r="B2646" s="31" t="inlineStr">
        <is>
          <t>CFM56-7B</t>
        </is>
      </c>
      <c r="C2646" s="31" t="inlineStr">
        <is>
          <t>2025-2026</t>
        </is>
      </c>
      <c r="D2646" s="31" t="inlineStr">
        <is>
          <t>139576</t>
        </is>
      </c>
      <c r="E2646" s="31" t="inlineStr">
        <is>
          <t>72-23-04</t>
        </is>
      </c>
      <c r="F2646" s="31" t="inlineStr">
        <is>
          <t>N</t>
        </is>
      </c>
      <c r="G2646" s="31" t="inlineStr">
        <is>
          <t>Fan / booster</t>
        </is>
      </c>
      <c r="H2646" s="27" t="n">
        <v>635</v>
      </c>
      <c r="I2646" s="27" t="n">
        <v>675</v>
      </c>
      <c r="J2646" s="154">
        <f>I2646/H2646-1</f>
        <v/>
      </c>
      <c r="K2646" s="31" t="inlineStr">
        <is>
          <t>14</t>
        </is>
      </c>
      <c r="L2646" s="31" t="inlineStr">
        <is>
          <t>13</t>
        </is>
      </c>
      <c r="M2646" s="31" t="inlineStr">
        <is>
          <t>S3</t>
        </is>
      </c>
      <c r="N2646" s="31" t="inlineStr">
        <is>
          <t>S5</t>
        </is>
      </c>
      <c r="O2646" s="31" t="inlineStr">
        <is>
          <t>2423M70G01</t>
        </is>
      </c>
      <c r="P2646" s="31" t="inlineStr">
        <is>
          <t>SR Technics Switzerland</t>
        </is>
      </c>
    </row>
    <row r="2647">
      <c r="B2647" s="31" t="inlineStr">
        <is>
          <t>CFM56-7B</t>
        </is>
      </c>
      <c r="C2647" s="31" t="inlineStr">
        <is>
          <t>2025-2026</t>
        </is>
      </c>
      <c r="D2647" s="31" t="inlineStr">
        <is>
          <t>139576</t>
        </is>
      </c>
      <c r="E2647" s="31" t="inlineStr">
        <is>
          <t>72-23-04</t>
        </is>
      </c>
      <c r="F2647" s="31" t="inlineStr">
        <is>
          <t>P</t>
        </is>
      </c>
      <c r="G2647" s="31" t="inlineStr">
        <is>
          <t>Fan / booster</t>
        </is>
      </c>
      <c r="H2647" s="27" t="n">
        <v>1385</v>
      </c>
      <c r="I2647" s="27" t="n">
        <v>1470</v>
      </c>
      <c r="J2647" s="154">
        <f>I2647/H2647-1</f>
        <v/>
      </c>
      <c r="K2647" s="31" t="inlineStr">
        <is>
          <t>14</t>
        </is>
      </c>
      <c r="L2647" s="31" t="inlineStr">
        <is>
          <t>13</t>
        </is>
      </c>
      <c r="M2647" s="31" t="inlineStr">
        <is>
          <t>S3</t>
        </is>
      </c>
      <c r="N2647" s="31" t="inlineStr">
        <is>
          <t>S5</t>
        </is>
      </c>
      <c r="O2647" s="31" t="inlineStr">
        <is>
          <t>2423M70G01</t>
        </is>
      </c>
      <c r="P2647" s="31" t="inlineStr">
        <is>
          <t>SR Technics Switzerland</t>
        </is>
      </c>
    </row>
    <row r="2648">
      <c r="B2648" s="31" t="inlineStr">
        <is>
          <t>CFM56-7B</t>
        </is>
      </c>
      <c r="C2648" s="31" t="inlineStr">
        <is>
          <t>2025-2026</t>
        </is>
      </c>
      <c r="D2648" s="31" t="inlineStr">
        <is>
          <t>139996</t>
        </is>
      </c>
      <c r="E2648" s="31" t="inlineStr">
        <is>
          <t>72-21-05</t>
        </is>
      </c>
      <c r="F2648" s="31" t="inlineStr">
        <is>
          <t>A</t>
        </is>
      </c>
      <c r="G2648" s="31" t="inlineStr">
        <is>
          <t>Fan / booster</t>
        </is>
      </c>
      <c r="H2648" s="27" t="n">
        <v>630</v>
      </c>
      <c r="I2648" s="27" t="n">
        <v>665</v>
      </c>
      <c r="J2648" s="154">
        <f>I2648/H2648-1</f>
        <v/>
      </c>
      <c r="K2648" s="31" t="inlineStr">
        <is>
          <t>14</t>
        </is>
      </c>
      <c r="L2648" s="31" t="inlineStr">
        <is>
          <t>13, 83</t>
        </is>
      </c>
      <c r="M2648" s="31" t="inlineStr">
        <is>
          <t>S3</t>
        </is>
      </c>
      <c r="N2648" s="31" t="inlineStr">
        <is>
          <t>S5</t>
        </is>
      </c>
      <c r="O2648" s="31" t="inlineStr">
        <is>
          <t>2406M74G01</t>
        </is>
      </c>
      <c r="P2648" s="31" t="inlineStr">
        <is>
          <t>SR Technics Switzerland</t>
        </is>
      </c>
    </row>
    <row r="2649">
      <c r="B2649" s="31" t="inlineStr">
        <is>
          <t>CFM56-7B</t>
        </is>
      </c>
      <c r="C2649" s="31" t="inlineStr">
        <is>
          <t>2025-2026</t>
        </is>
      </c>
      <c r="D2649" s="31" t="inlineStr">
        <is>
          <t>139996</t>
        </is>
      </c>
      <c r="E2649" s="31" t="inlineStr">
        <is>
          <t>72-21-05</t>
        </is>
      </c>
      <c r="F2649" s="31" t="inlineStr">
        <is>
          <t>AC</t>
        </is>
      </c>
      <c r="G2649" s="31" t="inlineStr">
        <is>
          <t>Fan / booster</t>
        </is>
      </c>
      <c r="H2649" s="27" t="n">
        <v>2070</v>
      </c>
      <c r="I2649" s="27" t="n">
        <v>2195</v>
      </c>
      <c r="J2649" s="154">
        <f>I2649/H2649-1</f>
        <v/>
      </c>
      <c r="K2649" s="31" t="inlineStr">
        <is>
          <t>14</t>
        </is>
      </c>
      <c r="L2649" s="31" t="inlineStr">
        <is>
          <t>13, 83</t>
        </is>
      </c>
      <c r="M2649" s="31" t="inlineStr">
        <is>
          <t>S3</t>
        </is>
      </c>
      <c r="N2649" s="31" t="inlineStr">
        <is>
          <t>S5</t>
        </is>
      </c>
      <c r="O2649" s="31" t="inlineStr">
        <is>
          <t>2406M74G01</t>
        </is>
      </c>
      <c r="P2649" s="31" t="inlineStr">
        <is>
          <t>SR Technics Switzerland</t>
        </is>
      </c>
    </row>
    <row r="2650">
      <c r="B2650" s="31" t="inlineStr">
        <is>
          <t>CFM56-7B</t>
        </is>
      </c>
      <c r="C2650" s="31" t="inlineStr">
        <is>
          <t>2025-2026</t>
        </is>
      </c>
      <c r="D2650" s="31" t="inlineStr">
        <is>
          <t>139996</t>
        </is>
      </c>
      <c r="E2650" s="31" t="inlineStr">
        <is>
          <t>72-21-05</t>
        </is>
      </c>
      <c r="F2650" s="31" t="inlineStr">
        <is>
          <t>AI</t>
        </is>
      </c>
      <c r="G2650" s="31" t="inlineStr">
        <is>
          <t>Fan / booster</t>
        </is>
      </c>
      <c r="H2650" s="27" t="n">
        <v>635</v>
      </c>
      <c r="I2650" s="27" t="n">
        <v>675</v>
      </c>
      <c r="J2650" s="154">
        <f>I2650/H2650-1</f>
        <v/>
      </c>
      <c r="K2650" s="31" t="inlineStr">
        <is>
          <t>14</t>
        </is>
      </c>
      <c r="L2650" s="31" t="inlineStr">
        <is>
          <t>13, 83</t>
        </is>
      </c>
      <c r="M2650" s="31" t="inlineStr">
        <is>
          <t>S3</t>
        </is>
      </c>
      <c r="N2650" s="31" t="inlineStr">
        <is>
          <t>S5</t>
        </is>
      </c>
      <c r="O2650" s="31" t="inlineStr">
        <is>
          <t>2406M74G01</t>
        </is>
      </c>
      <c r="P2650" s="31" t="inlineStr">
        <is>
          <t>SR Technics Switzerland</t>
        </is>
      </c>
    </row>
    <row r="2651">
      <c r="B2651" s="31" t="inlineStr">
        <is>
          <t>CFM56-7B</t>
        </is>
      </c>
      <c r="C2651" s="31" t="inlineStr">
        <is>
          <t>2025-2026</t>
        </is>
      </c>
      <c r="D2651" s="31" t="inlineStr">
        <is>
          <t>139996</t>
        </is>
      </c>
      <c r="E2651" s="31" t="inlineStr">
        <is>
          <t>72-21-05</t>
        </is>
      </c>
      <c r="F2651" s="31" t="inlineStr">
        <is>
          <t>G</t>
        </is>
      </c>
      <c r="G2651" s="31" t="inlineStr">
        <is>
          <t>Fan / booster</t>
        </is>
      </c>
      <c r="H2651" s="27" t="n">
        <v>600</v>
      </c>
      <c r="I2651" s="27" t="n">
        <v>640</v>
      </c>
      <c r="J2651" s="154">
        <f>I2651/H2651-1</f>
        <v/>
      </c>
      <c r="K2651" s="31" t="inlineStr">
        <is>
          <t>14</t>
        </is>
      </c>
      <c r="L2651" s="31" t="inlineStr">
        <is>
          <t>13, 83</t>
        </is>
      </c>
      <c r="M2651" s="31" t="inlineStr">
        <is>
          <t>S3</t>
        </is>
      </c>
      <c r="N2651" s="31" t="inlineStr">
        <is>
          <t>S5</t>
        </is>
      </c>
      <c r="O2651" s="31" t="inlineStr">
        <is>
          <t>2406M74G01</t>
        </is>
      </c>
      <c r="P2651" s="31" t="inlineStr">
        <is>
          <t>SR Technics Switzerland</t>
        </is>
      </c>
    </row>
    <row r="2652">
      <c r="B2652" s="31" t="inlineStr">
        <is>
          <t>CFM56-7B</t>
        </is>
      </c>
      <c r="C2652" s="31" t="inlineStr">
        <is>
          <t>2025-2026</t>
        </is>
      </c>
      <c r="D2652" s="31" t="inlineStr">
        <is>
          <t>139996</t>
        </is>
      </c>
      <c r="E2652" s="31" t="inlineStr">
        <is>
          <t>72-21-05</t>
        </is>
      </c>
      <c r="F2652" s="31" t="inlineStr">
        <is>
          <t>W</t>
        </is>
      </c>
      <c r="G2652" s="31" t="inlineStr">
        <is>
          <t>Fan / booster</t>
        </is>
      </c>
      <c r="H2652" s="27" t="n">
        <v>1215</v>
      </c>
      <c r="I2652" s="27" t="n">
        <v>1290</v>
      </c>
      <c r="J2652" s="154">
        <f>I2652/H2652-1</f>
        <v/>
      </c>
      <c r="K2652" s="31" t="inlineStr">
        <is>
          <t>14</t>
        </is>
      </c>
      <c r="L2652" s="31" t="inlineStr">
        <is>
          <t>14, 83</t>
        </is>
      </c>
      <c r="M2652" s="31" t="inlineStr">
        <is>
          <t>S3</t>
        </is>
      </c>
      <c r="N2652" s="31" t="inlineStr">
        <is>
          <t>S5</t>
        </is>
      </c>
      <c r="O2652" s="31" t="inlineStr">
        <is>
          <t>2406M74G01</t>
        </is>
      </c>
      <c r="P2652" s="31" t="inlineStr">
        <is>
          <t>SR Technics Switzerland</t>
        </is>
      </c>
    </row>
    <row r="2653">
      <c r="B2653" s="31" t="inlineStr">
        <is>
          <t>CFM56-7B</t>
        </is>
      </c>
      <c r="C2653" s="31" t="inlineStr">
        <is>
          <t>2025-2026</t>
        </is>
      </c>
      <c r="D2653" s="31" t="inlineStr">
        <is>
          <t>140019</t>
        </is>
      </c>
      <c r="E2653" s="31" t="inlineStr">
        <is>
          <t>72-52-06</t>
        </is>
      </c>
      <c r="F2653" s="31" t="inlineStr">
        <is>
          <t>A</t>
        </is>
      </c>
      <c r="G2653" s="31" t="inlineStr">
        <is>
          <t>HPT / nozzle</t>
        </is>
      </c>
      <c r="H2653" s="27" t="n">
        <v>1000</v>
      </c>
      <c r="I2653" s="27" t="n">
        <v>1050</v>
      </c>
      <c r="J2653" s="154">
        <f>I2653/H2653-1</f>
        <v/>
      </c>
      <c r="K2653" s="31" t="inlineStr">
        <is>
          <t>14</t>
        </is>
      </c>
      <c r="L2653" s="31" t="inlineStr">
        <is>
          <t>14</t>
        </is>
      </c>
      <c r="M2653" s="31" t="inlineStr">
        <is>
          <t>S3</t>
        </is>
      </c>
      <c r="N2653" s="31" t="inlineStr">
        <is>
          <t>S5</t>
        </is>
      </c>
      <c r="O2653" s="31" t="inlineStr">
        <is>
          <t>1795M66P01</t>
        </is>
      </c>
      <c r="P2653" s="31" t="inlineStr">
        <is>
          <t>SR Technics Switzerland</t>
        </is>
      </c>
    </row>
    <row r="2654">
      <c r="B2654" s="31" t="inlineStr">
        <is>
          <t>CFM56-7B</t>
        </is>
      </c>
      <c r="C2654" s="31" t="inlineStr">
        <is>
          <t>2025-2026</t>
        </is>
      </c>
      <c r="D2654" s="31" t="inlineStr">
        <is>
          <t>140019</t>
        </is>
      </c>
      <c r="E2654" s="31" t="inlineStr">
        <is>
          <t>72-52-06</t>
        </is>
      </c>
      <c r="F2654" s="31" t="inlineStr">
        <is>
          <t>B</t>
        </is>
      </c>
      <c r="G2654" s="31" t="inlineStr">
        <is>
          <t>HPT / nozzle</t>
        </is>
      </c>
      <c r="H2654" s="27" t="n">
        <v>325</v>
      </c>
      <c r="I2654" s="27" t="n">
        <v>345</v>
      </c>
      <c r="J2654" s="154">
        <f>I2654/H2654-1</f>
        <v/>
      </c>
      <c r="K2654" s="31" t="inlineStr">
        <is>
          <t>14, 15</t>
        </is>
      </c>
      <c r="L2654" s="31" t="inlineStr">
        <is>
          <t>14</t>
        </is>
      </c>
      <c r="M2654" s="31" t="inlineStr">
        <is>
          <t>S3</t>
        </is>
      </c>
      <c r="N2654" s="31" t="inlineStr">
        <is>
          <t>S5</t>
        </is>
      </c>
      <c r="O2654" s="31" t="inlineStr">
        <is>
          <t>1795M66P01</t>
        </is>
      </c>
      <c r="P2654" s="31" t="inlineStr">
        <is>
          <t>SR Technics Switzerland</t>
        </is>
      </c>
    </row>
    <row r="2655">
      <c r="B2655" s="31" t="inlineStr">
        <is>
          <t>CFM56-7B</t>
        </is>
      </c>
      <c r="C2655" s="31" t="inlineStr">
        <is>
          <t>2025-2026</t>
        </is>
      </c>
      <c r="D2655" s="31" t="inlineStr">
        <is>
          <t>140019</t>
        </is>
      </c>
      <c r="E2655" s="31" t="inlineStr">
        <is>
          <t>72-52-06</t>
        </is>
      </c>
      <c r="F2655" s="31" t="inlineStr">
        <is>
          <t>D</t>
        </is>
      </c>
      <c r="G2655" s="31" t="inlineStr">
        <is>
          <t>HPT / nozzle</t>
        </is>
      </c>
      <c r="H2655" s="27" t="n">
        <v>7635</v>
      </c>
      <c r="I2655" s="27" t="n">
        <v>8095</v>
      </c>
      <c r="J2655" s="154">
        <f>I2655/H2655-1</f>
        <v/>
      </c>
      <c r="K2655" s="31" t="inlineStr">
        <is>
          <t>15</t>
        </is>
      </c>
      <c r="L2655" s="31" t="inlineStr">
        <is>
          <t>14</t>
        </is>
      </c>
      <c r="M2655" s="31" t="inlineStr">
        <is>
          <t>S3</t>
        </is>
      </c>
      <c r="N2655" s="31" t="inlineStr">
        <is>
          <t>S5</t>
        </is>
      </c>
      <c r="O2655" s="31" t="inlineStr">
        <is>
          <t>1795M66P01</t>
        </is>
      </c>
      <c r="P2655" s="31" t="inlineStr">
        <is>
          <t>SR Technics Switzerland</t>
        </is>
      </c>
    </row>
    <row r="2656">
      <c r="B2656" s="31" t="inlineStr">
        <is>
          <t>CFM56-7B</t>
        </is>
      </c>
      <c r="C2656" s="31" t="inlineStr">
        <is>
          <t>2025-2026</t>
        </is>
      </c>
      <c r="D2656" s="31" t="inlineStr">
        <is>
          <t>140037</t>
        </is>
      </c>
      <c r="E2656" s="31" t="inlineStr">
        <is>
          <t>72-54-08</t>
        </is>
      </c>
      <c r="F2656" s="31" t="inlineStr">
        <is>
          <t>A</t>
        </is>
      </c>
      <c r="G2656" s="31" t="inlineStr">
        <is>
          <t>LPT</t>
        </is>
      </c>
      <c r="H2656" s="27" t="n">
        <v>270</v>
      </c>
      <c r="I2656" s="27" t="n">
        <v>290</v>
      </c>
      <c r="J2656" s="154">
        <f>I2656/H2656-1</f>
        <v/>
      </c>
      <c r="K2656" s="31" t="inlineStr">
        <is>
          <t>15</t>
        </is>
      </c>
      <c r="L2656" s="31" t="inlineStr">
        <is>
          <t>14</t>
        </is>
      </c>
      <c r="M2656" s="31" t="inlineStr">
        <is>
          <t>S3</t>
        </is>
      </c>
      <c r="N2656" s="31" t="inlineStr">
        <is>
          <t>S5</t>
        </is>
      </c>
      <c r="O2656" s="31" t="inlineStr">
        <is>
          <t>338-083-003-0</t>
        </is>
      </c>
      <c r="P2656" s="31" t="inlineStr">
        <is>
          <t>SRTAS</t>
        </is>
      </c>
    </row>
    <row r="2657">
      <c r="B2657" s="31" t="inlineStr">
        <is>
          <t>CFM56-7B</t>
        </is>
      </c>
      <c r="C2657" s="31" t="inlineStr">
        <is>
          <t>2025-2026</t>
        </is>
      </c>
      <c r="D2657" s="31" t="inlineStr">
        <is>
          <t>140037</t>
        </is>
      </c>
      <c r="E2657" s="31" t="inlineStr">
        <is>
          <t>72-54-08</t>
        </is>
      </c>
      <c r="F2657" s="31" t="inlineStr">
        <is>
          <t>C</t>
        </is>
      </c>
      <c r="G2657" s="31" t="inlineStr">
        <is>
          <t>LPT</t>
        </is>
      </c>
      <c r="H2657" s="27" t="n">
        <v>1580</v>
      </c>
      <c r="I2657" s="27" t="n">
        <v>1695</v>
      </c>
      <c r="J2657" s="154">
        <f>I2657/H2657-1</f>
        <v/>
      </c>
      <c r="K2657" s="31" t="inlineStr">
        <is>
          <t>15</t>
        </is>
      </c>
      <c r="L2657" s="31" t="inlineStr">
        <is>
          <t>14</t>
        </is>
      </c>
      <c r="M2657" s="31" t="inlineStr">
        <is>
          <t>S3</t>
        </is>
      </c>
      <c r="N2657" s="31" t="inlineStr">
        <is>
          <t>S5</t>
        </is>
      </c>
      <c r="O2657" s="31" t="inlineStr">
        <is>
          <t>338-083-003-0</t>
        </is>
      </c>
      <c r="P2657" s="31" t="inlineStr">
        <is>
          <t>SRTAS</t>
        </is>
      </c>
    </row>
    <row r="2658">
      <c r="B2658" s="31" t="inlineStr">
        <is>
          <t>CFM56-7B</t>
        </is>
      </c>
      <c r="C2658" s="31" t="inlineStr">
        <is>
          <t>2025-2026</t>
        </is>
      </c>
      <c r="D2658" s="31" t="inlineStr">
        <is>
          <t>140037</t>
        </is>
      </c>
      <c r="E2658" s="31" t="inlineStr">
        <is>
          <t>72-54-08</t>
        </is>
      </c>
      <c r="F2658" s="31" t="inlineStr">
        <is>
          <t>E</t>
        </is>
      </c>
      <c r="G2658" s="31" t="inlineStr">
        <is>
          <t>LPT</t>
        </is>
      </c>
      <c r="H2658" s="27" t="n">
        <v>840</v>
      </c>
      <c r="I2658" s="27" t="n">
        <v>900</v>
      </c>
      <c r="J2658" s="154">
        <f>I2658/H2658-1</f>
        <v/>
      </c>
      <c r="K2658" s="31" t="inlineStr">
        <is>
          <t>15</t>
        </is>
      </c>
      <c r="L2658" s="31" t="inlineStr">
        <is>
          <t>14</t>
        </is>
      </c>
      <c r="M2658" s="31" t="inlineStr">
        <is>
          <t>S3</t>
        </is>
      </c>
      <c r="N2658" s="31" t="inlineStr">
        <is>
          <t>S5</t>
        </is>
      </c>
      <c r="O2658" s="31" t="inlineStr">
        <is>
          <t>338-083-003-0</t>
        </is>
      </c>
      <c r="P2658" s="31" t="inlineStr">
        <is>
          <t>SRTAS</t>
        </is>
      </c>
    </row>
    <row r="2659">
      <c r="B2659" s="31" t="inlineStr">
        <is>
          <t>CFM56-7B</t>
        </is>
      </c>
      <c r="C2659" s="31" t="inlineStr">
        <is>
          <t>2025-2026</t>
        </is>
      </c>
      <c r="D2659" s="31" t="inlineStr">
        <is>
          <t>140037</t>
        </is>
      </c>
      <c r="E2659" s="31" t="inlineStr">
        <is>
          <t>72-54-08</t>
        </is>
      </c>
      <c r="F2659" s="31" t="inlineStr">
        <is>
          <t>H</t>
        </is>
      </c>
      <c r="G2659" s="31" t="inlineStr">
        <is>
          <t>LPT</t>
        </is>
      </c>
      <c r="H2659" s="27" t="n">
        <v>960</v>
      </c>
      <c r="I2659" s="27" t="n">
        <v>1030</v>
      </c>
      <c r="J2659" s="154">
        <f>I2659/H2659-1</f>
        <v/>
      </c>
      <c r="K2659" s="31" t="inlineStr">
        <is>
          <t>15</t>
        </is>
      </c>
      <c r="L2659" s="31" t="inlineStr">
        <is>
          <t>14</t>
        </is>
      </c>
      <c r="M2659" s="31" t="inlineStr">
        <is>
          <t>S3</t>
        </is>
      </c>
      <c r="N2659" s="31" t="inlineStr">
        <is>
          <t>S5</t>
        </is>
      </c>
      <c r="O2659" s="31" t="inlineStr">
        <is>
          <t>338-083-003-0</t>
        </is>
      </c>
      <c r="P2659" s="31" t="inlineStr">
        <is>
          <t>SRTAS</t>
        </is>
      </c>
    </row>
    <row r="2660">
      <c r="B2660" s="31" t="inlineStr">
        <is>
          <t>CFM56-7B</t>
        </is>
      </c>
      <c r="C2660" s="31" t="inlineStr">
        <is>
          <t>2025-2026</t>
        </is>
      </c>
      <c r="D2660" s="31" t="inlineStr">
        <is>
          <t>140037</t>
        </is>
      </c>
      <c r="E2660" s="31" t="inlineStr">
        <is>
          <t>72-54-08</t>
        </is>
      </c>
      <c r="F2660" s="31" t="inlineStr">
        <is>
          <t>I</t>
        </is>
      </c>
      <c r="G2660" s="31" t="inlineStr">
        <is>
          <t>LPT</t>
        </is>
      </c>
      <c r="H2660" s="27" t="n">
        <v>685</v>
      </c>
      <c r="I2660" s="27" t="n">
        <v>735</v>
      </c>
      <c r="J2660" s="154">
        <f>I2660/H2660-1</f>
        <v/>
      </c>
      <c r="K2660" s="31" t="inlineStr">
        <is>
          <t>15</t>
        </is>
      </c>
      <c r="L2660" s="31" t="inlineStr">
        <is>
          <t>14</t>
        </is>
      </c>
      <c r="M2660" s="31" t="inlineStr">
        <is>
          <t>S3</t>
        </is>
      </c>
      <c r="N2660" s="31" t="inlineStr">
        <is>
          <t>S5</t>
        </is>
      </c>
      <c r="O2660" s="31" t="inlineStr">
        <is>
          <t>338-083-003-0</t>
        </is>
      </c>
      <c r="P2660" s="31" t="inlineStr">
        <is>
          <t>SRTAS</t>
        </is>
      </c>
    </row>
    <row r="2661">
      <c r="B2661" s="31" t="inlineStr">
        <is>
          <t>CFM56-7B</t>
        </is>
      </c>
      <c r="C2661" s="31" t="inlineStr">
        <is>
          <t>2025-2026</t>
        </is>
      </c>
      <c r="D2661" s="31" t="inlineStr">
        <is>
          <t>140037</t>
        </is>
      </c>
      <c r="E2661" s="31" t="inlineStr">
        <is>
          <t>72-54-08</t>
        </is>
      </c>
      <c r="F2661" s="31" t="inlineStr">
        <is>
          <t>J</t>
        </is>
      </c>
      <c r="G2661" s="31" t="inlineStr">
        <is>
          <t>LPT</t>
        </is>
      </c>
      <c r="H2661" s="27" t="n">
        <v>1850</v>
      </c>
      <c r="I2661" s="27" t="n">
        <v>1980</v>
      </c>
      <c r="J2661" s="154">
        <f>I2661/H2661-1</f>
        <v/>
      </c>
      <c r="K2661" s="31" t="inlineStr">
        <is>
          <t>15</t>
        </is>
      </c>
      <c r="L2661" s="31" t="inlineStr">
        <is>
          <t>14</t>
        </is>
      </c>
      <c r="M2661" s="31" t="inlineStr">
        <is>
          <t>S3</t>
        </is>
      </c>
      <c r="N2661" s="31" t="inlineStr">
        <is>
          <t>S5</t>
        </is>
      </c>
      <c r="O2661" s="31" t="inlineStr">
        <is>
          <t>338-083-003-0</t>
        </is>
      </c>
      <c r="P2661" s="31" t="inlineStr">
        <is>
          <t>SRTAS</t>
        </is>
      </c>
    </row>
    <row r="2662">
      <c r="B2662" s="31" t="inlineStr">
        <is>
          <t>CFM56-7B</t>
        </is>
      </c>
      <c r="C2662" s="31" t="inlineStr">
        <is>
          <t>2025-2026</t>
        </is>
      </c>
      <c r="D2662" s="31" t="inlineStr">
        <is>
          <t>140037</t>
        </is>
      </c>
      <c r="E2662" s="31" t="inlineStr">
        <is>
          <t>72-54-08</t>
        </is>
      </c>
      <c r="F2662" s="31" t="inlineStr">
        <is>
          <t>L</t>
        </is>
      </c>
      <c r="G2662" s="31" t="inlineStr">
        <is>
          <t>LPT</t>
        </is>
      </c>
      <c r="H2662" s="27" t="n">
        <v>3765</v>
      </c>
      <c r="I2662" s="27" t="n">
        <v>4030</v>
      </c>
      <c r="J2662" s="154">
        <f>I2662/H2662-1</f>
        <v/>
      </c>
      <c r="K2662" s="31" t="inlineStr">
        <is>
          <t>15</t>
        </is>
      </c>
      <c r="L2662" s="31" t="inlineStr">
        <is>
          <t>14</t>
        </is>
      </c>
      <c r="M2662" s="31" t="inlineStr">
        <is>
          <t>S3</t>
        </is>
      </c>
      <c r="N2662" s="31" t="inlineStr">
        <is>
          <t>S5</t>
        </is>
      </c>
      <c r="O2662" s="31" t="inlineStr">
        <is>
          <t>338-083-003-0</t>
        </is>
      </c>
      <c r="P2662" s="31" t="inlineStr">
        <is>
          <t>SRTAS</t>
        </is>
      </c>
    </row>
    <row r="2663">
      <c r="B2663" s="31" t="inlineStr">
        <is>
          <t>CFM56-7B</t>
        </is>
      </c>
      <c r="C2663" s="31" t="inlineStr">
        <is>
          <t>2025-2026</t>
        </is>
      </c>
      <c r="D2663" s="31" t="inlineStr">
        <is>
          <t>140037</t>
        </is>
      </c>
      <c r="E2663" s="31" t="inlineStr">
        <is>
          <t>72-54-08</t>
        </is>
      </c>
      <c r="F2663" s="31" t="inlineStr">
        <is>
          <t>M</t>
        </is>
      </c>
      <c r="G2663" s="31" t="inlineStr">
        <is>
          <t>LPT</t>
        </is>
      </c>
      <c r="H2663" s="27" t="n">
        <v>1035</v>
      </c>
      <c r="I2663" s="27" t="n">
        <v>1110</v>
      </c>
      <c r="J2663" s="154">
        <f>I2663/H2663-1</f>
        <v/>
      </c>
      <c r="K2663" s="31" t="inlineStr">
        <is>
          <t>15</t>
        </is>
      </c>
      <c r="L2663" s="31" t="inlineStr">
        <is>
          <t>14</t>
        </is>
      </c>
      <c r="M2663" s="31" t="inlineStr">
        <is>
          <t>S3</t>
        </is>
      </c>
      <c r="N2663" s="31" t="inlineStr">
        <is>
          <t>S5</t>
        </is>
      </c>
      <c r="O2663" s="31" t="inlineStr">
        <is>
          <t>338-083-003-0</t>
        </is>
      </c>
      <c r="P2663" s="31" t="inlineStr">
        <is>
          <t>SRTAS</t>
        </is>
      </c>
    </row>
    <row r="2664">
      <c r="B2664" s="31" t="inlineStr">
        <is>
          <t>CFM56-7B</t>
        </is>
      </c>
      <c r="C2664" s="31" t="inlineStr">
        <is>
          <t>2025-2026</t>
        </is>
      </c>
      <c r="D2664" s="31" t="inlineStr">
        <is>
          <t>140037</t>
        </is>
      </c>
      <c r="E2664" s="31" t="inlineStr">
        <is>
          <t>72-54-08</t>
        </is>
      </c>
      <c r="F2664" s="31" t="inlineStr">
        <is>
          <t>N</t>
        </is>
      </c>
      <c r="G2664" s="31" t="inlineStr">
        <is>
          <t>LPT</t>
        </is>
      </c>
      <c r="H2664" s="27" t="n">
        <v>1590</v>
      </c>
      <c r="I2664" s="27" t="n">
        <v>1705</v>
      </c>
      <c r="J2664" s="154">
        <f>I2664/H2664-1</f>
        <v/>
      </c>
      <c r="K2664" s="31" t="inlineStr">
        <is>
          <t>15</t>
        </is>
      </c>
      <c r="L2664" s="31" t="inlineStr">
        <is>
          <t>14</t>
        </is>
      </c>
      <c r="M2664" s="31" t="inlineStr">
        <is>
          <t>S3</t>
        </is>
      </c>
      <c r="N2664" s="31" t="inlineStr">
        <is>
          <t>S5</t>
        </is>
      </c>
      <c r="O2664" s="31" t="inlineStr">
        <is>
          <t>338-083-003-0</t>
        </is>
      </c>
      <c r="P2664" s="31" t="inlineStr">
        <is>
          <t>SRTAS</t>
        </is>
      </c>
    </row>
    <row r="2665">
      <c r="B2665" s="31" t="inlineStr">
        <is>
          <t>CFM56-7B</t>
        </is>
      </c>
      <c r="C2665" s="31" t="inlineStr">
        <is>
          <t>2025-2026</t>
        </is>
      </c>
      <c r="D2665" s="31" t="inlineStr">
        <is>
          <t>140121</t>
        </is>
      </c>
      <c r="E2665" s="31" t="inlineStr">
        <is>
          <t>72-32-15</t>
        </is>
      </c>
      <c r="F2665" s="31" t="inlineStr">
        <is>
          <t>A</t>
        </is>
      </c>
      <c r="G2665" s="31" t="inlineStr">
        <is>
          <t>Compressor</t>
        </is>
      </c>
      <c r="H2665" s="27" t="n">
        <v>720</v>
      </c>
      <c r="I2665" s="27" t="n">
        <v>760</v>
      </c>
      <c r="J2665" s="154">
        <f>I2665/H2665-1</f>
        <v/>
      </c>
      <c r="K2665" s="31" t="inlineStr">
        <is>
          <t>49</t>
        </is>
      </c>
      <c r="L2665" s="31" t="inlineStr">
        <is>
          <t>49</t>
        </is>
      </c>
      <c r="M2665" s="31" t="inlineStr">
        <is>
          <t>S3</t>
        </is>
      </c>
      <c r="N2665" s="31" t="inlineStr">
        <is>
          <t>S5</t>
        </is>
      </c>
      <c r="O2665" s="31" t="inlineStr">
        <is>
          <t>1276M85P05</t>
        </is>
      </c>
      <c r="P2665" s="31" t="inlineStr">
        <is>
          <t>SR Technics Switzerland</t>
        </is>
      </c>
    </row>
    <row r="2666">
      <c r="B2666" s="31" t="inlineStr">
        <is>
          <t>CFM56-7B</t>
        </is>
      </c>
      <c r="C2666" s="31" t="inlineStr">
        <is>
          <t>2025-2026</t>
        </is>
      </c>
      <c r="D2666" s="31" t="inlineStr">
        <is>
          <t>140131</t>
        </is>
      </c>
      <c r="E2666" s="31" t="inlineStr">
        <is>
          <t>72-52-08</t>
        </is>
      </c>
      <c r="F2666" s="31" t="inlineStr">
        <is>
          <t>B</t>
        </is>
      </c>
      <c r="G2666" s="31" t="inlineStr">
        <is>
          <t>HPT / nozzle</t>
        </is>
      </c>
      <c r="H2666" s="27" t="n">
        <v>4290</v>
      </c>
      <c r="I2666" s="27" t="n">
        <v>4550</v>
      </c>
      <c r="J2666" s="154">
        <f>I2666/H2666-1</f>
        <v/>
      </c>
      <c r="K2666" s="31" t="inlineStr">
        <is>
          <t>15</t>
        </is>
      </c>
      <c r="L2666" s="31" t="inlineStr">
        <is>
          <t>14</t>
        </is>
      </c>
      <c r="M2666" s="31" t="inlineStr">
        <is>
          <t>S3</t>
        </is>
      </c>
      <c r="N2666" s="31" t="inlineStr">
        <is>
          <t>S5</t>
        </is>
      </c>
      <c r="O2666" s="31" t="inlineStr">
        <is>
          <t>1851M59P01</t>
        </is>
      </c>
      <c r="P2666" s="31" t="inlineStr">
        <is>
          <t>SR Technics Switzerland</t>
        </is>
      </c>
    </row>
    <row r="2667">
      <c r="B2667" s="31" t="inlineStr">
        <is>
          <t>CFM56-7B</t>
        </is>
      </c>
      <c r="C2667" s="31" t="inlineStr">
        <is>
          <t>2025-2026</t>
        </is>
      </c>
      <c r="D2667" s="31" t="inlineStr">
        <is>
          <t>140131</t>
        </is>
      </c>
      <c r="E2667" s="31" t="inlineStr">
        <is>
          <t>72-52-08</t>
        </is>
      </c>
      <c r="F2667" s="31" t="inlineStr">
        <is>
          <t>C</t>
        </is>
      </c>
      <c r="G2667" s="31" t="inlineStr">
        <is>
          <t>HPT / nozzle</t>
        </is>
      </c>
      <c r="H2667" s="27" t="n">
        <v>865</v>
      </c>
      <c r="I2667" s="27" t="n">
        <v>920</v>
      </c>
      <c r="J2667" s="154">
        <f>I2667/H2667-1</f>
        <v/>
      </c>
      <c r="K2667" s="31" t="inlineStr">
        <is>
          <t>15</t>
        </is>
      </c>
      <c r="L2667" s="31" t="inlineStr">
        <is>
          <t>14</t>
        </is>
      </c>
      <c r="M2667" s="31" t="inlineStr">
        <is>
          <t>S3</t>
        </is>
      </c>
      <c r="N2667" s="31" t="inlineStr">
        <is>
          <t>S5</t>
        </is>
      </c>
      <c r="O2667" s="31" t="inlineStr">
        <is>
          <t>1851M59P01</t>
        </is>
      </c>
      <c r="P2667" s="31" t="inlineStr">
        <is>
          <t>SR Technics Switzerland</t>
        </is>
      </c>
    </row>
    <row r="2668">
      <c r="B2668" s="31" t="inlineStr">
        <is>
          <t>CFM56-7B</t>
        </is>
      </c>
      <c r="C2668" s="31" t="inlineStr">
        <is>
          <t>2025-2026</t>
        </is>
      </c>
      <c r="D2668" s="31" t="inlineStr">
        <is>
          <t>140138</t>
        </is>
      </c>
      <c r="E2668" s="31" t="inlineStr">
        <is>
          <t>26-11-01</t>
        </is>
      </c>
      <c r="F2668" s="31" t="inlineStr">
        <is>
          <t>B</t>
        </is>
      </c>
      <c r="G2668" s="31" t="inlineStr">
        <is>
          <t>Other / assembly</t>
        </is>
      </c>
      <c r="H2668" s="27" t="n">
        <v>395</v>
      </c>
      <c r="I2668" s="27" t="n">
        <v>420</v>
      </c>
      <c r="J2668" s="154">
        <f>I2668/H2668-1</f>
        <v/>
      </c>
      <c r="K2668" s="31" t="inlineStr">
        <is>
          <t>15</t>
        </is>
      </c>
      <c r="L2668" s="31" t="inlineStr">
        <is>
          <t>14</t>
        </is>
      </c>
      <c r="M2668" s="31" t="inlineStr">
        <is>
          <t>S3</t>
        </is>
      </c>
      <c r="N2668" s="31" t="inlineStr">
        <is>
          <t>S5</t>
        </is>
      </c>
      <c r="O2668" s="31" t="inlineStr">
        <is>
          <t>325-027-303-0</t>
        </is>
      </c>
      <c r="P2668" s="31" t="inlineStr">
        <is>
          <t>SR Technics Switzerland</t>
        </is>
      </c>
    </row>
    <row r="2669">
      <c r="B2669" s="31" t="inlineStr">
        <is>
          <t>CFM56-7B</t>
        </is>
      </c>
      <c r="C2669" s="31" t="inlineStr">
        <is>
          <t>2025-2026</t>
        </is>
      </c>
      <c r="D2669" s="31" t="inlineStr">
        <is>
          <t>140138</t>
        </is>
      </c>
      <c r="E2669" s="31" t="inlineStr">
        <is>
          <t>26-11-01</t>
        </is>
      </c>
      <c r="F2669" s="31" t="inlineStr">
        <is>
          <t>D</t>
        </is>
      </c>
      <c r="G2669" s="31" t="inlineStr">
        <is>
          <t>Other / assembly</t>
        </is>
      </c>
      <c r="H2669" s="27" t="n">
        <v>1305</v>
      </c>
      <c r="I2669" s="27" t="n">
        <v>1385</v>
      </c>
      <c r="J2669" s="154">
        <f>I2669/H2669-1</f>
        <v/>
      </c>
      <c r="K2669" s="31" t="inlineStr">
        <is>
          <t>15</t>
        </is>
      </c>
      <c r="L2669" s="31" t="inlineStr">
        <is>
          <t>15</t>
        </is>
      </c>
      <c r="M2669" s="31" t="inlineStr">
        <is>
          <t>S3</t>
        </is>
      </c>
      <c r="N2669" s="31" t="inlineStr">
        <is>
          <t>S5</t>
        </is>
      </c>
      <c r="O2669" s="31" t="inlineStr">
        <is>
          <t>325-027-303-0</t>
        </is>
      </c>
      <c r="P2669" s="31" t="inlineStr">
        <is>
          <t>SR Technics Switzerland</t>
        </is>
      </c>
    </row>
    <row r="2670">
      <c r="B2670" s="31" t="inlineStr">
        <is>
          <t>CFM56-7B</t>
        </is>
      </c>
      <c r="C2670" s="31" t="inlineStr">
        <is>
          <t>2025-2026</t>
        </is>
      </c>
      <c r="D2670" s="31" t="inlineStr">
        <is>
          <t>140138</t>
        </is>
      </c>
      <c r="E2670" s="31" t="inlineStr">
        <is>
          <t>26-11-01</t>
        </is>
      </c>
      <c r="F2670" s="31" t="inlineStr">
        <is>
          <t>E</t>
        </is>
      </c>
      <c r="G2670" s="31" t="inlineStr">
        <is>
          <t>Other / assembly</t>
        </is>
      </c>
      <c r="H2670" s="27" t="n">
        <v>4135</v>
      </c>
      <c r="I2670" s="27" t="n">
        <v>4385</v>
      </c>
      <c r="J2670" s="154">
        <f>I2670/H2670-1</f>
        <v/>
      </c>
      <c r="K2670" s="31" t="inlineStr">
        <is>
          <t>15</t>
        </is>
      </c>
      <c r="L2670" s="31" t="inlineStr">
        <is>
          <t>15</t>
        </is>
      </c>
      <c r="M2670" s="31" t="inlineStr">
        <is>
          <t>S3</t>
        </is>
      </c>
      <c r="N2670" s="31" t="inlineStr">
        <is>
          <t>S5</t>
        </is>
      </c>
      <c r="O2670" s="31" t="inlineStr">
        <is>
          <t>325-027-303-0</t>
        </is>
      </c>
      <c r="P2670" s="31" t="inlineStr">
        <is>
          <t>SR Technics Switzerland</t>
        </is>
      </c>
    </row>
    <row r="2671">
      <c r="B2671" s="31" t="inlineStr">
        <is>
          <t>CFM56-7B</t>
        </is>
      </c>
      <c r="C2671" s="31" t="inlineStr">
        <is>
          <t>2025-2026</t>
        </is>
      </c>
      <c r="D2671" s="31" t="inlineStr">
        <is>
          <t>140138</t>
        </is>
      </c>
      <c r="E2671" s="31" t="inlineStr">
        <is>
          <t>26-11-01</t>
        </is>
      </c>
      <c r="F2671" s="31" t="inlineStr">
        <is>
          <t>F</t>
        </is>
      </c>
      <c r="G2671" s="31" t="inlineStr">
        <is>
          <t>Other / assembly</t>
        </is>
      </c>
      <c r="H2671" s="27" t="n">
        <v>5810</v>
      </c>
      <c r="I2671" s="27" t="n">
        <v>6160</v>
      </c>
      <c r="J2671" s="154">
        <f>I2671/H2671-1</f>
        <v/>
      </c>
      <c r="K2671" s="31" t="inlineStr">
        <is>
          <t>15</t>
        </is>
      </c>
      <c r="L2671" s="31" t="inlineStr">
        <is>
          <t>15</t>
        </is>
      </c>
      <c r="M2671" s="31" t="inlineStr">
        <is>
          <t>S3</t>
        </is>
      </c>
      <c r="N2671" s="31" t="inlineStr">
        <is>
          <t>S5</t>
        </is>
      </c>
      <c r="O2671" s="31" t="inlineStr">
        <is>
          <t>325-027-303-0</t>
        </is>
      </c>
      <c r="P2671" s="31" t="inlineStr">
        <is>
          <t>SR Technics Switzerland</t>
        </is>
      </c>
    </row>
    <row r="2672">
      <c r="B2672" s="31" t="inlineStr">
        <is>
          <t>CFM56-7B</t>
        </is>
      </c>
      <c r="C2672" s="31" t="inlineStr">
        <is>
          <t>2025-2026</t>
        </is>
      </c>
      <c r="D2672" s="31" t="inlineStr">
        <is>
          <t>140138</t>
        </is>
      </c>
      <c r="E2672" s="31" t="inlineStr">
        <is>
          <t>26-11-01</t>
        </is>
      </c>
      <c r="F2672" s="31" t="inlineStr">
        <is>
          <t>G</t>
        </is>
      </c>
      <c r="G2672" s="31" t="inlineStr">
        <is>
          <t>Other / assembly</t>
        </is>
      </c>
      <c r="H2672" s="27" t="n">
        <v>8515</v>
      </c>
      <c r="I2672" s="27" t="n">
        <v>9030</v>
      </c>
      <c r="J2672" s="154">
        <f>I2672/H2672-1</f>
        <v/>
      </c>
      <c r="K2672" s="31" t="inlineStr">
        <is>
          <t>15</t>
        </is>
      </c>
      <c r="L2672" s="31" t="inlineStr">
        <is>
          <t>15</t>
        </is>
      </c>
      <c r="M2672" s="31" t="inlineStr">
        <is>
          <t>S3</t>
        </is>
      </c>
      <c r="N2672" s="31" t="inlineStr">
        <is>
          <t>S5</t>
        </is>
      </c>
      <c r="O2672" s="31" t="inlineStr">
        <is>
          <t>325-027-303-0</t>
        </is>
      </c>
      <c r="P2672" s="31" t="inlineStr">
        <is>
          <t>SR Technics Switzerland</t>
        </is>
      </c>
    </row>
    <row r="2673">
      <c r="B2673" s="31" t="inlineStr">
        <is>
          <t>CFM56-7B</t>
        </is>
      </c>
      <c r="C2673" s="31" t="inlineStr">
        <is>
          <t>2025-2026</t>
        </is>
      </c>
      <c r="D2673" s="31" t="inlineStr">
        <is>
          <t>140140</t>
        </is>
      </c>
      <c r="E2673" s="31" t="inlineStr">
        <is>
          <t>26-11-02</t>
        </is>
      </c>
      <c r="F2673" s="31" t="inlineStr">
        <is>
          <t>C</t>
        </is>
      </c>
      <c r="G2673" s="31" t="inlineStr">
        <is>
          <t>Other / assembly</t>
        </is>
      </c>
      <c r="H2673" s="27" t="n">
        <v>525</v>
      </c>
      <c r="I2673" s="27" t="n">
        <v>560</v>
      </c>
      <c r="J2673" s="154">
        <f>I2673/H2673-1</f>
        <v/>
      </c>
      <c r="K2673" s="31" t="inlineStr">
        <is>
          <t>49</t>
        </is>
      </c>
      <c r="L2673" s="31" t="inlineStr">
        <is>
          <t>49</t>
        </is>
      </c>
      <c r="M2673" s="31" t="inlineStr">
        <is>
          <t>S3</t>
        </is>
      </c>
      <c r="N2673" s="31" t="inlineStr">
        <is>
          <t>S5</t>
        </is>
      </c>
      <c r="O2673" s="31" t="inlineStr">
        <is>
          <t>325-027-503-0</t>
        </is>
      </c>
      <c r="P2673" s="31" t="inlineStr">
        <is>
          <t>SR Technics Switzerland</t>
        </is>
      </c>
    </row>
    <row r="2674">
      <c r="B2674" s="31" t="inlineStr">
        <is>
          <t>CFM56-7B</t>
        </is>
      </c>
      <c r="C2674" s="31" t="inlineStr">
        <is>
          <t>2025-2026</t>
        </is>
      </c>
      <c r="D2674" s="31" t="inlineStr">
        <is>
          <t>140140</t>
        </is>
      </c>
      <c r="E2674" s="31" t="inlineStr">
        <is>
          <t>26-11-02</t>
        </is>
      </c>
      <c r="F2674" s="31" t="inlineStr">
        <is>
          <t>D</t>
        </is>
      </c>
      <c r="G2674" s="31" t="inlineStr">
        <is>
          <t>Other / assembly</t>
        </is>
      </c>
      <c r="H2674" s="27" t="n">
        <v>1140</v>
      </c>
      <c r="I2674" s="27" t="n">
        <v>1210</v>
      </c>
      <c r="J2674" s="154">
        <f>I2674/H2674-1</f>
        <v/>
      </c>
      <c r="K2674" s="31" t="inlineStr">
        <is>
          <t>50</t>
        </is>
      </c>
      <c r="L2674" s="31" t="inlineStr">
        <is>
          <t>49</t>
        </is>
      </c>
      <c r="M2674" s="31" t="inlineStr">
        <is>
          <t>S3</t>
        </is>
      </c>
      <c r="N2674" s="31" t="inlineStr">
        <is>
          <t>S5</t>
        </is>
      </c>
      <c r="O2674" s="31" t="inlineStr">
        <is>
          <t>325-027-503-0</t>
        </is>
      </c>
      <c r="P2674" s="31" t="inlineStr">
        <is>
          <t>SR Technics Switzerland</t>
        </is>
      </c>
    </row>
    <row r="2675">
      <c r="B2675" s="31" t="inlineStr">
        <is>
          <t>CFM56-7B</t>
        </is>
      </c>
      <c r="C2675" s="31" t="inlineStr">
        <is>
          <t>2025-2026</t>
        </is>
      </c>
      <c r="D2675" s="31" t="inlineStr">
        <is>
          <t>140150</t>
        </is>
      </c>
      <c r="E2675" s="31" t="inlineStr">
        <is>
          <t>72-23-23</t>
        </is>
      </c>
      <c r="F2675" s="31" t="inlineStr">
        <is>
          <t>A</t>
        </is>
      </c>
      <c r="G2675" s="31" t="inlineStr">
        <is>
          <t>Fan / booster</t>
        </is>
      </c>
      <c r="H2675" s="27" t="n">
        <v>1075</v>
      </c>
      <c r="I2675" s="27" t="n">
        <v>1130</v>
      </c>
      <c r="J2675" s="154">
        <f>I2675/H2675-1</f>
        <v/>
      </c>
      <c r="K2675" s="31" t="inlineStr">
        <is>
          <t>16</t>
        </is>
      </c>
      <c r="L2675" s="31" t="inlineStr">
        <is>
          <t>15</t>
        </is>
      </c>
      <c r="M2675" s="31" t="inlineStr">
        <is>
          <t>S3</t>
        </is>
      </c>
      <c r="N2675" s="31" t="inlineStr">
        <is>
          <t>S5</t>
        </is>
      </c>
      <c r="O2675" s="31" t="inlineStr">
        <is>
          <t>338-007-103-0</t>
        </is>
      </c>
      <c r="P2675" s="31" t="inlineStr">
        <is>
          <t>SR Technics Switzerland</t>
        </is>
      </c>
    </row>
    <row r="2676">
      <c r="B2676" s="31" t="inlineStr">
        <is>
          <t>CFM56-7B</t>
        </is>
      </c>
      <c r="C2676" s="31" t="inlineStr">
        <is>
          <t>2025-2026</t>
        </is>
      </c>
      <c r="D2676" s="31" t="inlineStr">
        <is>
          <t>140150</t>
        </is>
      </c>
      <c r="E2676" s="31" t="inlineStr">
        <is>
          <t>72-23-23</t>
        </is>
      </c>
      <c r="F2676" s="31" t="inlineStr">
        <is>
          <t>C</t>
        </is>
      </c>
      <c r="G2676" s="31" t="inlineStr">
        <is>
          <t>Fan / booster</t>
        </is>
      </c>
      <c r="H2676" s="27" t="n">
        <v>1930</v>
      </c>
      <c r="I2676" s="27" t="n">
        <v>2050</v>
      </c>
      <c r="J2676" s="154">
        <f>I2676/H2676-1</f>
        <v/>
      </c>
      <c r="K2676" s="31" t="inlineStr">
        <is>
          <t>16</t>
        </is>
      </c>
      <c r="L2676" s="31" t="inlineStr">
        <is>
          <t>15</t>
        </is>
      </c>
      <c r="M2676" s="31" t="inlineStr">
        <is>
          <t>S3</t>
        </is>
      </c>
      <c r="N2676" s="31" t="inlineStr">
        <is>
          <t>S5</t>
        </is>
      </c>
      <c r="O2676" s="31" t="inlineStr">
        <is>
          <t>338-007-103-0</t>
        </is>
      </c>
      <c r="P2676" s="31" t="inlineStr">
        <is>
          <t>SR Technics Switzerland</t>
        </is>
      </c>
    </row>
    <row r="2677">
      <c r="B2677" s="31" t="inlineStr">
        <is>
          <t>CFM56-7B</t>
        </is>
      </c>
      <c r="C2677" s="31" t="inlineStr">
        <is>
          <t>2025-2026</t>
        </is>
      </c>
      <c r="D2677" s="31" t="inlineStr">
        <is>
          <t>140150</t>
        </is>
      </c>
      <c r="E2677" s="31" t="inlineStr">
        <is>
          <t>72-23-23</t>
        </is>
      </c>
      <c r="F2677" s="31" t="inlineStr">
        <is>
          <t>D</t>
        </is>
      </c>
      <c r="G2677" s="31" t="inlineStr">
        <is>
          <t>Fan / booster</t>
        </is>
      </c>
      <c r="H2677" s="27" t="n">
        <v>2205</v>
      </c>
      <c r="I2677" s="27" t="n">
        <v>2340</v>
      </c>
      <c r="J2677" s="154">
        <f>I2677/H2677-1</f>
        <v/>
      </c>
      <c r="K2677" s="31" t="inlineStr">
        <is>
          <t>16</t>
        </is>
      </c>
      <c r="L2677" s="31" t="inlineStr">
        <is>
          <t>15</t>
        </is>
      </c>
      <c r="M2677" s="31" t="inlineStr">
        <is>
          <t>S3</t>
        </is>
      </c>
      <c r="N2677" s="31" t="inlineStr">
        <is>
          <t>S5</t>
        </is>
      </c>
      <c r="O2677" s="31" t="inlineStr">
        <is>
          <t>338-007-103-0</t>
        </is>
      </c>
      <c r="P2677" s="31" t="inlineStr">
        <is>
          <t>SR Technics Switzerland</t>
        </is>
      </c>
    </row>
    <row r="2678">
      <c r="B2678" s="31" t="inlineStr">
        <is>
          <t>CFM56-7B</t>
        </is>
      </c>
      <c r="C2678" s="31" t="inlineStr">
        <is>
          <t>2025-2026</t>
        </is>
      </c>
      <c r="D2678" s="31" t="inlineStr">
        <is>
          <t>140150</t>
        </is>
      </c>
      <c r="E2678" s="31" t="inlineStr">
        <is>
          <t>72-23-23</t>
        </is>
      </c>
      <c r="F2678" s="31" t="inlineStr">
        <is>
          <t>F</t>
        </is>
      </c>
      <c r="G2678" s="31" t="inlineStr">
        <is>
          <t>Fan / booster</t>
        </is>
      </c>
      <c r="H2678" s="27" t="n">
        <v>5725</v>
      </c>
      <c r="I2678" s="27" t="n">
        <v>6070</v>
      </c>
      <c r="J2678" s="154">
        <f>I2678/H2678-1</f>
        <v/>
      </c>
      <c r="K2678" s="31" t="inlineStr">
        <is>
          <t>16</t>
        </is>
      </c>
      <c r="L2678" s="31" t="inlineStr">
        <is>
          <t>15</t>
        </is>
      </c>
      <c r="M2678" s="31" t="inlineStr">
        <is>
          <t>S3</t>
        </is>
      </c>
      <c r="N2678" s="31" t="inlineStr">
        <is>
          <t>S5</t>
        </is>
      </c>
      <c r="O2678" s="31" t="inlineStr">
        <is>
          <t>338-007-103-0</t>
        </is>
      </c>
      <c r="P2678" s="31" t="inlineStr">
        <is>
          <t>SR Technics Switzerland</t>
        </is>
      </c>
    </row>
    <row r="2679">
      <c r="B2679" s="31" t="inlineStr">
        <is>
          <t>CFM56-7B</t>
        </is>
      </c>
      <c r="C2679" s="31" t="inlineStr">
        <is>
          <t>2025-2026</t>
        </is>
      </c>
      <c r="D2679" s="31" t="inlineStr">
        <is>
          <t>140150</t>
        </is>
      </c>
      <c r="E2679" s="31" t="inlineStr">
        <is>
          <t>72-23-23</t>
        </is>
      </c>
      <c r="F2679" s="31" t="inlineStr">
        <is>
          <t>G</t>
        </is>
      </c>
      <c r="G2679" s="31" t="inlineStr">
        <is>
          <t>Fan / booster</t>
        </is>
      </c>
      <c r="H2679" s="27" t="n">
        <v>4250</v>
      </c>
      <c r="I2679" s="27" t="n">
        <v>4505</v>
      </c>
      <c r="J2679" s="154">
        <f>I2679/H2679-1</f>
        <v/>
      </c>
      <c r="K2679" s="31" t="inlineStr">
        <is>
          <t>16</t>
        </is>
      </c>
      <c r="L2679" s="31" t="inlineStr">
        <is>
          <t>15</t>
        </is>
      </c>
      <c r="M2679" s="31" t="inlineStr">
        <is>
          <t>S3</t>
        </is>
      </c>
      <c r="N2679" s="31" t="inlineStr">
        <is>
          <t>S5</t>
        </is>
      </c>
      <c r="O2679" s="31" t="inlineStr">
        <is>
          <t>338-007-103-0</t>
        </is>
      </c>
      <c r="P2679" s="31" t="inlineStr">
        <is>
          <t>SR Technics Switzerland</t>
        </is>
      </c>
    </row>
    <row r="2680">
      <c r="B2680" s="31" t="inlineStr">
        <is>
          <t>CFM56-7B</t>
        </is>
      </c>
      <c r="C2680" s="31" t="inlineStr">
        <is>
          <t>2025-2026</t>
        </is>
      </c>
      <c r="D2680" s="31" t="inlineStr">
        <is>
          <t>140151</t>
        </is>
      </c>
      <c r="E2680" s="31" t="inlineStr">
        <is>
          <t>72-23-01</t>
        </is>
      </c>
      <c r="F2680" s="31" t="inlineStr">
        <is>
          <t>A</t>
        </is>
      </c>
      <c r="G2680" s="31" t="inlineStr">
        <is>
          <t>Fan / booster</t>
        </is>
      </c>
      <c r="H2680" s="27" t="n">
        <v>4025</v>
      </c>
      <c r="I2680" s="27" t="n">
        <v>4230</v>
      </c>
      <c r="J2680" s="154">
        <f>I2680/H2680-1</f>
        <v/>
      </c>
      <c r="K2680" s="31" t="inlineStr">
        <is>
          <t>16</t>
        </is>
      </c>
      <c r="L2680" s="31" t="inlineStr">
        <is>
          <t>15</t>
        </is>
      </c>
      <c r="M2680" s="31" t="inlineStr">
        <is>
          <t>S3</t>
        </is>
      </c>
      <c r="N2680" s="31" t="inlineStr">
        <is>
          <t>S5</t>
        </is>
      </c>
      <c r="O2680" s="31" t="inlineStr">
        <is>
          <t>340-002-805-0</t>
        </is>
      </c>
      <c r="P2680" s="31" t="inlineStr">
        <is>
          <t>SR Technics Switzerland</t>
        </is>
      </c>
    </row>
    <row r="2681">
      <c r="B2681" s="31" t="inlineStr">
        <is>
          <t>CFM56-7B</t>
        </is>
      </c>
      <c r="C2681" s="31" t="inlineStr">
        <is>
          <t>2025-2026</t>
        </is>
      </c>
      <c r="D2681" s="31" t="inlineStr">
        <is>
          <t>140151</t>
        </is>
      </c>
      <c r="E2681" s="31" t="inlineStr">
        <is>
          <t>72-23-01</t>
        </is>
      </c>
      <c r="F2681" s="31" t="inlineStr">
        <is>
          <t>AI</t>
        </is>
      </c>
      <c r="G2681" s="31" t="inlineStr">
        <is>
          <t>Fan / booster</t>
        </is>
      </c>
      <c r="H2681" s="27" t="n">
        <v>855</v>
      </c>
      <c r="I2681" s="27" t="n">
        <v>910</v>
      </c>
      <c r="J2681" s="154">
        <f>I2681/H2681-1</f>
        <v/>
      </c>
      <c r="K2681" s="31" t="inlineStr">
        <is>
          <t>16</t>
        </is>
      </c>
      <c r="L2681" s="31" t="inlineStr">
        <is>
          <t>15</t>
        </is>
      </c>
      <c r="M2681" s="31" t="inlineStr">
        <is>
          <t>S3</t>
        </is>
      </c>
      <c r="N2681" s="31" t="inlineStr">
        <is>
          <t>S5</t>
        </is>
      </c>
      <c r="O2681" s="31" t="inlineStr">
        <is>
          <t>340-002-805-0</t>
        </is>
      </c>
      <c r="P2681" s="31" t="inlineStr">
        <is>
          <t>SR Technics Switzerland</t>
        </is>
      </c>
    </row>
    <row r="2682">
      <c r="B2682" s="31" t="inlineStr">
        <is>
          <t>CFM56-7B</t>
        </is>
      </c>
      <c r="C2682" s="31" t="inlineStr">
        <is>
          <t>2025-2026</t>
        </is>
      </c>
      <c r="D2682" s="31" t="inlineStr">
        <is>
          <t>140151</t>
        </is>
      </c>
      <c r="E2682" s="31" t="inlineStr">
        <is>
          <t>72-23-01</t>
        </is>
      </c>
      <c r="F2682" s="31" t="inlineStr">
        <is>
          <t>B</t>
        </is>
      </c>
      <c r="G2682" s="31" t="inlineStr">
        <is>
          <t>Fan / booster</t>
        </is>
      </c>
      <c r="H2682" s="27" t="n">
        <v>815</v>
      </c>
      <c r="I2682" s="27" t="n">
        <v>865</v>
      </c>
      <c r="J2682" s="154">
        <f>I2682/H2682-1</f>
        <v/>
      </c>
      <c r="K2682" s="31" t="inlineStr">
        <is>
          <t>16</t>
        </is>
      </c>
      <c r="L2682" s="31" t="inlineStr">
        <is>
          <t>15</t>
        </is>
      </c>
      <c r="M2682" s="31" t="inlineStr">
        <is>
          <t>S3</t>
        </is>
      </c>
      <c r="N2682" s="31" t="inlineStr">
        <is>
          <t>S5</t>
        </is>
      </c>
      <c r="O2682" s="31" t="inlineStr">
        <is>
          <t>340-002-805-0</t>
        </is>
      </c>
      <c r="P2682" s="31" t="inlineStr">
        <is>
          <t>SR Technics Switzerland</t>
        </is>
      </c>
    </row>
    <row r="2683">
      <c r="B2683" s="31" t="inlineStr">
        <is>
          <t>CFM56-7B</t>
        </is>
      </c>
      <c r="C2683" s="31" t="inlineStr">
        <is>
          <t>2025-2026</t>
        </is>
      </c>
      <c r="D2683" s="31" t="inlineStr">
        <is>
          <t>140151</t>
        </is>
      </c>
      <c r="E2683" s="31" t="inlineStr">
        <is>
          <t>72-23-01</t>
        </is>
      </c>
      <c r="F2683" s="31" t="inlineStr">
        <is>
          <t>D</t>
        </is>
      </c>
      <c r="G2683" s="31" t="inlineStr">
        <is>
          <t>Fan / booster</t>
        </is>
      </c>
      <c r="H2683" s="27" t="n">
        <v>940</v>
      </c>
      <c r="I2683" s="27" t="n">
        <v>1000</v>
      </c>
      <c r="J2683" s="154">
        <f>I2683/H2683-1</f>
        <v/>
      </c>
      <c r="K2683" s="31" t="inlineStr">
        <is>
          <t>16</t>
        </is>
      </c>
      <c r="L2683" s="31" t="inlineStr">
        <is>
          <t>15</t>
        </is>
      </c>
      <c r="M2683" s="31" t="inlineStr">
        <is>
          <t>S3</t>
        </is>
      </c>
      <c r="N2683" s="31" t="inlineStr">
        <is>
          <t>S5</t>
        </is>
      </c>
      <c r="O2683" s="31" t="inlineStr">
        <is>
          <t>340-002-805-0</t>
        </is>
      </c>
      <c r="P2683" s="31" t="inlineStr">
        <is>
          <t>SR Technics Switzerland</t>
        </is>
      </c>
    </row>
    <row r="2684">
      <c r="B2684" s="31" t="inlineStr">
        <is>
          <t>CFM56-7B</t>
        </is>
      </c>
      <c r="C2684" s="31" t="inlineStr">
        <is>
          <t>2025-2026</t>
        </is>
      </c>
      <c r="D2684" s="31" t="inlineStr">
        <is>
          <t>140151</t>
        </is>
      </c>
      <c r="E2684" s="31" t="inlineStr">
        <is>
          <t>72-23-01</t>
        </is>
      </c>
      <c r="F2684" s="31" t="inlineStr">
        <is>
          <t>K</t>
        </is>
      </c>
      <c r="G2684" s="31" t="inlineStr">
        <is>
          <t>Fan / booster</t>
        </is>
      </c>
      <c r="H2684" s="27" t="n">
        <v>1120</v>
      </c>
      <c r="I2684" s="27" t="n">
        <v>1190</v>
      </c>
      <c r="J2684" s="154">
        <f>I2684/H2684-1</f>
        <v/>
      </c>
      <c r="K2684" s="31" t="inlineStr">
        <is>
          <t>16</t>
        </is>
      </c>
      <c r="L2684" s="31" t="inlineStr">
        <is>
          <t>15</t>
        </is>
      </c>
      <c r="M2684" s="31" t="inlineStr">
        <is>
          <t>S3</t>
        </is>
      </c>
      <c r="N2684" s="31" t="inlineStr">
        <is>
          <t>S5</t>
        </is>
      </c>
      <c r="O2684" s="31" t="inlineStr">
        <is>
          <t>340-002-805-0</t>
        </is>
      </c>
      <c r="P2684" s="31" t="inlineStr">
        <is>
          <t>SR Technics Switzerland</t>
        </is>
      </c>
    </row>
    <row r="2685">
      <c r="B2685" s="31" t="inlineStr">
        <is>
          <t>CFM56-7B</t>
        </is>
      </c>
      <c r="C2685" s="31" t="inlineStr">
        <is>
          <t>2025-2026</t>
        </is>
      </c>
      <c r="D2685" s="31" t="inlineStr">
        <is>
          <t>140152</t>
        </is>
      </c>
      <c r="E2685" s="31" t="inlineStr">
        <is>
          <t>72-21-19</t>
        </is>
      </c>
      <c r="F2685" s="31" t="inlineStr">
        <is>
          <t>A</t>
        </is>
      </c>
      <c r="G2685" s="31" t="inlineStr">
        <is>
          <t>Fan / booster</t>
        </is>
      </c>
      <c r="H2685" s="27" t="n">
        <v>65</v>
      </c>
      <c r="I2685" s="27" t="n">
        <v>70</v>
      </c>
      <c r="J2685" s="154">
        <f>I2685/H2685-1</f>
        <v/>
      </c>
      <c r="K2685" s="31" t="inlineStr">
        <is>
          <t>50</t>
        </is>
      </c>
      <c r="L2685" s="31" t="inlineStr">
        <is>
          <t>49</t>
        </is>
      </c>
      <c r="M2685" s="31" t="inlineStr">
        <is>
          <t>S3</t>
        </is>
      </c>
      <c r="N2685" s="31" t="inlineStr">
        <is>
          <t>S5</t>
        </is>
      </c>
      <c r="O2685" s="31" t="inlineStr">
        <is>
          <t>340-003-206-0</t>
        </is>
      </c>
      <c r="P2685" s="31" t="inlineStr">
        <is>
          <t>SR Technics Switzerland</t>
        </is>
      </c>
    </row>
    <row r="2686">
      <c r="B2686" s="31" t="inlineStr">
        <is>
          <t>CFM56-7B</t>
        </is>
      </c>
      <c r="C2686" s="31" t="inlineStr">
        <is>
          <t>2025-2026</t>
        </is>
      </c>
      <c r="D2686" s="31" t="inlineStr">
        <is>
          <t>140170</t>
        </is>
      </c>
      <c r="E2686" s="31" t="inlineStr">
        <is>
          <t>72-23-32</t>
        </is>
      </c>
      <c r="F2686" s="31" t="inlineStr">
        <is>
          <t>B</t>
        </is>
      </c>
      <c r="G2686" s="31" t="inlineStr">
        <is>
          <t>Fan / booster</t>
        </is>
      </c>
      <c r="H2686" s="27" t="n">
        <v>1085</v>
      </c>
      <c r="I2686" s="27" t="n">
        <v>1155</v>
      </c>
      <c r="J2686" s="154">
        <f>I2686/H2686-1</f>
        <v/>
      </c>
      <c r="K2686" s="31" t="inlineStr">
        <is>
          <t>50</t>
        </is>
      </c>
      <c r="L2686" s="31" t="inlineStr">
        <is>
          <t>49</t>
        </is>
      </c>
      <c r="M2686" s="31" t="inlineStr">
        <is>
          <t>S3</t>
        </is>
      </c>
      <c r="N2686" s="31" t="inlineStr">
        <is>
          <t>S5</t>
        </is>
      </c>
      <c r="O2686" s="31" t="inlineStr">
        <is>
          <t>340-063-804-0</t>
        </is>
      </c>
      <c r="P2686" s="31" t="inlineStr">
        <is>
          <t>SR Technics Switzerland</t>
        </is>
      </c>
    </row>
    <row r="2687">
      <c r="B2687" s="31" t="inlineStr">
        <is>
          <t>CFM56-7B</t>
        </is>
      </c>
      <c r="C2687" s="31" t="inlineStr">
        <is>
          <t>2025-2026</t>
        </is>
      </c>
      <c r="D2687" s="31" t="inlineStr">
        <is>
          <t>140170</t>
        </is>
      </c>
      <c r="E2687" s="31" t="inlineStr">
        <is>
          <t>72-23-32</t>
        </is>
      </c>
      <c r="F2687" s="31" t="inlineStr">
        <is>
          <t>C</t>
        </is>
      </c>
      <c r="G2687" s="31" t="inlineStr">
        <is>
          <t>Fan / booster</t>
        </is>
      </c>
      <c r="H2687" s="27" t="n">
        <v>1175</v>
      </c>
      <c r="I2687" s="27" t="n">
        <v>1250</v>
      </c>
      <c r="J2687" s="154">
        <f>I2687/H2687-1</f>
        <v/>
      </c>
      <c r="K2687" s="31" t="inlineStr">
        <is>
          <t>50</t>
        </is>
      </c>
      <c r="L2687" s="31" t="inlineStr">
        <is>
          <t>49</t>
        </is>
      </c>
      <c r="M2687" s="31" t="inlineStr">
        <is>
          <t>S3</t>
        </is>
      </c>
      <c r="N2687" s="31" t="inlineStr">
        <is>
          <t>S5</t>
        </is>
      </c>
      <c r="O2687" s="31" t="inlineStr">
        <is>
          <t>340-063-804-0</t>
        </is>
      </c>
      <c r="P2687" s="31" t="inlineStr">
        <is>
          <t>SR Technics Switzerland</t>
        </is>
      </c>
    </row>
    <row r="2688">
      <c r="B2688" s="31" t="inlineStr">
        <is>
          <t>CFM56-7B</t>
        </is>
      </c>
      <c r="C2688" s="31" t="inlineStr">
        <is>
          <t>2025-2026</t>
        </is>
      </c>
      <c r="D2688" s="31" t="inlineStr">
        <is>
          <t>140170</t>
        </is>
      </c>
      <c r="E2688" s="31" t="inlineStr">
        <is>
          <t>72-23-32</t>
        </is>
      </c>
      <c r="F2688" s="31" t="inlineStr">
        <is>
          <t>D</t>
        </is>
      </c>
      <c r="G2688" s="31" t="inlineStr">
        <is>
          <t>Fan / booster</t>
        </is>
      </c>
      <c r="H2688" s="27" t="n">
        <v>385</v>
      </c>
      <c r="I2688" s="27" t="n">
        <v>410</v>
      </c>
      <c r="J2688" s="154">
        <f>I2688/H2688-1</f>
        <v/>
      </c>
      <c r="K2688" s="31" t="inlineStr">
        <is>
          <t>50</t>
        </is>
      </c>
      <c r="L2688" s="31" t="inlineStr">
        <is>
          <t>50</t>
        </is>
      </c>
      <c r="M2688" s="31" t="inlineStr">
        <is>
          <t>S3</t>
        </is>
      </c>
      <c r="N2688" s="31" t="inlineStr">
        <is>
          <t>S5</t>
        </is>
      </c>
      <c r="O2688" s="31" t="inlineStr">
        <is>
          <t>340-063-804-0</t>
        </is>
      </c>
      <c r="P2688" s="31" t="inlineStr">
        <is>
          <t>SR Technics Switzerland</t>
        </is>
      </c>
    </row>
    <row r="2689">
      <c r="B2689" s="31" t="inlineStr">
        <is>
          <t>CFM56-7B</t>
        </is>
      </c>
      <c r="C2689" s="31" t="inlineStr">
        <is>
          <t>2025-2026</t>
        </is>
      </c>
      <c r="D2689" s="31" t="inlineStr">
        <is>
          <t>140182</t>
        </is>
      </c>
      <c r="E2689" s="31" t="inlineStr">
        <is>
          <t>77-21-17</t>
        </is>
      </c>
      <c r="F2689" s="31" t="inlineStr">
        <is>
          <t>B</t>
        </is>
      </c>
      <c r="G2689" s="31" t="inlineStr">
        <is>
          <t>Other / assembly</t>
        </is>
      </c>
      <c r="H2689" s="27" t="n">
        <v>490</v>
      </c>
      <c r="I2689" s="27" t="n">
        <v>520</v>
      </c>
      <c r="J2689" s="154">
        <f>I2689/H2689-1</f>
        <v/>
      </c>
      <c r="K2689" s="31" t="inlineStr">
        <is>
          <t>50</t>
        </is>
      </c>
      <c r="L2689" s="31" t="inlineStr">
        <is>
          <t>50</t>
        </is>
      </c>
      <c r="M2689" s="31" t="inlineStr">
        <is>
          <t>S3</t>
        </is>
      </c>
      <c r="N2689" s="31" t="inlineStr">
        <is>
          <t>S5</t>
        </is>
      </c>
      <c r="O2689" s="31" t="inlineStr">
        <is>
          <t>340-402-503-0</t>
        </is>
      </c>
      <c r="P2689" s="31" t="inlineStr">
        <is>
          <t>SR Technics Switzerland</t>
        </is>
      </c>
    </row>
    <row r="2690">
      <c r="B2690" s="31" t="inlineStr">
        <is>
          <t>CFM56-7B</t>
        </is>
      </c>
      <c r="C2690" s="31" t="inlineStr">
        <is>
          <t>2025-2026</t>
        </is>
      </c>
      <c r="D2690" s="31" t="inlineStr">
        <is>
          <t>140245</t>
        </is>
      </c>
      <c r="E2690" s="31" t="inlineStr">
        <is>
          <t>72-54-11</t>
        </is>
      </c>
      <c r="F2690" s="31" t="inlineStr">
        <is>
          <t>B</t>
        </is>
      </c>
      <c r="G2690" s="31" t="inlineStr">
        <is>
          <t>LPT</t>
        </is>
      </c>
      <c r="H2690" s="27" t="n">
        <v>1130</v>
      </c>
      <c r="I2690" s="27" t="n">
        <v>1200</v>
      </c>
      <c r="J2690" s="154">
        <f>I2690/H2690-1</f>
        <v/>
      </c>
      <c r="K2690" s="31" t="inlineStr">
        <is>
          <t>50</t>
        </is>
      </c>
      <c r="L2690" s="31" t="inlineStr">
        <is>
          <t>50</t>
        </is>
      </c>
      <c r="M2690" s="31" t="inlineStr">
        <is>
          <t>S3</t>
        </is>
      </c>
      <c r="N2690" s="31" t="inlineStr">
        <is>
          <t>S5</t>
        </is>
      </c>
      <c r="O2690" s="31" t="inlineStr">
        <is>
          <t>338-061-302-0</t>
        </is>
      </c>
      <c r="P2690" s="31" t="inlineStr">
        <is>
          <t>SR Technics Switzerland</t>
        </is>
      </c>
    </row>
    <row r="2691">
      <c r="B2691" s="31" t="inlineStr">
        <is>
          <t>CFM56-7B</t>
        </is>
      </c>
      <c r="C2691" s="31" t="inlineStr">
        <is>
          <t>2025-2026</t>
        </is>
      </c>
      <c r="D2691" s="31" t="inlineStr">
        <is>
          <t>140245</t>
        </is>
      </c>
      <c r="E2691" s="31" t="inlineStr">
        <is>
          <t>72-54-11</t>
        </is>
      </c>
      <c r="F2691" s="31" t="inlineStr">
        <is>
          <t>F</t>
        </is>
      </c>
      <c r="G2691" s="31" t="inlineStr">
        <is>
          <t>LPT</t>
        </is>
      </c>
      <c r="H2691" s="27" t="n">
        <v>845</v>
      </c>
      <c r="I2691" s="27" t="n">
        <v>900</v>
      </c>
      <c r="J2691" s="154">
        <f>I2691/H2691-1</f>
        <v/>
      </c>
      <c r="K2691" s="31" t="inlineStr">
        <is>
          <t>50</t>
        </is>
      </c>
      <c r="L2691" s="31" t="inlineStr">
        <is>
          <t>50</t>
        </is>
      </c>
      <c r="M2691" s="31" t="inlineStr">
        <is>
          <t>S3</t>
        </is>
      </c>
      <c r="N2691" s="31" t="inlineStr">
        <is>
          <t>S5</t>
        </is>
      </c>
      <c r="O2691" s="31" t="inlineStr">
        <is>
          <t>338-061-302-0</t>
        </is>
      </c>
      <c r="P2691" s="31" t="inlineStr">
        <is>
          <t>SR Technics Switzerland</t>
        </is>
      </c>
    </row>
    <row r="2692">
      <c r="B2692" s="31" t="inlineStr">
        <is>
          <t>CFM56-7B</t>
        </is>
      </c>
      <c r="C2692" s="31" t="inlineStr">
        <is>
          <t>2025-2026</t>
        </is>
      </c>
      <c r="D2692" s="31" t="inlineStr">
        <is>
          <t>140245</t>
        </is>
      </c>
      <c r="E2692" s="31" t="inlineStr">
        <is>
          <t>72-54-11</t>
        </is>
      </c>
      <c r="F2692" s="31" t="inlineStr">
        <is>
          <t>H</t>
        </is>
      </c>
      <c r="G2692" s="31" t="inlineStr">
        <is>
          <t>LPT</t>
        </is>
      </c>
      <c r="H2692" s="27" t="n">
        <v>585</v>
      </c>
      <c r="I2692" s="27" t="n">
        <v>625</v>
      </c>
      <c r="J2692" s="154">
        <f>I2692/H2692-1</f>
        <v/>
      </c>
      <c r="K2692" s="31" t="inlineStr">
        <is>
          <t>50</t>
        </is>
      </c>
      <c r="L2692" s="31" t="inlineStr">
        <is>
          <t>50</t>
        </is>
      </c>
      <c r="M2692" s="31" t="inlineStr">
        <is>
          <t>S3</t>
        </is>
      </c>
      <c r="N2692" s="31" t="inlineStr">
        <is>
          <t>S5</t>
        </is>
      </c>
      <c r="O2692" s="31" t="inlineStr">
        <is>
          <t>338-061-302-0</t>
        </is>
      </c>
      <c r="P2692" s="31" t="inlineStr">
        <is>
          <t>SR Technics Switzerland</t>
        </is>
      </c>
    </row>
    <row r="2693">
      <c r="B2693" s="31" t="inlineStr">
        <is>
          <t>CFM56-7B</t>
        </is>
      </c>
      <c r="C2693" s="31" t="inlineStr">
        <is>
          <t>2025-2026</t>
        </is>
      </c>
      <c r="D2693" s="31" t="inlineStr">
        <is>
          <t>140245</t>
        </is>
      </c>
      <c r="E2693" s="31" t="inlineStr">
        <is>
          <t>72-54-11</t>
        </is>
      </c>
      <c r="F2693" s="31" t="inlineStr">
        <is>
          <t>K</t>
        </is>
      </c>
      <c r="G2693" s="31" t="inlineStr">
        <is>
          <t>LPT</t>
        </is>
      </c>
      <c r="H2693" s="27" t="n">
        <v>460</v>
      </c>
      <c r="I2693" s="27" t="n">
        <v>490</v>
      </c>
      <c r="J2693" s="154">
        <f>I2693/H2693-1</f>
        <v/>
      </c>
      <c r="K2693" s="31" t="inlineStr">
        <is>
          <t>50</t>
        </is>
      </c>
      <c r="L2693" s="31" t="inlineStr">
        <is>
          <t>50</t>
        </is>
      </c>
      <c r="M2693" s="31" t="inlineStr">
        <is>
          <t>S3</t>
        </is>
      </c>
      <c r="N2693" s="31" t="inlineStr">
        <is>
          <t>S5</t>
        </is>
      </c>
      <c r="O2693" s="31" t="inlineStr">
        <is>
          <t>338-061-302-0</t>
        </is>
      </c>
      <c r="P2693" s="31" t="inlineStr">
        <is>
          <t>SR Technics Switzerland</t>
        </is>
      </c>
    </row>
    <row r="2694">
      <c r="B2694" s="31" t="inlineStr">
        <is>
          <t>CFM56-7B</t>
        </is>
      </c>
      <c r="C2694" s="31" t="inlineStr">
        <is>
          <t>2025-2026</t>
        </is>
      </c>
      <c r="D2694" s="31" t="inlineStr">
        <is>
          <t>140245</t>
        </is>
      </c>
      <c r="E2694" s="31" t="inlineStr">
        <is>
          <t>72-54-11</t>
        </is>
      </c>
      <c r="F2694" s="31" t="inlineStr">
        <is>
          <t>L</t>
        </is>
      </c>
      <c r="G2694" s="31" t="inlineStr">
        <is>
          <t>LPT</t>
        </is>
      </c>
      <c r="H2694" s="27" t="n">
        <v>3240</v>
      </c>
      <c r="I2694" s="27" t="n">
        <v>3435</v>
      </c>
      <c r="J2694" s="154">
        <f>I2694/H2694-1</f>
        <v/>
      </c>
      <c r="K2694" s="31" t="inlineStr">
        <is>
          <t>50</t>
        </is>
      </c>
      <c r="L2694" s="31" t="inlineStr">
        <is>
          <t>50</t>
        </is>
      </c>
      <c r="M2694" s="31" t="inlineStr">
        <is>
          <t>S3</t>
        </is>
      </c>
      <c r="N2694" s="31" t="inlineStr">
        <is>
          <t>S5</t>
        </is>
      </c>
      <c r="O2694" s="31" t="inlineStr">
        <is>
          <t>338-061-302-0</t>
        </is>
      </c>
      <c r="P2694" s="31" t="inlineStr">
        <is>
          <t>SR Technics Switzerland</t>
        </is>
      </c>
    </row>
    <row r="2695">
      <c r="B2695" s="31" t="inlineStr">
        <is>
          <t>CFM56-7B</t>
        </is>
      </c>
      <c r="C2695" s="31" t="inlineStr">
        <is>
          <t>2025-2026</t>
        </is>
      </c>
      <c r="D2695" s="31" t="inlineStr">
        <is>
          <t>140253</t>
        </is>
      </c>
      <c r="E2695" s="31" t="inlineStr">
        <is>
          <t>71-21-37</t>
        </is>
      </c>
      <c r="F2695" s="31" t="inlineStr">
        <is>
          <t>C</t>
        </is>
      </c>
      <c r="G2695" s="31" t="inlineStr">
        <is>
          <t>Other / assembly</t>
        </is>
      </c>
      <c r="H2695" s="27" t="n">
        <v>2005</v>
      </c>
      <c r="I2695" s="27" t="n">
        <v>2130</v>
      </c>
      <c r="J2695" s="154">
        <f>I2695/H2695-1</f>
        <v/>
      </c>
      <c r="K2695" s="31" t="inlineStr">
        <is>
          <t>16</t>
        </is>
      </c>
      <c r="L2695" s="31" t="inlineStr">
        <is>
          <t>15</t>
        </is>
      </c>
      <c r="M2695" s="31" t="inlineStr">
        <is>
          <t>S3</t>
        </is>
      </c>
      <c r="N2695" s="31" t="inlineStr">
        <is>
          <t>S5</t>
        </is>
      </c>
      <c r="O2695" s="31" t="inlineStr">
        <is>
          <t>310A2020-10</t>
        </is>
      </c>
      <c r="P2695" s="31" t="inlineStr">
        <is>
          <t>SR Technics Switzerland</t>
        </is>
      </c>
    </row>
    <row r="2696">
      <c r="B2696" s="31" t="inlineStr">
        <is>
          <t>CFM56-7B</t>
        </is>
      </c>
      <c r="C2696" s="31" t="inlineStr">
        <is>
          <t>2025-2026</t>
        </is>
      </c>
      <c r="D2696" s="31" t="inlineStr">
        <is>
          <t>140254</t>
        </is>
      </c>
      <c r="E2696" s="31" t="inlineStr">
        <is>
          <t>71-21-37</t>
        </is>
      </c>
      <c r="F2696" s="31" t="inlineStr">
        <is>
          <t>A</t>
        </is>
      </c>
      <c r="G2696" s="31" t="inlineStr">
        <is>
          <t>Other / assembly</t>
        </is>
      </c>
      <c r="H2696" s="27" t="n">
        <v>1015</v>
      </c>
      <c r="I2696" s="27" t="n">
        <v>1070</v>
      </c>
      <c r="J2696" s="154">
        <f>I2696/H2696-1</f>
        <v/>
      </c>
      <c r="K2696" s="31" t="inlineStr">
        <is>
          <t>16</t>
        </is>
      </c>
      <c r="L2696" s="31" t="inlineStr">
        <is>
          <t>15</t>
        </is>
      </c>
      <c r="M2696" s="31" t="inlineStr">
        <is>
          <t>S3</t>
        </is>
      </c>
      <c r="N2696" s="31" t="inlineStr">
        <is>
          <t>S5</t>
        </is>
      </c>
      <c r="O2696" s="31" t="inlineStr">
        <is>
          <t>310A2021-4</t>
        </is>
      </c>
      <c r="P2696" s="31" t="inlineStr">
        <is>
          <t>SR Technics Switzerland</t>
        </is>
      </c>
    </row>
    <row r="2697">
      <c r="B2697" s="31" t="inlineStr">
        <is>
          <t>CFM56-7B</t>
        </is>
      </c>
      <c r="C2697" s="31" t="inlineStr">
        <is>
          <t>2025-2026</t>
        </is>
      </c>
      <c r="D2697" s="31" t="inlineStr">
        <is>
          <t>140254</t>
        </is>
      </c>
      <c r="E2697" s="31" t="inlineStr">
        <is>
          <t>71-21-37</t>
        </is>
      </c>
      <c r="F2697" s="31" t="inlineStr">
        <is>
          <t>B</t>
        </is>
      </c>
      <c r="G2697" s="31" t="inlineStr">
        <is>
          <t>Other / assembly</t>
        </is>
      </c>
      <c r="H2697" s="27" t="n">
        <v>905</v>
      </c>
      <c r="I2697" s="27" t="n">
        <v>960</v>
      </c>
      <c r="J2697" s="154">
        <f>I2697/H2697-1</f>
        <v/>
      </c>
      <c r="K2697" s="31" t="inlineStr">
        <is>
          <t>16</t>
        </is>
      </c>
      <c r="L2697" s="31" t="inlineStr">
        <is>
          <t>15</t>
        </is>
      </c>
      <c r="M2697" s="31" t="inlineStr">
        <is>
          <t>S3</t>
        </is>
      </c>
      <c r="N2697" s="31" t="inlineStr">
        <is>
          <t>S5</t>
        </is>
      </c>
      <c r="O2697" s="31" t="inlineStr">
        <is>
          <t>310A2021-4</t>
        </is>
      </c>
      <c r="P2697" s="31" t="inlineStr">
        <is>
          <t>SR Technics Switzerland</t>
        </is>
      </c>
    </row>
    <row r="2698">
      <c r="B2698" s="31" t="inlineStr">
        <is>
          <t>CFM56-7B</t>
        </is>
      </c>
      <c r="C2698" s="31" t="inlineStr">
        <is>
          <t>2025-2026</t>
        </is>
      </c>
      <c r="D2698" s="31" t="inlineStr">
        <is>
          <t>140254</t>
        </is>
      </c>
      <c r="E2698" s="31" t="inlineStr">
        <is>
          <t>71-21-37</t>
        </is>
      </c>
      <c r="F2698" s="31" t="inlineStr">
        <is>
          <t>C</t>
        </is>
      </c>
      <c r="G2698" s="31" t="inlineStr">
        <is>
          <t>Other / assembly</t>
        </is>
      </c>
      <c r="H2698" s="27" t="n">
        <v>730</v>
      </c>
      <c r="I2698" s="27" t="n">
        <v>775</v>
      </c>
      <c r="J2698" s="154">
        <f>I2698/H2698-1</f>
        <v/>
      </c>
      <c r="K2698" s="31" t="inlineStr">
        <is>
          <t>16</t>
        </is>
      </c>
      <c r="L2698" s="31" t="inlineStr">
        <is>
          <t>15</t>
        </is>
      </c>
      <c r="M2698" s="31" t="inlineStr">
        <is>
          <t>S3</t>
        </is>
      </c>
      <c r="N2698" s="31" t="inlineStr">
        <is>
          <t>S5</t>
        </is>
      </c>
      <c r="O2698" s="31" t="inlineStr">
        <is>
          <t>310A2021-4</t>
        </is>
      </c>
      <c r="P2698" s="31" t="inlineStr">
        <is>
          <t>SR Technics Switzerland</t>
        </is>
      </c>
    </row>
    <row r="2699">
      <c r="B2699" s="31" t="inlineStr">
        <is>
          <t>CFM56-7B</t>
        </is>
      </c>
      <c r="C2699" s="31" t="inlineStr">
        <is>
          <t>2025-2026</t>
        </is>
      </c>
      <c r="D2699" s="31" t="inlineStr">
        <is>
          <t>140254</t>
        </is>
      </c>
      <c r="E2699" s="31" t="inlineStr">
        <is>
          <t>71-21-37</t>
        </is>
      </c>
      <c r="F2699" s="31" t="inlineStr">
        <is>
          <t>D</t>
        </is>
      </c>
      <c r="G2699" s="31" t="inlineStr">
        <is>
          <t>Other / assembly</t>
        </is>
      </c>
      <c r="H2699" s="27" t="n">
        <v>385</v>
      </c>
      <c r="I2699" s="27" t="n">
        <v>410</v>
      </c>
      <c r="J2699" s="154">
        <f>I2699/H2699-1</f>
        <v/>
      </c>
      <c r="K2699" s="31" t="inlineStr">
        <is>
          <t>16</t>
        </is>
      </c>
      <c r="L2699" s="31" t="inlineStr">
        <is>
          <t>15</t>
        </is>
      </c>
      <c r="M2699" s="31" t="inlineStr">
        <is>
          <t>S3</t>
        </is>
      </c>
      <c r="N2699" s="31" t="inlineStr">
        <is>
          <t>S5</t>
        </is>
      </c>
      <c r="O2699" s="31" t="inlineStr">
        <is>
          <t>310A2021-4</t>
        </is>
      </c>
      <c r="P2699" s="31" t="inlineStr">
        <is>
          <t>SR Technics Switzerland</t>
        </is>
      </c>
    </row>
    <row r="2700">
      <c r="B2700" s="31" t="inlineStr">
        <is>
          <t>CFM56-7B</t>
        </is>
      </c>
      <c r="C2700" s="31" t="inlineStr">
        <is>
          <t>2025-2026</t>
        </is>
      </c>
      <c r="D2700" s="31" t="inlineStr">
        <is>
          <t>140254</t>
        </is>
      </c>
      <c r="E2700" s="31" t="inlineStr">
        <is>
          <t>71-21-37</t>
        </is>
      </c>
      <c r="F2700" s="31" t="inlineStr">
        <is>
          <t>E</t>
        </is>
      </c>
      <c r="G2700" s="31" t="inlineStr">
        <is>
          <t>Other / assembly</t>
        </is>
      </c>
      <c r="H2700" s="27" t="n">
        <v>4995</v>
      </c>
      <c r="I2700" s="27" t="n">
        <v>5295</v>
      </c>
      <c r="J2700" s="154">
        <f>I2700/H2700-1</f>
        <v/>
      </c>
      <c r="K2700" s="31" t="inlineStr">
        <is>
          <t>16</t>
        </is>
      </c>
      <c r="L2700" s="31" t="inlineStr">
        <is>
          <t>15</t>
        </is>
      </c>
      <c r="M2700" s="31" t="inlineStr">
        <is>
          <t>S3</t>
        </is>
      </c>
      <c r="N2700" s="31" t="inlineStr">
        <is>
          <t>S5</t>
        </is>
      </c>
      <c r="O2700" s="31" t="inlineStr">
        <is>
          <t>310A2021-4</t>
        </is>
      </c>
      <c r="P2700" s="31" t="inlineStr">
        <is>
          <t>SR Technics Switzerland</t>
        </is>
      </c>
    </row>
    <row r="2701">
      <c r="B2701" s="31" t="inlineStr">
        <is>
          <t>CFM56-7B</t>
        </is>
      </c>
      <c r="C2701" s="31" t="inlineStr">
        <is>
          <t>2025-2026</t>
        </is>
      </c>
      <c r="D2701" s="31" t="inlineStr">
        <is>
          <t>140254</t>
        </is>
      </c>
      <c r="E2701" s="31" t="inlineStr">
        <is>
          <t>71-21-37</t>
        </is>
      </c>
      <c r="F2701" s="31" t="inlineStr">
        <is>
          <t>F</t>
        </is>
      </c>
      <c r="G2701" s="31" t="inlineStr">
        <is>
          <t>Other / assembly</t>
        </is>
      </c>
      <c r="H2701" s="27" t="n">
        <v>605</v>
      </c>
      <c r="I2701" s="27" t="n">
        <v>645</v>
      </c>
      <c r="J2701" s="154">
        <f>I2701/H2701-1</f>
        <v/>
      </c>
      <c r="K2701" s="31" t="inlineStr">
        <is>
          <t>16</t>
        </is>
      </c>
      <c r="L2701" s="31" t="inlineStr">
        <is>
          <t>15</t>
        </is>
      </c>
      <c r="M2701" s="31" t="inlineStr">
        <is>
          <t>S3</t>
        </is>
      </c>
      <c r="N2701" s="31" t="inlineStr">
        <is>
          <t>S5</t>
        </is>
      </c>
      <c r="O2701" s="31" t="inlineStr">
        <is>
          <t>310A2021-4</t>
        </is>
      </c>
      <c r="P2701" s="31" t="inlineStr">
        <is>
          <t>SR Technics Switzerland</t>
        </is>
      </c>
    </row>
    <row r="2702">
      <c r="B2702" s="31" t="inlineStr">
        <is>
          <t>CFM56-7B</t>
        </is>
      </c>
      <c r="C2702" s="31" t="inlineStr">
        <is>
          <t>2025-2026</t>
        </is>
      </c>
      <c r="D2702" s="31" t="inlineStr">
        <is>
          <t>140254</t>
        </is>
      </c>
      <c r="E2702" s="31" t="inlineStr">
        <is>
          <t>71-21-37</t>
        </is>
      </c>
      <c r="F2702" s="31" t="inlineStr">
        <is>
          <t>G</t>
        </is>
      </c>
      <c r="G2702" s="31" t="inlineStr">
        <is>
          <t>Other / assembly</t>
        </is>
      </c>
      <c r="H2702" s="27" t="n">
        <v>1195</v>
      </c>
      <c r="I2702" s="27" t="n">
        <v>1270</v>
      </c>
      <c r="J2702" s="154">
        <f>I2702/H2702-1</f>
        <v/>
      </c>
      <c r="K2702" s="31" t="inlineStr">
        <is>
          <t>16</t>
        </is>
      </c>
      <c r="L2702" s="31" t="inlineStr">
        <is>
          <t>15</t>
        </is>
      </c>
      <c r="M2702" s="31" t="inlineStr">
        <is>
          <t>S3</t>
        </is>
      </c>
      <c r="N2702" s="31" t="inlineStr">
        <is>
          <t>S5</t>
        </is>
      </c>
      <c r="O2702" s="31" t="inlineStr">
        <is>
          <t>310A2021-4</t>
        </is>
      </c>
      <c r="P2702" s="31" t="inlineStr">
        <is>
          <t>SR Technics Switzerland</t>
        </is>
      </c>
    </row>
    <row r="2703">
      <c r="B2703" s="31" t="inlineStr">
        <is>
          <t>CFM56-7B</t>
        </is>
      </c>
      <c r="C2703" s="31" t="inlineStr">
        <is>
          <t>2025-2026</t>
        </is>
      </c>
      <c r="D2703" s="31" t="inlineStr">
        <is>
          <t>140254</t>
        </is>
      </c>
      <c r="E2703" s="31" t="inlineStr">
        <is>
          <t>71-21-37</t>
        </is>
      </c>
      <c r="F2703" s="31" t="inlineStr">
        <is>
          <t>H</t>
        </is>
      </c>
      <c r="G2703" s="31" t="inlineStr">
        <is>
          <t>Other / assembly</t>
        </is>
      </c>
      <c r="H2703" s="27" t="n">
        <v>1425</v>
      </c>
      <c r="I2703" s="27" t="n">
        <v>1515</v>
      </c>
      <c r="J2703" s="154">
        <f>I2703/H2703-1</f>
        <v/>
      </c>
      <c r="K2703" s="31" t="inlineStr">
        <is>
          <t>16</t>
        </is>
      </c>
      <c r="L2703" s="31" t="inlineStr">
        <is>
          <t>15</t>
        </is>
      </c>
      <c r="M2703" s="31" t="inlineStr">
        <is>
          <t>S3</t>
        </is>
      </c>
      <c r="N2703" s="31" t="inlineStr">
        <is>
          <t>S5</t>
        </is>
      </c>
      <c r="O2703" s="31" t="inlineStr">
        <is>
          <t>310A2021-4</t>
        </is>
      </c>
      <c r="P2703" s="31" t="inlineStr">
        <is>
          <t>SR Technics Switzerland</t>
        </is>
      </c>
    </row>
    <row r="2704">
      <c r="B2704" s="31" t="inlineStr">
        <is>
          <t>CFM56-7B</t>
        </is>
      </c>
      <c r="C2704" s="31" t="inlineStr">
        <is>
          <t>2025-2026</t>
        </is>
      </c>
      <c r="D2704" s="31" t="inlineStr">
        <is>
          <t>140254</t>
        </is>
      </c>
      <c r="E2704" s="31" t="inlineStr">
        <is>
          <t>71-21-37</t>
        </is>
      </c>
      <c r="F2704" s="31" t="inlineStr">
        <is>
          <t>I</t>
        </is>
      </c>
      <c r="G2704" s="31" t="inlineStr">
        <is>
          <t>Other / assembly</t>
        </is>
      </c>
      <c r="H2704" s="27" t="n">
        <v>5160</v>
      </c>
      <c r="I2704" s="27" t="n">
        <v>5470</v>
      </c>
      <c r="J2704" s="154">
        <f>I2704/H2704-1</f>
        <v/>
      </c>
      <c r="K2704" s="31" t="inlineStr">
        <is>
          <t>16</t>
        </is>
      </c>
      <c r="L2704" s="31" t="inlineStr">
        <is>
          <t>15</t>
        </is>
      </c>
      <c r="M2704" s="31" t="inlineStr">
        <is>
          <t>S3</t>
        </is>
      </c>
      <c r="N2704" s="31" t="inlineStr">
        <is>
          <t>S5</t>
        </is>
      </c>
      <c r="O2704" s="31" t="inlineStr">
        <is>
          <t>310A2021-4</t>
        </is>
      </c>
      <c r="P2704" s="31" t="inlineStr">
        <is>
          <t>SR Technics Switzerland</t>
        </is>
      </c>
    </row>
    <row r="2705">
      <c r="B2705" s="31" t="inlineStr">
        <is>
          <t>CFM56-7B</t>
        </is>
      </c>
      <c r="C2705" s="31" t="inlineStr">
        <is>
          <t>2025-2026</t>
        </is>
      </c>
      <c r="D2705" s="31" t="inlineStr">
        <is>
          <t>140254</t>
        </is>
      </c>
      <c r="E2705" s="31" t="inlineStr">
        <is>
          <t>71-21-37</t>
        </is>
      </c>
      <c r="F2705" s="31" t="inlineStr">
        <is>
          <t>J</t>
        </is>
      </c>
      <c r="G2705" s="31" t="inlineStr">
        <is>
          <t>Other / assembly</t>
        </is>
      </c>
      <c r="H2705" s="27" t="n">
        <v>580</v>
      </c>
      <c r="I2705" s="27" t="n">
        <v>615</v>
      </c>
      <c r="J2705" s="154">
        <f>I2705/H2705-1</f>
        <v/>
      </c>
      <c r="K2705" s="31" t="inlineStr">
        <is>
          <t>16</t>
        </is>
      </c>
      <c r="L2705" s="31" t="inlineStr">
        <is>
          <t>15</t>
        </is>
      </c>
      <c r="M2705" s="31" t="inlineStr">
        <is>
          <t>S3</t>
        </is>
      </c>
      <c r="N2705" s="31" t="inlineStr">
        <is>
          <t>S5</t>
        </is>
      </c>
      <c r="O2705" s="31" t="inlineStr">
        <is>
          <t>310A2021-4</t>
        </is>
      </c>
      <c r="P2705" s="31" t="inlineStr">
        <is>
          <t>SR Technics Switzerland</t>
        </is>
      </c>
    </row>
    <row r="2706">
      <c r="B2706" s="31" t="inlineStr">
        <is>
          <t>CFM56-7B</t>
        </is>
      </c>
      <c r="C2706" s="31" t="inlineStr">
        <is>
          <t>2025-2026</t>
        </is>
      </c>
      <c r="D2706" s="31" t="inlineStr">
        <is>
          <t>140255</t>
        </is>
      </c>
      <c r="E2706" s="31" t="inlineStr">
        <is>
          <t>71-21-37</t>
        </is>
      </c>
      <c r="F2706" s="31" t="inlineStr">
        <is>
          <t>C</t>
        </is>
      </c>
      <c r="G2706" s="31" t="inlineStr">
        <is>
          <t>Other / assembly</t>
        </is>
      </c>
      <c r="H2706" s="27" t="n">
        <v>2500</v>
      </c>
      <c r="I2706" s="27" t="n">
        <v>2650</v>
      </c>
      <c r="J2706" s="154">
        <f>I2706/H2706-1</f>
        <v/>
      </c>
      <c r="K2706" s="31" t="inlineStr">
        <is>
          <t>51</t>
        </is>
      </c>
      <c r="L2706" s="31" t="inlineStr">
        <is>
          <t>50</t>
        </is>
      </c>
      <c r="M2706" s="31" t="inlineStr">
        <is>
          <t>S3</t>
        </is>
      </c>
      <c r="N2706" s="31" t="inlineStr">
        <is>
          <t>S5</t>
        </is>
      </c>
      <c r="O2706" s="31" t="inlineStr">
        <is>
          <t>310A2030-11</t>
        </is>
      </c>
      <c r="P2706" s="31" t="inlineStr">
        <is>
          <t>SR Technics Switzerland</t>
        </is>
      </c>
    </row>
    <row r="2707">
      <c r="B2707" s="31" t="inlineStr">
        <is>
          <t>CFM56-7B</t>
        </is>
      </c>
      <c r="C2707" s="31" t="inlineStr">
        <is>
          <t>2025-2026</t>
        </is>
      </c>
      <c r="D2707" s="31" t="inlineStr">
        <is>
          <t>140257</t>
        </is>
      </c>
      <c r="E2707" s="31" t="inlineStr">
        <is>
          <t>71-04-26</t>
        </is>
      </c>
      <c r="F2707" s="31" t="inlineStr">
        <is>
          <t>A</t>
        </is>
      </c>
      <c r="G2707" s="31" t="inlineStr">
        <is>
          <t>Other / assembly</t>
        </is>
      </c>
      <c r="H2707" s="27" t="n">
        <v>890</v>
      </c>
      <c r="I2707" s="27" t="n">
        <v>935</v>
      </c>
      <c r="J2707" s="154">
        <f>I2707/H2707-1</f>
        <v/>
      </c>
      <c r="K2707" s="31" t="inlineStr">
        <is>
          <t>51</t>
        </is>
      </c>
      <c r="L2707" s="31" t="inlineStr">
        <is>
          <t>50</t>
        </is>
      </c>
      <c r="M2707" s="31" t="inlineStr">
        <is>
          <t>S3</t>
        </is>
      </c>
      <c r="N2707" s="31" t="inlineStr">
        <is>
          <t>S5</t>
        </is>
      </c>
      <c r="O2707" s="31" t="inlineStr">
        <is>
          <t>310A2041-10</t>
        </is>
      </c>
      <c r="P2707" s="31" t="inlineStr">
        <is>
          <t>SR Technics Switzerland</t>
        </is>
      </c>
    </row>
    <row r="2708">
      <c r="B2708" s="31" t="inlineStr">
        <is>
          <t>CFM56-7B</t>
        </is>
      </c>
      <c r="C2708" s="31" t="inlineStr">
        <is>
          <t>2025-2026</t>
        </is>
      </c>
      <c r="D2708" s="31" t="inlineStr">
        <is>
          <t>140257</t>
        </is>
      </c>
      <c r="E2708" s="31" t="inlineStr">
        <is>
          <t>71-04-26</t>
        </is>
      </c>
      <c r="F2708" s="31" t="inlineStr">
        <is>
          <t>B</t>
        </is>
      </c>
      <c r="G2708" s="31" t="inlineStr">
        <is>
          <t>Other / assembly</t>
        </is>
      </c>
      <c r="H2708" s="27" t="n">
        <v>1790</v>
      </c>
      <c r="I2708" s="27" t="n">
        <v>1900</v>
      </c>
      <c r="J2708" s="154">
        <f>I2708/H2708-1</f>
        <v/>
      </c>
      <c r="K2708" s="31" t="inlineStr">
        <is>
          <t>51</t>
        </is>
      </c>
      <c r="L2708" s="31" t="inlineStr">
        <is>
          <t>50</t>
        </is>
      </c>
      <c r="M2708" s="31" t="inlineStr">
        <is>
          <t>S3</t>
        </is>
      </c>
      <c r="N2708" s="31" t="inlineStr">
        <is>
          <t>S5</t>
        </is>
      </c>
      <c r="O2708" s="31" t="inlineStr">
        <is>
          <t>310A2041-10</t>
        </is>
      </c>
      <c r="P2708" s="31" t="inlineStr">
        <is>
          <t>SR Technics Switzerland</t>
        </is>
      </c>
    </row>
    <row r="2709">
      <c r="B2709" s="31" t="inlineStr">
        <is>
          <t>CFM56-7B</t>
        </is>
      </c>
      <c r="C2709" s="31" t="inlineStr">
        <is>
          <t>2025-2026</t>
        </is>
      </c>
      <c r="D2709" s="31" t="inlineStr">
        <is>
          <t>140257</t>
        </is>
      </c>
      <c r="E2709" s="31" t="inlineStr">
        <is>
          <t>71-04-26</t>
        </is>
      </c>
      <c r="F2709" s="31" t="inlineStr">
        <is>
          <t>C</t>
        </is>
      </c>
      <c r="G2709" s="31" t="inlineStr">
        <is>
          <t>Other / assembly</t>
        </is>
      </c>
      <c r="H2709" s="27" t="n">
        <v>1550</v>
      </c>
      <c r="I2709" s="27" t="n">
        <v>1645</v>
      </c>
      <c r="J2709" s="154">
        <f>I2709/H2709-1</f>
        <v/>
      </c>
      <c r="K2709" s="31" t="inlineStr">
        <is>
          <t>51</t>
        </is>
      </c>
      <c r="L2709" s="31" t="inlineStr">
        <is>
          <t>50</t>
        </is>
      </c>
      <c r="M2709" s="31" t="inlineStr">
        <is>
          <t>S3</t>
        </is>
      </c>
      <c r="N2709" s="31" t="inlineStr">
        <is>
          <t>S5</t>
        </is>
      </c>
      <c r="O2709" s="31" t="inlineStr">
        <is>
          <t>310A2041-10</t>
        </is>
      </c>
      <c r="P2709" s="31" t="inlineStr">
        <is>
          <t>SR Technics Switzerland</t>
        </is>
      </c>
    </row>
    <row r="2710">
      <c r="B2710" s="31" t="inlineStr">
        <is>
          <t>CFM56-7B</t>
        </is>
      </c>
      <c r="C2710" s="31" t="inlineStr">
        <is>
          <t>2025-2026</t>
        </is>
      </c>
      <c r="D2710" s="31" t="inlineStr">
        <is>
          <t>140257</t>
        </is>
      </c>
      <c r="E2710" s="31" t="inlineStr">
        <is>
          <t>71-04-26</t>
        </is>
      </c>
      <c r="F2710" s="31" t="inlineStr">
        <is>
          <t>D</t>
        </is>
      </c>
      <c r="G2710" s="31" t="inlineStr">
        <is>
          <t>Other / assembly</t>
        </is>
      </c>
      <c r="H2710" s="27" t="n">
        <v>2180</v>
      </c>
      <c r="I2710" s="27" t="n">
        <v>2315</v>
      </c>
      <c r="J2710" s="154">
        <f>I2710/H2710-1</f>
        <v/>
      </c>
      <c r="K2710" s="31" t="inlineStr">
        <is>
          <t>51</t>
        </is>
      </c>
      <c r="L2710" s="31" t="inlineStr">
        <is>
          <t>50</t>
        </is>
      </c>
      <c r="M2710" s="31" t="inlineStr">
        <is>
          <t>S3</t>
        </is>
      </c>
      <c r="N2710" s="31" t="inlineStr">
        <is>
          <t>S5</t>
        </is>
      </c>
      <c r="O2710" s="31" t="inlineStr">
        <is>
          <t>310A2041-10</t>
        </is>
      </c>
      <c r="P2710" s="31" t="inlineStr">
        <is>
          <t>SR Technics Switzerland</t>
        </is>
      </c>
    </row>
    <row r="2711">
      <c r="B2711" s="31" t="inlineStr">
        <is>
          <t>CFM56-7B</t>
        </is>
      </c>
      <c r="C2711" s="31" t="inlineStr">
        <is>
          <t>2025-2026</t>
        </is>
      </c>
      <c r="D2711" s="31" t="inlineStr">
        <is>
          <t>140261</t>
        </is>
      </c>
      <c r="E2711" s="31" t="inlineStr">
        <is>
          <t>71-04-26</t>
        </is>
      </c>
      <c r="F2711" s="31" t="inlineStr">
        <is>
          <t>A</t>
        </is>
      </c>
      <c r="G2711" s="31" t="inlineStr">
        <is>
          <t>Other / assembly</t>
        </is>
      </c>
      <c r="H2711" s="27" t="n">
        <v>555</v>
      </c>
      <c r="I2711" s="27" t="n">
        <v>585</v>
      </c>
      <c r="J2711" s="154">
        <f>I2711/H2711-1</f>
        <v/>
      </c>
      <c r="K2711" s="31" t="inlineStr">
        <is>
          <t>16</t>
        </is>
      </c>
      <c r="L2711" s="31" t="inlineStr">
        <is>
          <t>15</t>
        </is>
      </c>
      <c r="M2711" s="31" t="inlineStr">
        <is>
          <t>S3</t>
        </is>
      </c>
      <c r="N2711" s="31" t="inlineStr">
        <is>
          <t>S5</t>
        </is>
      </c>
      <c r="O2711" s="31" t="inlineStr">
        <is>
          <t>310A2042-2</t>
        </is>
      </c>
      <c r="P2711" s="31" t="inlineStr">
        <is>
          <t>SR Technics Switzerland</t>
        </is>
      </c>
    </row>
    <row r="2712">
      <c r="B2712" s="31" t="inlineStr">
        <is>
          <t>CFM56-7B</t>
        </is>
      </c>
      <c r="C2712" s="31" t="inlineStr">
        <is>
          <t>2025-2026</t>
        </is>
      </c>
      <c r="D2712" s="31" t="inlineStr">
        <is>
          <t>140261</t>
        </is>
      </c>
      <c r="E2712" s="31" t="inlineStr">
        <is>
          <t>71-04-26</t>
        </is>
      </c>
      <c r="F2712" s="31" t="inlineStr">
        <is>
          <t>D</t>
        </is>
      </c>
      <c r="G2712" s="31" t="inlineStr">
        <is>
          <t>Other / assembly</t>
        </is>
      </c>
      <c r="H2712" s="27" t="n">
        <v>1000</v>
      </c>
      <c r="I2712" s="27" t="n">
        <v>1060</v>
      </c>
      <c r="J2712" s="154">
        <f>I2712/H2712-1</f>
        <v/>
      </c>
      <c r="K2712" s="31" t="inlineStr">
        <is>
          <t>16</t>
        </is>
      </c>
      <c r="L2712" s="31" t="inlineStr">
        <is>
          <t>15</t>
        </is>
      </c>
      <c r="M2712" s="31" t="inlineStr">
        <is>
          <t>S3</t>
        </is>
      </c>
      <c r="N2712" s="31" t="inlineStr">
        <is>
          <t>S5</t>
        </is>
      </c>
      <c r="O2712" s="31" t="inlineStr">
        <is>
          <t>310A2042-2</t>
        </is>
      </c>
      <c r="P2712" s="31" t="inlineStr">
        <is>
          <t>SR Technics Switzerland</t>
        </is>
      </c>
    </row>
    <row r="2713">
      <c r="B2713" s="31" t="inlineStr">
        <is>
          <t>CFM56-7B</t>
        </is>
      </c>
      <c r="C2713" s="31" t="inlineStr">
        <is>
          <t>2025-2026</t>
        </is>
      </c>
      <c r="D2713" s="31" t="inlineStr">
        <is>
          <t>140261</t>
        </is>
      </c>
      <c r="E2713" s="31" t="inlineStr">
        <is>
          <t>71-04-26</t>
        </is>
      </c>
      <c r="F2713" s="31" t="inlineStr">
        <is>
          <t>F</t>
        </is>
      </c>
      <c r="G2713" s="31" t="inlineStr">
        <is>
          <t>Other / assembly</t>
        </is>
      </c>
      <c r="H2713" s="27" t="n">
        <v>1000</v>
      </c>
      <c r="I2713" s="27" t="n">
        <v>1060</v>
      </c>
      <c r="J2713" s="154">
        <f>I2713/H2713-1</f>
        <v/>
      </c>
      <c r="K2713" s="31" t="inlineStr">
        <is>
          <t>16</t>
        </is>
      </c>
      <c r="L2713" s="31" t="inlineStr">
        <is>
          <t>15</t>
        </is>
      </c>
      <c r="M2713" s="31" t="inlineStr">
        <is>
          <t>S3</t>
        </is>
      </c>
      <c r="N2713" s="31" t="inlineStr">
        <is>
          <t>S5</t>
        </is>
      </c>
      <c r="O2713" s="31" t="inlineStr">
        <is>
          <t>310A2042-2</t>
        </is>
      </c>
      <c r="P2713" s="31" t="inlineStr">
        <is>
          <t>SR Technics Switzerland</t>
        </is>
      </c>
    </row>
    <row r="2714">
      <c r="B2714" s="31" t="inlineStr">
        <is>
          <t>CFM56-7B</t>
        </is>
      </c>
      <c r="C2714" s="31" t="inlineStr">
        <is>
          <t>2025-2026</t>
        </is>
      </c>
      <c r="D2714" s="31" t="inlineStr">
        <is>
          <t>140262</t>
        </is>
      </c>
      <c r="E2714" s="31" t="inlineStr">
        <is>
          <t>78-11-37</t>
        </is>
      </c>
      <c r="F2714" s="31" t="inlineStr">
        <is>
          <t>B</t>
        </is>
      </c>
      <c r="G2714" s="31" t="inlineStr">
        <is>
          <t>Other / assembly</t>
        </is>
      </c>
      <c r="H2714" s="27" t="n">
        <v>5180</v>
      </c>
      <c r="I2714" s="27" t="n">
        <v>5495</v>
      </c>
      <c r="J2714" s="154">
        <f>I2714/H2714-1</f>
        <v/>
      </c>
      <c r="K2714" s="31" t="inlineStr">
        <is>
          <t>16</t>
        </is>
      </c>
      <c r="L2714" s="31" t="inlineStr">
        <is>
          <t>15</t>
        </is>
      </c>
      <c r="M2714" s="31" t="inlineStr">
        <is>
          <t>S3</t>
        </is>
      </c>
      <c r="N2714" s="31" t="inlineStr">
        <is>
          <t>S5</t>
        </is>
      </c>
      <c r="O2714" s="31" t="inlineStr">
        <is>
          <t>314A2610-1</t>
        </is>
      </c>
      <c r="P2714" s="31" t="inlineStr">
        <is>
          <t>SR Technics Switzerland</t>
        </is>
      </c>
    </row>
    <row r="2715">
      <c r="B2715" s="31" t="inlineStr">
        <is>
          <t>CFM56-7B</t>
        </is>
      </c>
      <c r="C2715" s="31" t="inlineStr">
        <is>
          <t>2025-2026</t>
        </is>
      </c>
      <c r="D2715" s="31" t="inlineStr">
        <is>
          <t>140262</t>
        </is>
      </c>
      <c r="E2715" s="31" t="inlineStr">
        <is>
          <t>78-11-37</t>
        </is>
      </c>
      <c r="F2715" s="31" t="inlineStr">
        <is>
          <t>H</t>
        </is>
      </c>
      <c r="G2715" s="31" t="inlineStr">
        <is>
          <t>Other / assembly</t>
        </is>
      </c>
      <c r="H2715" s="27" t="n">
        <v>5060</v>
      </c>
      <c r="I2715" s="27" t="n">
        <v>5365</v>
      </c>
      <c r="J2715" s="154">
        <f>I2715/H2715-1</f>
        <v/>
      </c>
      <c r="K2715" s="31" t="inlineStr">
        <is>
          <t>16</t>
        </is>
      </c>
      <c r="L2715" s="31" t="inlineStr">
        <is>
          <t>15</t>
        </is>
      </c>
      <c r="M2715" s="31" t="inlineStr">
        <is>
          <t>S3</t>
        </is>
      </c>
      <c r="N2715" s="31" t="inlineStr">
        <is>
          <t>S5</t>
        </is>
      </c>
      <c r="O2715" s="31" t="inlineStr">
        <is>
          <t>314A2610-1</t>
        </is>
      </c>
      <c r="P2715" s="31" t="inlineStr">
        <is>
          <t>SR Technics Switzerland</t>
        </is>
      </c>
    </row>
    <row r="2716">
      <c r="B2716" s="31" t="inlineStr">
        <is>
          <t>CFM56-7B</t>
        </is>
      </c>
      <c r="C2716" s="31" t="inlineStr">
        <is>
          <t>2025-2026</t>
        </is>
      </c>
      <c r="D2716" s="31" t="inlineStr">
        <is>
          <t>140262</t>
        </is>
      </c>
      <c r="E2716" s="31" t="inlineStr">
        <is>
          <t>78-11-37</t>
        </is>
      </c>
      <c r="F2716" s="31" t="inlineStr">
        <is>
          <t>I</t>
        </is>
      </c>
      <c r="G2716" s="31" t="inlineStr">
        <is>
          <t>Other / assembly</t>
        </is>
      </c>
      <c r="H2716" s="27" t="n">
        <v>5060</v>
      </c>
      <c r="I2716" s="27" t="n">
        <v>5365</v>
      </c>
      <c r="J2716" s="154">
        <f>I2716/H2716-1</f>
        <v/>
      </c>
      <c r="K2716" s="31" t="inlineStr">
        <is>
          <t>16</t>
        </is>
      </c>
      <c r="L2716" s="31" t="inlineStr">
        <is>
          <t>15</t>
        </is>
      </c>
      <c r="M2716" s="31" t="inlineStr">
        <is>
          <t>S3</t>
        </is>
      </c>
      <c r="N2716" s="31" t="inlineStr">
        <is>
          <t>S5</t>
        </is>
      </c>
      <c r="O2716" s="31" t="inlineStr">
        <is>
          <t>314A2610-1</t>
        </is>
      </c>
      <c r="P2716" s="31" t="inlineStr">
        <is>
          <t>SR Technics Switzerland</t>
        </is>
      </c>
    </row>
    <row r="2717">
      <c r="B2717" s="31" t="inlineStr">
        <is>
          <t>CFM56-7B</t>
        </is>
      </c>
      <c r="C2717" s="31" t="inlineStr">
        <is>
          <t>2025-2026</t>
        </is>
      </c>
      <c r="D2717" s="31" t="inlineStr">
        <is>
          <t>140262</t>
        </is>
      </c>
      <c r="E2717" s="31" t="inlineStr">
        <is>
          <t>78-11-37</t>
        </is>
      </c>
      <c r="F2717" s="31" t="inlineStr">
        <is>
          <t>J</t>
        </is>
      </c>
      <c r="G2717" s="31" t="inlineStr">
        <is>
          <t>Other / assembly</t>
        </is>
      </c>
      <c r="H2717" s="27" t="n">
        <v>7455</v>
      </c>
      <c r="I2717" s="27" t="n">
        <v>7905</v>
      </c>
      <c r="J2717" s="154">
        <f>I2717/H2717-1</f>
        <v/>
      </c>
      <c r="K2717" s="31" t="inlineStr">
        <is>
          <t>16</t>
        </is>
      </c>
      <c r="L2717" s="31" t="inlineStr">
        <is>
          <t>15</t>
        </is>
      </c>
      <c r="M2717" s="31" t="inlineStr">
        <is>
          <t>S3</t>
        </is>
      </c>
      <c r="N2717" s="31" t="inlineStr">
        <is>
          <t>S5</t>
        </is>
      </c>
      <c r="O2717" s="31" t="inlineStr">
        <is>
          <t>314A2610-1</t>
        </is>
      </c>
      <c r="P2717" s="31" t="inlineStr">
        <is>
          <t>SR Technics Switzerland</t>
        </is>
      </c>
    </row>
    <row r="2718">
      <c r="B2718" s="31" t="inlineStr">
        <is>
          <t>CFM56-7B</t>
        </is>
      </c>
      <c r="C2718" s="31" t="inlineStr">
        <is>
          <t>2025-2026</t>
        </is>
      </c>
      <c r="D2718" s="31" t="inlineStr">
        <is>
          <t>140262</t>
        </is>
      </c>
      <c r="E2718" s="31" t="inlineStr">
        <is>
          <t>78-11-37</t>
        </is>
      </c>
      <c r="F2718" s="31" t="inlineStr">
        <is>
          <t>K</t>
        </is>
      </c>
      <c r="G2718" s="31" t="inlineStr">
        <is>
          <t>Other / assembly</t>
        </is>
      </c>
      <c r="H2718" s="27" t="n">
        <v>7455</v>
      </c>
      <c r="I2718" s="27" t="n">
        <v>7905</v>
      </c>
      <c r="J2718" s="154">
        <f>I2718/H2718-1</f>
        <v/>
      </c>
      <c r="K2718" s="31" t="inlineStr">
        <is>
          <t>16</t>
        </is>
      </c>
      <c r="L2718" s="31" t="inlineStr">
        <is>
          <t>15</t>
        </is>
      </c>
      <c r="M2718" s="31" t="inlineStr">
        <is>
          <t>S3</t>
        </is>
      </c>
      <c r="N2718" s="31" t="inlineStr">
        <is>
          <t>S5</t>
        </is>
      </c>
      <c r="O2718" s="31" t="inlineStr">
        <is>
          <t>314A2610-1</t>
        </is>
      </c>
      <c r="P2718" s="31" t="inlineStr">
        <is>
          <t>SR Technics Switzerland</t>
        </is>
      </c>
    </row>
    <row r="2719">
      <c r="B2719" s="31" t="inlineStr">
        <is>
          <t>CFM56-7B</t>
        </is>
      </c>
      <c r="C2719" s="31" t="inlineStr">
        <is>
          <t>2025-2026</t>
        </is>
      </c>
      <c r="D2719" s="31" t="inlineStr">
        <is>
          <t>140262</t>
        </is>
      </c>
      <c r="E2719" s="31" t="inlineStr">
        <is>
          <t>78-11-37</t>
        </is>
      </c>
      <c r="F2719" s="31" t="inlineStr">
        <is>
          <t>L</t>
        </is>
      </c>
      <c r="G2719" s="31" t="inlineStr">
        <is>
          <t>Other / assembly</t>
        </is>
      </c>
      <c r="H2719" s="27" t="n">
        <v>465</v>
      </c>
      <c r="I2719" s="27" t="n">
        <v>495</v>
      </c>
      <c r="J2719" s="154">
        <f>I2719/H2719-1</f>
        <v/>
      </c>
      <c r="K2719" s="31" t="inlineStr">
        <is>
          <t>16</t>
        </is>
      </c>
      <c r="L2719" s="31" t="inlineStr">
        <is>
          <t>15</t>
        </is>
      </c>
      <c r="M2719" s="31" t="inlineStr">
        <is>
          <t>S3</t>
        </is>
      </c>
      <c r="N2719" s="31" t="inlineStr">
        <is>
          <t>S5</t>
        </is>
      </c>
      <c r="O2719" s="31" t="inlineStr">
        <is>
          <t>314A2610-1</t>
        </is>
      </c>
      <c r="P2719" s="31" t="inlineStr">
        <is>
          <t>SR Technics Switzerland</t>
        </is>
      </c>
    </row>
    <row r="2720">
      <c r="B2720" s="31" t="inlineStr">
        <is>
          <t>CFM56-7B</t>
        </is>
      </c>
      <c r="C2720" s="31" t="inlineStr">
        <is>
          <t>2025-2026</t>
        </is>
      </c>
      <c r="D2720" s="31" t="inlineStr">
        <is>
          <t>140262</t>
        </is>
      </c>
      <c r="E2720" s="31" t="inlineStr">
        <is>
          <t>78-11-37</t>
        </is>
      </c>
      <c r="F2720" s="31" t="inlineStr">
        <is>
          <t>M</t>
        </is>
      </c>
      <c r="G2720" s="31" t="inlineStr">
        <is>
          <t>Other / assembly</t>
        </is>
      </c>
      <c r="H2720" s="27" t="n">
        <v>1210</v>
      </c>
      <c r="I2720" s="27" t="n">
        <v>1285</v>
      </c>
      <c r="J2720" s="154">
        <f>I2720/H2720-1</f>
        <v/>
      </c>
      <c r="K2720" s="31" t="inlineStr">
        <is>
          <t>16</t>
        </is>
      </c>
      <c r="L2720" s="31" t="inlineStr">
        <is>
          <t>15</t>
        </is>
      </c>
      <c r="M2720" s="31" t="inlineStr">
        <is>
          <t>S3</t>
        </is>
      </c>
      <c r="N2720" s="31" t="inlineStr">
        <is>
          <t>S5</t>
        </is>
      </c>
      <c r="O2720" s="31" t="inlineStr">
        <is>
          <t>314A2610-1</t>
        </is>
      </c>
      <c r="P2720" s="31" t="inlineStr">
        <is>
          <t>SR Technics Switzerland</t>
        </is>
      </c>
    </row>
    <row r="2721">
      <c r="B2721" s="31" t="inlineStr">
        <is>
          <t>CFM56-7B</t>
        </is>
      </c>
      <c r="C2721" s="31" t="inlineStr">
        <is>
          <t>2025-2026</t>
        </is>
      </c>
      <c r="D2721" s="31" t="inlineStr">
        <is>
          <t>140263</t>
        </is>
      </c>
      <c r="E2721" s="31" t="inlineStr">
        <is>
          <t>78-11-38</t>
        </is>
      </c>
      <c r="F2721" s="31" t="inlineStr">
        <is>
          <t>B</t>
        </is>
      </c>
      <c r="G2721" s="31" t="inlineStr">
        <is>
          <t>Other / assembly</t>
        </is>
      </c>
      <c r="H2721" s="27" t="n">
        <v>1610</v>
      </c>
      <c r="I2721" s="27" t="n">
        <v>1710</v>
      </c>
      <c r="J2721" s="154">
        <f>I2721/H2721-1</f>
        <v/>
      </c>
      <c r="K2721" s="31" t="inlineStr">
        <is>
          <t>16</t>
        </is>
      </c>
      <c r="L2721" s="31" t="inlineStr">
        <is>
          <t>15</t>
        </is>
      </c>
      <c r="M2721" s="31" t="inlineStr">
        <is>
          <t>S3</t>
        </is>
      </c>
      <c r="N2721" s="31" t="inlineStr">
        <is>
          <t>S5</t>
        </is>
      </c>
      <c r="O2721" s="31" t="inlineStr">
        <is>
          <t>314A2620-1</t>
        </is>
      </c>
      <c r="P2721" s="31" t="inlineStr">
        <is>
          <t>SR Technics Switzerland</t>
        </is>
      </c>
    </row>
    <row r="2722">
      <c r="B2722" s="31" t="inlineStr">
        <is>
          <t>CFM56-7B</t>
        </is>
      </c>
      <c r="C2722" s="31" t="inlineStr">
        <is>
          <t>2025-2026</t>
        </is>
      </c>
      <c r="D2722" s="31" t="inlineStr">
        <is>
          <t>140290</t>
        </is>
      </c>
      <c r="E2722" s="31" t="inlineStr">
        <is>
          <t>72-54-12</t>
        </is>
      </c>
      <c r="F2722" s="31" t="inlineStr">
        <is>
          <t>A</t>
        </is>
      </c>
      <c r="G2722" s="31" t="inlineStr">
        <is>
          <t>LPT</t>
        </is>
      </c>
      <c r="H2722" s="27" t="n">
        <v>245</v>
      </c>
      <c r="I2722" s="27" t="n">
        <v>265</v>
      </c>
      <c r="J2722" s="154">
        <f>I2722/H2722-1</f>
        <v/>
      </c>
      <c r="K2722" s="31" t="inlineStr">
        <is>
          <t>16</t>
        </is>
      </c>
      <c r="L2722" s="31" t="inlineStr">
        <is>
          <t>15</t>
        </is>
      </c>
      <c r="M2722" s="31" t="inlineStr">
        <is>
          <t>S3</t>
        </is>
      </c>
      <c r="N2722" s="31" t="inlineStr">
        <is>
          <t>S5</t>
        </is>
      </c>
      <c r="O2722" s="31" t="inlineStr">
        <is>
          <t>338-061-004-0</t>
        </is>
      </c>
      <c r="P2722" s="31" t="inlineStr">
        <is>
          <t>SRTAS</t>
        </is>
      </c>
    </row>
    <row r="2723">
      <c r="B2723" s="31" t="inlineStr">
        <is>
          <t>CFM56-7B</t>
        </is>
      </c>
      <c r="C2723" s="31" t="inlineStr">
        <is>
          <t>2025-2026</t>
        </is>
      </c>
      <c r="D2723" s="31" t="inlineStr">
        <is>
          <t>140290</t>
        </is>
      </c>
      <c r="E2723" s="31" t="inlineStr">
        <is>
          <t>72-54-12</t>
        </is>
      </c>
      <c r="F2723" s="31" t="inlineStr">
        <is>
          <t>B</t>
        </is>
      </c>
      <c r="G2723" s="31" t="inlineStr">
        <is>
          <t>LPT</t>
        </is>
      </c>
      <c r="H2723" s="27" t="n">
        <v>1160</v>
      </c>
      <c r="I2723" s="27" t="n">
        <v>1245</v>
      </c>
      <c r="J2723" s="154">
        <f>I2723/H2723-1</f>
        <v/>
      </c>
      <c r="K2723" s="31" t="inlineStr">
        <is>
          <t>16</t>
        </is>
      </c>
      <c r="L2723" s="31" t="inlineStr">
        <is>
          <t>15, 16</t>
        </is>
      </c>
      <c r="M2723" s="31" t="inlineStr">
        <is>
          <t>S3</t>
        </is>
      </c>
      <c r="N2723" s="31" t="inlineStr">
        <is>
          <t>S5</t>
        </is>
      </c>
      <c r="O2723" s="31" t="inlineStr">
        <is>
          <t>338-061-004-0</t>
        </is>
      </c>
      <c r="P2723" s="31" t="inlineStr">
        <is>
          <t>SRTAS</t>
        </is>
      </c>
    </row>
    <row r="2724">
      <c r="B2724" s="31" t="inlineStr">
        <is>
          <t>CFM56-7B</t>
        </is>
      </c>
      <c r="C2724" s="31" t="inlineStr">
        <is>
          <t>2025-2026</t>
        </is>
      </c>
      <c r="D2724" s="31" t="inlineStr">
        <is>
          <t>140290</t>
        </is>
      </c>
      <c r="E2724" s="31" t="inlineStr">
        <is>
          <t>72-54-12</t>
        </is>
      </c>
      <c r="F2724" s="31" t="inlineStr">
        <is>
          <t>C</t>
        </is>
      </c>
      <c r="G2724" s="31" t="inlineStr">
        <is>
          <t>LPT</t>
        </is>
      </c>
      <c r="H2724" s="27" t="n">
        <v>1710</v>
      </c>
      <c r="I2724" s="27" t="n">
        <v>1830</v>
      </c>
      <c r="J2724" s="154">
        <f>I2724/H2724-1</f>
        <v/>
      </c>
      <c r="K2724" s="31" t="inlineStr">
        <is>
          <t>16, 17</t>
        </is>
      </c>
      <c r="L2724" s="31" t="inlineStr">
        <is>
          <t>16</t>
        </is>
      </c>
      <c r="M2724" s="31" t="inlineStr">
        <is>
          <t>S3</t>
        </is>
      </c>
      <c r="N2724" s="31" t="inlineStr">
        <is>
          <t>S5</t>
        </is>
      </c>
      <c r="O2724" s="31" t="inlineStr">
        <is>
          <t>338-061-004-0</t>
        </is>
      </c>
      <c r="P2724" s="31" t="inlineStr">
        <is>
          <t>SRTAS</t>
        </is>
      </c>
    </row>
    <row r="2725">
      <c r="B2725" s="31" t="inlineStr">
        <is>
          <t>CFM56-7B</t>
        </is>
      </c>
      <c r="C2725" s="31" t="inlineStr">
        <is>
          <t>2025-2026</t>
        </is>
      </c>
      <c r="D2725" s="31" t="inlineStr">
        <is>
          <t>140290</t>
        </is>
      </c>
      <c r="E2725" s="31" t="inlineStr">
        <is>
          <t>72-54-12</t>
        </is>
      </c>
      <c r="F2725" s="31" t="inlineStr">
        <is>
          <t>D</t>
        </is>
      </c>
      <c r="G2725" s="31" t="inlineStr">
        <is>
          <t>LPT</t>
        </is>
      </c>
      <c r="H2725" s="27" t="n">
        <v>175</v>
      </c>
      <c r="I2725" s="27" t="n">
        <v>190</v>
      </c>
      <c r="J2725" s="154">
        <f>I2725/H2725-1</f>
        <v/>
      </c>
      <c r="K2725" s="31" t="inlineStr">
        <is>
          <t>17</t>
        </is>
      </c>
      <c r="L2725" s="31" t="inlineStr">
        <is>
          <t>16</t>
        </is>
      </c>
      <c r="M2725" s="31" t="inlineStr">
        <is>
          <t>S3</t>
        </is>
      </c>
      <c r="N2725" s="31" t="inlineStr">
        <is>
          <t>S5</t>
        </is>
      </c>
      <c r="O2725" s="31" t="inlineStr">
        <is>
          <t>338-061-004-0</t>
        </is>
      </c>
      <c r="P2725" s="31" t="inlineStr">
        <is>
          <t>SRTAS</t>
        </is>
      </c>
    </row>
    <row r="2726">
      <c r="B2726" s="31" t="inlineStr">
        <is>
          <t>CFM56-7B</t>
        </is>
      </c>
      <c r="C2726" s="31" t="inlineStr">
        <is>
          <t>2025-2026</t>
        </is>
      </c>
      <c r="D2726" s="31" t="inlineStr">
        <is>
          <t>140290</t>
        </is>
      </c>
      <c r="E2726" s="31" t="inlineStr">
        <is>
          <t>72-54-12</t>
        </is>
      </c>
      <c r="F2726" s="31" t="inlineStr">
        <is>
          <t>E</t>
        </is>
      </c>
      <c r="G2726" s="31" t="inlineStr">
        <is>
          <t>LPT</t>
        </is>
      </c>
      <c r="H2726" s="27" t="n">
        <v>2445</v>
      </c>
      <c r="I2726" s="27" t="n">
        <v>2620</v>
      </c>
      <c r="J2726" s="154">
        <f>I2726/H2726-1</f>
        <v/>
      </c>
      <c r="K2726" s="31" t="inlineStr">
        <is>
          <t>17</t>
        </is>
      </c>
      <c r="L2726" s="31" t="inlineStr">
        <is>
          <t>16</t>
        </is>
      </c>
      <c r="M2726" s="31" t="inlineStr">
        <is>
          <t>S3</t>
        </is>
      </c>
      <c r="N2726" s="31" t="inlineStr">
        <is>
          <t>S5</t>
        </is>
      </c>
      <c r="O2726" s="31" t="inlineStr">
        <is>
          <t>338-061-004-0</t>
        </is>
      </c>
      <c r="P2726" s="31" t="inlineStr">
        <is>
          <t>SRTAS</t>
        </is>
      </c>
    </row>
    <row r="2727">
      <c r="B2727" s="31" t="inlineStr">
        <is>
          <t>CFM56-7B</t>
        </is>
      </c>
      <c r="C2727" s="31" t="inlineStr">
        <is>
          <t>2025-2026</t>
        </is>
      </c>
      <c r="D2727" s="31" t="inlineStr">
        <is>
          <t>140290</t>
        </is>
      </c>
      <c r="E2727" s="31" t="inlineStr">
        <is>
          <t>72-54-12</t>
        </is>
      </c>
      <c r="F2727" s="31" t="inlineStr">
        <is>
          <t>F</t>
        </is>
      </c>
      <c r="G2727" s="31" t="inlineStr">
        <is>
          <t>LPT</t>
        </is>
      </c>
      <c r="H2727" s="27" t="n">
        <v>130</v>
      </c>
      <c r="I2727" s="27" t="n">
        <v>140</v>
      </c>
      <c r="J2727" s="154">
        <f>I2727/H2727-1</f>
        <v/>
      </c>
      <c r="K2727" s="31" t="inlineStr">
        <is>
          <t>17</t>
        </is>
      </c>
      <c r="L2727" s="31" t="inlineStr">
        <is>
          <t>16</t>
        </is>
      </c>
      <c r="M2727" s="31" t="inlineStr">
        <is>
          <t>S3</t>
        </is>
      </c>
      <c r="N2727" s="31" t="inlineStr">
        <is>
          <t>S5</t>
        </is>
      </c>
      <c r="O2727" s="31" t="inlineStr">
        <is>
          <t>338-061-004-0</t>
        </is>
      </c>
      <c r="P2727" s="31" t="inlineStr">
        <is>
          <t>SRTAS</t>
        </is>
      </c>
    </row>
    <row r="2728">
      <c r="B2728" s="31" t="inlineStr">
        <is>
          <t>CFM56-7B</t>
        </is>
      </c>
      <c r="C2728" s="31" t="inlineStr">
        <is>
          <t>2025-2026</t>
        </is>
      </c>
      <c r="D2728" s="31" t="inlineStr">
        <is>
          <t>140290</t>
        </is>
      </c>
      <c r="E2728" s="31" t="inlineStr">
        <is>
          <t>72-54-12</t>
        </is>
      </c>
      <c r="F2728" s="31" t="inlineStr">
        <is>
          <t>G</t>
        </is>
      </c>
      <c r="G2728" s="31" t="inlineStr">
        <is>
          <t>LPT</t>
        </is>
      </c>
      <c r="H2728" s="27" t="n">
        <v>245</v>
      </c>
      <c r="I2728" s="27" t="n">
        <v>265</v>
      </c>
      <c r="J2728" s="154">
        <f>I2728/H2728-1</f>
        <v/>
      </c>
      <c r="K2728" s="31" t="inlineStr">
        <is>
          <t>17</t>
        </is>
      </c>
      <c r="L2728" s="31" t="inlineStr">
        <is>
          <t>16</t>
        </is>
      </c>
      <c r="M2728" s="31" t="inlineStr">
        <is>
          <t>S3</t>
        </is>
      </c>
      <c r="N2728" s="31" t="inlineStr">
        <is>
          <t>S5</t>
        </is>
      </c>
      <c r="O2728" s="31" t="inlineStr">
        <is>
          <t>338-061-004-0</t>
        </is>
      </c>
      <c r="P2728" s="31" t="inlineStr">
        <is>
          <t>SRTAS</t>
        </is>
      </c>
    </row>
    <row r="2729">
      <c r="B2729" s="31" t="inlineStr">
        <is>
          <t>CFM56-7B</t>
        </is>
      </c>
      <c r="C2729" s="31" t="inlineStr">
        <is>
          <t>2025-2026</t>
        </is>
      </c>
      <c r="D2729" s="31" t="inlineStr">
        <is>
          <t>140290</t>
        </is>
      </c>
      <c r="E2729" s="31" t="inlineStr">
        <is>
          <t>72-54-12</t>
        </is>
      </c>
      <c r="F2729" s="31" t="inlineStr">
        <is>
          <t>H</t>
        </is>
      </c>
      <c r="G2729" s="31" t="inlineStr">
        <is>
          <t>LPT</t>
        </is>
      </c>
      <c r="H2729" s="27" t="n">
        <v>1145</v>
      </c>
      <c r="I2729" s="27" t="n">
        <v>1230</v>
      </c>
      <c r="J2729" s="154">
        <f>I2729/H2729-1</f>
        <v/>
      </c>
      <c r="K2729" s="31" t="inlineStr">
        <is>
          <t>17</t>
        </is>
      </c>
      <c r="L2729" s="31" t="inlineStr">
        <is>
          <t>16</t>
        </is>
      </c>
      <c r="M2729" s="31" t="inlineStr">
        <is>
          <t>S3</t>
        </is>
      </c>
      <c r="N2729" s="31" t="inlineStr">
        <is>
          <t>S5</t>
        </is>
      </c>
      <c r="O2729" s="31" t="inlineStr">
        <is>
          <t>338-061-004-0</t>
        </is>
      </c>
      <c r="P2729" s="31" t="inlineStr">
        <is>
          <t>SRTAS</t>
        </is>
      </c>
    </row>
    <row r="2730">
      <c r="B2730" s="31" t="inlineStr">
        <is>
          <t>CFM56-7B</t>
        </is>
      </c>
      <c r="C2730" s="31" t="inlineStr">
        <is>
          <t>2025-2026</t>
        </is>
      </c>
      <c r="D2730" s="31" t="inlineStr">
        <is>
          <t>140290</t>
        </is>
      </c>
      <c r="E2730" s="31" t="inlineStr">
        <is>
          <t>72-54-12</t>
        </is>
      </c>
      <c r="F2730" s="31" t="inlineStr">
        <is>
          <t>I</t>
        </is>
      </c>
      <c r="G2730" s="31" t="inlineStr">
        <is>
          <t>LPT</t>
        </is>
      </c>
      <c r="H2730" s="27" t="n">
        <v>175</v>
      </c>
      <c r="I2730" s="27" t="n">
        <v>190</v>
      </c>
      <c r="J2730" s="154">
        <f>I2730/H2730-1</f>
        <v/>
      </c>
      <c r="K2730" s="31" t="inlineStr">
        <is>
          <t>17</t>
        </is>
      </c>
      <c r="L2730" s="31" t="inlineStr">
        <is>
          <t>16</t>
        </is>
      </c>
      <c r="M2730" s="31" t="inlineStr">
        <is>
          <t>S3</t>
        </is>
      </c>
      <c r="N2730" s="31" t="inlineStr">
        <is>
          <t>S5</t>
        </is>
      </c>
      <c r="O2730" s="31" t="inlineStr">
        <is>
          <t>338-061-004-0</t>
        </is>
      </c>
      <c r="P2730" s="31" t="inlineStr">
        <is>
          <t>SRTAS</t>
        </is>
      </c>
    </row>
    <row r="2731">
      <c r="B2731" s="31" t="inlineStr">
        <is>
          <t>CFM56-7B</t>
        </is>
      </c>
      <c r="C2731" s="31" t="inlineStr">
        <is>
          <t>2025-2026</t>
        </is>
      </c>
      <c r="D2731" s="31" t="inlineStr">
        <is>
          <t>140290</t>
        </is>
      </c>
      <c r="E2731" s="31" t="inlineStr">
        <is>
          <t>72-54-12</t>
        </is>
      </c>
      <c r="F2731" s="31" t="inlineStr">
        <is>
          <t>J</t>
        </is>
      </c>
      <c r="G2731" s="31" t="inlineStr">
        <is>
          <t>LPT</t>
        </is>
      </c>
      <c r="H2731" s="27" t="n">
        <v>280</v>
      </c>
      <c r="I2731" s="27" t="n">
        <v>335</v>
      </c>
      <c r="J2731" s="154">
        <f>I2731/H2731-1</f>
        <v/>
      </c>
      <c r="K2731" s="31" t="inlineStr">
        <is>
          <t>17</t>
        </is>
      </c>
      <c r="L2731" s="31" t="inlineStr">
        <is>
          <t>16</t>
        </is>
      </c>
      <c r="M2731" s="31" t="inlineStr">
        <is>
          <t>S3</t>
        </is>
      </c>
      <c r="N2731" s="31" t="inlineStr">
        <is>
          <t>S5</t>
        </is>
      </c>
      <c r="O2731" s="31" t="inlineStr">
        <is>
          <t>338-061-004-0</t>
        </is>
      </c>
      <c r="P2731" s="31" t="inlineStr">
        <is>
          <t>SRTAS</t>
        </is>
      </c>
    </row>
    <row r="2732">
      <c r="B2732" s="31" t="inlineStr">
        <is>
          <t>CFM56-7B</t>
        </is>
      </c>
      <c r="C2732" s="31" t="inlineStr">
        <is>
          <t>2025-2026</t>
        </is>
      </c>
      <c r="D2732" s="31" t="inlineStr">
        <is>
          <t>140290</t>
        </is>
      </c>
      <c r="E2732" s="31" t="inlineStr">
        <is>
          <t>72-54-12</t>
        </is>
      </c>
      <c r="F2732" s="31" t="inlineStr">
        <is>
          <t>K</t>
        </is>
      </c>
      <c r="G2732" s="31" t="inlineStr">
        <is>
          <t>LPT</t>
        </is>
      </c>
      <c r="H2732" s="27" t="n">
        <v>245</v>
      </c>
      <c r="I2732" s="27" t="n">
        <v>265</v>
      </c>
      <c r="J2732" s="154">
        <f>I2732/H2732-1</f>
        <v/>
      </c>
      <c r="K2732" s="31" t="inlineStr">
        <is>
          <t>17</t>
        </is>
      </c>
      <c r="L2732" s="31" t="inlineStr">
        <is>
          <t>16</t>
        </is>
      </c>
      <c r="M2732" s="31" t="inlineStr">
        <is>
          <t>S3</t>
        </is>
      </c>
      <c r="N2732" s="31" t="inlineStr">
        <is>
          <t>S5</t>
        </is>
      </c>
      <c r="O2732" s="31" t="inlineStr">
        <is>
          <t>338-061-004-0</t>
        </is>
      </c>
      <c r="P2732" s="31" t="inlineStr">
        <is>
          <t>SRTAS</t>
        </is>
      </c>
    </row>
    <row r="2733">
      <c r="B2733" s="31" t="inlineStr">
        <is>
          <t>CFM56-7B</t>
        </is>
      </c>
      <c r="C2733" s="31" t="inlineStr">
        <is>
          <t>2025-2026</t>
        </is>
      </c>
      <c r="D2733" s="31" t="inlineStr">
        <is>
          <t>140290</t>
        </is>
      </c>
      <c r="E2733" s="31" t="inlineStr">
        <is>
          <t>72-54-12</t>
        </is>
      </c>
      <c r="F2733" s="31" t="inlineStr">
        <is>
          <t>L</t>
        </is>
      </c>
      <c r="G2733" s="31" t="inlineStr">
        <is>
          <t>LPT</t>
        </is>
      </c>
      <c r="H2733" s="27" t="n">
        <v>1225</v>
      </c>
      <c r="I2733" s="27" t="n">
        <v>1315</v>
      </c>
      <c r="J2733" s="154">
        <f>I2733/H2733-1</f>
        <v/>
      </c>
      <c r="K2733" s="31" t="inlineStr">
        <is>
          <t>17</t>
        </is>
      </c>
      <c r="L2733" s="31" t="inlineStr">
        <is>
          <t>16</t>
        </is>
      </c>
      <c r="M2733" s="31" t="inlineStr">
        <is>
          <t>S3</t>
        </is>
      </c>
      <c r="N2733" s="31" t="inlineStr">
        <is>
          <t>S5</t>
        </is>
      </c>
      <c r="O2733" s="31" t="inlineStr">
        <is>
          <t>338-061-004-0</t>
        </is>
      </c>
      <c r="P2733" s="31" t="inlineStr">
        <is>
          <t>SRTAS</t>
        </is>
      </c>
    </row>
    <row r="2734">
      <c r="B2734" s="31" t="inlineStr">
        <is>
          <t>CFM56-7B</t>
        </is>
      </c>
      <c r="C2734" s="31" t="inlineStr">
        <is>
          <t>2025-2026</t>
        </is>
      </c>
      <c r="D2734" s="31" t="inlineStr">
        <is>
          <t>140290</t>
        </is>
      </c>
      <c r="E2734" s="31" t="inlineStr">
        <is>
          <t>72-54-12</t>
        </is>
      </c>
      <c r="F2734" s="31" t="inlineStr">
        <is>
          <t>M</t>
        </is>
      </c>
      <c r="G2734" s="31" t="inlineStr">
        <is>
          <t>LPT</t>
        </is>
      </c>
      <c r="H2734" s="27" t="n">
        <v>280</v>
      </c>
      <c r="I2734" s="27" t="n">
        <v>335</v>
      </c>
      <c r="J2734" s="154">
        <f>I2734/H2734-1</f>
        <v/>
      </c>
      <c r="K2734" s="31" t="inlineStr">
        <is>
          <t>17</t>
        </is>
      </c>
      <c r="L2734" s="31" t="inlineStr">
        <is>
          <t>16</t>
        </is>
      </c>
      <c r="M2734" s="31" t="inlineStr">
        <is>
          <t>S3</t>
        </is>
      </c>
      <c r="N2734" s="31" t="inlineStr">
        <is>
          <t>S5</t>
        </is>
      </c>
      <c r="O2734" s="31" t="inlineStr">
        <is>
          <t>338-061-004-0</t>
        </is>
      </c>
      <c r="P2734" s="31" t="inlineStr">
        <is>
          <t>SRTAS</t>
        </is>
      </c>
    </row>
    <row r="2735">
      <c r="B2735" s="31" t="inlineStr">
        <is>
          <t>CFM56-7B</t>
        </is>
      </c>
      <c r="C2735" s="31" t="inlineStr">
        <is>
          <t>2025-2026</t>
        </is>
      </c>
      <c r="D2735" s="31" t="inlineStr">
        <is>
          <t>140290</t>
        </is>
      </c>
      <c r="E2735" s="31" t="inlineStr">
        <is>
          <t>72-54-12</t>
        </is>
      </c>
      <c r="F2735" s="31" t="inlineStr">
        <is>
          <t>N</t>
        </is>
      </c>
      <c r="G2735" s="31" t="inlineStr">
        <is>
          <t>LPT</t>
        </is>
      </c>
      <c r="H2735" s="27" t="n">
        <v>885</v>
      </c>
      <c r="I2735" s="27" t="n">
        <v>950</v>
      </c>
      <c r="J2735" s="154">
        <f>I2735/H2735-1</f>
        <v/>
      </c>
      <c r="K2735" s="31" t="inlineStr">
        <is>
          <t>17</t>
        </is>
      </c>
      <c r="L2735" s="31" t="inlineStr">
        <is>
          <t>16</t>
        </is>
      </c>
      <c r="M2735" s="31" t="inlineStr">
        <is>
          <t>S3</t>
        </is>
      </c>
      <c r="N2735" s="31" t="inlineStr">
        <is>
          <t>S5</t>
        </is>
      </c>
      <c r="O2735" s="31" t="inlineStr">
        <is>
          <t>338-061-004-0</t>
        </is>
      </c>
      <c r="P2735" s="31" t="inlineStr">
        <is>
          <t>SRTAS</t>
        </is>
      </c>
    </row>
    <row r="2736">
      <c r="B2736" s="31" t="inlineStr">
        <is>
          <t>CFM56-7B</t>
        </is>
      </c>
      <c r="C2736" s="31" t="inlineStr">
        <is>
          <t>2025-2026</t>
        </is>
      </c>
      <c r="D2736" s="31" t="inlineStr">
        <is>
          <t>140290</t>
        </is>
      </c>
      <c r="E2736" s="31" t="inlineStr">
        <is>
          <t>72-54-12</t>
        </is>
      </c>
      <c r="F2736" s="31" t="inlineStr">
        <is>
          <t>O</t>
        </is>
      </c>
      <c r="G2736" s="31" t="inlineStr">
        <is>
          <t>LPT</t>
        </is>
      </c>
      <c r="H2736" s="27" t="n">
        <v>200</v>
      </c>
      <c r="I2736" s="27" t="n">
        <v>215</v>
      </c>
      <c r="J2736" s="154">
        <f>I2736/H2736-1</f>
        <v/>
      </c>
      <c r="K2736" s="31" t="inlineStr">
        <is>
          <t>17</t>
        </is>
      </c>
      <c r="L2736" s="31" t="inlineStr">
        <is>
          <t>16</t>
        </is>
      </c>
      <c r="M2736" s="31" t="inlineStr">
        <is>
          <t>S3</t>
        </is>
      </c>
      <c r="N2736" s="31" t="inlineStr">
        <is>
          <t>S5</t>
        </is>
      </c>
      <c r="O2736" s="31" t="inlineStr">
        <is>
          <t>338-061-004-0</t>
        </is>
      </c>
      <c r="P2736" s="31" t="inlineStr">
        <is>
          <t>SRTAS</t>
        </is>
      </c>
    </row>
    <row r="2737">
      <c r="B2737" s="31" t="inlineStr">
        <is>
          <t>CFM56-7B</t>
        </is>
      </c>
      <c r="C2737" s="31" t="inlineStr">
        <is>
          <t>2025-2026</t>
        </is>
      </c>
      <c r="D2737" s="31" t="inlineStr">
        <is>
          <t>140290</t>
        </is>
      </c>
      <c r="E2737" s="31" t="inlineStr">
        <is>
          <t>72-54-12</t>
        </is>
      </c>
      <c r="F2737" s="31" t="inlineStr">
        <is>
          <t>Q</t>
        </is>
      </c>
      <c r="G2737" s="31" t="inlineStr">
        <is>
          <t>LPT</t>
        </is>
      </c>
      <c r="H2737" s="27" t="n">
        <v>1545</v>
      </c>
      <c r="I2737" s="27" t="n">
        <v>1655</v>
      </c>
      <c r="J2737" s="154">
        <f>I2737/H2737-1</f>
        <v/>
      </c>
      <c r="K2737" s="31" t="inlineStr">
        <is>
          <t>17</t>
        </is>
      </c>
      <c r="L2737" s="31" t="inlineStr">
        <is>
          <t>16, 17</t>
        </is>
      </c>
      <c r="M2737" s="31" t="inlineStr">
        <is>
          <t>S3</t>
        </is>
      </c>
      <c r="N2737" s="31" t="inlineStr">
        <is>
          <t>S5</t>
        </is>
      </c>
      <c r="O2737" s="31" t="inlineStr">
        <is>
          <t>338-061-004-0</t>
        </is>
      </c>
      <c r="P2737" s="31" t="inlineStr">
        <is>
          <t>SRTAS</t>
        </is>
      </c>
    </row>
    <row r="2738">
      <c r="B2738" s="31" t="inlineStr">
        <is>
          <t>CFM56-7B</t>
        </is>
      </c>
      <c r="C2738" s="31" t="inlineStr">
        <is>
          <t>2025-2026</t>
        </is>
      </c>
      <c r="D2738" s="31" t="inlineStr">
        <is>
          <t>140290</t>
        </is>
      </c>
      <c r="E2738" s="31" t="inlineStr">
        <is>
          <t>72-54-12</t>
        </is>
      </c>
      <c r="F2738" s="31" t="inlineStr">
        <is>
          <t>R</t>
        </is>
      </c>
      <c r="G2738" s="31" t="inlineStr">
        <is>
          <t>LPT</t>
        </is>
      </c>
      <c r="H2738" s="27" t="n">
        <v>1545</v>
      </c>
      <c r="I2738" s="27" t="n">
        <v>1655</v>
      </c>
      <c r="J2738" s="154">
        <f>I2738/H2738-1</f>
        <v/>
      </c>
      <c r="K2738" s="31" t="inlineStr">
        <is>
          <t>17, 18</t>
        </is>
      </c>
      <c r="L2738" s="31" t="inlineStr">
        <is>
          <t>17</t>
        </is>
      </c>
      <c r="M2738" s="31" t="inlineStr">
        <is>
          <t>S3</t>
        </is>
      </c>
      <c r="N2738" s="31" t="inlineStr">
        <is>
          <t>S5</t>
        </is>
      </c>
      <c r="O2738" s="31" t="inlineStr">
        <is>
          <t>338-061-004-0</t>
        </is>
      </c>
      <c r="P2738" s="31" t="inlineStr">
        <is>
          <t>SRTAS</t>
        </is>
      </c>
    </row>
    <row r="2739">
      <c r="B2739" s="31" t="inlineStr">
        <is>
          <t>CFM56-7B</t>
        </is>
      </c>
      <c r="C2739" s="31" t="inlineStr">
        <is>
          <t>2025-2026</t>
        </is>
      </c>
      <c r="D2739" s="31" t="inlineStr">
        <is>
          <t>140303</t>
        </is>
      </c>
      <c r="E2739" s="31" t="inlineStr">
        <is>
          <t>71-21-37</t>
        </is>
      </c>
      <c r="F2739" s="31" t="inlineStr">
        <is>
          <t>A</t>
        </is>
      </c>
      <c r="G2739" s="31" t="inlineStr">
        <is>
          <t>Other / assembly</t>
        </is>
      </c>
      <c r="H2739" s="27" t="n">
        <v>1195</v>
      </c>
      <c r="I2739" s="27" t="n">
        <v>1255</v>
      </c>
      <c r="J2739" s="154">
        <f>I2739/H2739-1</f>
        <v/>
      </c>
      <c r="K2739" s="31" t="inlineStr">
        <is>
          <t>18</t>
        </is>
      </c>
      <c r="L2739" s="31" t="inlineStr">
        <is>
          <t>17</t>
        </is>
      </c>
      <c r="M2739" s="31" t="inlineStr">
        <is>
          <t>S3</t>
        </is>
      </c>
      <c r="N2739" s="31" t="inlineStr">
        <is>
          <t>S5</t>
        </is>
      </c>
      <c r="O2739" s="31" t="inlineStr">
        <is>
          <t>310A2022-3</t>
        </is>
      </c>
      <c r="P2739" s="31" t="inlineStr">
        <is>
          <t>SR Technics Switzerland</t>
        </is>
      </c>
    </row>
    <row r="2740">
      <c r="B2740" s="31" t="inlineStr">
        <is>
          <t>CFM56-7B</t>
        </is>
      </c>
      <c r="C2740" s="31" t="inlineStr">
        <is>
          <t>2025-2026</t>
        </is>
      </c>
      <c r="D2740" s="31" t="inlineStr">
        <is>
          <t>140303</t>
        </is>
      </c>
      <c r="E2740" s="31" t="inlineStr">
        <is>
          <t>71-21-37</t>
        </is>
      </c>
      <c r="F2740" s="31" t="inlineStr">
        <is>
          <t>B</t>
        </is>
      </c>
      <c r="G2740" s="31" t="inlineStr">
        <is>
          <t>Other / assembly</t>
        </is>
      </c>
      <c r="H2740" s="27" t="n">
        <v>565</v>
      </c>
      <c r="I2740" s="27" t="n">
        <v>600</v>
      </c>
      <c r="J2740" s="154">
        <f>I2740/H2740-1</f>
        <v/>
      </c>
      <c r="K2740" s="31" t="inlineStr">
        <is>
          <t>18</t>
        </is>
      </c>
      <c r="L2740" s="31" t="inlineStr">
        <is>
          <t>17</t>
        </is>
      </c>
      <c r="M2740" s="31" t="inlineStr">
        <is>
          <t>S3</t>
        </is>
      </c>
      <c r="N2740" s="31" t="inlineStr">
        <is>
          <t>S5</t>
        </is>
      </c>
      <c r="O2740" s="31" t="inlineStr">
        <is>
          <t>310A2022-3</t>
        </is>
      </c>
      <c r="P2740" s="31" t="inlineStr">
        <is>
          <t>SR Technics Switzerland</t>
        </is>
      </c>
    </row>
    <row r="2741">
      <c r="B2741" s="31" t="inlineStr">
        <is>
          <t>CFM56-7B</t>
        </is>
      </c>
      <c r="C2741" s="31" t="inlineStr">
        <is>
          <t>2025-2026</t>
        </is>
      </c>
      <c r="D2741" s="31" t="inlineStr">
        <is>
          <t>140303</t>
        </is>
      </c>
      <c r="E2741" s="31" t="inlineStr">
        <is>
          <t>71-21-37</t>
        </is>
      </c>
      <c r="F2741" s="31" t="inlineStr">
        <is>
          <t>C</t>
        </is>
      </c>
      <c r="G2741" s="31" t="inlineStr">
        <is>
          <t>Other / assembly</t>
        </is>
      </c>
      <c r="H2741" s="27" t="n">
        <v>1580</v>
      </c>
      <c r="I2741" s="27" t="n">
        <v>1675</v>
      </c>
      <c r="J2741" s="154">
        <f>I2741/H2741-1</f>
        <v/>
      </c>
      <c r="K2741" s="31" t="inlineStr">
        <is>
          <t>18</t>
        </is>
      </c>
      <c r="L2741" s="31" t="inlineStr">
        <is>
          <t>17</t>
        </is>
      </c>
      <c r="M2741" s="31" t="inlineStr">
        <is>
          <t>S3</t>
        </is>
      </c>
      <c r="N2741" s="31" t="inlineStr">
        <is>
          <t>S5</t>
        </is>
      </c>
      <c r="O2741" s="31" t="inlineStr">
        <is>
          <t>310A2022-3</t>
        </is>
      </c>
      <c r="P2741" s="31" t="inlineStr">
        <is>
          <t>SR Technics Switzerland</t>
        </is>
      </c>
    </row>
    <row r="2742">
      <c r="B2742" s="31" t="inlineStr">
        <is>
          <t>CFM56-7B</t>
        </is>
      </c>
      <c r="C2742" s="31" t="inlineStr">
        <is>
          <t>2025-2026</t>
        </is>
      </c>
      <c r="D2742" s="31" t="inlineStr">
        <is>
          <t>140303</t>
        </is>
      </c>
      <c r="E2742" s="31" t="inlineStr">
        <is>
          <t>71-21-37</t>
        </is>
      </c>
      <c r="F2742" s="31" t="inlineStr">
        <is>
          <t>I</t>
        </is>
      </c>
      <c r="G2742" s="31" t="inlineStr">
        <is>
          <t>Other / assembly</t>
        </is>
      </c>
      <c r="H2742" s="27" t="n">
        <v>580</v>
      </c>
      <c r="I2742" s="27" t="n">
        <v>615</v>
      </c>
      <c r="J2742" s="154">
        <f>I2742/H2742-1</f>
        <v/>
      </c>
      <c r="K2742" s="31" t="inlineStr">
        <is>
          <t>18</t>
        </is>
      </c>
      <c r="L2742" s="31" t="inlineStr">
        <is>
          <t>17</t>
        </is>
      </c>
      <c r="M2742" s="31" t="inlineStr">
        <is>
          <t>S3</t>
        </is>
      </c>
      <c r="N2742" s="31" t="inlineStr">
        <is>
          <t>S5</t>
        </is>
      </c>
      <c r="O2742" s="31" t="inlineStr">
        <is>
          <t>310A2022-3</t>
        </is>
      </c>
      <c r="P2742" s="31" t="inlineStr">
        <is>
          <t>SR Technics Switzerland</t>
        </is>
      </c>
    </row>
    <row r="2743">
      <c r="B2743" s="31" t="inlineStr">
        <is>
          <t>CFM56-7B</t>
        </is>
      </c>
      <c r="C2743" s="31" t="inlineStr">
        <is>
          <t>2025-2026</t>
        </is>
      </c>
      <c r="D2743" s="31" t="inlineStr">
        <is>
          <t>140303</t>
        </is>
      </c>
      <c r="E2743" s="31" t="inlineStr">
        <is>
          <t>71-21-37</t>
        </is>
      </c>
      <c r="F2743" s="31" t="inlineStr">
        <is>
          <t>K</t>
        </is>
      </c>
      <c r="G2743" s="31" t="inlineStr">
        <is>
          <t>Other / assembly</t>
        </is>
      </c>
      <c r="H2743" s="27" t="n">
        <v>565</v>
      </c>
      <c r="I2743" s="27" t="n">
        <v>600</v>
      </c>
      <c r="J2743" s="154">
        <f>I2743/H2743-1</f>
        <v/>
      </c>
      <c r="K2743" s="31" t="inlineStr">
        <is>
          <t>18</t>
        </is>
      </c>
      <c r="L2743" s="31" t="inlineStr">
        <is>
          <t>17</t>
        </is>
      </c>
      <c r="M2743" s="31" t="inlineStr">
        <is>
          <t>S3</t>
        </is>
      </c>
      <c r="N2743" s="31" t="inlineStr">
        <is>
          <t>S5</t>
        </is>
      </c>
      <c r="O2743" s="31" t="inlineStr">
        <is>
          <t>310A2022-3</t>
        </is>
      </c>
      <c r="P2743" s="31" t="inlineStr">
        <is>
          <t>SR Technics Switzerland</t>
        </is>
      </c>
    </row>
    <row r="2744">
      <c r="B2744" s="31" t="inlineStr">
        <is>
          <t>CFM56-7B</t>
        </is>
      </c>
      <c r="C2744" s="31" t="inlineStr">
        <is>
          <t>2025-2026</t>
        </is>
      </c>
      <c r="D2744" s="31" t="inlineStr">
        <is>
          <t>140303</t>
        </is>
      </c>
      <c r="E2744" s="31" t="inlineStr">
        <is>
          <t>71-21-37</t>
        </is>
      </c>
      <c r="F2744" s="31" t="inlineStr">
        <is>
          <t>L</t>
        </is>
      </c>
      <c r="G2744" s="31" t="inlineStr">
        <is>
          <t>Other / assembly</t>
        </is>
      </c>
      <c r="H2744" s="27" t="n">
        <v>570</v>
      </c>
      <c r="I2744" s="27" t="n">
        <v>605</v>
      </c>
      <c r="J2744" s="154">
        <f>I2744/H2744-1</f>
        <v/>
      </c>
      <c r="K2744" s="31" t="inlineStr">
        <is>
          <t>18</t>
        </is>
      </c>
      <c r="L2744" s="31" t="inlineStr">
        <is>
          <t>17</t>
        </is>
      </c>
      <c r="M2744" s="31" t="inlineStr">
        <is>
          <t>S3</t>
        </is>
      </c>
      <c r="N2744" s="31" t="inlineStr">
        <is>
          <t>S5</t>
        </is>
      </c>
      <c r="O2744" s="31" t="inlineStr">
        <is>
          <t>310A2022-3</t>
        </is>
      </c>
      <c r="P2744" s="31" t="inlineStr">
        <is>
          <t>SR Technics Switzerland</t>
        </is>
      </c>
    </row>
    <row r="2745">
      <c r="B2745" s="31" t="inlineStr">
        <is>
          <t>CFM56-7B</t>
        </is>
      </c>
      <c r="C2745" s="31" t="inlineStr">
        <is>
          <t>2025-2026</t>
        </is>
      </c>
      <c r="D2745" s="31" t="inlineStr">
        <is>
          <t>140319</t>
        </is>
      </c>
      <c r="E2745" s="31" t="inlineStr">
        <is>
          <t>79-21-53</t>
        </is>
      </c>
      <c r="F2745" s="31" t="inlineStr">
        <is>
          <t>B</t>
        </is>
      </c>
      <c r="G2745" s="31" t="inlineStr">
        <is>
          <t>Other / assembly</t>
        </is>
      </c>
      <c r="H2745" s="27" t="n">
        <v>365</v>
      </c>
      <c r="I2745" s="27" t="n">
        <v>390</v>
      </c>
      <c r="J2745" s="154">
        <f>I2745/H2745-1</f>
        <v/>
      </c>
      <c r="K2745" s="31" t="inlineStr">
        <is>
          <t>18</t>
        </is>
      </c>
      <c r="L2745" s="31" t="inlineStr">
        <is>
          <t>17</t>
        </is>
      </c>
      <c r="M2745" s="31" t="inlineStr">
        <is>
          <t>S3</t>
        </is>
      </c>
      <c r="N2745" s="31" t="inlineStr">
        <is>
          <t>S5</t>
        </is>
      </c>
      <c r="O2745" s="31" t="inlineStr">
        <is>
          <t>325-016-801-0</t>
        </is>
      </c>
      <c r="P2745" s="31" t="inlineStr">
        <is>
          <t>SR Technics Switzerland</t>
        </is>
      </c>
    </row>
    <row r="2746">
      <c r="B2746" s="31" t="inlineStr">
        <is>
          <t>CFM56-7B</t>
        </is>
      </c>
      <c r="C2746" s="31" t="inlineStr">
        <is>
          <t>2025-2026</t>
        </is>
      </c>
      <c r="D2746" s="31" t="inlineStr">
        <is>
          <t>140319</t>
        </is>
      </c>
      <c r="E2746" s="31" t="inlineStr">
        <is>
          <t>79-21-53</t>
        </is>
      </c>
      <c r="F2746" s="31" t="inlineStr">
        <is>
          <t>C</t>
        </is>
      </c>
      <c r="G2746" s="31" t="inlineStr">
        <is>
          <t>Other / assembly</t>
        </is>
      </c>
      <c r="H2746" s="27" t="n">
        <v>405</v>
      </c>
      <c r="I2746" s="27" t="n">
        <v>430</v>
      </c>
      <c r="J2746" s="154">
        <f>I2746/H2746-1</f>
        <v/>
      </c>
      <c r="K2746" s="31" t="inlineStr">
        <is>
          <t>18</t>
        </is>
      </c>
      <c r="L2746" s="31" t="inlineStr">
        <is>
          <t>17</t>
        </is>
      </c>
      <c r="M2746" s="31" t="inlineStr">
        <is>
          <t>S3</t>
        </is>
      </c>
      <c r="N2746" s="31" t="inlineStr">
        <is>
          <t>S5</t>
        </is>
      </c>
      <c r="O2746" s="31" t="inlineStr">
        <is>
          <t>325-016-801-0</t>
        </is>
      </c>
      <c r="P2746" s="31" t="inlineStr">
        <is>
          <t>SR Technics Switzerland</t>
        </is>
      </c>
    </row>
    <row r="2747">
      <c r="B2747" s="31" t="inlineStr">
        <is>
          <t>CFM56-7B</t>
        </is>
      </c>
      <c r="C2747" s="31" t="inlineStr">
        <is>
          <t>2025-2026</t>
        </is>
      </c>
      <c r="D2747" s="31" t="inlineStr">
        <is>
          <t>140762</t>
        </is>
      </c>
      <c r="E2747" s="31" t="inlineStr">
        <is>
          <t>71-21-37</t>
        </is>
      </c>
      <c r="F2747" s="31" t="inlineStr">
        <is>
          <t>A</t>
        </is>
      </c>
      <c r="G2747" s="31" t="inlineStr">
        <is>
          <t>Other / assembly</t>
        </is>
      </c>
      <c r="H2747" s="27" t="n">
        <v>135</v>
      </c>
      <c r="I2747" s="27" t="n">
        <v>145</v>
      </c>
      <c r="J2747" s="154">
        <f>I2747/H2747-1</f>
        <v/>
      </c>
      <c r="K2747" s="31" t="inlineStr">
        <is>
          <t>18</t>
        </is>
      </c>
      <c r="L2747" s="31" t="inlineStr">
        <is>
          <t>17</t>
        </is>
      </c>
      <c r="M2747" s="31" t="inlineStr">
        <is>
          <t>S3</t>
        </is>
      </c>
      <c r="N2747" s="31" t="inlineStr">
        <is>
          <t>S5</t>
        </is>
      </c>
      <c r="O2747" s="31" t="inlineStr">
        <is>
          <t>310A2024-2</t>
        </is>
      </c>
      <c r="P2747" s="31" t="inlineStr">
        <is>
          <t>SR Technics Switzerland</t>
        </is>
      </c>
    </row>
    <row r="2748">
      <c r="B2748" s="31" t="inlineStr">
        <is>
          <t>CFM56-7B</t>
        </is>
      </c>
      <c r="C2748" s="31" t="inlineStr">
        <is>
          <t>2025-2026</t>
        </is>
      </c>
      <c r="D2748" s="31" t="inlineStr">
        <is>
          <t>140763</t>
        </is>
      </c>
      <c r="E2748" s="31" t="inlineStr">
        <is>
          <t>71-21-37</t>
        </is>
      </c>
      <c r="F2748" s="31" t="inlineStr">
        <is>
          <t>A</t>
        </is>
      </c>
      <c r="G2748" s="31" t="inlineStr">
        <is>
          <t>Other / assembly</t>
        </is>
      </c>
      <c r="H2748" s="27" t="n">
        <v>1140</v>
      </c>
      <c r="I2748" s="27" t="n">
        <v>1200</v>
      </c>
      <c r="J2748" s="154">
        <f>I2748/H2748-1</f>
        <v/>
      </c>
      <c r="K2748" s="31" t="inlineStr">
        <is>
          <t>18</t>
        </is>
      </c>
      <c r="L2748" s="31" t="inlineStr">
        <is>
          <t>17</t>
        </is>
      </c>
      <c r="M2748" s="31" t="inlineStr">
        <is>
          <t>S3</t>
        </is>
      </c>
      <c r="N2748" s="31" t="inlineStr">
        <is>
          <t>S5</t>
        </is>
      </c>
      <c r="O2748" s="31" t="inlineStr">
        <is>
          <t>310A2028-11</t>
        </is>
      </c>
      <c r="P2748" s="31" t="inlineStr">
        <is>
          <t>SR Technics Switzerland</t>
        </is>
      </c>
    </row>
    <row r="2749">
      <c r="B2749" s="31" t="inlineStr">
        <is>
          <t>CFM56-7B</t>
        </is>
      </c>
      <c r="C2749" s="31" t="inlineStr">
        <is>
          <t>2025-2026</t>
        </is>
      </c>
      <c r="D2749" s="31" t="inlineStr">
        <is>
          <t>140763</t>
        </is>
      </c>
      <c r="E2749" s="31" t="inlineStr">
        <is>
          <t>71-21-37</t>
        </is>
      </c>
      <c r="F2749" s="31" t="inlineStr">
        <is>
          <t>B</t>
        </is>
      </c>
      <c r="G2749" s="31" t="inlineStr">
        <is>
          <t>Other / assembly</t>
        </is>
      </c>
      <c r="H2749" s="27" t="n">
        <v>870</v>
      </c>
      <c r="I2749" s="27" t="n">
        <v>925</v>
      </c>
      <c r="J2749" s="154">
        <f>I2749/H2749-1</f>
        <v/>
      </c>
      <c r="K2749" s="31" t="inlineStr">
        <is>
          <t>18</t>
        </is>
      </c>
      <c r="L2749" s="31" t="inlineStr">
        <is>
          <t>17</t>
        </is>
      </c>
      <c r="M2749" s="31" t="inlineStr">
        <is>
          <t>S3</t>
        </is>
      </c>
      <c r="N2749" s="31" t="inlineStr">
        <is>
          <t>S5</t>
        </is>
      </c>
      <c r="O2749" s="31" t="inlineStr">
        <is>
          <t>310A2028-11</t>
        </is>
      </c>
      <c r="P2749" s="31" t="inlineStr">
        <is>
          <t>SR Technics Switzerland</t>
        </is>
      </c>
    </row>
    <row r="2750">
      <c r="B2750" s="31" t="inlineStr">
        <is>
          <t>CFM56-7B</t>
        </is>
      </c>
      <c r="C2750" s="31" t="inlineStr">
        <is>
          <t>2025-2026</t>
        </is>
      </c>
      <c r="D2750" s="31" t="inlineStr">
        <is>
          <t>140763</t>
        </is>
      </c>
      <c r="E2750" s="31" t="inlineStr">
        <is>
          <t>71-21-37</t>
        </is>
      </c>
      <c r="F2750" s="31" t="inlineStr">
        <is>
          <t>C</t>
        </is>
      </c>
      <c r="G2750" s="31" t="inlineStr">
        <is>
          <t>Other / assembly</t>
        </is>
      </c>
      <c r="H2750" s="27" t="n">
        <v>685</v>
      </c>
      <c r="I2750" s="27" t="n">
        <v>730</v>
      </c>
      <c r="J2750" s="154">
        <f>I2750/H2750-1</f>
        <v/>
      </c>
      <c r="K2750" s="31" t="inlineStr">
        <is>
          <t>18</t>
        </is>
      </c>
      <c r="L2750" s="31" t="inlineStr">
        <is>
          <t>17</t>
        </is>
      </c>
      <c r="M2750" s="31" t="inlineStr">
        <is>
          <t>S3</t>
        </is>
      </c>
      <c r="N2750" s="31" t="inlineStr">
        <is>
          <t>S5</t>
        </is>
      </c>
      <c r="O2750" s="31" t="inlineStr">
        <is>
          <t>310A2028-11</t>
        </is>
      </c>
      <c r="P2750" s="31" t="inlineStr">
        <is>
          <t>SR Technics Switzerland</t>
        </is>
      </c>
    </row>
    <row r="2751">
      <c r="B2751" s="31" t="inlineStr">
        <is>
          <t>CFM56-7B</t>
        </is>
      </c>
      <c r="C2751" s="31" t="inlineStr">
        <is>
          <t>2025-2026</t>
        </is>
      </c>
      <c r="D2751" s="31" t="inlineStr">
        <is>
          <t>140763</t>
        </is>
      </c>
      <c r="E2751" s="31" t="inlineStr">
        <is>
          <t>71-21-37</t>
        </is>
      </c>
      <c r="F2751" s="31" t="inlineStr">
        <is>
          <t>D</t>
        </is>
      </c>
      <c r="G2751" s="31" t="inlineStr">
        <is>
          <t>Other / assembly</t>
        </is>
      </c>
      <c r="H2751" s="27" t="n">
        <v>375</v>
      </c>
      <c r="I2751" s="27" t="n">
        <v>400</v>
      </c>
      <c r="J2751" s="154">
        <f>I2751/H2751-1</f>
        <v/>
      </c>
      <c r="K2751" s="31" t="inlineStr">
        <is>
          <t>18</t>
        </is>
      </c>
      <c r="L2751" s="31" t="inlineStr">
        <is>
          <t>17</t>
        </is>
      </c>
      <c r="M2751" s="31" t="inlineStr">
        <is>
          <t>S3</t>
        </is>
      </c>
      <c r="N2751" s="31" t="inlineStr">
        <is>
          <t>S5</t>
        </is>
      </c>
      <c r="O2751" s="31" t="inlineStr">
        <is>
          <t>310A2028-11</t>
        </is>
      </c>
      <c r="P2751" s="31" t="inlineStr">
        <is>
          <t>SR Technics Switzerland</t>
        </is>
      </c>
    </row>
    <row r="2752">
      <c r="B2752" s="31" t="inlineStr">
        <is>
          <t>CFM56-7B</t>
        </is>
      </c>
      <c r="C2752" s="31" t="inlineStr">
        <is>
          <t>2025-2026</t>
        </is>
      </c>
      <c r="D2752" s="31" t="inlineStr">
        <is>
          <t>140763</t>
        </is>
      </c>
      <c r="E2752" s="31" t="inlineStr">
        <is>
          <t>71-21-37</t>
        </is>
      </c>
      <c r="F2752" s="31" t="inlineStr">
        <is>
          <t>E</t>
        </is>
      </c>
      <c r="G2752" s="31" t="inlineStr">
        <is>
          <t>Other / assembly</t>
        </is>
      </c>
      <c r="H2752" s="27" t="n">
        <v>3380</v>
      </c>
      <c r="I2752" s="27" t="n">
        <v>3585</v>
      </c>
      <c r="J2752" s="154">
        <f>I2752/H2752-1</f>
        <v/>
      </c>
      <c r="K2752" s="31" t="inlineStr">
        <is>
          <t>18</t>
        </is>
      </c>
      <c r="L2752" s="31" t="inlineStr">
        <is>
          <t>17</t>
        </is>
      </c>
      <c r="M2752" s="31" t="inlineStr">
        <is>
          <t>S3</t>
        </is>
      </c>
      <c r="N2752" s="31" t="inlineStr">
        <is>
          <t>S5</t>
        </is>
      </c>
      <c r="O2752" s="31" t="inlineStr">
        <is>
          <t>310A2028-11</t>
        </is>
      </c>
      <c r="P2752" s="31" t="inlineStr">
        <is>
          <t>SR Technics Switzerland</t>
        </is>
      </c>
    </row>
    <row r="2753">
      <c r="B2753" s="31" t="inlineStr">
        <is>
          <t>CFM56-7B</t>
        </is>
      </c>
      <c r="C2753" s="31" t="inlineStr">
        <is>
          <t>2025-2026</t>
        </is>
      </c>
      <c r="D2753" s="31" t="inlineStr">
        <is>
          <t>140763</t>
        </is>
      </c>
      <c r="E2753" s="31" t="inlineStr">
        <is>
          <t>71-21-37</t>
        </is>
      </c>
      <c r="F2753" s="31" t="inlineStr">
        <is>
          <t>F</t>
        </is>
      </c>
      <c r="G2753" s="31" t="inlineStr">
        <is>
          <t>Other / assembly</t>
        </is>
      </c>
      <c r="H2753" s="27" t="n">
        <v>570</v>
      </c>
      <c r="I2753" s="27" t="n">
        <v>605</v>
      </c>
      <c r="J2753" s="154">
        <f>I2753/H2753-1</f>
        <v/>
      </c>
      <c r="K2753" s="31" t="inlineStr">
        <is>
          <t>18</t>
        </is>
      </c>
      <c r="L2753" s="31" t="inlineStr">
        <is>
          <t>17</t>
        </is>
      </c>
      <c r="M2753" s="31" t="inlineStr">
        <is>
          <t>S3</t>
        </is>
      </c>
      <c r="N2753" s="31" t="inlineStr">
        <is>
          <t>S5</t>
        </is>
      </c>
      <c r="O2753" s="31" t="inlineStr">
        <is>
          <t>310A2028-11</t>
        </is>
      </c>
      <c r="P2753" s="31" t="inlineStr">
        <is>
          <t>SR Technics Switzerland</t>
        </is>
      </c>
    </row>
    <row r="2754">
      <c r="B2754" s="31" t="inlineStr">
        <is>
          <t>CFM56-7B</t>
        </is>
      </c>
      <c r="C2754" s="31" t="inlineStr">
        <is>
          <t>2025-2026</t>
        </is>
      </c>
      <c r="D2754" s="31" t="inlineStr">
        <is>
          <t>140763</t>
        </is>
      </c>
      <c r="E2754" s="31" t="inlineStr">
        <is>
          <t>71-21-37</t>
        </is>
      </c>
      <c r="F2754" s="31" t="inlineStr">
        <is>
          <t>G</t>
        </is>
      </c>
      <c r="G2754" s="31" t="inlineStr">
        <is>
          <t>Other / assembly</t>
        </is>
      </c>
      <c r="H2754" s="27" t="n">
        <v>1805</v>
      </c>
      <c r="I2754" s="27" t="n">
        <v>1915</v>
      </c>
      <c r="J2754" s="154">
        <f>I2754/H2754-1</f>
        <v/>
      </c>
      <c r="K2754" s="31" t="inlineStr">
        <is>
          <t>18</t>
        </is>
      </c>
      <c r="L2754" s="31" t="inlineStr">
        <is>
          <t>17</t>
        </is>
      </c>
      <c r="M2754" s="31" t="inlineStr">
        <is>
          <t>S3</t>
        </is>
      </c>
      <c r="N2754" s="31" t="inlineStr">
        <is>
          <t>S5</t>
        </is>
      </c>
      <c r="O2754" s="31" t="inlineStr">
        <is>
          <t>310A2028-11</t>
        </is>
      </c>
      <c r="P2754" s="31" t="inlineStr">
        <is>
          <t>SR Technics Switzerland</t>
        </is>
      </c>
    </row>
    <row r="2755">
      <c r="B2755" s="31" t="inlineStr">
        <is>
          <t>CFM56-7B</t>
        </is>
      </c>
      <c r="C2755" s="31" t="inlineStr">
        <is>
          <t>2025-2026</t>
        </is>
      </c>
      <c r="D2755" s="31" t="inlineStr">
        <is>
          <t>140763</t>
        </is>
      </c>
      <c r="E2755" s="31" t="inlineStr">
        <is>
          <t>71-21-37</t>
        </is>
      </c>
      <c r="F2755" s="31" t="inlineStr">
        <is>
          <t>H</t>
        </is>
      </c>
      <c r="G2755" s="31" t="inlineStr">
        <is>
          <t>Other / assembly</t>
        </is>
      </c>
      <c r="H2755" s="27" t="n">
        <v>575</v>
      </c>
      <c r="I2755" s="27" t="n">
        <v>610</v>
      </c>
      <c r="J2755" s="154">
        <f>I2755/H2755-1</f>
        <v/>
      </c>
      <c r="K2755" s="31" t="inlineStr">
        <is>
          <t>18</t>
        </is>
      </c>
      <c r="L2755" s="31" t="inlineStr">
        <is>
          <t>17</t>
        </is>
      </c>
      <c r="M2755" s="31" t="inlineStr">
        <is>
          <t>S3</t>
        </is>
      </c>
      <c r="N2755" s="31" t="inlineStr">
        <is>
          <t>S5</t>
        </is>
      </c>
      <c r="O2755" s="31" t="inlineStr">
        <is>
          <t>310A2028-11</t>
        </is>
      </c>
      <c r="P2755" s="31" t="inlineStr">
        <is>
          <t>SR Technics Switzerland</t>
        </is>
      </c>
    </row>
    <row r="2756">
      <c r="B2756" s="31" t="inlineStr">
        <is>
          <t>CFM56-7B</t>
        </is>
      </c>
      <c r="C2756" s="31" t="inlineStr">
        <is>
          <t>2025-2026</t>
        </is>
      </c>
      <c r="D2756" s="31" t="inlineStr">
        <is>
          <t>14164</t>
        </is>
      </c>
      <c r="E2756" s="31" t="inlineStr">
        <is>
          <t>72-23-33</t>
        </is>
      </c>
      <c r="F2756" s="31" t="inlineStr">
        <is>
          <t>B</t>
        </is>
      </c>
      <c r="G2756" s="31" t="inlineStr">
        <is>
          <t>Fan / booster</t>
        </is>
      </c>
      <c r="H2756" s="27" t="n">
        <v>790</v>
      </c>
      <c r="I2756" s="27" t="n">
        <v>840</v>
      </c>
      <c r="J2756" s="154">
        <f>I2756/H2756-1</f>
        <v/>
      </c>
      <c r="K2756" s="31" t="inlineStr">
        <is>
          <t>38</t>
        </is>
      </c>
      <c r="L2756" s="31" t="inlineStr">
        <is>
          <t>37</t>
        </is>
      </c>
      <c r="M2756" s="31" t="inlineStr">
        <is>
          <t>S3</t>
        </is>
      </c>
      <c r="N2756" s="31" t="inlineStr">
        <is>
          <t>S5</t>
        </is>
      </c>
      <c r="O2756" s="31" t="inlineStr">
        <is>
          <t>340-064-501-0</t>
        </is>
      </c>
      <c r="P2756" s="31" t="inlineStr">
        <is>
          <t>SR Technics Switzerland</t>
        </is>
      </c>
    </row>
    <row r="2757">
      <c r="B2757" s="31" t="inlineStr">
        <is>
          <t>CFM56-7B</t>
        </is>
      </c>
      <c r="C2757" s="31" t="inlineStr">
        <is>
          <t>2025-2026</t>
        </is>
      </c>
      <c r="D2757" s="31" t="inlineStr">
        <is>
          <t>14164</t>
        </is>
      </c>
      <c r="E2757" s="31" t="inlineStr">
        <is>
          <t>72-23-33</t>
        </is>
      </c>
      <c r="F2757" s="31" t="inlineStr">
        <is>
          <t>C</t>
        </is>
      </c>
      <c r="G2757" s="31" t="inlineStr">
        <is>
          <t>Fan / booster</t>
        </is>
      </c>
      <c r="H2757" s="27" t="n">
        <v>840</v>
      </c>
      <c r="I2757" s="27" t="n">
        <v>895</v>
      </c>
      <c r="J2757" s="154">
        <f>I2757/H2757-1</f>
        <v/>
      </c>
      <c r="K2757" s="31" t="inlineStr">
        <is>
          <t>38</t>
        </is>
      </c>
      <c r="L2757" s="31" t="inlineStr">
        <is>
          <t>37</t>
        </is>
      </c>
      <c r="M2757" s="31" t="inlineStr">
        <is>
          <t>S3</t>
        </is>
      </c>
      <c r="N2757" s="31" t="inlineStr">
        <is>
          <t>S5</t>
        </is>
      </c>
      <c r="O2757" s="31" t="inlineStr">
        <is>
          <t>340-064-501-0</t>
        </is>
      </c>
      <c r="P2757" s="31" t="inlineStr">
        <is>
          <t>SR Technics Switzerland</t>
        </is>
      </c>
    </row>
    <row r="2758">
      <c r="B2758" s="31" t="inlineStr">
        <is>
          <t>CFM56-7B</t>
        </is>
      </c>
      <c r="C2758" s="31" t="inlineStr">
        <is>
          <t>2025-2026</t>
        </is>
      </c>
      <c r="D2758" s="31" t="inlineStr">
        <is>
          <t>144718</t>
        </is>
      </c>
      <c r="E2758" s="31" t="inlineStr">
        <is>
          <t>72-41-07</t>
        </is>
      </c>
      <c r="F2758" s="31" t="inlineStr">
        <is>
          <t>A</t>
        </is>
      </c>
      <c r="G2758" s="31" t="inlineStr">
        <is>
          <t>Combustor</t>
        </is>
      </c>
      <c r="H2758" s="27" t="n">
        <v>1060</v>
      </c>
      <c r="I2758" s="27" t="n">
        <v>1115</v>
      </c>
      <c r="J2758" s="154">
        <f>I2758/H2758-1</f>
        <v/>
      </c>
      <c r="K2758" s="31" t="inlineStr">
        <is>
          <t>51</t>
        </is>
      </c>
      <c r="L2758" s="31" t="inlineStr">
        <is>
          <t>50</t>
        </is>
      </c>
      <c r="M2758" s="31" t="inlineStr">
        <is>
          <t>S3</t>
        </is>
      </c>
      <c r="N2758" s="31" t="inlineStr">
        <is>
          <t>S5</t>
        </is>
      </c>
      <c r="O2758" s="31" t="inlineStr">
        <is>
          <t>1498M53G01</t>
        </is>
      </c>
      <c r="P2758" s="31" t="inlineStr">
        <is>
          <t>SR Technics Switzerland</t>
        </is>
      </c>
    </row>
    <row r="2759">
      <c r="B2759" s="31" t="inlineStr">
        <is>
          <t>CFM56-7B</t>
        </is>
      </c>
      <c r="C2759" s="31" t="inlineStr">
        <is>
          <t>2025-2026</t>
        </is>
      </c>
      <c r="D2759" s="31" t="inlineStr">
        <is>
          <t>144718</t>
        </is>
      </c>
      <c r="E2759" s="31" t="inlineStr">
        <is>
          <t>72-41-07</t>
        </is>
      </c>
      <c r="F2759" s="31" t="inlineStr">
        <is>
          <t>B</t>
        </is>
      </c>
      <c r="G2759" s="31" t="inlineStr">
        <is>
          <t>Combustor</t>
        </is>
      </c>
      <c r="H2759" s="27" t="n">
        <v>4605</v>
      </c>
      <c r="I2759" s="27" t="n">
        <v>4885</v>
      </c>
      <c r="J2759" s="154">
        <f>I2759/H2759-1</f>
        <v/>
      </c>
      <c r="K2759" s="31" t="inlineStr">
        <is>
          <t>51</t>
        </is>
      </c>
      <c r="L2759" s="31" t="inlineStr">
        <is>
          <t>50</t>
        </is>
      </c>
      <c r="M2759" s="31" t="inlineStr">
        <is>
          <t>S3</t>
        </is>
      </c>
      <c r="N2759" s="31" t="inlineStr">
        <is>
          <t>S5</t>
        </is>
      </c>
      <c r="O2759" s="31" t="inlineStr">
        <is>
          <t>1498M53G01</t>
        </is>
      </c>
      <c r="P2759" s="31" t="inlineStr">
        <is>
          <t>SR Technics Switzerland</t>
        </is>
      </c>
    </row>
    <row r="2760">
      <c r="B2760" s="31" t="inlineStr">
        <is>
          <t>CFM56-7B</t>
        </is>
      </c>
      <c r="C2760" s="31" t="inlineStr">
        <is>
          <t>2025-2026</t>
        </is>
      </c>
      <c r="D2760" s="31" t="inlineStr">
        <is>
          <t>144718</t>
        </is>
      </c>
      <c r="E2760" s="31" t="inlineStr">
        <is>
          <t>72-41-07</t>
        </is>
      </c>
      <c r="F2760" s="31" t="inlineStr">
        <is>
          <t>C</t>
        </is>
      </c>
      <c r="G2760" s="31" t="inlineStr">
        <is>
          <t>Combustor</t>
        </is>
      </c>
      <c r="H2760" s="27" t="n">
        <v>120</v>
      </c>
      <c r="I2760" s="27" t="n">
        <v>130</v>
      </c>
      <c r="J2760" s="154">
        <f>I2760/H2760-1</f>
        <v/>
      </c>
      <c r="K2760" s="31" t="inlineStr">
        <is>
          <t>51</t>
        </is>
      </c>
      <c r="L2760" s="31" t="inlineStr">
        <is>
          <t>50</t>
        </is>
      </c>
      <c r="M2760" s="31" t="inlineStr">
        <is>
          <t>S3</t>
        </is>
      </c>
      <c r="N2760" s="31" t="inlineStr">
        <is>
          <t>S5</t>
        </is>
      </c>
      <c r="O2760" s="31" t="inlineStr">
        <is>
          <t>1498M53G01</t>
        </is>
      </c>
      <c r="P2760" s="31" t="inlineStr">
        <is>
          <t>SR Technics Switzerland</t>
        </is>
      </c>
    </row>
    <row r="2761">
      <c r="B2761" s="31" t="inlineStr">
        <is>
          <t>CFM56-7B</t>
        </is>
      </c>
      <c r="C2761" s="31" t="inlineStr">
        <is>
          <t>2025-2026</t>
        </is>
      </c>
      <c r="D2761" s="31" t="inlineStr">
        <is>
          <t>144730</t>
        </is>
      </c>
      <c r="E2761" s="31" t="inlineStr">
        <is>
          <t>72-54-05</t>
        </is>
      </c>
      <c r="F2761" s="31" t="inlineStr">
        <is>
          <t>A</t>
        </is>
      </c>
      <c r="G2761" s="31" t="inlineStr">
        <is>
          <t>LPT</t>
        </is>
      </c>
      <c r="H2761" s="27" t="n">
        <v>1100</v>
      </c>
      <c r="I2761" s="27" t="n">
        <v>1155</v>
      </c>
      <c r="J2761" s="154">
        <f>I2761/H2761-1</f>
        <v/>
      </c>
      <c r="K2761" s="31" t="inlineStr">
        <is>
          <t>18</t>
        </is>
      </c>
      <c r="L2761" s="31" t="inlineStr">
        <is>
          <t>17</t>
        </is>
      </c>
      <c r="M2761" s="31" t="inlineStr">
        <is>
          <t>S3</t>
        </is>
      </c>
      <c r="N2761" s="31" t="inlineStr">
        <is>
          <t>S5</t>
        </is>
      </c>
      <c r="O2761" s="31" t="inlineStr">
        <is>
          <t>338-077-501-0</t>
        </is>
      </c>
      <c r="P2761" s="31" t="inlineStr">
        <is>
          <t>SR Technics Switzerland</t>
        </is>
      </c>
    </row>
    <row r="2762">
      <c r="B2762" s="31" t="inlineStr">
        <is>
          <t>CFM56-7B</t>
        </is>
      </c>
      <c r="C2762" s="31" t="inlineStr">
        <is>
          <t>2025-2026</t>
        </is>
      </c>
      <c r="D2762" s="31" t="inlineStr">
        <is>
          <t>144730</t>
        </is>
      </c>
      <c r="E2762" s="31" t="inlineStr">
        <is>
          <t>72-54-05</t>
        </is>
      </c>
      <c r="F2762" s="31" t="inlineStr">
        <is>
          <t>B</t>
        </is>
      </c>
      <c r="G2762" s="31" t="inlineStr">
        <is>
          <t>LPT</t>
        </is>
      </c>
      <c r="H2762" s="27" t="n">
        <v>700</v>
      </c>
      <c r="I2762" s="27" t="n">
        <v>745</v>
      </c>
      <c r="J2762" s="154">
        <f>I2762/H2762-1</f>
        <v/>
      </c>
      <c r="K2762" s="31" t="inlineStr">
        <is>
          <t>18</t>
        </is>
      </c>
      <c r="L2762" s="31" t="inlineStr">
        <is>
          <t>17</t>
        </is>
      </c>
      <c r="M2762" s="31" t="inlineStr">
        <is>
          <t>S3</t>
        </is>
      </c>
      <c r="N2762" s="31" t="inlineStr">
        <is>
          <t>S5</t>
        </is>
      </c>
      <c r="O2762" s="31" t="inlineStr">
        <is>
          <t>338-077-501-0</t>
        </is>
      </c>
      <c r="P2762" s="31" t="inlineStr">
        <is>
          <t>SR Technics Switzerland</t>
        </is>
      </c>
    </row>
    <row r="2763">
      <c r="B2763" s="31" t="inlineStr">
        <is>
          <t>CFM56-7B</t>
        </is>
      </c>
      <c r="C2763" s="31" t="inlineStr">
        <is>
          <t>2025-2026</t>
        </is>
      </c>
      <c r="D2763" s="31" t="inlineStr">
        <is>
          <t>144730</t>
        </is>
      </c>
      <c r="E2763" s="31" t="inlineStr">
        <is>
          <t>72-54-05</t>
        </is>
      </c>
      <c r="F2763" s="31" t="inlineStr">
        <is>
          <t>I</t>
        </is>
      </c>
      <c r="G2763" s="31" t="inlineStr">
        <is>
          <t>LPT</t>
        </is>
      </c>
      <c r="H2763" s="27" t="n">
        <v>2985</v>
      </c>
      <c r="I2763" s="27" t="n">
        <v>3165</v>
      </c>
      <c r="J2763" s="154">
        <f>I2763/H2763-1</f>
        <v/>
      </c>
      <c r="K2763" s="31" t="inlineStr">
        <is>
          <t>18</t>
        </is>
      </c>
      <c r="L2763" s="31" t="inlineStr">
        <is>
          <t>17</t>
        </is>
      </c>
      <c r="M2763" s="31" t="inlineStr">
        <is>
          <t>S3</t>
        </is>
      </c>
      <c r="N2763" s="31" t="inlineStr">
        <is>
          <t>S5</t>
        </is>
      </c>
      <c r="O2763" s="31" t="inlineStr">
        <is>
          <t>338-077-501-0</t>
        </is>
      </c>
      <c r="P2763" s="31" t="inlineStr">
        <is>
          <t>SR Technics Switzerland</t>
        </is>
      </c>
    </row>
    <row r="2764">
      <c r="B2764" s="31" t="inlineStr">
        <is>
          <t>CFM56-7B</t>
        </is>
      </c>
      <c r="C2764" s="31" t="inlineStr">
        <is>
          <t>2025-2026</t>
        </is>
      </c>
      <c r="D2764" s="31" t="inlineStr">
        <is>
          <t>144730</t>
        </is>
      </c>
      <c r="E2764" s="31" t="inlineStr">
        <is>
          <t>72-54-05</t>
        </is>
      </c>
      <c r="F2764" s="31" t="inlineStr">
        <is>
          <t>SB00</t>
        </is>
      </c>
      <c r="G2764" s="31" t="inlineStr">
        <is>
          <t>LPT</t>
        </is>
      </c>
      <c r="H2764" s="27" t="n">
        <v>900</v>
      </c>
      <c r="I2764" s="27" t="n">
        <v>955</v>
      </c>
      <c r="J2764" s="154">
        <f>I2764/H2764-1</f>
        <v/>
      </c>
      <c r="K2764" s="31" t="inlineStr">
        <is>
          <t>18</t>
        </is>
      </c>
      <c r="L2764" s="31" t="inlineStr">
        <is>
          <t>17</t>
        </is>
      </c>
      <c r="M2764" s="31" t="inlineStr">
        <is>
          <t>S3</t>
        </is>
      </c>
      <c r="N2764" s="31" t="inlineStr">
        <is>
          <t>S5</t>
        </is>
      </c>
      <c r="O2764" s="31" t="inlineStr">
        <is>
          <t>338-077-501-0</t>
        </is>
      </c>
      <c r="P2764" s="31" t="inlineStr">
        <is>
          <t>SR Technics Switzerland</t>
        </is>
      </c>
    </row>
    <row r="2765">
      <c r="B2765" s="31" t="inlineStr">
        <is>
          <t>CFM56-7B</t>
        </is>
      </c>
      <c r="C2765" s="31" t="inlineStr">
        <is>
          <t>2025-2026</t>
        </is>
      </c>
      <c r="D2765" s="31" t="inlineStr">
        <is>
          <t>144739</t>
        </is>
      </c>
      <c r="E2765" s="31" t="inlineStr">
        <is>
          <t>72-21-05</t>
        </is>
      </c>
      <c r="F2765" s="31" t="inlineStr">
        <is>
          <t>A</t>
        </is>
      </c>
      <c r="G2765" s="31" t="inlineStr">
        <is>
          <t>Fan / booster</t>
        </is>
      </c>
      <c r="H2765" s="27" t="n">
        <v>750</v>
      </c>
      <c r="I2765" s="27" t="n">
        <v>790</v>
      </c>
      <c r="J2765" s="154">
        <f>I2765/H2765-1</f>
        <v/>
      </c>
      <c r="K2765" s="31" t="inlineStr">
        <is>
          <t>18</t>
        </is>
      </c>
      <c r="L2765" s="31" t="inlineStr">
        <is>
          <t>17</t>
        </is>
      </c>
      <c r="M2765" s="31" t="inlineStr">
        <is>
          <t>S3</t>
        </is>
      </c>
      <c r="N2765" s="31" t="inlineStr">
        <is>
          <t>S5</t>
        </is>
      </c>
      <c r="O2765" s="31" t="inlineStr">
        <is>
          <t>2406M75G01</t>
        </is>
      </c>
      <c r="P2765" s="31" t="inlineStr">
        <is>
          <t>SR Technics Switzerland</t>
        </is>
      </c>
    </row>
    <row r="2766">
      <c r="B2766" s="31" t="inlineStr">
        <is>
          <t>CFM56-7B</t>
        </is>
      </c>
      <c r="C2766" s="31" t="inlineStr">
        <is>
          <t>2025-2026</t>
        </is>
      </c>
      <c r="D2766" s="31" t="inlineStr">
        <is>
          <t>144739</t>
        </is>
      </c>
      <c r="E2766" s="31" t="inlineStr">
        <is>
          <t>72-21-05</t>
        </is>
      </c>
      <c r="F2766" s="31" t="inlineStr">
        <is>
          <t>AE</t>
        </is>
      </c>
      <c r="G2766" s="31" t="inlineStr">
        <is>
          <t>Fan / booster</t>
        </is>
      </c>
      <c r="H2766" s="27" t="n">
        <v>1570</v>
      </c>
      <c r="I2766" s="27" t="n">
        <v>1665</v>
      </c>
      <c r="J2766" s="154">
        <f>I2766/H2766-1</f>
        <v/>
      </c>
      <c r="K2766" s="31" t="inlineStr">
        <is>
          <t>18</t>
        </is>
      </c>
      <c r="L2766" s="31" t="inlineStr">
        <is>
          <t>17</t>
        </is>
      </c>
      <c r="M2766" s="31" t="inlineStr">
        <is>
          <t>S3</t>
        </is>
      </c>
      <c r="N2766" s="31" t="inlineStr">
        <is>
          <t>S5</t>
        </is>
      </c>
      <c r="O2766" s="31" t="inlineStr">
        <is>
          <t>2406M75G01</t>
        </is>
      </c>
      <c r="P2766" s="31" t="inlineStr">
        <is>
          <t>SR Technics Switzerland</t>
        </is>
      </c>
    </row>
    <row r="2767">
      <c r="B2767" s="31" t="inlineStr">
        <is>
          <t>CFM56-7B</t>
        </is>
      </c>
      <c r="C2767" s="31" t="inlineStr">
        <is>
          <t>2025-2026</t>
        </is>
      </c>
      <c r="D2767" s="31" t="inlineStr">
        <is>
          <t>144739</t>
        </is>
      </c>
      <c r="E2767" s="31" t="inlineStr">
        <is>
          <t>72-21-05</t>
        </is>
      </c>
      <c r="F2767" s="31" t="inlineStr">
        <is>
          <t>AG</t>
        </is>
      </c>
      <c r="G2767" s="31" t="inlineStr">
        <is>
          <t>Fan / booster</t>
        </is>
      </c>
      <c r="H2767" s="27" t="n">
        <v>2600</v>
      </c>
      <c r="I2767" s="27" t="n">
        <v>2760</v>
      </c>
      <c r="J2767" s="154">
        <f>I2767/H2767-1</f>
        <v/>
      </c>
      <c r="K2767" s="31" t="inlineStr">
        <is>
          <t>18</t>
        </is>
      </c>
      <c r="L2767" s="31" t="inlineStr">
        <is>
          <t>17</t>
        </is>
      </c>
      <c r="M2767" s="31" t="inlineStr">
        <is>
          <t>S3</t>
        </is>
      </c>
      <c r="N2767" s="31" t="inlineStr">
        <is>
          <t>S5</t>
        </is>
      </c>
      <c r="O2767" s="31" t="inlineStr">
        <is>
          <t>2406M75G01</t>
        </is>
      </c>
      <c r="P2767" s="31" t="inlineStr">
        <is>
          <t>SR Technics Switzerland</t>
        </is>
      </c>
    </row>
    <row r="2768">
      <c r="B2768" s="31" t="inlineStr">
        <is>
          <t>CFM56-7B</t>
        </is>
      </c>
      <c r="C2768" s="31" t="inlineStr">
        <is>
          <t>2025-2026</t>
        </is>
      </c>
      <c r="D2768" s="31" t="inlineStr">
        <is>
          <t>144739</t>
        </is>
      </c>
      <c r="E2768" s="31" t="inlineStr">
        <is>
          <t>72-21-05</t>
        </is>
      </c>
      <c r="F2768" s="31" t="inlineStr">
        <is>
          <t>B</t>
        </is>
      </c>
      <c r="G2768" s="31" t="inlineStr">
        <is>
          <t>Fan / booster</t>
        </is>
      </c>
      <c r="H2768" s="27" t="n">
        <v>1305</v>
      </c>
      <c r="I2768" s="27" t="n">
        <v>1385</v>
      </c>
      <c r="J2768" s="154">
        <f>I2768/H2768-1</f>
        <v/>
      </c>
      <c r="K2768" s="31" t="inlineStr">
        <is>
          <t>18</t>
        </is>
      </c>
      <c r="L2768" s="31" t="inlineStr">
        <is>
          <t>17</t>
        </is>
      </c>
      <c r="M2768" s="31" t="inlineStr">
        <is>
          <t>S3</t>
        </is>
      </c>
      <c r="N2768" s="31" t="inlineStr">
        <is>
          <t>S5</t>
        </is>
      </c>
      <c r="O2768" s="31" t="inlineStr">
        <is>
          <t>2406M75G01</t>
        </is>
      </c>
      <c r="P2768" s="31" t="inlineStr">
        <is>
          <t>SR Technics Switzerland</t>
        </is>
      </c>
    </row>
    <row r="2769">
      <c r="B2769" s="31" t="inlineStr">
        <is>
          <t>CFM56-7B</t>
        </is>
      </c>
      <c r="C2769" s="31" t="inlineStr">
        <is>
          <t>2025-2026</t>
        </is>
      </c>
      <c r="D2769" s="31" t="inlineStr">
        <is>
          <t>144739</t>
        </is>
      </c>
      <c r="E2769" s="31" t="inlineStr">
        <is>
          <t>72-21-05</t>
        </is>
      </c>
      <c r="F2769" s="31" t="inlineStr">
        <is>
          <t>C</t>
        </is>
      </c>
      <c r="G2769" s="31" t="inlineStr">
        <is>
          <t>Fan / booster</t>
        </is>
      </c>
      <c r="H2769" s="27" t="n">
        <v>1300</v>
      </c>
      <c r="I2769" s="27" t="n">
        <v>1380</v>
      </c>
      <c r="J2769" s="154">
        <f>I2769/H2769-1</f>
        <v/>
      </c>
      <c r="K2769" s="31" t="inlineStr">
        <is>
          <t>18</t>
        </is>
      </c>
      <c r="L2769" s="31" t="inlineStr">
        <is>
          <t>17</t>
        </is>
      </c>
      <c r="M2769" s="31" t="inlineStr">
        <is>
          <t>S3</t>
        </is>
      </c>
      <c r="N2769" s="31" t="inlineStr">
        <is>
          <t>S5</t>
        </is>
      </c>
      <c r="O2769" s="31" t="inlineStr">
        <is>
          <t>2406M75G01</t>
        </is>
      </c>
      <c r="P2769" s="31" t="inlineStr">
        <is>
          <t>SR Technics Switzerland</t>
        </is>
      </c>
    </row>
    <row r="2770">
      <c r="B2770" s="31" t="inlineStr">
        <is>
          <t>CFM56-7B</t>
        </is>
      </c>
      <c r="C2770" s="31" t="inlineStr">
        <is>
          <t>2025-2026</t>
        </is>
      </c>
      <c r="D2770" s="31" t="inlineStr">
        <is>
          <t>144755</t>
        </is>
      </c>
      <c r="E2770" s="31" t="inlineStr">
        <is>
          <t>72-21-04</t>
        </is>
      </c>
      <c r="F2770" s="31" t="inlineStr">
        <is>
          <t>A</t>
        </is>
      </c>
      <c r="G2770" s="31" t="inlineStr">
        <is>
          <t>Fan / booster</t>
        </is>
      </c>
      <c r="H2770" s="27" t="n">
        <v>2020</v>
      </c>
      <c r="I2770" s="27" t="n">
        <v>2300</v>
      </c>
      <c r="J2770" s="154">
        <f>I2770/H2770-1</f>
        <v/>
      </c>
      <c r="K2770" s="31" t="inlineStr">
        <is>
          <t>18</t>
        </is>
      </c>
      <c r="L2770" s="31" t="inlineStr">
        <is>
          <t>17</t>
        </is>
      </c>
      <c r="M2770" s="31" t="inlineStr">
        <is>
          <t>S3</t>
        </is>
      </c>
      <c r="N2770" s="31" t="inlineStr">
        <is>
          <t>S5</t>
        </is>
      </c>
      <c r="O2770" s="31" t="inlineStr">
        <is>
          <t>338-001-905-0</t>
        </is>
      </c>
      <c r="P2770" s="31" t="inlineStr">
        <is>
          <t>SR Technics Switzerland</t>
        </is>
      </c>
    </row>
    <row r="2771">
      <c r="B2771" s="31" t="inlineStr">
        <is>
          <t>CFM56-7B</t>
        </is>
      </c>
      <c r="C2771" s="31" t="inlineStr">
        <is>
          <t>2025-2026</t>
        </is>
      </c>
      <c r="D2771" s="31" t="inlineStr">
        <is>
          <t>144755</t>
        </is>
      </c>
      <c r="E2771" s="31" t="inlineStr">
        <is>
          <t>72-21-04</t>
        </is>
      </c>
      <c r="F2771" s="31" t="inlineStr">
        <is>
          <t>B</t>
        </is>
      </c>
      <c r="G2771" s="31" t="inlineStr">
        <is>
          <t>Fan / booster</t>
        </is>
      </c>
      <c r="H2771" s="27" t="n">
        <v>2520</v>
      </c>
      <c r="I2771" s="27" t="n">
        <v>2675</v>
      </c>
      <c r="J2771" s="154">
        <f>I2771/H2771-1</f>
        <v/>
      </c>
      <c r="K2771" s="31" t="inlineStr">
        <is>
          <t>18</t>
        </is>
      </c>
      <c r="L2771" s="31" t="inlineStr">
        <is>
          <t>17</t>
        </is>
      </c>
      <c r="M2771" s="31" t="inlineStr">
        <is>
          <t>S3</t>
        </is>
      </c>
      <c r="N2771" s="31" t="inlineStr">
        <is>
          <t>S5</t>
        </is>
      </c>
      <c r="O2771" s="31" t="inlineStr">
        <is>
          <t>338-001-905-0</t>
        </is>
      </c>
      <c r="P2771" s="31" t="inlineStr">
        <is>
          <t>SR Technics Switzerland</t>
        </is>
      </c>
    </row>
    <row r="2772">
      <c r="B2772" s="31" t="inlineStr">
        <is>
          <t>CFM56-7B</t>
        </is>
      </c>
      <c r="C2772" s="31" t="inlineStr">
        <is>
          <t>2025-2026</t>
        </is>
      </c>
      <c r="D2772" s="31" t="inlineStr">
        <is>
          <t>144755</t>
        </is>
      </c>
      <c r="E2772" s="31" t="inlineStr">
        <is>
          <t>72-21-04</t>
        </is>
      </c>
      <c r="F2772" s="31" t="inlineStr">
        <is>
          <t>D</t>
        </is>
      </c>
      <c r="G2772" s="31" t="inlineStr">
        <is>
          <t>Fan / booster</t>
        </is>
      </c>
      <c r="H2772" s="27" t="n">
        <v>395</v>
      </c>
      <c r="I2772" s="27" t="n">
        <v>420</v>
      </c>
      <c r="J2772" s="154">
        <f>I2772/H2772-1</f>
        <v/>
      </c>
      <c r="K2772" s="31" t="inlineStr">
        <is>
          <t>18</t>
        </is>
      </c>
      <c r="L2772" s="31" t="inlineStr">
        <is>
          <t>17</t>
        </is>
      </c>
      <c r="M2772" s="31" t="inlineStr">
        <is>
          <t>S3</t>
        </is>
      </c>
      <c r="N2772" s="31" t="inlineStr">
        <is>
          <t>S5</t>
        </is>
      </c>
      <c r="O2772" s="31" t="inlineStr">
        <is>
          <t>338-001-905-0</t>
        </is>
      </c>
      <c r="P2772" s="31" t="inlineStr">
        <is>
          <t>SR Technics Switzerland</t>
        </is>
      </c>
    </row>
    <row r="2773">
      <c r="B2773" s="31" t="inlineStr">
        <is>
          <t>CFM56-7B</t>
        </is>
      </c>
      <c r="C2773" s="31" t="inlineStr">
        <is>
          <t>2025-2026</t>
        </is>
      </c>
      <c r="D2773" s="31" t="inlineStr">
        <is>
          <t>144755</t>
        </is>
      </c>
      <c r="E2773" s="31" t="inlineStr">
        <is>
          <t>72-21-04</t>
        </is>
      </c>
      <c r="F2773" s="31" t="inlineStr">
        <is>
          <t>E</t>
        </is>
      </c>
      <c r="G2773" s="31" t="inlineStr">
        <is>
          <t>Fan / booster</t>
        </is>
      </c>
      <c r="H2773" s="27" t="n">
        <v>435</v>
      </c>
      <c r="I2773" s="27" t="n">
        <v>465</v>
      </c>
      <c r="J2773" s="154">
        <f>I2773/H2773-1</f>
        <v/>
      </c>
      <c r="K2773" s="31" t="inlineStr">
        <is>
          <t>18</t>
        </is>
      </c>
      <c r="L2773" s="31" t="inlineStr">
        <is>
          <t>17</t>
        </is>
      </c>
      <c r="M2773" s="31" t="inlineStr">
        <is>
          <t>S3</t>
        </is>
      </c>
      <c r="N2773" s="31" t="inlineStr">
        <is>
          <t>S5</t>
        </is>
      </c>
      <c r="O2773" s="31" t="inlineStr">
        <is>
          <t>338-001-905-0</t>
        </is>
      </c>
      <c r="P2773" s="31" t="inlineStr">
        <is>
          <t>SR Technics Switzerland</t>
        </is>
      </c>
    </row>
    <row r="2774">
      <c r="B2774" s="31" t="inlineStr">
        <is>
          <t>CFM56-7B</t>
        </is>
      </c>
      <c r="C2774" s="31" t="inlineStr">
        <is>
          <t>2025-2026</t>
        </is>
      </c>
      <c r="D2774" s="31" t="inlineStr">
        <is>
          <t>144755</t>
        </is>
      </c>
      <c r="E2774" s="31" t="inlineStr">
        <is>
          <t>72-21-04</t>
        </is>
      </c>
      <c r="F2774" s="31" t="inlineStr">
        <is>
          <t>J</t>
        </is>
      </c>
      <c r="G2774" s="31" t="inlineStr">
        <is>
          <t>Fan / booster</t>
        </is>
      </c>
      <c r="H2774" s="27" t="n">
        <v>1260</v>
      </c>
      <c r="I2774" s="27" t="n">
        <v>1340</v>
      </c>
      <c r="J2774" s="154">
        <f>I2774/H2774-1</f>
        <v/>
      </c>
      <c r="K2774" s="31" t="inlineStr">
        <is>
          <t>18</t>
        </is>
      </c>
      <c r="L2774" s="31" t="inlineStr">
        <is>
          <t>17</t>
        </is>
      </c>
      <c r="M2774" s="31" t="inlineStr">
        <is>
          <t>S3</t>
        </is>
      </c>
      <c r="N2774" s="31" t="inlineStr">
        <is>
          <t>S5</t>
        </is>
      </c>
      <c r="O2774" s="31" t="inlineStr">
        <is>
          <t>338-001-905-0</t>
        </is>
      </c>
      <c r="P2774" s="31" t="inlineStr">
        <is>
          <t>SR Technics Switzerland</t>
        </is>
      </c>
    </row>
    <row r="2775">
      <c r="B2775" s="31" t="inlineStr">
        <is>
          <t>CFM56-7B</t>
        </is>
      </c>
      <c r="C2775" s="31" t="inlineStr">
        <is>
          <t>2025-2026</t>
        </is>
      </c>
      <c r="D2775" s="31" t="inlineStr">
        <is>
          <t>144755</t>
        </is>
      </c>
      <c r="E2775" s="31" t="inlineStr">
        <is>
          <t>72-21-04</t>
        </is>
      </c>
      <c r="F2775" s="31" t="inlineStr">
        <is>
          <t>K</t>
        </is>
      </c>
      <c r="G2775" s="31" t="inlineStr">
        <is>
          <t>Fan / booster</t>
        </is>
      </c>
      <c r="H2775" s="27" t="n">
        <v>2595</v>
      </c>
      <c r="I2775" s="27" t="n">
        <v>2755</v>
      </c>
      <c r="J2775" s="154">
        <f>I2775/H2775-1</f>
        <v/>
      </c>
      <c r="K2775" s="31" t="inlineStr">
        <is>
          <t>18</t>
        </is>
      </c>
      <c r="L2775" s="31" t="inlineStr">
        <is>
          <t>17</t>
        </is>
      </c>
      <c r="M2775" s="31" t="inlineStr">
        <is>
          <t>S3</t>
        </is>
      </c>
      <c r="N2775" s="31" t="inlineStr">
        <is>
          <t>S5</t>
        </is>
      </c>
      <c r="O2775" s="31" t="inlineStr">
        <is>
          <t>338-001-905-0</t>
        </is>
      </c>
      <c r="P2775" s="31" t="inlineStr">
        <is>
          <t>SR Technics Switzerland</t>
        </is>
      </c>
    </row>
    <row r="2776">
      <c r="B2776" s="31" t="inlineStr">
        <is>
          <t>CFM56-7B</t>
        </is>
      </c>
      <c r="C2776" s="31" t="inlineStr">
        <is>
          <t>2025-2026</t>
        </is>
      </c>
      <c r="D2776" s="31" t="inlineStr">
        <is>
          <t>144755</t>
        </is>
      </c>
      <c r="E2776" s="31" t="inlineStr">
        <is>
          <t>72-21-04</t>
        </is>
      </c>
      <c r="F2776" s="31" t="inlineStr">
        <is>
          <t>SB00</t>
        </is>
      </c>
      <c r="G2776" s="31" t="inlineStr">
        <is>
          <t>Fan / booster</t>
        </is>
      </c>
      <c r="H2776" s="27" t="n">
        <v>2260</v>
      </c>
      <c r="I2776" s="27" t="n">
        <v>2400</v>
      </c>
      <c r="J2776" s="154">
        <f>I2776/H2776-1</f>
        <v/>
      </c>
      <c r="K2776" s="31" t="inlineStr">
        <is>
          <t>18</t>
        </is>
      </c>
      <c r="L2776" s="31" t="inlineStr">
        <is>
          <t>18</t>
        </is>
      </c>
      <c r="M2776" s="31" t="inlineStr">
        <is>
          <t>S3</t>
        </is>
      </c>
      <c r="N2776" s="31" t="inlineStr">
        <is>
          <t>S5</t>
        </is>
      </c>
      <c r="O2776" s="31" t="inlineStr">
        <is>
          <t>338-001-905-0</t>
        </is>
      </c>
      <c r="P2776" s="31" t="inlineStr">
        <is>
          <t>SR Technics Switzerland</t>
        </is>
      </c>
    </row>
    <row r="2777">
      <c r="B2777" s="31" t="inlineStr">
        <is>
          <t>CFM56-7B</t>
        </is>
      </c>
      <c r="C2777" s="31" t="inlineStr">
        <is>
          <t>2025-2026</t>
        </is>
      </c>
      <c r="D2777" s="31" t="inlineStr">
        <is>
          <t>144755</t>
        </is>
      </c>
      <c r="E2777" s="31" t="inlineStr">
        <is>
          <t>72-21-04</t>
        </is>
      </c>
      <c r="F2777" s="31" t="inlineStr">
        <is>
          <t>SB01</t>
        </is>
      </c>
      <c r="G2777" s="31" t="inlineStr">
        <is>
          <t>Fan / booster</t>
        </is>
      </c>
      <c r="H2777" s="27" t="n">
        <v>570</v>
      </c>
      <c r="I2777" s="27" t="n">
        <v>605</v>
      </c>
      <c r="J2777" s="154">
        <f>I2777/H2777-1</f>
        <v/>
      </c>
      <c r="K2777" s="31" t="inlineStr">
        <is>
          <t>18</t>
        </is>
      </c>
      <c r="L2777" s="31" t="inlineStr">
        <is>
          <t>18</t>
        </is>
      </c>
      <c r="M2777" s="31" t="inlineStr">
        <is>
          <t>S3</t>
        </is>
      </c>
      <c r="N2777" s="31" t="inlineStr">
        <is>
          <t>S5</t>
        </is>
      </c>
      <c r="O2777" s="31" t="inlineStr">
        <is>
          <t>338-001-905-0</t>
        </is>
      </c>
      <c r="P2777" s="31" t="inlineStr">
        <is>
          <t>SR Technics Switzerland</t>
        </is>
      </c>
    </row>
    <row r="2778">
      <c r="B2778" s="31" t="inlineStr">
        <is>
          <t>CFM56-7B</t>
        </is>
      </c>
      <c r="C2778" s="31" t="inlineStr">
        <is>
          <t>2025-2026</t>
        </is>
      </c>
      <c r="D2778" s="31" t="inlineStr">
        <is>
          <t>144755</t>
        </is>
      </c>
      <c r="E2778" s="31" t="inlineStr">
        <is>
          <t>72-21-04</t>
        </is>
      </c>
      <c r="F2778" s="31" t="inlineStr">
        <is>
          <t>SB02</t>
        </is>
      </c>
      <c r="G2778" s="31" t="inlineStr">
        <is>
          <t>Fan / booster</t>
        </is>
      </c>
      <c r="H2778" s="27" t="n">
        <v>425</v>
      </c>
      <c r="I2778" s="27" t="n">
        <v>455</v>
      </c>
      <c r="J2778" s="154">
        <f>I2778/H2778-1</f>
        <v/>
      </c>
      <c r="K2778" s="31" t="inlineStr">
        <is>
          <t>18</t>
        </is>
      </c>
      <c r="L2778" s="31" t="inlineStr">
        <is>
          <t>18</t>
        </is>
      </c>
      <c r="M2778" s="31" t="inlineStr">
        <is>
          <t>S3</t>
        </is>
      </c>
      <c r="N2778" s="31" t="inlineStr">
        <is>
          <t>S5</t>
        </is>
      </c>
      <c r="O2778" s="31" t="inlineStr">
        <is>
          <t>338-001-905-0</t>
        </is>
      </c>
      <c r="P2778" s="31" t="inlineStr">
        <is>
          <t>SR Technics Switzerland</t>
        </is>
      </c>
    </row>
    <row r="2779">
      <c r="B2779" s="31" t="inlineStr">
        <is>
          <t>CFM56-7B</t>
        </is>
      </c>
      <c r="C2779" s="31" t="inlineStr">
        <is>
          <t>2025-2026</t>
        </is>
      </c>
      <c r="D2779" s="31" t="inlineStr">
        <is>
          <t>144755</t>
        </is>
      </c>
      <c r="E2779" s="31" t="inlineStr">
        <is>
          <t>72-21-04</t>
        </is>
      </c>
      <c r="F2779" s="31" t="inlineStr">
        <is>
          <t>SB03</t>
        </is>
      </c>
      <c r="G2779" s="31" t="inlineStr">
        <is>
          <t>Fan / booster</t>
        </is>
      </c>
      <c r="H2779" s="27" t="n">
        <v>425</v>
      </c>
      <c r="I2779" s="27" t="n">
        <v>455</v>
      </c>
      <c r="J2779" s="154">
        <f>I2779/H2779-1</f>
        <v/>
      </c>
      <c r="K2779" s="31" t="inlineStr">
        <is>
          <t>18</t>
        </is>
      </c>
      <c r="L2779" s="31" t="inlineStr">
        <is>
          <t>18</t>
        </is>
      </c>
      <c r="M2779" s="31" t="inlineStr">
        <is>
          <t>S3</t>
        </is>
      </c>
      <c r="N2779" s="31" t="inlineStr">
        <is>
          <t>S5</t>
        </is>
      </c>
      <c r="O2779" s="31" t="inlineStr">
        <is>
          <t>338-001-905-0</t>
        </is>
      </c>
      <c r="P2779" s="31" t="inlineStr">
        <is>
          <t>SR Technics Switzerland</t>
        </is>
      </c>
    </row>
    <row r="2780">
      <c r="B2780" s="31" t="inlineStr">
        <is>
          <t>CFM56-7B</t>
        </is>
      </c>
      <c r="C2780" s="31" t="inlineStr">
        <is>
          <t>2025-2026</t>
        </is>
      </c>
      <c r="D2780" s="31" t="inlineStr">
        <is>
          <t>144756</t>
        </is>
      </c>
      <c r="E2780" s="31" t="inlineStr">
        <is>
          <t>72-21-04</t>
        </is>
      </c>
      <c r="F2780" s="31" t="inlineStr">
        <is>
          <t>A</t>
        </is>
      </c>
      <c r="G2780" s="31" t="inlineStr">
        <is>
          <t>Fan / booster</t>
        </is>
      </c>
      <c r="H2780" s="27" t="n">
        <v>605</v>
      </c>
      <c r="I2780" s="27" t="n">
        <v>640</v>
      </c>
      <c r="J2780" s="154">
        <f>I2780/H2780-1</f>
        <v/>
      </c>
      <c r="K2780" s="31" t="inlineStr">
        <is>
          <t>51</t>
        </is>
      </c>
      <c r="L2780" s="31" t="inlineStr">
        <is>
          <t>51</t>
        </is>
      </c>
      <c r="M2780" s="31" t="inlineStr">
        <is>
          <t>S3</t>
        </is>
      </c>
      <c r="N2780" s="31" t="inlineStr">
        <is>
          <t>S5</t>
        </is>
      </c>
      <c r="O2780" s="31" t="inlineStr">
        <is>
          <t>338-002-701-0</t>
        </is>
      </c>
      <c r="P2780" s="31" t="inlineStr">
        <is>
          <t>SR Technics Switzerland</t>
        </is>
      </c>
    </row>
    <row r="2781">
      <c r="B2781" s="31" t="inlineStr">
        <is>
          <t>CFM56-7B</t>
        </is>
      </c>
      <c r="C2781" s="31" t="inlineStr">
        <is>
          <t>2025-2026</t>
        </is>
      </c>
      <c r="D2781" s="31" t="inlineStr">
        <is>
          <t>144759</t>
        </is>
      </c>
      <c r="E2781" s="31" t="inlineStr">
        <is>
          <t>72-22-02</t>
        </is>
      </c>
      <c r="F2781" s="31" t="inlineStr">
        <is>
          <t>A</t>
        </is>
      </c>
      <c r="G2781" s="31" t="inlineStr">
        <is>
          <t>Fan / booster</t>
        </is>
      </c>
      <c r="H2781" s="27" t="n">
        <v>870</v>
      </c>
      <c r="I2781" s="27" t="n">
        <v>915</v>
      </c>
      <c r="J2781" s="154">
        <f>I2781/H2781-1</f>
        <v/>
      </c>
      <c r="K2781" s="31" t="inlineStr">
        <is>
          <t>18</t>
        </is>
      </c>
      <c r="L2781" s="31" t="inlineStr">
        <is>
          <t>18</t>
        </is>
      </c>
      <c r="M2781" s="31" t="inlineStr">
        <is>
          <t>S3</t>
        </is>
      </c>
      <c r="N2781" s="31" t="inlineStr">
        <is>
          <t>S5</t>
        </is>
      </c>
      <c r="O2781" s="31" t="inlineStr">
        <is>
          <t>338-010-502-0</t>
        </is>
      </c>
      <c r="P2781" s="31" t="inlineStr">
        <is>
          <t>SR Technics Switzerland</t>
        </is>
      </c>
    </row>
    <row r="2782">
      <c r="B2782" s="31" t="inlineStr">
        <is>
          <t>CFM56-7B</t>
        </is>
      </c>
      <c r="C2782" s="31" t="inlineStr">
        <is>
          <t>2025-2026</t>
        </is>
      </c>
      <c r="D2782" s="31" t="inlineStr">
        <is>
          <t>144759</t>
        </is>
      </c>
      <c r="E2782" s="31" t="inlineStr">
        <is>
          <t>72-22-02</t>
        </is>
      </c>
      <c r="F2782" s="31" t="inlineStr">
        <is>
          <t>L</t>
        </is>
      </c>
      <c r="G2782" s="31" t="inlineStr">
        <is>
          <t>Fan / booster</t>
        </is>
      </c>
      <c r="H2782" s="27" t="n">
        <v>175</v>
      </c>
      <c r="I2782" s="27" t="n">
        <v>190</v>
      </c>
      <c r="J2782" s="154">
        <f>I2782/H2782-1</f>
        <v/>
      </c>
      <c r="K2782" s="31" t="inlineStr">
        <is>
          <t>18</t>
        </is>
      </c>
      <c r="L2782" s="31" t="inlineStr">
        <is>
          <t>18</t>
        </is>
      </c>
      <c r="M2782" s="31" t="inlineStr">
        <is>
          <t>S3</t>
        </is>
      </c>
      <c r="N2782" s="31" t="inlineStr">
        <is>
          <t>S5</t>
        </is>
      </c>
      <c r="O2782" s="31" t="inlineStr">
        <is>
          <t>338-010-502-0</t>
        </is>
      </c>
      <c r="P2782" s="31" t="inlineStr">
        <is>
          <t>SR Technics Switzerland</t>
        </is>
      </c>
    </row>
    <row r="2783">
      <c r="B2783" s="31" t="inlineStr">
        <is>
          <t>CFM56-7B</t>
        </is>
      </c>
      <c r="C2783" s="31" t="inlineStr">
        <is>
          <t>2025-2026</t>
        </is>
      </c>
      <c r="D2783" s="31" t="inlineStr">
        <is>
          <t>144776</t>
        </is>
      </c>
      <c r="E2783" s="31" t="inlineStr">
        <is>
          <t>72-42-01</t>
        </is>
      </c>
      <c r="F2783" s="31" t="inlineStr">
        <is>
          <t>A</t>
        </is>
      </c>
      <c r="G2783" s="31" t="inlineStr">
        <is>
          <t>Combustor</t>
        </is>
      </c>
      <c r="H2783" s="27" t="n">
        <v>820</v>
      </c>
      <c r="I2783" s="27" t="n">
        <v>865</v>
      </c>
      <c r="J2783" s="154">
        <f>I2783/H2783-1</f>
        <v/>
      </c>
      <c r="K2783" s="31" t="inlineStr">
        <is>
          <t>18</t>
        </is>
      </c>
      <c r="L2783" s="31" t="inlineStr">
        <is>
          <t>18</t>
        </is>
      </c>
      <c r="M2783" s="31" t="inlineStr">
        <is>
          <t>S3</t>
        </is>
      </c>
      <c r="N2783" s="31" t="inlineStr">
        <is>
          <t>S5</t>
        </is>
      </c>
      <c r="O2783" s="31" t="inlineStr">
        <is>
          <t>1968M59G01</t>
        </is>
      </c>
      <c r="P2783" s="31" t="inlineStr">
        <is>
          <t>SR Technics Switzerland</t>
        </is>
      </c>
    </row>
    <row r="2784">
      <c r="B2784" s="31" t="inlineStr">
        <is>
          <t>CFM56-7B</t>
        </is>
      </c>
      <c r="C2784" s="31" t="inlineStr">
        <is>
          <t>2025-2026</t>
        </is>
      </c>
      <c r="D2784" s="31" t="inlineStr">
        <is>
          <t>144776</t>
        </is>
      </c>
      <c r="E2784" s="31" t="inlineStr">
        <is>
          <t>72-42-01</t>
        </is>
      </c>
      <c r="F2784" s="31" t="inlineStr">
        <is>
          <t>B</t>
        </is>
      </c>
      <c r="G2784" s="31" t="inlineStr">
        <is>
          <t>Combustor</t>
        </is>
      </c>
      <c r="H2784" s="27" t="n">
        <v>1695</v>
      </c>
      <c r="I2784" s="27" t="n">
        <v>1800</v>
      </c>
      <c r="J2784" s="154">
        <f>I2784/H2784-1</f>
        <v/>
      </c>
      <c r="K2784" s="31" t="inlineStr">
        <is>
          <t>18</t>
        </is>
      </c>
      <c r="L2784" s="31" t="inlineStr">
        <is>
          <t>18</t>
        </is>
      </c>
      <c r="M2784" s="31" t="inlineStr">
        <is>
          <t>S3</t>
        </is>
      </c>
      <c r="N2784" s="31" t="inlineStr">
        <is>
          <t>S5</t>
        </is>
      </c>
      <c r="O2784" s="31" t="inlineStr">
        <is>
          <t>1968M59G01</t>
        </is>
      </c>
      <c r="P2784" s="31" t="inlineStr">
        <is>
          <t>SR Technics Switzerland</t>
        </is>
      </c>
    </row>
    <row r="2785">
      <c r="B2785" s="31" t="inlineStr">
        <is>
          <t>CFM56-7B</t>
        </is>
      </c>
      <c r="C2785" s="31" t="inlineStr">
        <is>
          <t>2025-2026</t>
        </is>
      </c>
      <c r="D2785" s="31" t="inlineStr">
        <is>
          <t>144778</t>
        </is>
      </c>
      <c r="E2785" s="31" t="inlineStr">
        <is>
          <t>72-54-16</t>
        </is>
      </c>
      <c r="F2785" s="31" t="inlineStr">
        <is>
          <t>A</t>
        </is>
      </c>
      <c r="G2785" s="31" t="inlineStr">
        <is>
          <t>LPT</t>
        </is>
      </c>
      <c r="H2785" s="27" t="n">
        <v>1000</v>
      </c>
      <c r="I2785" s="27" t="n">
        <v>1050</v>
      </c>
      <c r="J2785" s="154">
        <f>I2785/H2785-1</f>
        <v/>
      </c>
      <c r="K2785" s="31" t="inlineStr">
        <is>
          <t>19</t>
        </is>
      </c>
      <c r="L2785" s="31" t="inlineStr">
        <is>
          <t>18</t>
        </is>
      </c>
      <c r="M2785" s="31" t="inlineStr">
        <is>
          <t>S3</t>
        </is>
      </c>
      <c r="N2785" s="31" t="inlineStr">
        <is>
          <t>S5</t>
        </is>
      </c>
      <c r="O2785" s="31" t="inlineStr">
        <is>
          <t>336-026-302-0</t>
        </is>
      </c>
      <c r="P2785" s="31" t="inlineStr">
        <is>
          <t>SR Technics Switzerland</t>
        </is>
      </c>
    </row>
    <row r="2786">
      <c r="B2786" s="31" t="inlineStr">
        <is>
          <t>CFM56-7B</t>
        </is>
      </c>
      <c r="C2786" s="31" t="inlineStr">
        <is>
          <t>2025-2026</t>
        </is>
      </c>
      <c r="D2786" s="31" t="inlineStr">
        <is>
          <t>144778</t>
        </is>
      </c>
      <c r="E2786" s="31" t="inlineStr">
        <is>
          <t>72-54-16</t>
        </is>
      </c>
      <c r="F2786" s="31" t="inlineStr">
        <is>
          <t>B</t>
        </is>
      </c>
      <c r="G2786" s="31" t="inlineStr">
        <is>
          <t>LPT</t>
        </is>
      </c>
      <c r="H2786" s="27" t="n">
        <v>4800</v>
      </c>
      <c r="I2786" s="27" t="n">
        <v>5090</v>
      </c>
      <c r="J2786" s="154">
        <f>I2786/H2786-1</f>
        <v/>
      </c>
      <c r="K2786" s="31" t="inlineStr">
        <is>
          <t>19</t>
        </is>
      </c>
      <c r="L2786" s="31" t="inlineStr">
        <is>
          <t>18</t>
        </is>
      </c>
      <c r="M2786" s="31" t="inlineStr">
        <is>
          <t>S3</t>
        </is>
      </c>
      <c r="N2786" s="31" t="inlineStr">
        <is>
          <t>S5</t>
        </is>
      </c>
      <c r="O2786" s="31" t="inlineStr">
        <is>
          <t>336-026-302-0</t>
        </is>
      </c>
      <c r="P2786" s="31" t="inlineStr">
        <is>
          <t>SR Technics Switzerland</t>
        </is>
      </c>
    </row>
    <row r="2787">
      <c r="B2787" s="31" t="inlineStr">
        <is>
          <t>CFM56-7B</t>
        </is>
      </c>
      <c r="C2787" s="31" t="inlineStr">
        <is>
          <t>2025-2026</t>
        </is>
      </c>
      <c r="D2787" s="31" t="inlineStr">
        <is>
          <t>144778</t>
        </is>
      </c>
      <c r="E2787" s="31" t="inlineStr">
        <is>
          <t>72-54-16</t>
        </is>
      </c>
      <c r="F2787" s="31" t="inlineStr">
        <is>
          <t>C</t>
        </is>
      </c>
      <c r="G2787" s="31" t="inlineStr">
        <is>
          <t>LPT</t>
        </is>
      </c>
      <c r="H2787" s="27" t="n">
        <v>2080</v>
      </c>
      <c r="I2787" s="27" t="n">
        <v>2205</v>
      </c>
      <c r="J2787" s="154">
        <f>I2787/H2787-1</f>
        <v/>
      </c>
      <c r="K2787" s="31" t="inlineStr">
        <is>
          <t>19</t>
        </is>
      </c>
      <c r="L2787" s="31" t="inlineStr">
        <is>
          <t>18</t>
        </is>
      </c>
      <c r="M2787" s="31" t="inlineStr">
        <is>
          <t>S3</t>
        </is>
      </c>
      <c r="N2787" s="31" t="inlineStr">
        <is>
          <t>S5</t>
        </is>
      </c>
      <c r="O2787" s="31" t="inlineStr">
        <is>
          <t>336-026-302-0</t>
        </is>
      </c>
      <c r="P2787" s="31" t="inlineStr">
        <is>
          <t>SR Technics Switzerland</t>
        </is>
      </c>
    </row>
    <row r="2788">
      <c r="B2788" s="31" t="inlineStr">
        <is>
          <t>CFM56-7B</t>
        </is>
      </c>
      <c r="C2788" s="31" t="inlineStr">
        <is>
          <t>2025-2026</t>
        </is>
      </c>
      <c r="D2788" s="31" t="inlineStr">
        <is>
          <t>144787</t>
        </is>
      </c>
      <c r="E2788" s="31" t="inlineStr">
        <is>
          <t>72-55-01</t>
        </is>
      </c>
      <c r="F2788" s="31" t="inlineStr">
        <is>
          <t>A</t>
        </is>
      </c>
      <c r="G2788" s="31" t="inlineStr">
        <is>
          <t>LPT</t>
        </is>
      </c>
      <c r="H2788" s="27" t="n">
        <v>1500</v>
      </c>
      <c r="I2788" s="27" t="n">
        <v>1575</v>
      </c>
      <c r="J2788" s="154">
        <f>I2788/H2788-1</f>
        <v/>
      </c>
      <c r="K2788" s="31" t="inlineStr">
        <is>
          <t>51</t>
        </is>
      </c>
      <c r="L2788" s="31" t="inlineStr">
        <is>
          <t>18</t>
        </is>
      </c>
      <c r="M2788" s="31" t="inlineStr">
        <is>
          <t>S3</t>
        </is>
      </c>
      <c r="N2788" s="31" t="inlineStr">
        <is>
          <t>S5</t>
        </is>
      </c>
      <c r="O2788" s="31" t="inlineStr">
        <is>
          <t>337-002-910-0</t>
        </is>
      </c>
      <c r="P2788" s="31" t="inlineStr">
        <is>
          <t>SR Technics Switzerland</t>
        </is>
      </c>
    </row>
    <row r="2789">
      <c r="B2789" s="31" t="inlineStr">
        <is>
          <t>CFM56-7B</t>
        </is>
      </c>
      <c r="C2789" s="31" t="inlineStr">
        <is>
          <t>2025-2026</t>
        </is>
      </c>
      <c r="D2789" s="31" t="inlineStr">
        <is>
          <t>144787</t>
        </is>
      </c>
      <c r="E2789" s="31" t="inlineStr">
        <is>
          <t>72-55-01</t>
        </is>
      </c>
      <c r="F2789" s="31" t="inlineStr">
        <is>
          <t>B</t>
        </is>
      </c>
      <c r="G2789" s="31" t="inlineStr">
        <is>
          <t>LPT</t>
        </is>
      </c>
      <c r="H2789" s="27" t="n">
        <v>1040</v>
      </c>
      <c r="I2789" s="27" t="n">
        <v>1105</v>
      </c>
      <c r="J2789" s="154">
        <f>I2789/H2789-1</f>
        <v/>
      </c>
      <c r="K2789" s="31" t="inlineStr">
        <is>
          <t>51</t>
        </is>
      </c>
      <c r="L2789" s="31" t="inlineStr">
        <is>
          <t>18</t>
        </is>
      </c>
      <c r="M2789" s="31" t="inlineStr">
        <is>
          <t>S3</t>
        </is>
      </c>
      <c r="N2789" s="31" t="inlineStr">
        <is>
          <t>S5</t>
        </is>
      </c>
      <c r="O2789" s="31" t="inlineStr">
        <is>
          <t>337-002-910-0</t>
        </is>
      </c>
      <c r="P2789" s="31" t="inlineStr">
        <is>
          <t>SR Technics Switzerland</t>
        </is>
      </c>
    </row>
    <row r="2790">
      <c r="B2790" s="31" t="inlineStr">
        <is>
          <t>CFM56-7B</t>
        </is>
      </c>
      <c r="C2790" s="31" t="inlineStr">
        <is>
          <t>2025-2026</t>
        </is>
      </c>
      <c r="D2790" s="31" t="inlineStr">
        <is>
          <t>144787</t>
        </is>
      </c>
      <c r="E2790" s="31" t="inlineStr">
        <is>
          <t>72-55-01</t>
        </is>
      </c>
      <c r="F2790" s="31" t="inlineStr">
        <is>
          <t>C</t>
        </is>
      </c>
      <c r="G2790" s="31" t="inlineStr">
        <is>
          <t>LPT</t>
        </is>
      </c>
      <c r="H2790" s="27" t="n">
        <v>1305</v>
      </c>
      <c r="I2790" s="27" t="n">
        <v>1385</v>
      </c>
      <c r="J2790" s="154">
        <f>I2790/H2790-1</f>
        <v/>
      </c>
      <c r="K2790" s="31" t="inlineStr">
        <is>
          <t>51</t>
        </is>
      </c>
      <c r="L2790" s="31" t="inlineStr">
        <is>
          <t>18</t>
        </is>
      </c>
      <c r="M2790" s="31" t="inlineStr">
        <is>
          <t>S3</t>
        </is>
      </c>
      <c r="N2790" s="31" t="inlineStr">
        <is>
          <t>S5</t>
        </is>
      </c>
      <c r="O2790" s="31" t="inlineStr">
        <is>
          <t>337-002-910-0</t>
        </is>
      </c>
      <c r="P2790" s="31" t="inlineStr">
        <is>
          <t>SR Technics Switzerland</t>
        </is>
      </c>
    </row>
    <row r="2791">
      <c r="B2791" s="31" t="inlineStr">
        <is>
          <t>CFM56-7B</t>
        </is>
      </c>
      <c r="C2791" s="31" t="inlineStr">
        <is>
          <t>2025-2026</t>
        </is>
      </c>
      <c r="D2791" s="31" t="inlineStr">
        <is>
          <t>144787</t>
        </is>
      </c>
      <c r="E2791" s="31" t="inlineStr">
        <is>
          <t>72-55-01</t>
        </is>
      </c>
      <c r="F2791" s="31" t="inlineStr">
        <is>
          <t>D</t>
        </is>
      </c>
      <c r="G2791" s="31" t="inlineStr">
        <is>
          <t>LPT</t>
        </is>
      </c>
      <c r="H2791" s="27" t="n">
        <v>3950</v>
      </c>
      <c r="I2791" s="27" t="n">
        <v>4190</v>
      </c>
      <c r="J2791" s="154">
        <f>I2791/H2791-1</f>
        <v/>
      </c>
      <c r="K2791" s="31" t="inlineStr">
        <is>
          <t>51</t>
        </is>
      </c>
      <c r="L2791" s="31" t="inlineStr">
        <is>
          <t>18</t>
        </is>
      </c>
      <c r="M2791" s="31" t="inlineStr">
        <is>
          <t>S3</t>
        </is>
      </c>
      <c r="N2791" s="31" t="inlineStr">
        <is>
          <t>S5</t>
        </is>
      </c>
      <c r="O2791" s="31" t="inlineStr">
        <is>
          <t>337-002-910-0</t>
        </is>
      </c>
      <c r="P2791" s="31" t="inlineStr">
        <is>
          <t>SR Technics Switzerland</t>
        </is>
      </c>
    </row>
    <row r="2792">
      <c r="B2792" s="31" t="inlineStr">
        <is>
          <t>CFM56-7B</t>
        </is>
      </c>
      <c r="C2792" s="31" t="inlineStr">
        <is>
          <t>2025-2026</t>
        </is>
      </c>
      <c r="D2792" s="31" t="inlineStr">
        <is>
          <t>144787</t>
        </is>
      </c>
      <c r="E2792" s="31" t="inlineStr">
        <is>
          <t>72-55-01</t>
        </is>
      </c>
      <c r="F2792" s="31" t="inlineStr">
        <is>
          <t>H</t>
        </is>
      </c>
      <c r="G2792" s="31" t="inlineStr">
        <is>
          <t>LPT</t>
        </is>
      </c>
      <c r="H2792" s="27" t="n">
        <v>985</v>
      </c>
      <c r="I2792" s="27" t="n">
        <v>1045</v>
      </c>
      <c r="J2792" s="154">
        <f>I2792/H2792-1</f>
        <v/>
      </c>
      <c r="K2792" s="31" t="inlineStr">
        <is>
          <t>51</t>
        </is>
      </c>
      <c r="L2792" s="31" t="inlineStr">
        <is>
          <t>18</t>
        </is>
      </c>
      <c r="M2792" s="31" t="inlineStr">
        <is>
          <t>S3</t>
        </is>
      </c>
      <c r="N2792" s="31" t="inlineStr">
        <is>
          <t>S5</t>
        </is>
      </c>
      <c r="O2792" s="31" t="inlineStr">
        <is>
          <t>337-002-910-0</t>
        </is>
      </c>
      <c r="P2792" s="31" t="inlineStr">
        <is>
          <t>SR Technics Switzerland</t>
        </is>
      </c>
    </row>
    <row r="2793">
      <c r="B2793" s="31" t="inlineStr">
        <is>
          <t>CFM56-7B</t>
        </is>
      </c>
      <c r="C2793" s="31" t="inlineStr">
        <is>
          <t>2025-2026</t>
        </is>
      </c>
      <c r="D2793" s="31" t="inlineStr">
        <is>
          <t>144787</t>
        </is>
      </c>
      <c r="E2793" s="31" t="inlineStr">
        <is>
          <t>72-55-01</t>
        </is>
      </c>
      <c r="F2793" s="31" t="inlineStr">
        <is>
          <t>Q</t>
        </is>
      </c>
      <c r="G2793" s="31" t="inlineStr">
        <is>
          <t>LPT</t>
        </is>
      </c>
      <c r="H2793" s="27" t="n">
        <v>435</v>
      </c>
      <c r="I2793" s="27" t="n">
        <v>465</v>
      </c>
      <c r="J2793" s="154">
        <f>I2793/H2793-1</f>
        <v/>
      </c>
      <c r="K2793" s="31" t="inlineStr">
        <is>
          <t>51</t>
        </is>
      </c>
      <c r="L2793" s="31" t="inlineStr">
        <is>
          <t>18</t>
        </is>
      </c>
      <c r="M2793" s="31" t="inlineStr">
        <is>
          <t>S3</t>
        </is>
      </c>
      <c r="N2793" s="31" t="inlineStr">
        <is>
          <t>S5</t>
        </is>
      </c>
      <c r="O2793" s="31" t="inlineStr">
        <is>
          <t>337-002-910-0</t>
        </is>
      </c>
      <c r="P2793" s="31" t="inlineStr">
        <is>
          <t>SR Technics Switzerland</t>
        </is>
      </c>
    </row>
    <row r="2794">
      <c r="B2794" s="31" t="inlineStr">
        <is>
          <t>CFM56-7B</t>
        </is>
      </c>
      <c r="C2794" s="31" t="inlineStr">
        <is>
          <t>2025-2026</t>
        </is>
      </c>
      <c r="D2794" s="31" t="inlineStr">
        <is>
          <t>144787</t>
        </is>
      </c>
      <c r="E2794" s="31" t="inlineStr">
        <is>
          <t>72-55-01</t>
        </is>
      </c>
      <c r="F2794" s="31" t="inlineStr">
        <is>
          <t>S</t>
        </is>
      </c>
      <c r="G2794" s="31" t="inlineStr">
        <is>
          <t>LPT</t>
        </is>
      </c>
      <c r="H2794" s="27" t="n">
        <v>2555</v>
      </c>
      <c r="I2794" s="27" t="n">
        <v>2710</v>
      </c>
      <c r="J2794" s="154">
        <f>I2794/H2794-1</f>
        <v/>
      </c>
      <c r="K2794" s="31" t="inlineStr">
        <is>
          <t>51</t>
        </is>
      </c>
      <c r="L2794" s="31" t="inlineStr">
        <is>
          <t>18</t>
        </is>
      </c>
      <c r="M2794" s="31" t="inlineStr">
        <is>
          <t>S3</t>
        </is>
      </c>
      <c r="N2794" s="31" t="inlineStr">
        <is>
          <t>S5</t>
        </is>
      </c>
      <c r="O2794" s="31" t="inlineStr">
        <is>
          <t>337-002-910-0</t>
        </is>
      </c>
      <c r="P2794" s="31" t="inlineStr">
        <is>
          <t>SR Technics Switzerland</t>
        </is>
      </c>
    </row>
    <row r="2795">
      <c r="B2795" s="31" t="inlineStr">
        <is>
          <t>CFM56-7B</t>
        </is>
      </c>
      <c r="C2795" s="31" t="inlineStr">
        <is>
          <t>2025-2026</t>
        </is>
      </c>
      <c r="D2795" s="31" t="inlineStr">
        <is>
          <t>144787</t>
        </is>
      </c>
      <c r="E2795" s="31" t="inlineStr">
        <is>
          <t>72-55-01</t>
        </is>
      </c>
      <c r="F2795" s="31" t="inlineStr">
        <is>
          <t>SB00</t>
        </is>
      </c>
      <c r="G2795" s="31" t="inlineStr">
        <is>
          <t>LPT</t>
        </is>
      </c>
      <c r="H2795" s="27" t="n">
        <v>1030</v>
      </c>
      <c r="I2795" s="27" t="n">
        <v>1095</v>
      </c>
      <c r="J2795" s="154">
        <f>I2795/H2795-1</f>
        <v/>
      </c>
      <c r="K2795" s="31" t="inlineStr">
        <is>
          <t>51</t>
        </is>
      </c>
      <c r="L2795" s="31" t="inlineStr">
        <is>
          <t>18</t>
        </is>
      </c>
      <c r="M2795" s="31" t="inlineStr">
        <is>
          <t>S3</t>
        </is>
      </c>
      <c r="N2795" s="31" t="inlineStr">
        <is>
          <t>S5</t>
        </is>
      </c>
      <c r="O2795" s="31" t="inlineStr">
        <is>
          <t>337-002-910-0</t>
        </is>
      </c>
      <c r="P2795" s="31" t="inlineStr">
        <is>
          <t>SR Technics Switzerland</t>
        </is>
      </c>
    </row>
    <row r="2796">
      <c r="B2796" s="31" t="inlineStr">
        <is>
          <t>CFM56-7B</t>
        </is>
      </c>
      <c r="C2796" s="31" t="inlineStr">
        <is>
          <t>2025-2026</t>
        </is>
      </c>
      <c r="D2796" s="31" t="inlineStr">
        <is>
          <t>144787</t>
        </is>
      </c>
      <c r="E2796" s="31" t="inlineStr">
        <is>
          <t>72-55-01</t>
        </is>
      </c>
      <c r="F2796" s="31" t="inlineStr">
        <is>
          <t>SB01</t>
        </is>
      </c>
      <c r="G2796" s="31" t="inlineStr">
        <is>
          <t>LPT</t>
        </is>
      </c>
      <c r="H2796" s="27" t="n">
        <v>760</v>
      </c>
      <c r="I2796" s="27" t="n">
        <v>810</v>
      </c>
      <c r="J2796" s="154">
        <f>I2796/H2796-1</f>
        <v/>
      </c>
      <c r="K2796" s="31" t="inlineStr">
        <is>
          <t>51</t>
        </is>
      </c>
      <c r="L2796" s="31" t="inlineStr">
        <is>
          <t>18</t>
        </is>
      </c>
      <c r="M2796" s="31" t="inlineStr">
        <is>
          <t>S3</t>
        </is>
      </c>
      <c r="N2796" s="31" t="inlineStr">
        <is>
          <t>S5</t>
        </is>
      </c>
      <c r="O2796" s="31" t="inlineStr">
        <is>
          <t>337-002-910-0</t>
        </is>
      </c>
      <c r="P2796" s="31" t="inlineStr">
        <is>
          <t>SR Technics Switzerland</t>
        </is>
      </c>
    </row>
    <row r="2797">
      <c r="B2797" s="31" t="inlineStr">
        <is>
          <t>CFM56-7B</t>
        </is>
      </c>
      <c r="C2797" s="31" t="inlineStr">
        <is>
          <t>2025-2026</t>
        </is>
      </c>
      <c r="D2797" s="31" t="inlineStr">
        <is>
          <t>144787</t>
        </is>
      </c>
      <c r="E2797" s="31" t="inlineStr">
        <is>
          <t>72-55-01</t>
        </is>
      </c>
      <c r="F2797" s="31" t="inlineStr">
        <is>
          <t>SB02</t>
        </is>
      </c>
      <c r="G2797" s="31" t="inlineStr">
        <is>
          <t>LPT</t>
        </is>
      </c>
      <c r="H2797" s="27" t="n">
        <v>1790</v>
      </c>
      <c r="I2797" s="27" t="n">
        <v>1900</v>
      </c>
      <c r="J2797" s="154">
        <f>I2797/H2797-1</f>
        <v/>
      </c>
      <c r="K2797" s="31" t="inlineStr">
        <is>
          <t>51</t>
        </is>
      </c>
      <c r="L2797" s="31" t="inlineStr">
        <is>
          <t>18</t>
        </is>
      </c>
      <c r="M2797" s="31" t="inlineStr">
        <is>
          <t>S3</t>
        </is>
      </c>
      <c r="N2797" s="31" t="inlineStr">
        <is>
          <t>S5</t>
        </is>
      </c>
      <c r="O2797" s="31" t="inlineStr">
        <is>
          <t>337-002-910-0</t>
        </is>
      </c>
      <c r="P2797" s="31" t="inlineStr">
        <is>
          <t>SR Technics Switzerland</t>
        </is>
      </c>
    </row>
    <row r="2798">
      <c r="B2798" s="31" t="inlineStr">
        <is>
          <t>CFM56-7B</t>
        </is>
      </c>
      <c r="C2798" s="31" t="inlineStr">
        <is>
          <t>2025-2026</t>
        </is>
      </c>
      <c r="D2798" s="31" t="inlineStr">
        <is>
          <t>144787</t>
        </is>
      </c>
      <c r="E2798" s="31" t="inlineStr">
        <is>
          <t>72-55-01</t>
        </is>
      </c>
      <c r="F2798" s="31" t="inlineStr">
        <is>
          <t>SB03</t>
        </is>
      </c>
      <c r="G2798" s="31" t="inlineStr">
        <is>
          <t>LPT</t>
        </is>
      </c>
      <c r="H2798" s="27" t="n">
        <v>3785</v>
      </c>
      <c r="I2798" s="27" t="n">
        <v>4015</v>
      </c>
      <c r="J2798" s="154">
        <f>I2798/H2798-1</f>
        <v/>
      </c>
      <c r="K2798" s="31" t="inlineStr">
        <is>
          <t>51</t>
        </is>
      </c>
      <c r="L2798" s="31" t="inlineStr">
        <is>
          <t>18</t>
        </is>
      </c>
      <c r="M2798" s="31" t="inlineStr">
        <is>
          <t>S3</t>
        </is>
      </c>
      <c r="N2798" s="31" t="inlineStr">
        <is>
          <t>S5</t>
        </is>
      </c>
      <c r="O2798" s="31" t="inlineStr">
        <is>
          <t>337-002-910-0</t>
        </is>
      </c>
      <c r="P2798" s="31" t="inlineStr">
        <is>
          <t>SR Technics Switzerland</t>
        </is>
      </c>
    </row>
    <row r="2799">
      <c r="B2799" s="31" t="inlineStr">
        <is>
          <t>CFM56-7B</t>
        </is>
      </c>
      <c r="C2799" s="31" t="inlineStr">
        <is>
          <t>2025-2026</t>
        </is>
      </c>
      <c r="D2799" s="31" t="inlineStr">
        <is>
          <t>144788</t>
        </is>
      </c>
      <c r="E2799" s="31" t="inlineStr">
        <is>
          <t>72-56-03</t>
        </is>
      </c>
      <c r="F2799" s="31" t="inlineStr">
        <is>
          <t>A</t>
        </is>
      </c>
      <c r="G2799" s="31" t="inlineStr">
        <is>
          <t>LPT</t>
        </is>
      </c>
      <c r="H2799" s="27" t="n">
        <v>605</v>
      </c>
      <c r="I2799" s="27" t="n">
        <v>640</v>
      </c>
      <c r="J2799" s="154">
        <f>I2799/H2799-1</f>
        <v/>
      </c>
      <c r="K2799" s="31" t="inlineStr">
        <is>
          <t>51</t>
        </is>
      </c>
      <c r="L2799" s="31" t="inlineStr">
        <is>
          <t>51</t>
        </is>
      </c>
      <c r="M2799" s="31" t="inlineStr">
        <is>
          <t>S3</t>
        </is>
      </c>
      <c r="N2799" s="31" t="inlineStr">
        <is>
          <t>S5</t>
        </is>
      </c>
      <c r="O2799" s="31" t="inlineStr">
        <is>
          <t>336-025-102-0</t>
        </is>
      </c>
      <c r="P2799" s="31" t="inlineStr">
        <is>
          <t>SR Technics Switzerland</t>
        </is>
      </c>
    </row>
    <row r="2800">
      <c r="B2800" s="31" t="inlineStr">
        <is>
          <t>CFM56-7B</t>
        </is>
      </c>
      <c r="C2800" s="31" t="inlineStr">
        <is>
          <t>2025-2026</t>
        </is>
      </c>
      <c r="D2800" s="31" t="inlineStr">
        <is>
          <t>144793</t>
        </is>
      </c>
      <c r="E2800" s="31" t="inlineStr">
        <is>
          <t>72-54-18</t>
        </is>
      </c>
      <c r="F2800" s="31" t="inlineStr">
        <is>
          <t>C</t>
        </is>
      </c>
      <c r="G2800" s="31" t="inlineStr">
        <is>
          <t>LPT</t>
        </is>
      </c>
      <c r="H2800" s="27" t="n">
        <v>715</v>
      </c>
      <c r="I2800" s="27" t="n">
        <v>760</v>
      </c>
      <c r="J2800" s="154">
        <f>I2800/H2800-1</f>
        <v/>
      </c>
      <c r="K2800" s="31" t="inlineStr">
        <is>
          <t>51</t>
        </is>
      </c>
      <c r="L2800" s="31" t="inlineStr">
        <is>
          <t>18</t>
        </is>
      </c>
      <c r="M2800" s="31" t="inlineStr">
        <is>
          <t>S3</t>
        </is>
      </c>
      <c r="N2800" s="31" t="inlineStr">
        <is>
          <t>S5</t>
        </is>
      </c>
      <c r="O2800" s="31" t="inlineStr">
        <is>
          <t>336-065-403-0</t>
        </is>
      </c>
      <c r="P2800" s="31" t="inlineStr">
        <is>
          <t>SR Technics Switzerland</t>
        </is>
      </c>
    </row>
    <row r="2801">
      <c r="B2801" s="31" t="inlineStr">
        <is>
          <t>CFM56-7B</t>
        </is>
      </c>
      <c r="C2801" s="31" t="inlineStr">
        <is>
          <t>2025-2026</t>
        </is>
      </c>
      <c r="D2801" s="31" t="inlineStr">
        <is>
          <t>144793</t>
        </is>
      </c>
      <c r="E2801" s="31" t="inlineStr">
        <is>
          <t>72-54-18</t>
        </is>
      </c>
      <c r="F2801" s="31" t="inlineStr">
        <is>
          <t>D</t>
        </is>
      </c>
      <c r="G2801" s="31" t="inlineStr">
        <is>
          <t>LPT</t>
        </is>
      </c>
      <c r="H2801" s="27" t="n">
        <v>3015</v>
      </c>
      <c r="I2801" s="27" t="n">
        <v>3200</v>
      </c>
      <c r="J2801" s="154">
        <f>I2801/H2801-1</f>
        <v/>
      </c>
      <c r="K2801" s="31" t="inlineStr">
        <is>
          <t>51</t>
        </is>
      </c>
      <c r="L2801" s="31" t="inlineStr">
        <is>
          <t>18</t>
        </is>
      </c>
      <c r="M2801" s="31" t="inlineStr">
        <is>
          <t>S3</t>
        </is>
      </c>
      <c r="N2801" s="31" t="inlineStr">
        <is>
          <t>S5</t>
        </is>
      </c>
      <c r="O2801" s="31" t="inlineStr">
        <is>
          <t>336-065-403-0</t>
        </is>
      </c>
      <c r="P2801" s="31" t="inlineStr">
        <is>
          <t>SR Technics Switzerland</t>
        </is>
      </c>
    </row>
    <row r="2802">
      <c r="B2802" s="31" t="inlineStr">
        <is>
          <t>CFM56-7B</t>
        </is>
      </c>
      <c r="C2802" s="31" t="inlineStr">
        <is>
          <t>2025-2026</t>
        </is>
      </c>
      <c r="D2802" s="31" t="inlineStr">
        <is>
          <t>144793</t>
        </is>
      </c>
      <c r="E2802" s="31" t="inlineStr">
        <is>
          <t>72-54-18</t>
        </is>
      </c>
      <c r="F2802" s="31" t="inlineStr">
        <is>
          <t>E</t>
        </is>
      </c>
      <c r="G2802" s="31" t="inlineStr">
        <is>
          <t>LPT</t>
        </is>
      </c>
      <c r="H2802" s="27" t="n">
        <v>2860</v>
      </c>
      <c r="I2802" s="27" t="n">
        <v>3035</v>
      </c>
      <c r="J2802" s="154">
        <f>I2802/H2802-1</f>
        <v/>
      </c>
      <c r="K2802" s="31" t="inlineStr">
        <is>
          <t>51</t>
        </is>
      </c>
      <c r="L2802" s="31" t="inlineStr">
        <is>
          <t>18</t>
        </is>
      </c>
      <c r="M2802" s="31" t="inlineStr">
        <is>
          <t>S3</t>
        </is>
      </c>
      <c r="N2802" s="31" t="inlineStr">
        <is>
          <t>S5</t>
        </is>
      </c>
      <c r="O2802" s="31" t="inlineStr">
        <is>
          <t>336-065-403-0</t>
        </is>
      </c>
      <c r="P2802" s="31" t="inlineStr">
        <is>
          <t>SR Technics Switzerland</t>
        </is>
      </c>
    </row>
    <row r="2803">
      <c r="B2803" s="31" t="inlineStr">
        <is>
          <t>CFM56-7B</t>
        </is>
      </c>
      <c r="C2803" s="31" t="inlineStr">
        <is>
          <t>2025-2026</t>
        </is>
      </c>
      <c r="D2803" s="31" t="inlineStr">
        <is>
          <t>144794</t>
        </is>
      </c>
      <c r="E2803" s="31" t="inlineStr">
        <is>
          <t>72-53-11</t>
        </is>
      </c>
      <c r="F2803" s="31" t="inlineStr">
        <is>
          <t>A</t>
        </is>
      </c>
      <c r="G2803" s="31" t="inlineStr">
        <is>
          <t>HPT / nozzle</t>
        </is>
      </c>
      <c r="H2803" s="27" t="n">
        <v>770</v>
      </c>
      <c r="I2803" s="27" t="n">
        <v>770</v>
      </c>
      <c r="J2803" s="154">
        <f>I2803/H2803-1</f>
        <v/>
      </c>
      <c r="K2803" s="31" t="inlineStr">
        <is>
          <t>52</t>
        </is>
      </c>
      <c r="L2803" s="31" t="inlineStr">
        <is>
          <t>51</t>
        </is>
      </c>
      <c r="M2803" s="31" t="inlineStr">
        <is>
          <t>S3</t>
        </is>
      </c>
      <c r="N2803" s="31" t="inlineStr">
        <is>
          <t>S5</t>
        </is>
      </c>
      <c r="O2803" s="31" t="inlineStr">
        <is>
          <t>336-009-602-0</t>
        </is>
      </c>
      <c r="P2803" s="31" t="inlineStr">
        <is>
          <t>SR Technics Switzerland</t>
        </is>
      </c>
    </row>
    <row r="2804">
      <c r="B2804" s="31" t="inlineStr">
        <is>
          <t>CFM56-7B</t>
        </is>
      </c>
      <c r="C2804" s="31" t="inlineStr">
        <is>
          <t>2025-2026</t>
        </is>
      </c>
      <c r="D2804" s="31" t="inlineStr">
        <is>
          <t>144795</t>
        </is>
      </c>
      <c r="E2804" s="31" t="inlineStr">
        <is>
          <t>72-53-07</t>
        </is>
      </c>
      <c r="F2804" s="31" t="inlineStr">
        <is>
          <t>A</t>
        </is>
      </c>
      <c r="G2804" s="31" t="inlineStr">
        <is>
          <t>HPT / nozzle</t>
        </is>
      </c>
      <c r="H2804" s="27" t="n">
        <v>645</v>
      </c>
      <c r="I2804" s="27" t="n">
        <v>680</v>
      </c>
      <c r="J2804" s="154">
        <f>I2804/H2804-1</f>
        <v/>
      </c>
      <c r="K2804" s="31" t="inlineStr">
        <is>
          <t>19</t>
        </is>
      </c>
      <c r="L2804" s="31" t="inlineStr">
        <is>
          <t>18</t>
        </is>
      </c>
      <c r="M2804" s="31" t="inlineStr">
        <is>
          <t>S3</t>
        </is>
      </c>
      <c r="N2804" s="31" t="inlineStr">
        <is>
          <t>S5</t>
        </is>
      </c>
      <c r="O2804" s="31" t="inlineStr">
        <is>
          <t>338-010-302-0</t>
        </is>
      </c>
      <c r="P2804" s="31" t="inlineStr">
        <is>
          <t>SR Technics Switzerland</t>
        </is>
      </c>
    </row>
    <row r="2805">
      <c r="B2805" s="31" t="inlineStr">
        <is>
          <t>CFM56-7B</t>
        </is>
      </c>
      <c r="C2805" s="31" t="inlineStr">
        <is>
          <t>2025-2026</t>
        </is>
      </c>
      <c r="D2805" s="31" t="inlineStr">
        <is>
          <t>144795</t>
        </is>
      </c>
      <c r="E2805" s="31" t="inlineStr">
        <is>
          <t>72-53-07</t>
        </is>
      </c>
      <c r="F2805" s="31" t="inlineStr">
        <is>
          <t>B</t>
        </is>
      </c>
      <c r="G2805" s="31" t="inlineStr">
        <is>
          <t>HPT / nozzle</t>
        </is>
      </c>
      <c r="H2805" s="27" t="n">
        <v>5965</v>
      </c>
      <c r="I2805" s="27" t="n">
        <v>6325</v>
      </c>
      <c r="J2805" s="154">
        <f>I2805/H2805-1</f>
        <v/>
      </c>
      <c r="K2805" s="31" t="inlineStr">
        <is>
          <t>19</t>
        </is>
      </c>
      <c r="L2805" s="31" t="inlineStr">
        <is>
          <t>18</t>
        </is>
      </c>
      <c r="M2805" s="31" t="inlineStr">
        <is>
          <t>S3</t>
        </is>
      </c>
      <c r="N2805" s="31" t="inlineStr">
        <is>
          <t>S5</t>
        </is>
      </c>
      <c r="O2805" s="31" t="inlineStr">
        <is>
          <t>338-010-302-0</t>
        </is>
      </c>
      <c r="P2805" s="31" t="inlineStr">
        <is>
          <t>SR Technics Switzerland</t>
        </is>
      </c>
    </row>
    <row r="2806">
      <c r="B2806" s="31" t="inlineStr">
        <is>
          <t>CFM56-7B</t>
        </is>
      </c>
      <c r="C2806" s="31" t="inlineStr">
        <is>
          <t>2025-2026</t>
        </is>
      </c>
      <c r="D2806" s="31" t="inlineStr">
        <is>
          <t>144795</t>
        </is>
      </c>
      <c r="E2806" s="31" t="inlineStr">
        <is>
          <t>72-53-07</t>
        </is>
      </c>
      <c r="F2806" s="31" t="inlineStr">
        <is>
          <t>E</t>
        </is>
      </c>
      <c r="G2806" s="31" t="inlineStr">
        <is>
          <t>HPT / nozzle</t>
        </is>
      </c>
      <c r="H2806" s="27" t="n">
        <v>3785</v>
      </c>
      <c r="I2806" s="27" t="n">
        <v>4015</v>
      </c>
      <c r="J2806" s="154">
        <f>I2806/H2806-1</f>
        <v/>
      </c>
      <c r="K2806" s="31" t="inlineStr">
        <is>
          <t>19</t>
        </is>
      </c>
      <c r="L2806" s="31" t="inlineStr">
        <is>
          <t>18</t>
        </is>
      </c>
      <c r="M2806" s="31" t="inlineStr">
        <is>
          <t>S3</t>
        </is>
      </c>
      <c r="N2806" s="31" t="inlineStr">
        <is>
          <t>S5</t>
        </is>
      </c>
      <c r="O2806" s="31" t="inlineStr">
        <is>
          <t>338-010-302-0</t>
        </is>
      </c>
      <c r="P2806" s="31" t="inlineStr">
        <is>
          <t>SR Technics Switzerland</t>
        </is>
      </c>
    </row>
    <row r="2807">
      <c r="B2807" s="31" t="inlineStr">
        <is>
          <t>CFM56-7B</t>
        </is>
      </c>
      <c r="C2807" s="31" t="inlineStr">
        <is>
          <t>2025-2026</t>
        </is>
      </c>
      <c r="D2807" s="31" t="inlineStr">
        <is>
          <t>144795</t>
        </is>
      </c>
      <c r="E2807" s="31" t="inlineStr">
        <is>
          <t>72-53-07</t>
        </is>
      </c>
      <c r="F2807" s="31" t="inlineStr">
        <is>
          <t>H</t>
        </is>
      </c>
      <c r="G2807" s="31" t="inlineStr">
        <is>
          <t>HPT / nozzle</t>
        </is>
      </c>
      <c r="H2807" s="27" t="n">
        <v>995</v>
      </c>
      <c r="I2807" s="27" t="n">
        <v>1055</v>
      </c>
      <c r="J2807" s="154">
        <f>I2807/H2807-1</f>
        <v/>
      </c>
      <c r="K2807" s="31" t="inlineStr">
        <is>
          <t>19</t>
        </is>
      </c>
      <c r="L2807" s="31" t="inlineStr">
        <is>
          <t>18</t>
        </is>
      </c>
      <c r="M2807" s="31" t="inlineStr">
        <is>
          <t>S3</t>
        </is>
      </c>
      <c r="N2807" s="31" t="inlineStr">
        <is>
          <t>S5</t>
        </is>
      </c>
      <c r="O2807" s="31" t="inlineStr">
        <is>
          <t>338-010-302-0</t>
        </is>
      </c>
      <c r="P2807" s="31" t="inlineStr">
        <is>
          <t>SR Technics Switzerland</t>
        </is>
      </c>
    </row>
    <row r="2808">
      <c r="B2808" s="31" t="inlineStr">
        <is>
          <t>CFM56-7B</t>
        </is>
      </c>
      <c r="C2808" s="31" t="inlineStr">
        <is>
          <t>2025-2026</t>
        </is>
      </c>
      <c r="D2808" s="31" t="inlineStr">
        <is>
          <t>144795</t>
        </is>
      </c>
      <c r="E2808" s="31" t="inlineStr">
        <is>
          <t>72-53-07</t>
        </is>
      </c>
      <c r="F2808" s="31" t="inlineStr">
        <is>
          <t>L</t>
        </is>
      </c>
      <c r="G2808" s="31" t="inlineStr">
        <is>
          <t>HPT / nozzle</t>
        </is>
      </c>
      <c r="H2808" s="27" t="n">
        <v>2150</v>
      </c>
      <c r="I2808" s="27" t="n">
        <v>2280</v>
      </c>
      <c r="J2808" s="154">
        <f>I2808/H2808-1</f>
        <v/>
      </c>
      <c r="K2808" s="31" t="inlineStr">
        <is>
          <t>19</t>
        </is>
      </c>
      <c r="L2808" s="31" t="inlineStr">
        <is>
          <t>18</t>
        </is>
      </c>
      <c r="M2808" s="31" t="inlineStr">
        <is>
          <t>S3</t>
        </is>
      </c>
      <c r="N2808" s="31" t="inlineStr">
        <is>
          <t>S5</t>
        </is>
      </c>
      <c r="O2808" s="31" t="inlineStr">
        <is>
          <t>338-010-302-0</t>
        </is>
      </c>
      <c r="P2808" s="31" t="inlineStr">
        <is>
          <t>SR Technics Switzerland</t>
        </is>
      </c>
    </row>
    <row r="2809">
      <c r="B2809" s="31" t="inlineStr">
        <is>
          <t>CFM56-7B</t>
        </is>
      </c>
      <c r="C2809" s="31" t="inlineStr">
        <is>
          <t>2025-2026</t>
        </is>
      </c>
      <c r="D2809" s="31" t="inlineStr">
        <is>
          <t>144800</t>
        </is>
      </c>
      <c r="E2809" s="31" t="inlineStr">
        <is>
          <t>72-54-13</t>
        </is>
      </c>
      <c r="F2809" s="31" t="inlineStr">
        <is>
          <t>A</t>
        </is>
      </c>
      <c r="G2809" s="31" t="inlineStr">
        <is>
          <t>LPT</t>
        </is>
      </c>
      <c r="H2809" s="27" t="n">
        <v>270</v>
      </c>
      <c r="I2809" s="27" t="n">
        <v>290</v>
      </c>
      <c r="J2809" s="154">
        <f>I2809/H2809-1</f>
        <v/>
      </c>
      <c r="K2809" s="31" t="inlineStr">
        <is>
          <t>19</t>
        </is>
      </c>
      <c r="L2809" s="31" t="inlineStr">
        <is>
          <t>18</t>
        </is>
      </c>
      <c r="M2809" s="31" t="inlineStr">
        <is>
          <t>S3</t>
        </is>
      </c>
      <c r="N2809" s="31" t="inlineStr">
        <is>
          <t>S5</t>
        </is>
      </c>
      <c r="O2809" s="31" t="inlineStr">
        <is>
          <t>338-085-402-0</t>
        </is>
      </c>
      <c r="P2809" s="31" t="inlineStr">
        <is>
          <t>SRTAS</t>
        </is>
      </c>
    </row>
    <row r="2810">
      <c r="B2810" s="31" t="inlineStr">
        <is>
          <t>CFM56-7B</t>
        </is>
      </c>
      <c r="C2810" s="31" t="inlineStr">
        <is>
          <t>2025-2026</t>
        </is>
      </c>
      <c r="D2810" s="31" t="inlineStr">
        <is>
          <t>144800</t>
        </is>
      </c>
      <c r="E2810" s="31" t="inlineStr">
        <is>
          <t>72-54-13</t>
        </is>
      </c>
      <c r="F2810" s="31" t="inlineStr">
        <is>
          <t>AB</t>
        </is>
      </c>
      <c r="G2810" s="31" t="inlineStr">
        <is>
          <t>LPT</t>
        </is>
      </c>
      <c r="H2810" s="27" t="n">
        <v>3080</v>
      </c>
      <c r="I2810" s="27" t="n">
        <v>3300</v>
      </c>
      <c r="J2810" s="154">
        <f>I2810/H2810-1</f>
        <v/>
      </c>
      <c r="K2810" s="31" t="inlineStr">
        <is>
          <t>19</t>
        </is>
      </c>
      <c r="L2810" s="31" t="inlineStr">
        <is>
          <t>19</t>
        </is>
      </c>
      <c r="M2810" s="31" t="inlineStr">
        <is>
          <t>S3</t>
        </is>
      </c>
      <c r="N2810" s="31" t="inlineStr">
        <is>
          <t>S5</t>
        </is>
      </c>
      <c r="O2810" s="31" t="inlineStr">
        <is>
          <t>338-085-402-0</t>
        </is>
      </c>
      <c r="P2810" s="31" t="inlineStr">
        <is>
          <t>SRTAS</t>
        </is>
      </c>
    </row>
    <row r="2811">
      <c r="B2811" s="31" t="inlineStr">
        <is>
          <t>CFM56-7B</t>
        </is>
      </c>
      <c r="C2811" s="31" t="inlineStr">
        <is>
          <t>2025-2026</t>
        </is>
      </c>
      <c r="D2811" s="31" t="inlineStr">
        <is>
          <t>144800</t>
        </is>
      </c>
      <c r="E2811" s="31" t="inlineStr">
        <is>
          <t>72-54-13</t>
        </is>
      </c>
      <c r="F2811" s="31" t="inlineStr">
        <is>
          <t>AC</t>
        </is>
      </c>
      <c r="G2811" s="31" t="inlineStr">
        <is>
          <t>LPT</t>
        </is>
      </c>
      <c r="H2811" s="27" t="n">
        <v>425</v>
      </c>
      <c r="I2811" s="27" t="n">
        <v>455</v>
      </c>
      <c r="J2811" s="154">
        <f>I2811/H2811-1</f>
        <v/>
      </c>
      <c r="K2811" s="31" t="inlineStr">
        <is>
          <t>19</t>
        </is>
      </c>
      <c r="L2811" s="31" t="inlineStr">
        <is>
          <t>19</t>
        </is>
      </c>
      <c r="M2811" s="31" t="inlineStr">
        <is>
          <t>S3</t>
        </is>
      </c>
      <c r="N2811" s="31" t="inlineStr">
        <is>
          <t>S5</t>
        </is>
      </c>
      <c r="O2811" s="31" t="inlineStr">
        <is>
          <t>338-085-402-0</t>
        </is>
      </c>
      <c r="P2811" s="31" t="inlineStr">
        <is>
          <t>SRTAS</t>
        </is>
      </c>
    </row>
    <row r="2812">
      <c r="B2812" s="31" t="inlineStr">
        <is>
          <t>CFM56-7B</t>
        </is>
      </c>
      <c r="C2812" s="31" t="inlineStr">
        <is>
          <t>2025-2026</t>
        </is>
      </c>
      <c r="D2812" s="31" t="inlineStr">
        <is>
          <t>144800</t>
        </is>
      </c>
      <c r="E2812" s="31" t="inlineStr">
        <is>
          <t>72-54-13</t>
        </is>
      </c>
      <c r="F2812" s="31" t="inlineStr">
        <is>
          <t>C</t>
        </is>
      </c>
      <c r="G2812" s="31" t="inlineStr">
        <is>
          <t>LPT</t>
        </is>
      </c>
      <c r="H2812" s="27" t="n">
        <v>1580</v>
      </c>
      <c r="I2812" s="27" t="n">
        <v>1695</v>
      </c>
      <c r="J2812" s="154">
        <f>I2812/H2812-1</f>
        <v/>
      </c>
      <c r="K2812" s="31" t="inlineStr">
        <is>
          <t>19</t>
        </is>
      </c>
      <c r="L2812" s="31" t="inlineStr">
        <is>
          <t>19</t>
        </is>
      </c>
      <c r="M2812" s="31" t="inlineStr">
        <is>
          <t>S3</t>
        </is>
      </c>
      <c r="N2812" s="31" t="inlineStr">
        <is>
          <t>S5</t>
        </is>
      </c>
      <c r="O2812" s="31" t="inlineStr">
        <is>
          <t>338-085-402-0</t>
        </is>
      </c>
      <c r="P2812" s="31" t="inlineStr">
        <is>
          <t>SRTAS</t>
        </is>
      </c>
    </row>
    <row r="2813">
      <c r="B2813" s="31" t="inlineStr">
        <is>
          <t>CFM56-7B</t>
        </is>
      </c>
      <c r="C2813" s="31" t="inlineStr">
        <is>
          <t>2025-2026</t>
        </is>
      </c>
      <c r="D2813" s="31" t="inlineStr">
        <is>
          <t>144800</t>
        </is>
      </c>
      <c r="E2813" s="31" t="inlineStr">
        <is>
          <t>72-54-13</t>
        </is>
      </c>
      <c r="F2813" s="31" t="inlineStr">
        <is>
          <t>F</t>
        </is>
      </c>
      <c r="G2813" s="31" t="inlineStr">
        <is>
          <t>LPT</t>
        </is>
      </c>
      <c r="H2813" s="27" t="n">
        <v>760</v>
      </c>
      <c r="I2813" s="27" t="n">
        <v>815</v>
      </c>
      <c r="J2813" s="154">
        <f>I2813/H2813-1</f>
        <v/>
      </c>
      <c r="K2813" s="31" t="inlineStr">
        <is>
          <t>19</t>
        </is>
      </c>
      <c r="L2813" s="31" t="inlineStr">
        <is>
          <t>19</t>
        </is>
      </c>
      <c r="M2813" s="31" t="inlineStr">
        <is>
          <t>S3</t>
        </is>
      </c>
      <c r="N2813" s="31" t="inlineStr">
        <is>
          <t>S5</t>
        </is>
      </c>
      <c r="O2813" s="31" t="inlineStr">
        <is>
          <t>338-085-402-0</t>
        </is>
      </c>
      <c r="P2813" s="31" t="inlineStr">
        <is>
          <t>SRTAS</t>
        </is>
      </c>
    </row>
    <row r="2814">
      <c r="B2814" s="31" t="inlineStr">
        <is>
          <t>CFM56-7B</t>
        </is>
      </c>
      <c r="C2814" s="31" t="inlineStr">
        <is>
          <t>2025-2026</t>
        </is>
      </c>
      <c r="D2814" s="31" t="inlineStr">
        <is>
          <t>144800</t>
        </is>
      </c>
      <c r="E2814" s="31" t="inlineStr">
        <is>
          <t>72-54-13</t>
        </is>
      </c>
      <c r="F2814" s="31" t="inlineStr">
        <is>
          <t>G</t>
        </is>
      </c>
      <c r="G2814" s="31" t="inlineStr">
        <is>
          <t>LPT</t>
        </is>
      </c>
      <c r="H2814" s="27" t="n">
        <v>800</v>
      </c>
      <c r="I2814" s="27" t="n">
        <v>860</v>
      </c>
      <c r="J2814" s="154">
        <f>I2814/H2814-1</f>
        <v/>
      </c>
      <c r="K2814" s="31" t="inlineStr">
        <is>
          <t>19</t>
        </is>
      </c>
      <c r="L2814" s="31" t="inlineStr">
        <is>
          <t>19</t>
        </is>
      </c>
      <c r="M2814" s="31" t="inlineStr">
        <is>
          <t>S3</t>
        </is>
      </c>
      <c r="N2814" s="31" t="inlineStr">
        <is>
          <t>S5</t>
        </is>
      </c>
      <c r="O2814" s="31" t="inlineStr">
        <is>
          <t>338-085-402-0</t>
        </is>
      </c>
      <c r="P2814" s="31" t="inlineStr">
        <is>
          <t>SRTAS</t>
        </is>
      </c>
    </row>
    <row r="2815">
      <c r="B2815" s="31" t="inlineStr">
        <is>
          <t>CFM56-7B</t>
        </is>
      </c>
      <c r="C2815" s="31" t="inlineStr">
        <is>
          <t>2025-2026</t>
        </is>
      </c>
      <c r="D2815" s="31" t="inlineStr">
        <is>
          <t>144800</t>
        </is>
      </c>
      <c r="E2815" s="31" t="inlineStr">
        <is>
          <t>72-54-13</t>
        </is>
      </c>
      <c r="F2815" s="31" t="inlineStr">
        <is>
          <t>H</t>
        </is>
      </c>
      <c r="G2815" s="31" t="inlineStr">
        <is>
          <t>LPT</t>
        </is>
      </c>
      <c r="H2815" s="27" t="n">
        <v>690</v>
      </c>
      <c r="I2815" s="27" t="n">
        <v>740</v>
      </c>
      <c r="J2815" s="154">
        <f>I2815/H2815-1</f>
        <v/>
      </c>
      <c r="K2815" s="31" t="inlineStr">
        <is>
          <t>19</t>
        </is>
      </c>
      <c r="L2815" s="31" t="inlineStr">
        <is>
          <t>19</t>
        </is>
      </c>
      <c r="M2815" s="31" t="inlineStr">
        <is>
          <t>S3</t>
        </is>
      </c>
      <c r="N2815" s="31" t="inlineStr">
        <is>
          <t>S5</t>
        </is>
      </c>
      <c r="O2815" s="31" t="inlineStr">
        <is>
          <t>338-085-402-0</t>
        </is>
      </c>
      <c r="P2815" s="31" t="inlineStr">
        <is>
          <t>SRTAS</t>
        </is>
      </c>
    </row>
    <row r="2816">
      <c r="B2816" s="31" t="inlineStr">
        <is>
          <t>CFM56-7B</t>
        </is>
      </c>
      <c r="C2816" s="31" t="inlineStr">
        <is>
          <t>2025-2026</t>
        </is>
      </c>
      <c r="D2816" s="31" t="inlineStr">
        <is>
          <t>144800</t>
        </is>
      </c>
      <c r="E2816" s="31" t="inlineStr">
        <is>
          <t>72-54-13</t>
        </is>
      </c>
      <c r="F2816" s="31" t="inlineStr">
        <is>
          <t>I</t>
        </is>
      </c>
      <c r="G2816" s="31" t="inlineStr">
        <is>
          <t>LPT</t>
        </is>
      </c>
      <c r="H2816" s="27" t="n">
        <v>1700</v>
      </c>
      <c r="I2816" s="27" t="n">
        <v>1820</v>
      </c>
      <c r="J2816" s="154">
        <f>I2816/H2816-1</f>
        <v/>
      </c>
      <c r="K2816" s="31" t="inlineStr">
        <is>
          <t>19</t>
        </is>
      </c>
      <c r="L2816" s="31" t="inlineStr">
        <is>
          <t>19</t>
        </is>
      </c>
      <c r="M2816" s="31" t="inlineStr">
        <is>
          <t>S3</t>
        </is>
      </c>
      <c r="N2816" s="31" t="inlineStr">
        <is>
          <t>S5</t>
        </is>
      </c>
      <c r="O2816" s="31" t="inlineStr">
        <is>
          <t>338-085-402-0</t>
        </is>
      </c>
      <c r="P2816" s="31" t="inlineStr">
        <is>
          <t>SRTAS</t>
        </is>
      </c>
    </row>
    <row r="2817">
      <c r="B2817" s="31" t="inlineStr">
        <is>
          <t>CFM56-7B</t>
        </is>
      </c>
      <c r="C2817" s="31" t="inlineStr">
        <is>
          <t>2025-2026</t>
        </is>
      </c>
      <c r="D2817" s="31" t="inlineStr">
        <is>
          <t>144800</t>
        </is>
      </c>
      <c r="E2817" s="31" t="inlineStr">
        <is>
          <t>72-54-13</t>
        </is>
      </c>
      <c r="F2817" s="31" t="inlineStr">
        <is>
          <t>J</t>
        </is>
      </c>
      <c r="G2817" s="31" t="inlineStr">
        <is>
          <t>LPT</t>
        </is>
      </c>
      <c r="H2817" s="27" t="n">
        <v>335</v>
      </c>
      <c r="I2817" s="27" t="n">
        <v>360</v>
      </c>
      <c r="J2817" s="154">
        <f>I2817/H2817-1</f>
        <v/>
      </c>
      <c r="K2817" s="31" t="inlineStr">
        <is>
          <t>19</t>
        </is>
      </c>
      <c r="L2817" s="31" t="inlineStr">
        <is>
          <t>19</t>
        </is>
      </c>
      <c r="M2817" s="31" t="inlineStr">
        <is>
          <t>S3</t>
        </is>
      </c>
      <c r="N2817" s="31" t="inlineStr">
        <is>
          <t>S5</t>
        </is>
      </c>
      <c r="O2817" s="31" t="inlineStr">
        <is>
          <t>338-085-402-0</t>
        </is>
      </c>
      <c r="P2817" s="31" t="inlineStr">
        <is>
          <t>SRTAS</t>
        </is>
      </c>
    </row>
    <row r="2818">
      <c r="B2818" s="31" t="inlineStr">
        <is>
          <t>CFM56-7B</t>
        </is>
      </c>
      <c r="C2818" s="31" t="inlineStr">
        <is>
          <t>2025-2026</t>
        </is>
      </c>
      <c r="D2818" s="31" t="inlineStr">
        <is>
          <t>144800</t>
        </is>
      </c>
      <c r="E2818" s="31" t="inlineStr">
        <is>
          <t>72-54-13</t>
        </is>
      </c>
      <c r="F2818" s="31" t="inlineStr">
        <is>
          <t>K</t>
        </is>
      </c>
      <c r="G2818" s="31" t="inlineStr">
        <is>
          <t>LPT</t>
        </is>
      </c>
      <c r="H2818" s="27" t="n">
        <v>1580</v>
      </c>
      <c r="I2818" s="27" t="n">
        <v>1695</v>
      </c>
      <c r="J2818" s="154">
        <f>I2818/H2818-1</f>
        <v/>
      </c>
      <c r="K2818" s="31" t="inlineStr">
        <is>
          <t>19, 20</t>
        </is>
      </c>
      <c r="L2818" s="31" t="inlineStr">
        <is>
          <t>19</t>
        </is>
      </c>
      <c r="M2818" s="31" t="inlineStr">
        <is>
          <t>S3</t>
        </is>
      </c>
      <c r="N2818" s="31" t="inlineStr">
        <is>
          <t>S5</t>
        </is>
      </c>
      <c r="O2818" s="31" t="inlineStr">
        <is>
          <t>338-085-402-0</t>
        </is>
      </c>
      <c r="P2818" s="31" t="inlineStr">
        <is>
          <t>SRTAS</t>
        </is>
      </c>
    </row>
    <row r="2819">
      <c r="B2819" s="31" t="inlineStr">
        <is>
          <t>CFM56-7B</t>
        </is>
      </c>
      <c r="C2819" s="31" t="inlineStr">
        <is>
          <t>2025-2026</t>
        </is>
      </c>
      <c r="D2819" s="31" t="inlineStr">
        <is>
          <t>144800</t>
        </is>
      </c>
      <c r="E2819" s="31" t="inlineStr">
        <is>
          <t>72-54-13</t>
        </is>
      </c>
      <c r="F2819" s="31" t="inlineStr">
        <is>
          <t>M</t>
        </is>
      </c>
      <c r="G2819" s="31" t="inlineStr">
        <is>
          <t>LPT</t>
        </is>
      </c>
      <c r="H2819" s="27" t="n">
        <v>670</v>
      </c>
      <c r="I2819" s="27" t="n">
        <v>720</v>
      </c>
      <c r="J2819" s="154">
        <f>I2819/H2819-1</f>
        <v/>
      </c>
      <c r="K2819" s="31" t="inlineStr">
        <is>
          <t>20</t>
        </is>
      </c>
      <c r="L2819" s="31" t="inlineStr">
        <is>
          <t>19</t>
        </is>
      </c>
      <c r="M2819" s="31" t="inlineStr">
        <is>
          <t>S3</t>
        </is>
      </c>
      <c r="N2819" s="31" t="inlineStr">
        <is>
          <t>S5</t>
        </is>
      </c>
      <c r="O2819" s="31" t="inlineStr">
        <is>
          <t>338-085-402-0</t>
        </is>
      </c>
      <c r="P2819" s="31" t="inlineStr">
        <is>
          <t>SRTAS</t>
        </is>
      </c>
    </row>
    <row r="2820">
      <c r="B2820" s="31" t="inlineStr">
        <is>
          <t>CFM56-7B</t>
        </is>
      </c>
      <c r="C2820" s="31" t="inlineStr">
        <is>
          <t>2025-2026</t>
        </is>
      </c>
      <c r="D2820" s="31" t="inlineStr">
        <is>
          <t>144800</t>
        </is>
      </c>
      <c r="E2820" s="31" t="inlineStr">
        <is>
          <t>72-54-13</t>
        </is>
      </c>
      <c r="F2820" s="31" t="inlineStr">
        <is>
          <t>O</t>
        </is>
      </c>
      <c r="G2820" s="31" t="inlineStr">
        <is>
          <t>LPT</t>
        </is>
      </c>
      <c r="H2820" s="27" t="n">
        <v>1045</v>
      </c>
      <c r="I2820" s="27" t="n">
        <v>1120</v>
      </c>
      <c r="J2820" s="154">
        <f>I2820/H2820-1</f>
        <v/>
      </c>
      <c r="K2820" s="31" t="inlineStr">
        <is>
          <t>20</t>
        </is>
      </c>
      <c r="L2820" s="31" t="inlineStr">
        <is>
          <t>19</t>
        </is>
      </c>
      <c r="M2820" s="31" t="inlineStr">
        <is>
          <t>S3</t>
        </is>
      </c>
      <c r="N2820" s="31" t="inlineStr">
        <is>
          <t>S5</t>
        </is>
      </c>
      <c r="O2820" s="31" t="inlineStr">
        <is>
          <t>338-085-402-0</t>
        </is>
      </c>
      <c r="P2820" s="31" t="inlineStr">
        <is>
          <t>SRTAS</t>
        </is>
      </c>
    </row>
    <row r="2821">
      <c r="B2821" s="31" t="inlineStr">
        <is>
          <t>CFM56-7B</t>
        </is>
      </c>
      <c r="C2821" s="31" t="inlineStr">
        <is>
          <t>2025-2026</t>
        </is>
      </c>
      <c r="D2821" s="31" t="inlineStr">
        <is>
          <t>144800</t>
        </is>
      </c>
      <c r="E2821" s="31" t="inlineStr">
        <is>
          <t>72-54-13</t>
        </is>
      </c>
      <c r="F2821" s="31" t="inlineStr">
        <is>
          <t>P</t>
        </is>
      </c>
      <c r="G2821" s="31" t="inlineStr">
        <is>
          <t>LPT</t>
        </is>
      </c>
      <c r="H2821" s="27" t="n">
        <v>2295</v>
      </c>
      <c r="I2821" s="27" t="n">
        <v>2460</v>
      </c>
      <c r="J2821" s="154">
        <f>I2821/H2821-1</f>
        <v/>
      </c>
      <c r="K2821" s="31" t="inlineStr">
        <is>
          <t>20</t>
        </is>
      </c>
      <c r="L2821" s="31" t="inlineStr">
        <is>
          <t>19</t>
        </is>
      </c>
      <c r="M2821" s="31" t="inlineStr">
        <is>
          <t>S3</t>
        </is>
      </c>
      <c r="N2821" s="31" t="inlineStr">
        <is>
          <t>S5</t>
        </is>
      </c>
      <c r="O2821" s="31" t="inlineStr">
        <is>
          <t>338-085-402-0</t>
        </is>
      </c>
      <c r="P2821" s="31" t="inlineStr">
        <is>
          <t>SRTAS</t>
        </is>
      </c>
    </row>
    <row r="2822">
      <c r="B2822" s="31" t="inlineStr">
        <is>
          <t>CFM56-7B</t>
        </is>
      </c>
      <c r="C2822" s="31" t="inlineStr">
        <is>
          <t>2025-2026</t>
        </is>
      </c>
      <c r="D2822" s="31" t="inlineStr">
        <is>
          <t>144800</t>
        </is>
      </c>
      <c r="E2822" s="31" t="inlineStr">
        <is>
          <t>72-54-13</t>
        </is>
      </c>
      <c r="F2822" s="31" t="inlineStr">
        <is>
          <t>Q</t>
        </is>
      </c>
      <c r="G2822" s="31" t="inlineStr">
        <is>
          <t>LPT</t>
        </is>
      </c>
      <c r="H2822" s="27" t="n">
        <v>1180</v>
      </c>
      <c r="I2822" s="27" t="n">
        <v>1265</v>
      </c>
      <c r="J2822" s="154">
        <f>I2822/H2822-1</f>
        <v/>
      </c>
      <c r="K2822" s="31" t="inlineStr">
        <is>
          <t>20</t>
        </is>
      </c>
      <c r="L2822" s="31" t="inlineStr">
        <is>
          <t>20</t>
        </is>
      </c>
      <c r="M2822" s="31" t="inlineStr">
        <is>
          <t>S3</t>
        </is>
      </c>
      <c r="N2822" s="31" t="inlineStr">
        <is>
          <t>S5</t>
        </is>
      </c>
      <c r="O2822" s="31" t="inlineStr">
        <is>
          <t>338-085-402-0</t>
        </is>
      </c>
      <c r="P2822" s="31" t="inlineStr">
        <is>
          <t>SRTAS</t>
        </is>
      </c>
    </row>
    <row r="2823">
      <c r="B2823" s="31" t="inlineStr">
        <is>
          <t>CFM56-7B</t>
        </is>
      </c>
      <c r="C2823" s="31" t="inlineStr">
        <is>
          <t>2025-2026</t>
        </is>
      </c>
      <c r="D2823" s="31" t="inlineStr">
        <is>
          <t>144800</t>
        </is>
      </c>
      <c r="E2823" s="31" t="inlineStr">
        <is>
          <t>72-54-13</t>
        </is>
      </c>
      <c r="F2823" s="31" t="inlineStr">
        <is>
          <t>R</t>
        </is>
      </c>
      <c r="G2823" s="31" t="inlineStr">
        <is>
          <t>LPT</t>
        </is>
      </c>
      <c r="H2823" s="27" t="n">
        <v>1430</v>
      </c>
      <c r="I2823" s="27" t="n">
        <v>1535</v>
      </c>
      <c r="J2823" s="154">
        <f>I2823/H2823-1</f>
        <v/>
      </c>
      <c r="K2823" s="31" t="inlineStr">
        <is>
          <t>20</t>
        </is>
      </c>
      <c r="L2823" s="31" t="inlineStr">
        <is>
          <t>20</t>
        </is>
      </c>
      <c r="M2823" s="31" t="inlineStr">
        <is>
          <t>S3</t>
        </is>
      </c>
      <c r="N2823" s="31" t="inlineStr">
        <is>
          <t>S5</t>
        </is>
      </c>
      <c r="O2823" s="31" t="inlineStr">
        <is>
          <t>338-085-402-0</t>
        </is>
      </c>
      <c r="P2823" s="31" t="inlineStr">
        <is>
          <t>SRTAS</t>
        </is>
      </c>
    </row>
    <row r="2824">
      <c r="B2824" s="31" t="inlineStr">
        <is>
          <t>CFM56-7B</t>
        </is>
      </c>
      <c r="C2824" s="31" t="inlineStr">
        <is>
          <t>2025-2026</t>
        </is>
      </c>
      <c r="D2824" s="31" t="inlineStr">
        <is>
          <t>144800</t>
        </is>
      </c>
      <c r="E2824" s="31" t="inlineStr">
        <is>
          <t>72-54-13</t>
        </is>
      </c>
      <c r="F2824" s="31" t="inlineStr">
        <is>
          <t>S</t>
        </is>
      </c>
      <c r="G2824" s="31" t="inlineStr">
        <is>
          <t>LPT</t>
        </is>
      </c>
      <c r="H2824" s="27" t="n">
        <v>555</v>
      </c>
      <c r="I2824" s="27" t="n">
        <v>595</v>
      </c>
      <c r="J2824" s="154">
        <f>I2824/H2824-1</f>
        <v/>
      </c>
      <c r="K2824" s="31" t="inlineStr">
        <is>
          <t>20</t>
        </is>
      </c>
      <c r="L2824" s="31" t="inlineStr">
        <is>
          <t>20</t>
        </is>
      </c>
      <c r="M2824" s="31" t="inlineStr">
        <is>
          <t>S3</t>
        </is>
      </c>
      <c r="N2824" s="31" t="inlineStr">
        <is>
          <t>S5</t>
        </is>
      </c>
      <c r="O2824" s="31" t="inlineStr">
        <is>
          <t>338-085-402-0</t>
        </is>
      </c>
      <c r="P2824" s="31" t="inlineStr">
        <is>
          <t>SRTAS</t>
        </is>
      </c>
    </row>
    <row r="2825">
      <c r="B2825" s="31" t="inlineStr">
        <is>
          <t>CFM56-7B</t>
        </is>
      </c>
      <c r="C2825" s="31" t="inlineStr">
        <is>
          <t>2025-2026</t>
        </is>
      </c>
      <c r="D2825" s="31" t="inlineStr">
        <is>
          <t>144800</t>
        </is>
      </c>
      <c r="E2825" s="31" t="inlineStr">
        <is>
          <t>72-54-13</t>
        </is>
      </c>
      <c r="F2825" s="31" t="inlineStr">
        <is>
          <t>T</t>
        </is>
      </c>
      <c r="G2825" s="31" t="inlineStr">
        <is>
          <t>LPT</t>
        </is>
      </c>
      <c r="H2825" s="27" t="n">
        <v>1045</v>
      </c>
      <c r="I2825" s="27" t="n">
        <v>1120</v>
      </c>
      <c r="J2825" s="154">
        <f>I2825/H2825-1</f>
        <v/>
      </c>
      <c r="K2825" s="31" t="inlineStr">
        <is>
          <t>20</t>
        </is>
      </c>
      <c r="L2825" s="31" t="inlineStr">
        <is>
          <t>20</t>
        </is>
      </c>
      <c r="M2825" s="31" t="inlineStr">
        <is>
          <t>S3</t>
        </is>
      </c>
      <c r="N2825" s="31" t="inlineStr">
        <is>
          <t>S5</t>
        </is>
      </c>
      <c r="O2825" s="31" t="inlineStr">
        <is>
          <t>338-085-402-0</t>
        </is>
      </c>
      <c r="P2825" s="31" t="inlineStr">
        <is>
          <t>SRTAS</t>
        </is>
      </c>
    </row>
    <row r="2826">
      <c r="B2826" s="31" t="inlineStr">
        <is>
          <t>CFM56-7B</t>
        </is>
      </c>
      <c r="C2826" s="31" t="inlineStr">
        <is>
          <t>2025-2026</t>
        </is>
      </c>
      <c r="D2826" s="31" t="inlineStr">
        <is>
          <t>144800</t>
        </is>
      </c>
      <c r="E2826" s="31" t="inlineStr">
        <is>
          <t>72-54-13</t>
        </is>
      </c>
      <c r="F2826" s="31" t="inlineStr">
        <is>
          <t>U</t>
        </is>
      </c>
      <c r="G2826" s="31" t="inlineStr">
        <is>
          <t>LPT</t>
        </is>
      </c>
      <c r="H2826" s="27" t="n">
        <v>2295</v>
      </c>
      <c r="I2826" s="27" t="n">
        <v>2460</v>
      </c>
      <c r="J2826" s="154">
        <f>I2826/H2826-1</f>
        <v/>
      </c>
      <c r="K2826" s="31" t="inlineStr">
        <is>
          <t>20</t>
        </is>
      </c>
      <c r="L2826" s="31" t="inlineStr">
        <is>
          <t>20</t>
        </is>
      </c>
      <c r="M2826" s="31" t="inlineStr">
        <is>
          <t>S3</t>
        </is>
      </c>
      <c r="N2826" s="31" t="inlineStr">
        <is>
          <t>S5</t>
        </is>
      </c>
      <c r="O2826" s="31" t="inlineStr">
        <is>
          <t>338-085-402-0</t>
        </is>
      </c>
      <c r="P2826" s="31" t="inlineStr">
        <is>
          <t>SRTAS</t>
        </is>
      </c>
    </row>
    <row r="2827">
      <c r="B2827" s="31" t="inlineStr">
        <is>
          <t>CFM56-7B</t>
        </is>
      </c>
      <c r="C2827" s="31" t="inlineStr">
        <is>
          <t>2025-2026</t>
        </is>
      </c>
      <c r="D2827" s="31" t="inlineStr">
        <is>
          <t>144800</t>
        </is>
      </c>
      <c r="E2827" s="31" t="inlineStr">
        <is>
          <t>72-54-13</t>
        </is>
      </c>
      <c r="F2827" s="31" t="inlineStr">
        <is>
          <t>V</t>
        </is>
      </c>
      <c r="G2827" s="31" t="inlineStr">
        <is>
          <t>LPT</t>
        </is>
      </c>
      <c r="H2827" s="27" t="n">
        <v>1180</v>
      </c>
      <c r="I2827" s="27" t="n">
        <v>1265</v>
      </c>
      <c r="J2827" s="154">
        <f>I2827/H2827-1</f>
        <v/>
      </c>
      <c r="K2827" s="31" t="inlineStr">
        <is>
          <t>20</t>
        </is>
      </c>
      <c r="L2827" s="31" t="inlineStr">
        <is>
          <t>20</t>
        </is>
      </c>
      <c r="M2827" s="31" t="inlineStr">
        <is>
          <t>S3</t>
        </is>
      </c>
      <c r="N2827" s="31" t="inlineStr">
        <is>
          <t>S5</t>
        </is>
      </c>
      <c r="O2827" s="31" t="inlineStr">
        <is>
          <t>338-085-402-0</t>
        </is>
      </c>
      <c r="P2827" s="31" t="inlineStr">
        <is>
          <t>SRTAS</t>
        </is>
      </c>
    </row>
    <row r="2828">
      <c r="B2828" s="31" t="inlineStr">
        <is>
          <t>CFM56-7B</t>
        </is>
      </c>
      <c r="C2828" s="31" t="inlineStr">
        <is>
          <t>2025-2026</t>
        </is>
      </c>
      <c r="D2828" s="31" t="inlineStr">
        <is>
          <t>144800</t>
        </is>
      </c>
      <c r="E2828" s="31" t="inlineStr">
        <is>
          <t>72-54-13</t>
        </is>
      </c>
      <c r="F2828" s="31" t="inlineStr">
        <is>
          <t>W</t>
        </is>
      </c>
      <c r="G2828" s="31" t="inlineStr">
        <is>
          <t>LPT</t>
        </is>
      </c>
      <c r="H2828" s="27" t="n">
        <v>1430</v>
      </c>
      <c r="I2828" s="27" t="n">
        <v>1535</v>
      </c>
      <c r="J2828" s="154">
        <f>I2828/H2828-1</f>
        <v/>
      </c>
      <c r="K2828" s="31" t="inlineStr">
        <is>
          <t>20</t>
        </is>
      </c>
      <c r="L2828" s="31" t="inlineStr">
        <is>
          <t>20</t>
        </is>
      </c>
      <c r="M2828" s="31" t="inlineStr">
        <is>
          <t>S3</t>
        </is>
      </c>
      <c r="N2828" s="31" t="inlineStr">
        <is>
          <t>S5</t>
        </is>
      </c>
      <c r="O2828" s="31" t="inlineStr">
        <is>
          <t>338-085-402-0</t>
        </is>
      </c>
      <c r="P2828" s="31" t="inlineStr">
        <is>
          <t>SRTAS</t>
        </is>
      </c>
    </row>
    <row r="2829">
      <c r="B2829" s="31" t="inlineStr">
        <is>
          <t>CFM56-7B</t>
        </is>
      </c>
      <c r="C2829" s="31" t="inlineStr">
        <is>
          <t>2025-2026</t>
        </is>
      </c>
      <c r="D2829" s="31" t="inlineStr">
        <is>
          <t>144800</t>
        </is>
      </c>
      <c r="E2829" s="31" t="inlineStr">
        <is>
          <t>72-54-13</t>
        </is>
      </c>
      <c r="F2829" s="31" t="inlineStr">
        <is>
          <t>X</t>
        </is>
      </c>
      <c r="G2829" s="31" t="inlineStr">
        <is>
          <t>LPT</t>
        </is>
      </c>
      <c r="H2829" s="27" t="n">
        <v>1430</v>
      </c>
      <c r="I2829" s="27" t="n">
        <v>1535</v>
      </c>
      <c r="J2829" s="154">
        <f>I2829/H2829-1</f>
        <v/>
      </c>
      <c r="K2829" s="31" t="inlineStr">
        <is>
          <t>20</t>
        </is>
      </c>
      <c r="L2829" s="31" t="inlineStr">
        <is>
          <t>20</t>
        </is>
      </c>
      <c r="M2829" s="31" t="inlineStr">
        <is>
          <t>S3</t>
        </is>
      </c>
      <c r="N2829" s="31" t="inlineStr">
        <is>
          <t>S5</t>
        </is>
      </c>
      <c r="O2829" s="31" t="inlineStr">
        <is>
          <t>338-085-402-0</t>
        </is>
      </c>
      <c r="P2829" s="31" t="inlineStr">
        <is>
          <t>SRTAS</t>
        </is>
      </c>
    </row>
    <row r="2830">
      <c r="B2830" s="31" t="inlineStr">
        <is>
          <t>CFM56-7B</t>
        </is>
      </c>
      <c r="C2830" s="31" t="inlineStr">
        <is>
          <t>2025-2026</t>
        </is>
      </c>
      <c r="D2830" s="31" t="inlineStr">
        <is>
          <t>144800</t>
        </is>
      </c>
      <c r="E2830" s="31" t="inlineStr">
        <is>
          <t>72-54-13</t>
        </is>
      </c>
      <c r="F2830" s="31" t="inlineStr">
        <is>
          <t>Y</t>
        </is>
      </c>
      <c r="G2830" s="31" t="inlineStr">
        <is>
          <t>LPT</t>
        </is>
      </c>
      <c r="H2830" s="27" t="n">
        <v>3080</v>
      </c>
      <c r="I2830" s="27" t="n">
        <v>3300</v>
      </c>
      <c r="J2830" s="154">
        <f>I2830/H2830-1</f>
        <v/>
      </c>
      <c r="K2830" s="31" t="inlineStr">
        <is>
          <t>20</t>
        </is>
      </c>
      <c r="L2830" s="31" t="inlineStr">
        <is>
          <t>20</t>
        </is>
      </c>
      <c r="M2830" s="31" t="inlineStr">
        <is>
          <t>S3</t>
        </is>
      </c>
      <c r="N2830" s="31" t="inlineStr">
        <is>
          <t>S5</t>
        </is>
      </c>
      <c r="O2830" s="31" t="inlineStr">
        <is>
          <t>338-085-402-0</t>
        </is>
      </c>
      <c r="P2830" s="31" t="inlineStr">
        <is>
          <t>SRTAS</t>
        </is>
      </c>
    </row>
    <row r="2831">
      <c r="B2831" s="31" t="inlineStr">
        <is>
          <t>CFM56-7B</t>
        </is>
      </c>
      <c r="C2831" s="31" t="inlineStr">
        <is>
          <t>2025-2026</t>
        </is>
      </c>
      <c r="D2831" s="31" t="inlineStr">
        <is>
          <t>144800</t>
        </is>
      </c>
      <c r="E2831" s="31" t="inlineStr">
        <is>
          <t>72-54-13</t>
        </is>
      </c>
      <c r="F2831" s="31" t="inlineStr">
        <is>
          <t>Z</t>
        </is>
      </c>
      <c r="G2831" s="31" t="inlineStr">
        <is>
          <t>LPT</t>
        </is>
      </c>
      <c r="H2831" s="27" t="n">
        <v>425</v>
      </c>
      <c r="I2831" s="27" t="n">
        <v>455</v>
      </c>
      <c r="J2831" s="154">
        <f>I2831/H2831-1</f>
        <v/>
      </c>
      <c r="K2831" s="31" t="inlineStr">
        <is>
          <t>20</t>
        </is>
      </c>
      <c r="L2831" s="31" t="inlineStr">
        <is>
          <t>20</t>
        </is>
      </c>
      <c r="M2831" s="31" t="inlineStr">
        <is>
          <t>S3</t>
        </is>
      </c>
      <c r="N2831" s="31" t="inlineStr">
        <is>
          <t>S5</t>
        </is>
      </c>
      <c r="O2831" s="31" t="inlineStr">
        <is>
          <t>338-085-402-0</t>
        </is>
      </c>
      <c r="P2831" s="31" t="inlineStr">
        <is>
          <t>SRTAS</t>
        </is>
      </c>
    </row>
    <row r="2832">
      <c r="B2832" s="31" t="inlineStr">
        <is>
          <t>CFM56-7B</t>
        </is>
      </c>
      <c r="C2832" s="31" t="inlineStr">
        <is>
          <t>2025-2026</t>
        </is>
      </c>
      <c r="D2832" s="31" t="inlineStr">
        <is>
          <t>15015</t>
        </is>
      </c>
      <c r="E2832" s="31" t="inlineStr">
        <is>
          <t>72-23-21</t>
        </is>
      </c>
      <c r="F2832" s="31" t="inlineStr">
        <is>
          <t>B</t>
        </is>
      </c>
      <c r="G2832" s="31" t="inlineStr">
        <is>
          <t>Fan / booster</t>
        </is>
      </c>
      <c r="H2832" s="27" t="n">
        <v>295</v>
      </c>
      <c r="I2832" s="27" t="n">
        <v>315</v>
      </c>
      <c r="J2832" s="154">
        <f>I2832/H2832-1</f>
        <v/>
      </c>
      <c r="K2832" s="31" t="inlineStr">
        <is>
          <t>38</t>
        </is>
      </c>
      <c r="L2832" s="31" t="inlineStr">
        <is>
          <t>38</t>
        </is>
      </c>
      <c r="M2832" s="31" t="inlineStr">
        <is>
          <t>S3</t>
        </is>
      </c>
      <c r="N2832" s="31" t="inlineStr">
        <is>
          <t>S5</t>
        </is>
      </c>
      <c r="O2832" s="31" t="inlineStr">
        <is>
          <t>340-064-701-0</t>
        </is>
      </c>
      <c r="P2832" s="31" t="inlineStr">
        <is>
          <t>SR Technics Switzerland</t>
        </is>
      </c>
    </row>
    <row r="2833">
      <c r="B2833" s="31" t="inlineStr">
        <is>
          <t>CFM56-7B</t>
        </is>
      </c>
      <c r="C2833" s="31" t="inlineStr">
        <is>
          <t>2025-2026</t>
        </is>
      </c>
      <c r="D2833" s="31" t="inlineStr">
        <is>
          <t>15175</t>
        </is>
      </c>
      <c r="E2833" s="31" t="inlineStr">
        <is>
          <t>72-31-11</t>
        </is>
      </c>
      <c r="F2833" s="31" t="inlineStr">
        <is>
          <t>A</t>
        </is>
      </c>
      <c r="G2833" s="31" t="inlineStr">
        <is>
          <t>Compressor</t>
        </is>
      </c>
      <c r="H2833" s="27" t="n">
        <v>865</v>
      </c>
      <c r="I2833" s="27" t="n">
        <v>910</v>
      </c>
      <c r="J2833" s="154">
        <f>I2833/H2833-1</f>
        <v/>
      </c>
      <c r="K2833" s="31" t="inlineStr">
        <is>
          <t>7</t>
        </is>
      </c>
      <c r="L2833" s="31" t="inlineStr">
        <is>
          <t>6</t>
        </is>
      </c>
      <c r="M2833" s="31" t="inlineStr">
        <is>
          <t>S3</t>
        </is>
      </c>
      <c r="N2833" s="31" t="inlineStr">
        <is>
          <t>S5</t>
        </is>
      </c>
      <c r="O2833" s="31" t="inlineStr">
        <is>
          <t>2616M78G01</t>
        </is>
      </c>
      <c r="P2833" s="31" t="inlineStr">
        <is>
          <t>SR Technics Switzerland</t>
        </is>
      </c>
    </row>
    <row r="2834">
      <c r="B2834" s="31" t="inlineStr">
        <is>
          <t>CFM56-7B</t>
        </is>
      </c>
      <c r="C2834" s="31" t="inlineStr">
        <is>
          <t>2025-2026</t>
        </is>
      </c>
      <c r="D2834" s="31" t="inlineStr">
        <is>
          <t>15175</t>
        </is>
      </c>
      <c r="E2834" s="31" t="inlineStr">
        <is>
          <t>72-31-11</t>
        </is>
      </c>
      <c r="F2834" s="31" t="inlineStr">
        <is>
          <t>C</t>
        </is>
      </c>
      <c r="G2834" s="31" t="inlineStr">
        <is>
          <t>Compressor</t>
        </is>
      </c>
      <c r="H2834" s="27" t="n">
        <v>190</v>
      </c>
      <c r="I2834" s="27" t="n">
        <v>205</v>
      </c>
      <c r="J2834" s="154">
        <f>I2834/H2834-1</f>
        <v/>
      </c>
      <c r="K2834" s="31" t="inlineStr">
        <is>
          <t>7</t>
        </is>
      </c>
      <c r="L2834" s="31" t="inlineStr">
        <is>
          <t>6</t>
        </is>
      </c>
      <c r="M2834" s="31" t="inlineStr">
        <is>
          <t>S3</t>
        </is>
      </c>
      <c r="N2834" s="31" t="inlineStr">
        <is>
          <t>S5</t>
        </is>
      </c>
      <c r="O2834" s="31" t="inlineStr">
        <is>
          <t>2616M78G01</t>
        </is>
      </c>
      <c r="P2834" s="31" t="inlineStr">
        <is>
          <t>SR Technics Switzerland</t>
        </is>
      </c>
    </row>
    <row r="2835">
      <c r="B2835" s="31" t="inlineStr">
        <is>
          <t>CFM56-7B</t>
        </is>
      </c>
      <c r="C2835" s="31" t="inlineStr">
        <is>
          <t>2025-2026</t>
        </is>
      </c>
      <c r="D2835" s="31" t="inlineStr">
        <is>
          <t>15175</t>
        </is>
      </c>
      <c r="E2835" s="31" t="inlineStr">
        <is>
          <t>72-31-11</t>
        </is>
      </c>
      <c r="F2835" s="31" t="inlineStr">
        <is>
          <t>G</t>
        </is>
      </c>
      <c r="G2835" s="31" t="inlineStr">
        <is>
          <t>Compressor</t>
        </is>
      </c>
      <c r="H2835" s="27" t="n">
        <v>3255</v>
      </c>
      <c r="I2835" s="27" t="n">
        <v>3455</v>
      </c>
      <c r="J2835" s="154">
        <f>I2835/H2835-1</f>
        <v/>
      </c>
      <c r="K2835" s="31" t="inlineStr">
        <is>
          <t>7</t>
        </is>
      </c>
      <c r="L2835" s="31" t="inlineStr">
        <is>
          <t>6</t>
        </is>
      </c>
      <c r="M2835" s="31" t="inlineStr">
        <is>
          <t>S3</t>
        </is>
      </c>
      <c r="N2835" s="31" t="inlineStr">
        <is>
          <t>S5</t>
        </is>
      </c>
      <c r="O2835" s="31" t="inlineStr">
        <is>
          <t>2616M78G01</t>
        </is>
      </c>
      <c r="P2835" s="31" t="inlineStr">
        <is>
          <t>SR Technics Switzerland</t>
        </is>
      </c>
    </row>
    <row r="2836">
      <c r="B2836" s="31" t="inlineStr">
        <is>
          <t>CFM56-7B</t>
        </is>
      </c>
      <c r="C2836" s="31" t="inlineStr">
        <is>
          <t>2025-2026</t>
        </is>
      </c>
      <c r="D2836" s="31" t="inlineStr">
        <is>
          <t>1518</t>
        </is>
      </c>
      <c r="E2836" s="31" t="inlineStr">
        <is>
          <t>72-33-02</t>
        </is>
      </c>
      <c r="F2836" s="31" t="inlineStr">
        <is>
          <t>A</t>
        </is>
      </c>
      <c r="G2836" s="31" t="inlineStr">
        <is>
          <t>Compressor</t>
        </is>
      </c>
      <c r="H2836" s="27" t="n">
        <v>230</v>
      </c>
      <c r="I2836" s="27" t="n">
        <v>250</v>
      </c>
      <c r="J2836" s="154">
        <f>I2836/H2836-1</f>
        <v/>
      </c>
      <c r="K2836" s="31" t="inlineStr">
        <is>
          <t>28</t>
        </is>
      </c>
      <c r="L2836" s="31" t="inlineStr">
        <is>
          <t>28</t>
        </is>
      </c>
      <c r="M2836" s="31" t="inlineStr">
        <is>
          <t>S3</t>
        </is>
      </c>
      <c r="N2836" s="31" t="inlineStr">
        <is>
          <t>S5</t>
        </is>
      </c>
      <c r="O2836" s="31" t="inlineStr">
        <is>
          <t>1559M16G01</t>
        </is>
      </c>
      <c r="P2836" s="31" t="inlineStr">
        <is>
          <t>SRTAS</t>
        </is>
      </c>
    </row>
    <row r="2837">
      <c r="B2837" s="31" t="inlineStr">
        <is>
          <t>CFM56-7B</t>
        </is>
      </c>
      <c r="C2837" s="31" t="inlineStr">
        <is>
          <t>2025-2026</t>
        </is>
      </c>
      <c r="D2837" s="31" t="inlineStr">
        <is>
          <t>1518</t>
        </is>
      </c>
      <c r="E2837" s="31" t="inlineStr">
        <is>
          <t>72-33-02</t>
        </is>
      </c>
      <c r="F2837" s="31" t="inlineStr">
        <is>
          <t>B</t>
        </is>
      </c>
      <c r="G2837" s="31" t="inlineStr">
        <is>
          <t>Compressor</t>
        </is>
      </c>
      <c r="H2837" s="27" t="n">
        <v>525</v>
      </c>
      <c r="I2837" s="27" t="n">
        <v>565</v>
      </c>
      <c r="J2837" s="154">
        <f>I2837/H2837-1</f>
        <v/>
      </c>
      <c r="K2837" s="31" t="inlineStr">
        <is>
          <t>29</t>
        </is>
      </c>
      <c r="L2837" s="31" t="inlineStr">
        <is>
          <t>28</t>
        </is>
      </c>
      <c r="M2837" s="31" t="inlineStr">
        <is>
          <t>S3</t>
        </is>
      </c>
      <c r="N2837" s="31" t="inlineStr">
        <is>
          <t>S5</t>
        </is>
      </c>
      <c r="O2837" s="31" t="inlineStr">
        <is>
          <t>1559M16G01</t>
        </is>
      </c>
      <c r="P2837" s="31" t="inlineStr">
        <is>
          <t>SRTAS</t>
        </is>
      </c>
    </row>
    <row r="2838">
      <c r="B2838" s="31" t="inlineStr">
        <is>
          <t>CFM56-7B</t>
        </is>
      </c>
      <c r="C2838" s="31" t="inlineStr">
        <is>
          <t>2025-2026</t>
        </is>
      </c>
      <c r="D2838" s="31" t="inlineStr">
        <is>
          <t>1518</t>
        </is>
      </c>
      <c r="E2838" s="31" t="inlineStr">
        <is>
          <t>72-33-02</t>
        </is>
      </c>
      <c r="F2838" s="31" t="inlineStr">
        <is>
          <t>G</t>
        </is>
      </c>
      <c r="G2838" s="31" t="inlineStr">
        <is>
          <t>Compressor</t>
        </is>
      </c>
      <c r="H2838" s="27" t="n">
        <v>125</v>
      </c>
      <c r="I2838" s="27" t="n">
        <v>135</v>
      </c>
      <c r="J2838" s="154">
        <f>I2838/H2838-1</f>
        <v/>
      </c>
      <c r="K2838" s="31" t="inlineStr">
        <is>
          <t>29</t>
        </is>
      </c>
      <c r="L2838" s="31" t="inlineStr">
        <is>
          <t>28</t>
        </is>
      </c>
      <c r="M2838" s="31" t="inlineStr">
        <is>
          <t>S3</t>
        </is>
      </c>
      <c r="N2838" s="31" t="inlineStr">
        <is>
          <t>S5</t>
        </is>
      </c>
      <c r="O2838" s="31" t="inlineStr">
        <is>
          <t>1559M16G01</t>
        </is>
      </c>
      <c r="P2838" s="31" t="inlineStr">
        <is>
          <t>SRTAS</t>
        </is>
      </c>
    </row>
    <row r="2839">
      <c r="B2839" s="31" t="inlineStr">
        <is>
          <t>CFM56-7B</t>
        </is>
      </c>
      <c r="C2839" s="31" t="inlineStr">
        <is>
          <t>2025-2026</t>
        </is>
      </c>
      <c r="D2839" s="31" t="inlineStr">
        <is>
          <t>1518</t>
        </is>
      </c>
      <c r="E2839" s="31" t="inlineStr">
        <is>
          <t>72-33-02</t>
        </is>
      </c>
      <c r="F2839" s="31" t="inlineStr">
        <is>
          <t>N</t>
        </is>
      </c>
      <c r="G2839" s="31" t="inlineStr">
        <is>
          <t>Compressor</t>
        </is>
      </c>
      <c r="H2839" s="27" t="n">
        <v>125</v>
      </c>
      <c r="I2839" s="27" t="n">
        <v>135</v>
      </c>
      <c r="J2839" s="154">
        <f>I2839/H2839-1</f>
        <v/>
      </c>
      <c r="K2839" s="31" t="inlineStr">
        <is>
          <t>29</t>
        </is>
      </c>
      <c r="L2839" s="31" t="inlineStr">
        <is>
          <t>28</t>
        </is>
      </c>
      <c r="M2839" s="31" t="inlineStr">
        <is>
          <t>S3</t>
        </is>
      </c>
      <c r="N2839" s="31" t="inlineStr">
        <is>
          <t>S5</t>
        </is>
      </c>
      <c r="O2839" s="31" t="inlineStr">
        <is>
          <t>1559M16G01</t>
        </is>
      </c>
      <c r="P2839" s="31" t="inlineStr">
        <is>
          <t>SRTAS</t>
        </is>
      </c>
    </row>
    <row r="2840">
      <c r="B2840" s="31" t="inlineStr">
        <is>
          <t>CFM56-7B</t>
        </is>
      </c>
      <c r="C2840" s="31" t="inlineStr">
        <is>
          <t>2025-2026</t>
        </is>
      </c>
      <c r="D2840" s="31" t="inlineStr">
        <is>
          <t>1518</t>
        </is>
      </c>
      <c r="E2840" s="31" t="inlineStr">
        <is>
          <t>72-33-02</t>
        </is>
      </c>
      <c r="F2840" s="31" t="inlineStr">
        <is>
          <t>U</t>
        </is>
      </c>
      <c r="G2840" s="31" t="inlineStr">
        <is>
          <t>Compressor</t>
        </is>
      </c>
      <c r="H2840" s="27" t="n">
        <v>125</v>
      </c>
      <c r="I2840" s="27" t="n">
        <v>135</v>
      </c>
      <c r="J2840" s="154">
        <f>I2840/H2840-1</f>
        <v/>
      </c>
      <c r="K2840" s="31" t="inlineStr">
        <is>
          <t>29</t>
        </is>
      </c>
      <c r="L2840" s="31" t="inlineStr">
        <is>
          <t>28</t>
        </is>
      </c>
      <c r="M2840" s="31" t="inlineStr">
        <is>
          <t>S3</t>
        </is>
      </c>
      <c r="N2840" s="31" t="inlineStr">
        <is>
          <t>S5</t>
        </is>
      </c>
      <c r="O2840" s="31" t="inlineStr">
        <is>
          <t>1559M16G01</t>
        </is>
      </c>
      <c r="P2840" s="31" t="inlineStr">
        <is>
          <t>SRTAS</t>
        </is>
      </c>
    </row>
    <row r="2841">
      <c r="B2841" s="31" t="inlineStr">
        <is>
          <t>CFM56-7B</t>
        </is>
      </c>
      <c r="C2841" s="31" t="inlineStr">
        <is>
          <t>2025-2026</t>
        </is>
      </c>
      <c r="D2841" s="31" t="inlineStr">
        <is>
          <t>1524</t>
        </is>
      </c>
      <c r="E2841" s="31" t="inlineStr">
        <is>
          <t>73-24-06</t>
        </is>
      </c>
      <c r="F2841" s="31" t="inlineStr">
        <is>
          <t>A</t>
        </is>
      </c>
      <c r="G2841" s="31" t="inlineStr">
        <is>
          <t>Fuel system</t>
        </is>
      </c>
      <c r="H2841" s="27" t="n">
        <v>360</v>
      </c>
      <c r="I2841" s="27" t="n">
        <v>380</v>
      </c>
      <c r="J2841" s="154">
        <f>I2841/H2841-1</f>
        <v/>
      </c>
      <c r="K2841" s="31" t="inlineStr">
        <is>
          <t>30</t>
        </is>
      </c>
      <c r="L2841" s="31" t="inlineStr">
        <is>
          <t>29</t>
        </is>
      </c>
      <c r="M2841" s="31" t="inlineStr">
        <is>
          <t>S3</t>
        </is>
      </c>
      <c r="N2841" s="31" t="inlineStr">
        <is>
          <t>S5</t>
        </is>
      </c>
      <c r="O2841" s="31" t="inlineStr">
        <is>
          <t>390-660-001-0</t>
        </is>
      </c>
      <c r="P2841" s="31" t="inlineStr">
        <is>
          <t>SR Technics Switzerland</t>
        </is>
      </c>
    </row>
    <row r="2842">
      <c r="B2842" s="31" t="inlineStr">
        <is>
          <t>CFM56-7B</t>
        </is>
      </c>
      <c r="C2842" s="31" t="inlineStr">
        <is>
          <t>2025-2026</t>
        </is>
      </c>
      <c r="D2842" s="31" t="inlineStr">
        <is>
          <t>1524</t>
        </is>
      </c>
      <c r="E2842" s="31" t="inlineStr">
        <is>
          <t>73-24-06</t>
        </is>
      </c>
      <c r="F2842" s="31" t="inlineStr">
        <is>
          <t>B</t>
        </is>
      </c>
      <c r="G2842" s="31" t="inlineStr">
        <is>
          <t>Fuel system</t>
        </is>
      </c>
      <c r="H2842" s="27" t="n">
        <v>935</v>
      </c>
      <c r="I2842" s="27" t="n">
        <v>995</v>
      </c>
      <c r="J2842" s="154">
        <f>I2842/H2842-1</f>
        <v/>
      </c>
      <c r="K2842" s="31" t="inlineStr">
        <is>
          <t>30</t>
        </is>
      </c>
      <c r="L2842" s="31" t="inlineStr">
        <is>
          <t>29</t>
        </is>
      </c>
      <c r="M2842" s="31" t="inlineStr">
        <is>
          <t>S3</t>
        </is>
      </c>
      <c r="N2842" s="31" t="inlineStr">
        <is>
          <t>S5</t>
        </is>
      </c>
      <c r="O2842" s="31" t="inlineStr">
        <is>
          <t>390-660-001-0</t>
        </is>
      </c>
      <c r="P2842" s="31" t="inlineStr">
        <is>
          <t>SR Technics Switzerland</t>
        </is>
      </c>
    </row>
    <row r="2843">
      <c r="B2843" s="31" t="inlineStr">
        <is>
          <t>CFM56-7B</t>
        </is>
      </c>
      <c r="C2843" s="31" t="inlineStr">
        <is>
          <t>2025-2026</t>
        </is>
      </c>
      <c r="D2843" s="31" t="inlineStr">
        <is>
          <t>1524</t>
        </is>
      </c>
      <c r="E2843" s="31" t="inlineStr">
        <is>
          <t>73-24-06</t>
        </is>
      </c>
      <c r="F2843" s="31" t="inlineStr">
        <is>
          <t>C</t>
        </is>
      </c>
      <c r="G2843" s="31" t="inlineStr">
        <is>
          <t>Fuel system</t>
        </is>
      </c>
      <c r="H2843" s="27" t="n">
        <v>1225</v>
      </c>
      <c r="I2843" s="27" t="n">
        <v>1300</v>
      </c>
      <c r="J2843" s="154">
        <f>I2843/H2843-1</f>
        <v/>
      </c>
      <c r="K2843" s="31" t="inlineStr">
        <is>
          <t>30</t>
        </is>
      </c>
      <c r="L2843" s="31" t="inlineStr">
        <is>
          <t>29</t>
        </is>
      </c>
      <c r="M2843" s="31" t="inlineStr">
        <is>
          <t>S3</t>
        </is>
      </c>
      <c r="N2843" s="31" t="inlineStr">
        <is>
          <t>S5</t>
        </is>
      </c>
      <c r="O2843" s="31" t="inlineStr">
        <is>
          <t>390-660-001-0</t>
        </is>
      </c>
      <c r="P2843" s="31" t="inlineStr">
        <is>
          <t>SR Technics Switzerland</t>
        </is>
      </c>
    </row>
    <row r="2844">
      <c r="B2844" s="31" t="inlineStr">
        <is>
          <t>CFM56-7B</t>
        </is>
      </c>
      <c r="C2844" s="31" t="inlineStr">
        <is>
          <t>2025-2026</t>
        </is>
      </c>
      <c r="D2844" s="31" t="inlineStr">
        <is>
          <t>1524</t>
        </is>
      </c>
      <c r="E2844" s="31" t="inlineStr">
        <is>
          <t>73-24-06</t>
        </is>
      </c>
      <c r="F2844" s="31" t="inlineStr">
        <is>
          <t>SB01</t>
        </is>
      </c>
      <c r="G2844" s="31" t="inlineStr">
        <is>
          <t>Fuel system</t>
        </is>
      </c>
      <c r="H2844" s="27" t="n">
        <v>325</v>
      </c>
      <c r="I2844" s="27" t="n">
        <v>345</v>
      </c>
      <c r="J2844" s="154">
        <f>I2844/H2844-1</f>
        <v/>
      </c>
      <c r="K2844" s="31" t="inlineStr">
        <is>
          <t>30</t>
        </is>
      </c>
      <c r="L2844" s="31" t="inlineStr">
        <is>
          <t>29</t>
        </is>
      </c>
      <c r="M2844" s="31" t="inlineStr">
        <is>
          <t>S3</t>
        </is>
      </c>
      <c r="N2844" s="31" t="inlineStr">
        <is>
          <t>S5</t>
        </is>
      </c>
      <c r="O2844" s="31" t="inlineStr">
        <is>
          <t>390-660-001-0</t>
        </is>
      </c>
      <c r="P2844" s="31" t="inlineStr">
        <is>
          <t>SR Technics Switzerland</t>
        </is>
      </c>
    </row>
    <row r="2845">
      <c r="B2845" s="31" t="inlineStr">
        <is>
          <t>CFM56-7B</t>
        </is>
      </c>
      <c r="C2845" s="31" t="inlineStr">
        <is>
          <t>2025-2026</t>
        </is>
      </c>
      <c r="D2845" s="31" t="inlineStr">
        <is>
          <t>15379</t>
        </is>
      </c>
      <c r="E2845" s="31" t="inlineStr">
        <is>
          <t>72-56-01</t>
        </is>
      </c>
      <c r="F2845" s="31" t="inlineStr">
        <is>
          <t>A</t>
        </is>
      </c>
      <c r="G2845" s="31" t="inlineStr">
        <is>
          <t>LPT</t>
        </is>
      </c>
      <c r="H2845" s="27" t="n">
        <v>385</v>
      </c>
      <c r="I2845" s="27" t="n">
        <v>405</v>
      </c>
      <c r="J2845" s="154">
        <f>I2845/H2845-1</f>
        <v/>
      </c>
      <c r="K2845" s="31" t="inlineStr">
        <is>
          <t>38</t>
        </is>
      </c>
      <c r="L2845" s="31" t="inlineStr">
        <is>
          <t>38</t>
        </is>
      </c>
      <c r="M2845" s="31" t="inlineStr">
        <is>
          <t>S3</t>
        </is>
      </c>
      <c r="N2845" s="31" t="inlineStr">
        <is>
          <t>S5</t>
        </is>
      </c>
      <c r="O2845" s="31" t="inlineStr">
        <is>
          <t>336-043-302-0</t>
        </is>
      </c>
      <c r="P2845" s="31" t="inlineStr">
        <is>
          <t>SR Technics Switzerland</t>
        </is>
      </c>
    </row>
    <row r="2846">
      <c r="B2846" s="31" t="inlineStr">
        <is>
          <t>CFM56-7B</t>
        </is>
      </c>
      <c r="C2846" s="31" t="inlineStr">
        <is>
          <t>2025-2026</t>
        </is>
      </c>
      <c r="D2846" s="31" t="inlineStr">
        <is>
          <t>15379</t>
        </is>
      </c>
      <c r="E2846" s="31" t="inlineStr">
        <is>
          <t>72-56-01</t>
        </is>
      </c>
      <c r="F2846" s="31" t="inlineStr">
        <is>
          <t>AD</t>
        </is>
      </c>
      <c r="G2846" s="31" t="inlineStr">
        <is>
          <t>LPT</t>
        </is>
      </c>
      <c r="H2846" s="27" t="n">
        <v>240</v>
      </c>
      <c r="I2846" s="27" t="n">
        <v>255</v>
      </c>
      <c r="J2846" s="154">
        <f>I2846/H2846-1</f>
        <v/>
      </c>
      <c r="K2846" s="31" t="inlineStr">
        <is>
          <t>38</t>
        </is>
      </c>
      <c r="L2846" s="31" t="inlineStr">
        <is>
          <t>38</t>
        </is>
      </c>
      <c r="M2846" s="31" t="inlineStr">
        <is>
          <t>S3</t>
        </is>
      </c>
      <c r="N2846" s="31" t="inlineStr">
        <is>
          <t>S5</t>
        </is>
      </c>
      <c r="O2846" s="31" t="inlineStr">
        <is>
          <t>336-043-302-0</t>
        </is>
      </c>
      <c r="P2846" s="31" t="inlineStr">
        <is>
          <t>SR Technics Switzerland</t>
        </is>
      </c>
    </row>
    <row r="2847">
      <c r="B2847" s="31" t="inlineStr">
        <is>
          <t>CFM56-7B</t>
        </is>
      </c>
      <c r="C2847" s="31" t="inlineStr">
        <is>
          <t>2025-2026</t>
        </is>
      </c>
      <c r="D2847" s="31" t="inlineStr">
        <is>
          <t>1548</t>
        </is>
      </c>
      <c r="E2847" s="31" t="inlineStr">
        <is>
          <t>72-32-13</t>
        </is>
      </c>
      <c r="F2847" s="31" t="inlineStr">
        <is>
          <t>A</t>
        </is>
      </c>
      <c r="G2847" s="31" t="inlineStr">
        <is>
          <t>Compressor</t>
        </is>
      </c>
      <c r="H2847" s="27" t="n">
        <v>265</v>
      </c>
      <c r="I2847" s="27" t="n">
        <v>280</v>
      </c>
      <c r="J2847" s="154">
        <f>I2847/H2847-1</f>
        <v/>
      </c>
      <c r="K2847" s="31" t="inlineStr">
        <is>
          <t>30</t>
        </is>
      </c>
      <c r="L2847" s="31" t="inlineStr">
        <is>
          <t>29</t>
        </is>
      </c>
      <c r="M2847" s="31" t="inlineStr">
        <is>
          <t>S3</t>
        </is>
      </c>
      <c r="N2847" s="31" t="inlineStr">
        <is>
          <t>S5</t>
        </is>
      </c>
      <c r="O2847" s="31" t="inlineStr">
        <is>
          <t>1476M51P01</t>
        </is>
      </c>
      <c r="P2847" s="31" t="inlineStr">
        <is>
          <t>SR Technics Switzerland</t>
        </is>
      </c>
    </row>
    <row r="2848">
      <c r="B2848" s="31" t="inlineStr">
        <is>
          <t>CFM56-7B</t>
        </is>
      </c>
      <c r="C2848" s="31" t="inlineStr">
        <is>
          <t>2025-2026</t>
        </is>
      </c>
      <c r="D2848" s="31" t="inlineStr">
        <is>
          <t>1548</t>
        </is>
      </c>
      <c r="E2848" s="31" t="inlineStr">
        <is>
          <t>72-32-13</t>
        </is>
      </c>
      <c r="F2848" s="31" t="inlineStr">
        <is>
          <t>B</t>
        </is>
      </c>
      <c r="G2848" s="31" t="inlineStr">
        <is>
          <t>Compressor</t>
        </is>
      </c>
      <c r="H2848" s="27" t="n">
        <v>1080</v>
      </c>
      <c r="I2848" s="27" t="n">
        <v>1145</v>
      </c>
      <c r="J2848" s="154">
        <f>I2848/H2848-1</f>
        <v/>
      </c>
      <c r="K2848" s="31" t="inlineStr">
        <is>
          <t>30</t>
        </is>
      </c>
      <c r="L2848" s="31" t="inlineStr">
        <is>
          <t>29</t>
        </is>
      </c>
      <c r="M2848" s="31" t="inlineStr">
        <is>
          <t>S3</t>
        </is>
      </c>
      <c r="N2848" s="31" t="inlineStr">
        <is>
          <t>S5</t>
        </is>
      </c>
      <c r="O2848" s="31" t="inlineStr">
        <is>
          <t>1476M51P01</t>
        </is>
      </c>
      <c r="P2848" s="31" t="inlineStr">
        <is>
          <t>SR Technics Switzerland</t>
        </is>
      </c>
    </row>
    <row r="2849">
      <c r="B2849" s="31" t="inlineStr">
        <is>
          <t>CFM56-7B</t>
        </is>
      </c>
      <c r="C2849" s="31" t="inlineStr">
        <is>
          <t>2025-2026</t>
        </is>
      </c>
      <c r="D2849" s="31" t="inlineStr">
        <is>
          <t>16715</t>
        </is>
      </c>
      <c r="E2849" s="31" t="inlineStr">
        <is>
          <t>72-32-01</t>
        </is>
      </c>
      <c r="F2849" s="31" t="inlineStr">
        <is>
          <t>A</t>
        </is>
      </c>
      <c r="G2849" s="31" t="inlineStr">
        <is>
          <t>Compressor</t>
        </is>
      </c>
      <c r="H2849" s="27" t="n">
        <v>3470</v>
      </c>
      <c r="I2849" s="27" t="n">
        <v>3645</v>
      </c>
      <c r="J2849" s="154">
        <f>I2849/H2849-1</f>
        <v/>
      </c>
      <c r="K2849" s="31" t="inlineStr">
        <is>
          <t>7</t>
        </is>
      </c>
      <c r="L2849" s="31" t="inlineStr">
        <is>
          <t>6</t>
        </is>
      </c>
      <c r="M2849" s="31" t="inlineStr">
        <is>
          <t>S3</t>
        </is>
      </c>
      <c r="N2849" s="31" t="inlineStr">
        <is>
          <t>S5</t>
        </is>
      </c>
      <c r="O2849" s="31" t="inlineStr">
        <is>
          <t>1559M30G05</t>
        </is>
      </c>
      <c r="P2849" s="31" t="inlineStr">
        <is>
          <t>SR Technics Switzerland</t>
        </is>
      </c>
    </row>
    <row r="2850">
      <c r="B2850" s="31" t="inlineStr">
        <is>
          <t>CFM56-7B</t>
        </is>
      </c>
      <c r="C2850" s="31" t="inlineStr">
        <is>
          <t>2025-2026</t>
        </is>
      </c>
      <c r="D2850" s="31" t="inlineStr">
        <is>
          <t>16715</t>
        </is>
      </c>
      <c r="E2850" s="31" t="inlineStr">
        <is>
          <t>72-32-01</t>
        </is>
      </c>
      <c r="F2850" s="31" t="inlineStr">
        <is>
          <t>AB</t>
        </is>
      </c>
      <c r="G2850" s="31" t="inlineStr">
        <is>
          <t>Compressor</t>
        </is>
      </c>
      <c r="H2850" s="27" t="n">
        <v>6240</v>
      </c>
      <c r="I2850" s="27" t="n">
        <v>6615</v>
      </c>
      <c r="J2850" s="154">
        <f>I2850/H2850-1</f>
        <v/>
      </c>
      <c r="K2850" s="31" t="inlineStr">
        <is>
          <t>7</t>
        </is>
      </c>
      <c r="L2850" s="31" t="inlineStr">
        <is>
          <t>6</t>
        </is>
      </c>
      <c r="M2850" s="31" t="inlineStr">
        <is>
          <t>S3</t>
        </is>
      </c>
      <c r="N2850" s="31" t="inlineStr">
        <is>
          <t>S5</t>
        </is>
      </c>
      <c r="O2850" s="31" t="inlineStr">
        <is>
          <t>1559M30G05</t>
        </is>
      </c>
      <c r="P2850" s="31" t="inlineStr">
        <is>
          <t>SR Technics Switzerland</t>
        </is>
      </c>
    </row>
    <row r="2851">
      <c r="B2851" s="31" t="inlineStr">
        <is>
          <t>CFM56-7B</t>
        </is>
      </c>
      <c r="C2851" s="31" t="inlineStr">
        <is>
          <t>2025-2026</t>
        </is>
      </c>
      <c r="D2851" s="31" t="inlineStr">
        <is>
          <t>16715</t>
        </is>
      </c>
      <c r="E2851" s="31" t="inlineStr">
        <is>
          <t>72-32-01</t>
        </is>
      </c>
      <c r="F2851" s="31" t="inlineStr">
        <is>
          <t>AG</t>
        </is>
      </c>
      <c r="G2851" s="31" t="inlineStr">
        <is>
          <t>Compressor</t>
        </is>
      </c>
      <c r="H2851" s="27" t="n">
        <v>1285</v>
      </c>
      <c r="I2851" s="27" t="n">
        <v>1365</v>
      </c>
      <c r="J2851" s="154">
        <f>I2851/H2851-1</f>
        <v/>
      </c>
      <c r="K2851" s="31" t="inlineStr">
        <is>
          <t>7</t>
        </is>
      </c>
      <c r="L2851" s="31" t="inlineStr">
        <is>
          <t>6</t>
        </is>
      </c>
      <c r="M2851" s="31" t="inlineStr">
        <is>
          <t>S3</t>
        </is>
      </c>
      <c r="N2851" s="31" t="inlineStr">
        <is>
          <t>S5</t>
        </is>
      </c>
      <c r="O2851" s="31" t="inlineStr">
        <is>
          <t>1559M30G05</t>
        </is>
      </c>
      <c r="P2851" s="31" t="inlineStr">
        <is>
          <t>SR Technics Switzerland</t>
        </is>
      </c>
    </row>
    <row r="2852">
      <c r="B2852" s="31" t="inlineStr">
        <is>
          <t>CFM56-7B</t>
        </is>
      </c>
      <c r="C2852" s="31" t="inlineStr">
        <is>
          <t>2025-2026</t>
        </is>
      </c>
      <c r="D2852" s="31" t="inlineStr">
        <is>
          <t>16715</t>
        </is>
      </c>
      <c r="E2852" s="31" t="inlineStr">
        <is>
          <t>72-32-01</t>
        </is>
      </c>
      <c r="F2852" s="31" t="inlineStr">
        <is>
          <t>AH</t>
        </is>
      </c>
      <c r="G2852" s="31" t="inlineStr">
        <is>
          <t>Compressor</t>
        </is>
      </c>
      <c r="H2852" s="27" t="n">
        <v>6835</v>
      </c>
      <c r="I2852" s="27" t="n">
        <v>7250</v>
      </c>
      <c r="J2852" s="154">
        <f>I2852/H2852-1</f>
        <v/>
      </c>
      <c r="K2852" s="31" t="inlineStr">
        <is>
          <t>7</t>
        </is>
      </c>
      <c r="L2852" s="31" t="inlineStr">
        <is>
          <t>6</t>
        </is>
      </c>
      <c r="M2852" s="31" t="inlineStr">
        <is>
          <t>S3</t>
        </is>
      </c>
      <c r="N2852" s="31" t="inlineStr">
        <is>
          <t>S5</t>
        </is>
      </c>
      <c r="O2852" s="31" t="inlineStr">
        <is>
          <t>1559M30G05</t>
        </is>
      </c>
      <c r="P2852" s="31" t="inlineStr">
        <is>
          <t>SR Technics Switzerland</t>
        </is>
      </c>
    </row>
    <row r="2853">
      <c r="B2853" s="31" t="inlineStr">
        <is>
          <t>CFM56-7B</t>
        </is>
      </c>
      <c r="C2853" s="31" t="inlineStr">
        <is>
          <t>2025-2026</t>
        </is>
      </c>
      <c r="D2853" s="31" t="inlineStr">
        <is>
          <t>16715</t>
        </is>
      </c>
      <c r="E2853" s="31" t="inlineStr">
        <is>
          <t>72-32-01</t>
        </is>
      </c>
      <c r="F2853" s="31" t="inlineStr">
        <is>
          <t>AJ</t>
        </is>
      </c>
      <c r="G2853" s="31" t="inlineStr">
        <is>
          <t>Compressor</t>
        </is>
      </c>
      <c r="H2853" s="27" t="n">
        <v>2570</v>
      </c>
      <c r="I2853" s="27" t="n">
        <v>2725</v>
      </c>
      <c r="J2853" s="154">
        <f>I2853/H2853-1</f>
        <v/>
      </c>
      <c r="K2853" s="31" t="inlineStr">
        <is>
          <t>7</t>
        </is>
      </c>
      <c r="L2853" s="31" t="inlineStr">
        <is>
          <t>6</t>
        </is>
      </c>
      <c r="M2853" s="31" t="inlineStr">
        <is>
          <t>S3</t>
        </is>
      </c>
      <c r="N2853" s="31" t="inlineStr">
        <is>
          <t>S5</t>
        </is>
      </c>
      <c r="O2853" s="31" t="inlineStr">
        <is>
          <t>1559M30G05</t>
        </is>
      </c>
      <c r="P2853" s="31" t="inlineStr">
        <is>
          <t>SR Technics Switzerland</t>
        </is>
      </c>
    </row>
    <row r="2854">
      <c r="B2854" s="31" t="inlineStr">
        <is>
          <t>CFM56-7B</t>
        </is>
      </c>
      <c r="C2854" s="31" t="inlineStr">
        <is>
          <t>2025-2026</t>
        </is>
      </c>
      <c r="D2854" s="31" t="inlineStr">
        <is>
          <t>16715</t>
        </is>
      </c>
      <c r="E2854" s="31" t="inlineStr">
        <is>
          <t>72-32-01</t>
        </is>
      </c>
      <c r="F2854" s="31" t="inlineStr">
        <is>
          <t>AK</t>
        </is>
      </c>
      <c r="G2854" s="31" t="inlineStr">
        <is>
          <t>Compressor</t>
        </is>
      </c>
      <c r="H2854" s="27" t="n">
        <v>190</v>
      </c>
      <c r="I2854" s="27" t="n">
        <v>205</v>
      </c>
      <c r="J2854" s="154">
        <f>I2854/H2854-1</f>
        <v/>
      </c>
      <c r="K2854" s="31" t="inlineStr">
        <is>
          <t>7</t>
        </is>
      </c>
      <c r="L2854" s="31" t="inlineStr">
        <is>
          <t>6</t>
        </is>
      </c>
      <c r="M2854" s="31" t="inlineStr">
        <is>
          <t>S3</t>
        </is>
      </c>
      <c r="N2854" s="31" t="inlineStr">
        <is>
          <t>S5</t>
        </is>
      </c>
      <c r="O2854" s="31" t="inlineStr">
        <is>
          <t>1559M30G05</t>
        </is>
      </c>
      <c r="P2854" s="31" t="inlineStr">
        <is>
          <t>SR Technics Switzerland</t>
        </is>
      </c>
    </row>
    <row r="2855">
      <c r="B2855" s="31" t="inlineStr">
        <is>
          <t>CFM56-7B</t>
        </is>
      </c>
      <c r="C2855" s="31" t="inlineStr">
        <is>
          <t>2025-2026</t>
        </is>
      </c>
      <c r="D2855" s="31" t="inlineStr">
        <is>
          <t>16715</t>
        </is>
      </c>
      <c r="E2855" s="31" t="inlineStr">
        <is>
          <t>72-32-01</t>
        </is>
      </c>
      <c r="F2855" s="31" t="inlineStr">
        <is>
          <t>B</t>
        </is>
      </c>
      <c r="G2855" s="31" t="inlineStr">
        <is>
          <t>Compressor</t>
        </is>
      </c>
      <c r="H2855" s="27" t="n">
        <v>2230</v>
      </c>
      <c r="I2855" s="27" t="n">
        <v>2365</v>
      </c>
      <c r="J2855" s="154">
        <f>I2855/H2855-1</f>
        <v/>
      </c>
      <c r="K2855" s="31" t="inlineStr">
        <is>
          <t>7</t>
        </is>
      </c>
      <c r="L2855" s="31" t="inlineStr">
        <is>
          <t>6, 7</t>
        </is>
      </c>
      <c r="M2855" s="31" t="inlineStr">
        <is>
          <t>S3</t>
        </is>
      </c>
      <c r="N2855" s="31" t="inlineStr">
        <is>
          <t>S5</t>
        </is>
      </c>
      <c r="O2855" s="31" t="inlineStr">
        <is>
          <t>1559M30G05</t>
        </is>
      </c>
      <c r="P2855" s="31" t="inlineStr">
        <is>
          <t>SR Technics Switzerland</t>
        </is>
      </c>
    </row>
    <row r="2856">
      <c r="B2856" s="31" t="inlineStr">
        <is>
          <t>CFM56-7B</t>
        </is>
      </c>
      <c r="C2856" s="31" t="inlineStr">
        <is>
          <t>2025-2026</t>
        </is>
      </c>
      <c r="D2856" s="31" t="inlineStr">
        <is>
          <t>16715</t>
        </is>
      </c>
      <c r="E2856" s="31" t="inlineStr">
        <is>
          <t>72-32-01</t>
        </is>
      </c>
      <c r="F2856" s="31" t="inlineStr">
        <is>
          <t>D</t>
        </is>
      </c>
      <c r="G2856" s="31" t="inlineStr">
        <is>
          <t>Compressor</t>
        </is>
      </c>
      <c r="H2856" s="27" t="n">
        <v>3295</v>
      </c>
      <c r="I2856" s="27" t="n">
        <v>3495</v>
      </c>
      <c r="J2856" s="154">
        <f>I2856/H2856-1</f>
        <v/>
      </c>
      <c r="K2856" s="31" t="inlineStr">
        <is>
          <t>7</t>
        </is>
      </c>
      <c r="L2856" s="31" t="inlineStr">
        <is>
          <t>7</t>
        </is>
      </c>
      <c r="M2856" s="31" t="inlineStr">
        <is>
          <t>S3</t>
        </is>
      </c>
      <c r="N2856" s="31" t="inlineStr">
        <is>
          <t>S5</t>
        </is>
      </c>
      <c r="O2856" s="31" t="inlineStr">
        <is>
          <t>1559M30G05</t>
        </is>
      </c>
      <c r="P2856" s="31" t="inlineStr">
        <is>
          <t>SR Technics Switzerland</t>
        </is>
      </c>
    </row>
    <row r="2857">
      <c r="B2857" s="31" t="inlineStr">
        <is>
          <t>CFM56-7B</t>
        </is>
      </c>
      <c r="C2857" s="31" t="inlineStr">
        <is>
          <t>2025-2026</t>
        </is>
      </c>
      <c r="D2857" s="31" t="inlineStr">
        <is>
          <t>16715</t>
        </is>
      </c>
      <c r="E2857" s="31" t="inlineStr">
        <is>
          <t>72-32-01</t>
        </is>
      </c>
      <c r="F2857" s="31" t="inlineStr">
        <is>
          <t>G</t>
        </is>
      </c>
      <c r="G2857" s="31" t="inlineStr">
        <is>
          <t>Compressor</t>
        </is>
      </c>
      <c r="H2857" s="27" t="n">
        <v>890</v>
      </c>
      <c r="I2857" s="27" t="n">
        <v>945</v>
      </c>
      <c r="J2857" s="154">
        <f>I2857/H2857-1</f>
        <v/>
      </c>
      <c r="K2857" s="31" t="inlineStr">
        <is>
          <t>7</t>
        </is>
      </c>
      <c r="L2857" s="31" t="inlineStr">
        <is>
          <t>7</t>
        </is>
      </c>
      <c r="M2857" s="31" t="inlineStr">
        <is>
          <t>S3</t>
        </is>
      </c>
      <c r="N2857" s="31" t="inlineStr">
        <is>
          <t>S5</t>
        </is>
      </c>
      <c r="O2857" s="31" t="inlineStr">
        <is>
          <t>1559M30G05</t>
        </is>
      </c>
      <c r="P2857" s="31" t="inlineStr">
        <is>
          <t>SR Technics Switzerland</t>
        </is>
      </c>
    </row>
    <row r="2858">
      <c r="B2858" s="31" t="inlineStr">
        <is>
          <t>CFM56-7B</t>
        </is>
      </c>
      <c r="C2858" s="31" t="inlineStr">
        <is>
          <t>2025-2026</t>
        </is>
      </c>
      <c r="D2858" s="31" t="inlineStr">
        <is>
          <t>16715</t>
        </is>
      </c>
      <c r="E2858" s="31" t="inlineStr">
        <is>
          <t>72-32-01</t>
        </is>
      </c>
      <c r="F2858" s="31" t="inlineStr">
        <is>
          <t>M</t>
        </is>
      </c>
      <c r="G2858" s="31" t="inlineStr">
        <is>
          <t>Compressor</t>
        </is>
      </c>
      <c r="H2858" s="27" t="n">
        <v>6930</v>
      </c>
      <c r="I2858" s="27" t="n">
        <v>7350</v>
      </c>
      <c r="J2858" s="154">
        <f>I2858/H2858-1</f>
        <v/>
      </c>
      <c r="K2858" s="31" t="inlineStr">
        <is>
          <t>8</t>
        </is>
      </c>
      <c r="L2858" s="31" t="inlineStr">
        <is>
          <t>7</t>
        </is>
      </c>
      <c r="M2858" s="31" t="inlineStr">
        <is>
          <t>S3</t>
        </is>
      </c>
      <c r="N2858" s="31" t="inlineStr">
        <is>
          <t>S5</t>
        </is>
      </c>
      <c r="O2858" s="31" t="inlineStr">
        <is>
          <t>1559M30G05</t>
        </is>
      </c>
      <c r="P2858" s="31" t="inlineStr">
        <is>
          <t>SR Technics Switzerland</t>
        </is>
      </c>
    </row>
    <row r="2859">
      <c r="B2859" s="31" t="inlineStr">
        <is>
          <t>CFM56-7B</t>
        </is>
      </c>
      <c r="C2859" s="31" t="inlineStr">
        <is>
          <t>2025-2026</t>
        </is>
      </c>
      <c r="D2859" s="31" t="inlineStr">
        <is>
          <t>16715</t>
        </is>
      </c>
      <c r="E2859" s="31" t="inlineStr">
        <is>
          <t>72-32-01</t>
        </is>
      </c>
      <c r="F2859" s="31" t="inlineStr">
        <is>
          <t>O</t>
        </is>
      </c>
      <c r="G2859" s="31" t="inlineStr">
        <is>
          <t>Compressor</t>
        </is>
      </c>
      <c r="H2859" s="27" t="n">
        <v>2275</v>
      </c>
      <c r="I2859" s="27" t="n">
        <v>2415</v>
      </c>
      <c r="J2859" s="154">
        <f>I2859/H2859-1</f>
        <v/>
      </c>
      <c r="K2859" s="31" t="inlineStr">
        <is>
          <t>8</t>
        </is>
      </c>
      <c r="L2859" s="31" t="inlineStr">
        <is>
          <t>7</t>
        </is>
      </c>
      <c r="M2859" s="31" t="inlineStr">
        <is>
          <t>S3</t>
        </is>
      </c>
      <c r="N2859" s="31" t="inlineStr">
        <is>
          <t>S5</t>
        </is>
      </c>
      <c r="O2859" s="31" t="inlineStr">
        <is>
          <t>1559M30G05</t>
        </is>
      </c>
      <c r="P2859" s="31" t="inlineStr">
        <is>
          <t>SR Technics Switzerland</t>
        </is>
      </c>
    </row>
    <row r="2860">
      <c r="B2860" s="31" t="inlineStr">
        <is>
          <t>CFM56-7B</t>
        </is>
      </c>
      <c r="C2860" s="31" t="inlineStr">
        <is>
          <t>2025-2026</t>
        </is>
      </c>
      <c r="D2860" s="31" t="inlineStr">
        <is>
          <t>16715</t>
        </is>
      </c>
      <c r="E2860" s="31" t="inlineStr">
        <is>
          <t>72-32-01</t>
        </is>
      </c>
      <c r="F2860" s="31" t="inlineStr">
        <is>
          <t>P</t>
        </is>
      </c>
      <c r="G2860" s="31" t="inlineStr">
        <is>
          <t>Compressor</t>
        </is>
      </c>
      <c r="H2860" s="27" t="n">
        <v>11885</v>
      </c>
      <c r="I2860" s="27" t="n">
        <v>12600</v>
      </c>
      <c r="J2860" s="154">
        <f>I2860/H2860-1</f>
        <v/>
      </c>
      <c r="K2860" s="31" t="inlineStr">
        <is>
          <t>8</t>
        </is>
      </c>
      <c r="L2860" s="31" t="inlineStr">
        <is>
          <t>7</t>
        </is>
      </c>
      <c r="M2860" s="31" t="inlineStr">
        <is>
          <t>S3</t>
        </is>
      </c>
      <c r="N2860" s="31" t="inlineStr">
        <is>
          <t>S5</t>
        </is>
      </c>
      <c r="O2860" s="31" t="inlineStr">
        <is>
          <t>1559M30G05</t>
        </is>
      </c>
      <c r="P2860" s="31" t="inlineStr">
        <is>
          <t>SR Technics Switzerland</t>
        </is>
      </c>
    </row>
    <row r="2861">
      <c r="B2861" s="31" t="inlineStr">
        <is>
          <t>CFM56-7B</t>
        </is>
      </c>
      <c r="C2861" s="31" t="inlineStr">
        <is>
          <t>2025-2026</t>
        </is>
      </c>
      <c r="D2861" s="31" t="inlineStr">
        <is>
          <t>16715</t>
        </is>
      </c>
      <c r="E2861" s="31" t="inlineStr">
        <is>
          <t>72-32-01</t>
        </is>
      </c>
      <c r="F2861" s="31" t="inlineStr">
        <is>
          <t>Q</t>
        </is>
      </c>
      <c r="G2861" s="31" t="inlineStr">
        <is>
          <t>Compressor</t>
        </is>
      </c>
      <c r="H2861" s="27" t="n">
        <v>8910</v>
      </c>
      <c r="I2861" s="27" t="n">
        <v>9445</v>
      </c>
      <c r="J2861" s="154">
        <f>I2861/H2861-1</f>
        <v/>
      </c>
      <c r="K2861" s="31" t="inlineStr">
        <is>
          <t>8</t>
        </is>
      </c>
      <c r="L2861" s="31" t="inlineStr">
        <is>
          <t>7</t>
        </is>
      </c>
      <c r="M2861" s="31" t="inlineStr">
        <is>
          <t>S3</t>
        </is>
      </c>
      <c r="N2861" s="31" t="inlineStr">
        <is>
          <t>S5</t>
        </is>
      </c>
      <c r="O2861" s="31" t="inlineStr">
        <is>
          <t>1559M30G05</t>
        </is>
      </c>
      <c r="P2861" s="31" t="inlineStr">
        <is>
          <t>SR Technics Switzerland</t>
        </is>
      </c>
    </row>
    <row r="2862">
      <c r="B2862" s="31" t="inlineStr">
        <is>
          <t>CFM56-7B</t>
        </is>
      </c>
      <c r="C2862" s="31" t="inlineStr">
        <is>
          <t>2025-2026</t>
        </is>
      </c>
      <c r="D2862" s="31" t="inlineStr">
        <is>
          <t>16715</t>
        </is>
      </c>
      <c r="E2862" s="31" t="inlineStr">
        <is>
          <t>72-32-01</t>
        </is>
      </c>
      <c r="F2862" s="31" t="inlineStr">
        <is>
          <t>V</t>
        </is>
      </c>
      <c r="G2862" s="31" t="inlineStr">
        <is>
          <t>Compressor</t>
        </is>
      </c>
      <c r="H2862" s="27" t="n">
        <v>11965</v>
      </c>
      <c r="I2862" s="27" t="n">
        <v>12685</v>
      </c>
      <c r="J2862" s="154">
        <f>I2862/H2862-1</f>
        <v/>
      </c>
      <c r="K2862" s="31" t="inlineStr">
        <is>
          <t>8</t>
        </is>
      </c>
      <c r="L2862" s="31" t="inlineStr">
        <is>
          <t>7</t>
        </is>
      </c>
      <c r="M2862" s="31" t="inlineStr">
        <is>
          <t>S3</t>
        </is>
      </c>
      <c r="N2862" s="31" t="inlineStr">
        <is>
          <t>S5</t>
        </is>
      </c>
      <c r="O2862" s="31" t="inlineStr">
        <is>
          <t>1559M30G05</t>
        </is>
      </c>
      <c r="P2862" s="31" t="inlineStr">
        <is>
          <t>SR Technics Switzerland</t>
        </is>
      </c>
    </row>
    <row r="2863">
      <c r="B2863" s="31" t="inlineStr">
        <is>
          <t>CFM56-7B</t>
        </is>
      </c>
      <c r="C2863" s="31" t="inlineStr">
        <is>
          <t>2025-2026</t>
        </is>
      </c>
      <c r="D2863" s="31" t="inlineStr">
        <is>
          <t>17535</t>
        </is>
      </c>
      <c r="E2863" s="31" t="inlineStr">
        <is>
          <t>72-23-22</t>
        </is>
      </c>
      <c r="F2863" s="31" t="inlineStr">
        <is>
          <t>A</t>
        </is>
      </c>
      <c r="G2863" s="31" t="inlineStr">
        <is>
          <t>Fan / booster</t>
        </is>
      </c>
      <c r="H2863" s="27" t="n">
        <v>865</v>
      </c>
      <c r="I2863" s="27" t="n">
        <v>910</v>
      </c>
      <c r="J2863" s="154">
        <f>I2863/H2863-1</f>
        <v/>
      </c>
      <c r="K2863" s="31" t="inlineStr">
        <is>
          <t>39</t>
        </is>
      </c>
      <c r="L2863" s="31" t="inlineStr">
        <is>
          <t>38</t>
        </is>
      </c>
      <c r="M2863" s="31" t="inlineStr">
        <is>
          <t>S3</t>
        </is>
      </c>
      <c r="N2863" s="31" t="inlineStr">
        <is>
          <t>S5</t>
        </is>
      </c>
      <c r="O2863" s="31" t="inlineStr">
        <is>
          <t>340-032-901-0</t>
        </is>
      </c>
      <c r="P2863" s="31" t="inlineStr">
        <is>
          <t>SR Technics Switzerland</t>
        </is>
      </c>
    </row>
    <row r="2864">
      <c r="B2864" s="31" t="inlineStr">
        <is>
          <t>CFM56-7B</t>
        </is>
      </c>
      <c r="C2864" s="31" t="inlineStr">
        <is>
          <t>2025-2026</t>
        </is>
      </c>
      <c r="D2864" s="31" t="inlineStr">
        <is>
          <t>17535</t>
        </is>
      </c>
      <c r="E2864" s="31" t="inlineStr">
        <is>
          <t>72-23-22</t>
        </is>
      </c>
      <c r="F2864" s="31" t="inlineStr">
        <is>
          <t>B</t>
        </is>
      </c>
      <c r="G2864" s="31" t="inlineStr">
        <is>
          <t>Fan / booster</t>
        </is>
      </c>
      <c r="H2864" s="27" t="n">
        <v>4770</v>
      </c>
      <c r="I2864" s="27" t="n">
        <v>5060</v>
      </c>
      <c r="J2864" s="154">
        <f>I2864/H2864-1</f>
        <v/>
      </c>
      <c r="K2864" s="31" t="inlineStr">
        <is>
          <t>39</t>
        </is>
      </c>
      <c r="L2864" s="31" t="inlineStr">
        <is>
          <t>38</t>
        </is>
      </c>
      <c r="M2864" s="31" t="inlineStr">
        <is>
          <t>S3</t>
        </is>
      </c>
      <c r="N2864" s="31" t="inlineStr">
        <is>
          <t>S5</t>
        </is>
      </c>
      <c r="O2864" s="31" t="inlineStr">
        <is>
          <t>340-032-901-0</t>
        </is>
      </c>
      <c r="P2864" s="31" t="inlineStr">
        <is>
          <t>SR Technics Switzerland</t>
        </is>
      </c>
    </row>
    <row r="2865">
      <c r="B2865" s="31" t="inlineStr">
        <is>
          <t>CFM56-7B</t>
        </is>
      </c>
      <c r="C2865" s="31" t="inlineStr">
        <is>
          <t>2025-2026</t>
        </is>
      </c>
      <c r="D2865" s="31" t="inlineStr">
        <is>
          <t>1820</t>
        </is>
      </c>
      <c r="E2865" s="31" t="inlineStr">
        <is>
          <t>72-51-05</t>
        </is>
      </c>
      <c r="F2865" s="31" t="inlineStr">
        <is>
          <t>D</t>
        </is>
      </c>
      <c r="G2865" s="31" t="inlineStr">
        <is>
          <t>HPT / nozzle</t>
        </is>
      </c>
      <c r="H2865" s="27" t="n">
        <v>8075</v>
      </c>
      <c r="I2865" s="27" t="n">
        <v>8560</v>
      </c>
      <c r="J2865" s="154">
        <f>I2865/H2865-1</f>
        <v/>
      </c>
      <c r="K2865" s="31" t="inlineStr">
        <is>
          <t>30</t>
        </is>
      </c>
      <c r="L2865" s="31" t="inlineStr">
        <is>
          <t>29</t>
        </is>
      </c>
      <c r="M2865" s="31" t="inlineStr">
        <is>
          <t>S3</t>
        </is>
      </c>
      <c r="N2865" s="31" t="inlineStr">
        <is>
          <t>S5</t>
        </is>
      </c>
      <c r="O2865" s="31" t="inlineStr">
        <is>
          <t>1523M42G02</t>
        </is>
      </c>
      <c r="P2865" s="31" t="inlineStr">
        <is>
          <t>SR Technics Switzerland</t>
        </is>
      </c>
    </row>
    <row r="2866">
      <c r="B2866" s="31" t="inlineStr">
        <is>
          <t>CFM56-7B</t>
        </is>
      </c>
      <c r="C2866" s="31" t="inlineStr">
        <is>
          <t>2025-2026</t>
        </is>
      </c>
      <c r="D2866" s="31" t="inlineStr">
        <is>
          <t>1820</t>
        </is>
      </c>
      <c r="E2866" s="31" t="inlineStr">
        <is>
          <t>72-51-05</t>
        </is>
      </c>
      <c r="F2866" s="31" t="inlineStr">
        <is>
          <t>E</t>
        </is>
      </c>
      <c r="G2866" s="31" t="inlineStr">
        <is>
          <t>HPT / nozzle</t>
        </is>
      </c>
      <c r="H2866" s="27" t="n">
        <v>2645</v>
      </c>
      <c r="I2866" s="27" t="n">
        <v>2805</v>
      </c>
      <c r="J2866" s="154">
        <f>I2866/H2866-1</f>
        <v/>
      </c>
      <c r="K2866" s="31" t="inlineStr">
        <is>
          <t>30</t>
        </is>
      </c>
      <c r="L2866" s="31" t="inlineStr">
        <is>
          <t>29</t>
        </is>
      </c>
      <c r="M2866" s="31" t="inlineStr">
        <is>
          <t>S3</t>
        </is>
      </c>
      <c r="N2866" s="31" t="inlineStr">
        <is>
          <t>S5</t>
        </is>
      </c>
      <c r="O2866" s="31" t="inlineStr">
        <is>
          <t>1523M42G02</t>
        </is>
      </c>
      <c r="P2866" s="31" t="inlineStr">
        <is>
          <t>SR Technics Switzerland</t>
        </is>
      </c>
    </row>
    <row r="2867">
      <c r="B2867" s="31" t="inlineStr">
        <is>
          <t>CFM56-7B</t>
        </is>
      </c>
      <c r="C2867" s="31" t="inlineStr">
        <is>
          <t>2025-2026</t>
        </is>
      </c>
      <c r="D2867" s="31" t="inlineStr">
        <is>
          <t>1820</t>
        </is>
      </c>
      <c r="E2867" s="31" t="inlineStr">
        <is>
          <t>72-51-05</t>
        </is>
      </c>
      <c r="F2867" s="31" t="inlineStr">
        <is>
          <t>G</t>
        </is>
      </c>
      <c r="G2867" s="31" t="inlineStr">
        <is>
          <t>HPT / nozzle</t>
        </is>
      </c>
      <c r="H2867" s="27" t="n">
        <v>910</v>
      </c>
      <c r="I2867" s="27" t="n">
        <v>965</v>
      </c>
      <c r="J2867" s="154">
        <f>I2867/H2867-1</f>
        <v/>
      </c>
      <c r="K2867" s="31" t="inlineStr">
        <is>
          <t>30</t>
        </is>
      </c>
      <c r="L2867" s="31" t="inlineStr">
        <is>
          <t>29</t>
        </is>
      </c>
      <c r="M2867" s="31" t="inlineStr">
        <is>
          <t>S3</t>
        </is>
      </c>
      <c r="N2867" s="31" t="inlineStr">
        <is>
          <t>S5</t>
        </is>
      </c>
      <c r="O2867" s="31" t="inlineStr">
        <is>
          <t>1523M42G02</t>
        </is>
      </c>
      <c r="P2867" s="31" t="inlineStr">
        <is>
          <t>SR Technics Switzerland</t>
        </is>
      </c>
    </row>
    <row r="2868">
      <c r="B2868" s="31" t="inlineStr">
        <is>
          <t>CFM56-7B</t>
        </is>
      </c>
      <c r="C2868" s="31" t="inlineStr">
        <is>
          <t>2025-2026</t>
        </is>
      </c>
      <c r="D2868" s="31" t="inlineStr">
        <is>
          <t>1820</t>
        </is>
      </c>
      <c r="E2868" s="31" t="inlineStr">
        <is>
          <t>72-51-05</t>
        </is>
      </c>
      <c r="F2868" s="31" t="inlineStr">
        <is>
          <t>SB00</t>
        </is>
      </c>
      <c r="G2868" s="31" t="inlineStr">
        <is>
          <t>HPT / nozzle</t>
        </is>
      </c>
      <c r="H2868" s="27" t="n">
        <v>1185</v>
      </c>
      <c r="I2868" s="27" t="n">
        <v>1260</v>
      </c>
      <c r="J2868" s="154">
        <f>I2868/H2868-1</f>
        <v/>
      </c>
      <c r="K2868" s="31" t="inlineStr">
        <is>
          <t>30</t>
        </is>
      </c>
      <c r="L2868" s="31" t="inlineStr">
        <is>
          <t>29</t>
        </is>
      </c>
      <c r="M2868" s="31" t="inlineStr">
        <is>
          <t>S3</t>
        </is>
      </c>
      <c r="N2868" s="31" t="inlineStr">
        <is>
          <t>S5</t>
        </is>
      </c>
      <c r="O2868" s="31" t="inlineStr">
        <is>
          <t>1523M42G02</t>
        </is>
      </c>
      <c r="P2868" s="31" t="inlineStr">
        <is>
          <t>SR Technics Switzerland</t>
        </is>
      </c>
    </row>
    <row r="2869">
      <c r="B2869" s="31" t="inlineStr">
        <is>
          <t>CFM56-7B</t>
        </is>
      </c>
      <c r="C2869" s="31" t="inlineStr">
        <is>
          <t>2025-2026</t>
        </is>
      </c>
      <c r="D2869" s="31" t="inlineStr">
        <is>
          <t>1879</t>
        </is>
      </c>
      <c r="E2869" s="31" t="inlineStr">
        <is>
          <t>72-63-09</t>
        </is>
      </c>
      <c r="F2869" s="31" t="inlineStr">
        <is>
          <t>A</t>
        </is>
      </c>
      <c r="G2869" s="31" t="inlineStr">
        <is>
          <t>Gearbox</t>
        </is>
      </c>
      <c r="H2869" s="27" t="n">
        <v>360</v>
      </c>
      <c r="I2869" s="27" t="n">
        <v>380</v>
      </c>
      <c r="J2869" s="154">
        <f>I2869/H2869-1</f>
        <v/>
      </c>
      <c r="K2869" s="31" t="inlineStr">
        <is>
          <t>3</t>
        </is>
      </c>
      <c r="L2869" s="31" t="inlineStr">
        <is>
          <t>2</t>
        </is>
      </c>
      <c r="M2869" s="31" t="inlineStr">
        <is>
          <t>S3</t>
        </is>
      </c>
      <c r="N2869" s="31" t="inlineStr">
        <is>
          <t>S5</t>
        </is>
      </c>
      <c r="O2869" s="31" t="inlineStr">
        <is>
          <t>340-047-601-0</t>
        </is>
      </c>
      <c r="P2869" s="31" t="inlineStr">
        <is>
          <t>SR Technics Switzerland</t>
        </is>
      </c>
    </row>
    <row r="2870">
      <c r="B2870" s="31" t="inlineStr">
        <is>
          <t>CFM56-7B</t>
        </is>
      </c>
      <c r="C2870" s="31" t="inlineStr">
        <is>
          <t>2025-2026</t>
        </is>
      </c>
      <c r="D2870" s="31" t="inlineStr">
        <is>
          <t>1879</t>
        </is>
      </c>
      <c r="E2870" s="31" t="inlineStr">
        <is>
          <t>72-63-09</t>
        </is>
      </c>
      <c r="F2870" s="31" t="inlineStr">
        <is>
          <t>B</t>
        </is>
      </c>
      <c r="G2870" s="31" t="inlineStr">
        <is>
          <t>Gearbox</t>
        </is>
      </c>
      <c r="H2870" s="27" t="n">
        <v>120</v>
      </c>
      <c r="I2870" s="27" t="n">
        <v>130</v>
      </c>
      <c r="J2870" s="154">
        <f>I2870/H2870-1</f>
        <v/>
      </c>
      <c r="K2870" s="31" t="inlineStr">
        <is>
          <t>3</t>
        </is>
      </c>
      <c r="L2870" s="31" t="inlineStr">
        <is>
          <t>2</t>
        </is>
      </c>
      <c r="M2870" s="31" t="inlineStr">
        <is>
          <t>S3</t>
        </is>
      </c>
      <c r="N2870" s="31" t="inlineStr">
        <is>
          <t>S5</t>
        </is>
      </c>
      <c r="O2870" s="31" t="inlineStr">
        <is>
          <t>340-047-601-0</t>
        </is>
      </c>
      <c r="P2870" s="31" t="inlineStr">
        <is>
          <t>SR Technics Switzerland</t>
        </is>
      </c>
    </row>
    <row r="2871">
      <c r="B2871" s="31" t="inlineStr">
        <is>
          <t>CFM56-7B</t>
        </is>
      </c>
      <c r="C2871" s="31" t="inlineStr">
        <is>
          <t>2025-2026</t>
        </is>
      </c>
      <c r="D2871" s="31" t="inlineStr">
        <is>
          <t>1879</t>
        </is>
      </c>
      <c r="E2871" s="31" t="inlineStr">
        <is>
          <t>72-63-09</t>
        </is>
      </c>
      <c r="F2871" s="31" t="inlineStr">
        <is>
          <t>SB00</t>
        </is>
      </c>
      <c r="G2871" s="31" t="inlineStr">
        <is>
          <t>Gearbox</t>
        </is>
      </c>
      <c r="H2871" s="27" t="n">
        <v>60</v>
      </c>
      <c r="I2871" s="27" t="n">
        <v>65</v>
      </c>
      <c r="J2871" s="154">
        <f>I2871/H2871-1</f>
        <v/>
      </c>
      <c r="K2871" s="31" t="inlineStr">
        <is>
          <t>3</t>
        </is>
      </c>
      <c r="L2871" s="31" t="inlineStr">
        <is>
          <t>2</t>
        </is>
      </c>
      <c r="M2871" s="31" t="inlineStr">
        <is>
          <t>S3</t>
        </is>
      </c>
      <c r="N2871" s="31" t="inlineStr">
        <is>
          <t>S5</t>
        </is>
      </c>
      <c r="O2871" s="31" t="inlineStr">
        <is>
          <t>340-047-601-0</t>
        </is>
      </c>
      <c r="P2871" s="31" t="inlineStr">
        <is>
          <t>SR Technics Switzerland</t>
        </is>
      </c>
    </row>
    <row r="2872">
      <c r="B2872" s="31" t="inlineStr">
        <is>
          <t>CFM56-7B</t>
        </is>
      </c>
      <c r="C2872" s="31" t="inlineStr">
        <is>
          <t>2025-2026</t>
        </is>
      </c>
      <c r="D2872" s="31" t="inlineStr">
        <is>
          <t>18900</t>
        </is>
      </c>
      <c r="E2872" s="31" t="inlineStr">
        <is>
          <t>72-55-15</t>
        </is>
      </c>
      <c r="F2872" s="31" t="inlineStr">
        <is>
          <t>A</t>
        </is>
      </c>
      <c r="G2872" s="31" t="inlineStr">
        <is>
          <t>LPT</t>
        </is>
      </c>
      <c r="H2872" s="27" t="n">
        <v>500</v>
      </c>
      <c r="I2872" s="27" t="n">
        <v>525</v>
      </c>
      <c r="J2872" s="154">
        <f>I2872/H2872-1</f>
        <v/>
      </c>
      <c r="K2872" s="31" t="inlineStr">
        <is>
          <t>8</t>
        </is>
      </c>
      <c r="L2872" s="31" t="inlineStr">
        <is>
          <t>7</t>
        </is>
      </c>
      <c r="M2872" s="31" t="inlineStr">
        <is>
          <t>S3</t>
        </is>
      </c>
      <c r="N2872" s="31" t="inlineStr">
        <is>
          <t>S5</t>
        </is>
      </c>
      <c r="O2872" s="31" t="inlineStr">
        <is>
          <t>305-025-408-0</t>
        </is>
      </c>
      <c r="P2872" s="31" t="inlineStr">
        <is>
          <t>SR Technics Switzerland</t>
        </is>
      </c>
    </row>
    <row r="2873">
      <c r="B2873" s="31" t="inlineStr">
        <is>
          <t>CFM56-7B</t>
        </is>
      </c>
      <c r="C2873" s="31" t="inlineStr">
        <is>
          <t>2025-2026</t>
        </is>
      </c>
      <c r="D2873" s="31" t="inlineStr">
        <is>
          <t>18900</t>
        </is>
      </c>
      <c r="E2873" s="31" t="inlineStr">
        <is>
          <t>72-55-15</t>
        </is>
      </c>
      <c r="F2873" s="31" t="inlineStr">
        <is>
          <t>B</t>
        </is>
      </c>
      <c r="G2873" s="31" t="inlineStr">
        <is>
          <t>LPT</t>
        </is>
      </c>
      <c r="H2873" s="27" t="n">
        <v>590</v>
      </c>
      <c r="I2873" s="27" t="n">
        <v>630</v>
      </c>
      <c r="J2873" s="154">
        <f>I2873/H2873-1</f>
        <v/>
      </c>
      <c r="K2873" s="31" t="inlineStr">
        <is>
          <t>8</t>
        </is>
      </c>
      <c r="L2873" s="31" t="inlineStr">
        <is>
          <t>7</t>
        </is>
      </c>
      <c r="M2873" s="31" t="inlineStr">
        <is>
          <t>S3</t>
        </is>
      </c>
      <c r="N2873" s="31" t="inlineStr">
        <is>
          <t>S5</t>
        </is>
      </c>
      <c r="O2873" s="31" t="inlineStr">
        <is>
          <t>305-025-408-0</t>
        </is>
      </c>
      <c r="P2873" s="31" t="inlineStr">
        <is>
          <t>SR Technics Switzerland</t>
        </is>
      </c>
    </row>
    <row r="2874">
      <c r="B2874" s="31" t="inlineStr">
        <is>
          <t>CFM56-7B</t>
        </is>
      </c>
      <c r="C2874" s="31" t="inlineStr">
        <is>
          <t>2025-2026</t>
        </is>
      </c>
      <c r="D2874" s="31" t="inlineStr">
        <is>
          <t>18900</t>
        </is>
      </c>
      <c r="E2874" s="31" t="inlineStr">
        <is>
          <t>72-55-15</t>
        </is>
      </c>
      <c r="F2874" s="31" t="inlineStr">
        <is>
          <t>C</t>
        </is>
      </c>
      <c r="G2874" s="31" t="inlineStr">
        <is>
          <t>LPT</t>
        </is>
      </c>
      <c r="H2874" s="27" t="n">
        <v>940</v>
      </c>
      <c r="I2874" s="27" t="n">
        <v>1000</v>
      </c>
      <c r="J2874" s="154">
        <f>I2874/H2874-1</f>
        <v/>
      </c>
      <c r="K2874" s="31" t="inlineStr">
        <is>
          <t>8</t>
        </is>
      </c>
      <c r="L2874" s="31" t="inlineStr">
        <is>
          <t>7</t>
        </is>
      </c>
      <c r="M2874" s="31" t="inlineStr">
        <is>
          <t>S3</t>
        </is>
      </c>
      <c r="N2874" s="31" t="inlineStr">
        <is>
          <t>S5</t>
        </is>
      </c>
      <c r="O2874" s="31" t="inlineStr">
        <is>
          <t>305-025-408-0</t>
        </is>
      </c>
      <c r="P2874" s="31" t="inlineStr">
        <is>
          <t>SR Technics Switzerland</t>
        </is>
      </c>
    </row>
    <row r="2875">
      <c r="B2875" s="31" t="inlineStr">
        <is>
          <t>CFM56-7B</t>
        </is>
      </c>
      <c r="C2875" s="31" t="inlineStr">
        <is>
          <t>2025-2026</t>
        </is>
      </c>
      <c r="D2875" s="31" t="inlineStr">
        <is>
          <t>18900</t>
        </is>
      </c>
      <c r="E2875" s="31" t="inlineStr">
        <is>
          <t>72-55-15</t>
        </is>
      </c>
      <c r="F2875" s="31" t="inlineStr">
        <is>
          <t>D</t>
        </is>
      </c>
      <c r="G2875" s="31" t="inlineStr">
        <is>
          <t>LPT</t>
        </is>
      </c>
      <c r="H2875" s="27" t="n">
        <v>2150</v>
      </c>
      <c r="I2875" s="27" t="n">
        <v>2280</v>
      </c>
      <c r="J2875" s="154">
        <f>I2875/H2875-1</f>
        <v/>
      </c>
      <c r="K2875" s="31" t="inlineStr">
        <is>
          <t>8</t>
        </is>
      </c>
      <c r="L2875" s="31" t="inlineStr">
        <is>
          <t>7</t>
        </is>
      </c>
      <c r="M2875" s="31" t="inlineStr">
        <is>
          <t>S3</t>
        </is>
      </c>
      <c r="N2875" s="31" t="inlineStr">
        <is>
          <t>S5</t>
        </is>
      </c>
      <c r="O2875" s="31" t="inlineStr">
        <is>
          <t>305-025-408-0</t>
        </is>
      </c>
      <c r="P2875" s="31" t="inlineStr">
        <is>
          <t>SR Technics Switzerland</t>
        </is>
      </c>
    </row>
    <row r="2876">
      <c r="B2876" s="31" t="inlineStr">
        <is>
          <t>CFM56-7B</t>
        </is>
      </c>
      <c r="C2876" s="31" t="inlineStr">
        <is>
          <t>2025-2026</t>
        </is>
      </c>
      <c r="D2876" s="31" t="inlineStr">
        <is>
          <t>18900</t>
        </is>
      </c>
      <c r="E2876" s="31" t="inlineStr">
        <is>
          <t>72-55-15</t>
        </is>
      </c>
      <c r="F2876" s="31" t="inlineStr">
        <is>
          <t>E</t>
        </is>
      </c>
      <c r="G2876" s="31" t="inlineStr">
        <is>
          <t>LPT</t>
        </is>
      </c>
      <c r="H2876" s="27" t="n">
        <v>3820</v>
      </c>
      <c r="I2876" s="27" t="n">
        <v>4050</v>
      </c>
      <c r="J2876" s="154">
        <f>I2876/H2876-1</f>
        <v/>
      </c>
      <c r="K2876" s="31" t="inlineStr">
        <is>
          <t>8</t>
        </is>
      </c>
      <c r="L2876" s="31" t="inlineStr">
        <is>
          <t>7</t>
        </is>
      </c>
      <c r="M2876" s="31" t="inlineStr">
        <is>
          <t>S3</t>
        </is>
      </c>
      <c r="N2876" s="31" t="inlineStr">
        <is>
          <t>S5</t>
        </is>
      </c>
      <c r="O2876" s="31" t="inlineStr">
        <is>
          <t>305-025-408-0</t>
        </is>
      </c>
      <c r="P2876" s="31" t="inlineStr">
        <is>
          <t>SR Technics Switzerland</t>
        </is>
      </c>
    </row>
    <row r="2877">
      <c r="B2877" s="31" t="inlineStr">
        <is>
          <t>CFM56-7B</t>
        </is>
      </c>
      <c r="C2877" s="31" t="inlineStr">
        <is>
          <t>2025-2026</t>
        </is>
      </c>
      <c r="D2877" s="31" t="inlineStr">
        <is>
          <t>18900</t>
        </is>
      </c>
      <c r="E2877" s="31" t="inlineStr">
        <is>
          <t>72-55-15</t>
        </is>
      </c>
      <c r="F2877" s="31" t="inlineStr">
        <is>
          <t>G</t>
        </is>
      </c>
      <c r="G2877" s="31" t="inlineStr">
        <is>
          <t>LPT</t>
        </is>
      </c>
      <c r="H2877" s="27" t="n">
        <v>1215</v>
      </c>
      <c r="I2877" s="27" t="n">
        <v>1290</v>
      </c>
      <c r="J2877" s="154">
        <f>I2877/H2877-1</f>
        <v/>
      </c>
      <c r="K2877" s="31" t="inlineStr">
        <is>
          <t>8</t>
        </is>
      </c>
      <c r="L2877" s="31" t="inlineStr">
        <is>
          <t>7</t>
        </is>
      </c>
      <c r="M2877" s="31" t="inlineStr">
        <is>
          <t>S3</t>
        </is>
      </c>
      <c r="N2877" s="31" t="inlineStr">
        <is>
          <t>S5</t>
        </is>
      </c>
      <c r="O2877" s="31" t="inlineStr">
        <is>
          <t>305-025-408-0</t>
        </is>
      </c>
      <c r="P2877" s="31" t="inlineStr">
        <is>
          <t>SR Technics Switzerland</t>
        </is>
      </c>
    </row>
    <row r="2878">
      <c r="B2878" s="31" t="inlineStr">
        <is>
          <t>CFM56-7B</t>
        </is>
      </c>
      <c r="C2878" s="31" t="inlineStr">
        <is>
          <t>2025-2026</t>
        </is>
      </c>
      <c r="D2878" s="31" t="inlineStr">
        <is>
          <t>18900</t>
        </is>
      </c>
      <c r="E2878" s="31" t="inlineStr">
        <is>
          <t>72-55-15</t>
        </is>
      </c>
      <c r="F2878" s="31" t="inlineStr">
        <is>
          <t>H</t>
        </is>
      </c>
      <c r="G2878" s="31" t="inlineStr">
        <is>
          <t>LPT</t>
        </is>
      </c>
      <c r="H2878" s="27" t="n">
        <v>1375</v>
      </c>
      <c r="I2878" s="27" t="n">
        <v>1460</v>
      </c>
      <c r="J2878" s="154">
        <f>I2878/H2878-1</f>
        <v/>
      </c>
      <c r="K2878" s="31" t="inlineStr">
        <is>
          <t>8</t>
        </is>
      </c>
      <c r="L2878" s="31" t="inlineStr">
        <is>
          <t>7</t>
        </is>
      </c>
      <c r="M2878" s="31" t="inlineStr">
        <is>
          <t>S3</t>
        </is>
      </c>
      <c r="N2878" s="31" t="inlineStr">
        <is>
          <t>S5</t>
        </is>
      </c>
      <c r="O2878" s="31" t="inlineStr">
        <is>
          <t>305-025-408-0</t>
        </is>
      </c>
      <c r="P2878" s="31" t="inlineStr">
        <is>
          <t>SR Technics Switzerland</t>
        </is>
      </c>
    </row>
    <row r="2879">
      <c r="B2879" s="31" t="inlineStr">
        <is>
          <t>CFM56-7B</t>
        </is>
      </c>
      <c r="C2879" s="31" t="inlineStr">
        <is>
          <t>2025-2026</t>
        </is>
      </c>
      <c r="D2879" s="31" t="inlineStr">
        <is>
          <t>18900</t>
        </is>
      </c>
      <c r="E2879" s="31" t="inlineStr">
        <is>
          <t>72-55-15</t>
        </is>
      </c>
      <c r="F2879" s="31" t="inlineStr">
        <is>
          <t>SB00</t>
        </is>
      </c>
      <c r="G2879" s="31" t="inlineStr">
        <is>
          <t>LPT</t>
        </is>
      </c>
      <c r="H2879" s="27" t="n">
        <v>1130</v>
      </c>
      <c r="I2879" s="27" t="n">
        <v>1200</v>
      </c>
      <c r="J2879" s="154">
        <f>I2879/H2879-1</f>
        <v/>
      </c>
      <c r="K2879" s="31" t="inlineStr">
        <is>
          <t>8</t>
        </is>
      </c>
      <c r="L2879" s="31" t="inlineStr">
        <is>
          <t>7</t>
        </is>
      </c>
      <c r="M2879" s="31" t="inlineStr">
        <is>
          <t>S3</t>
        </is>
      </c>
      <c r="N2879" s="31" t="inlineStr">
        <is>
          <t>S5</t>
        </is>
      </c>
      <c r="O2879" s="31" t="inlineStr">
        <is>
          <t>305-025-408-0</t>
        </is>
      </c>
      <c r="P2879" s="31" t="inlineStr">
        <is>
          <t>SR Technics Switzerland</t>
        </is>
      </c>
    </row>
    <row r="2880">
      <c r="B2880" s="31" t="inlineStr">
        <is>
          <t>CFM56-7B</t>
        </is>
      </c>
      <c r="C2880" s="31" t="inlineStr">
        <is>
          <t>2025-2026</t>
        </is>
      </c>
      <c r="D2880" s="31" t="inlineStr">
        <is>
          <t>18900</t>
        </is>
      </c>
      <c r="E2880" s="31" t="inlineStr">
        <is>
          <t>72-55-15</t>
        </is>
      </c>
      <c r="F2880" s="31" t="inlineStr">
        <is>
          <t>SB01</t>
        </is>
      </c>
      <c r="G2880" s="31" t="inlineStr">
        <is>
          <t>LPT</t>
        </is>
      </c>
      <c r="H2880" s="27" t="n">
        <v>1275</v>
      </c>
      <c r="I2880" s="27" t="n">
        <v>1355</v>
      </c>
      <c r="J2880" s="154">
        <f>I2880/H2880-1</f>
        <v/>
      </c>
      <c r="K2880" s="31" t="inlineStr">
        <is>
          <t>8</t>
        </is>
      </c>
      <c r="L2880" s="31" t="inlineStr">
        <is>
          <t>7</t>
        </is>
      </c>
      <c r="M2880" s="31" t="inlineStr">
        <is>
          <t>S3</t>
        </is>
      </c>
      <c r="N2880" s="31" t="inlineStr">
        <is>
          <t>S5</t>
        </is>
      </c>
      <c r="O2880" s="31" t="inlineStr">
        <is>
          <t>305-025-408-0</t>
        </is>
      </c>
      <c r="P2880" s="31" t="inlineStr">
        <is>
          <t>SR Technics Switzerland</t>
        </is>
      </c>
    </row>
    <row r="2881">
      <c r="B2881" s="31" t="inlineStr">
        <is>
          <t>CFM56-7B</t>
        </is>
      </c>
      <c r="C2881" s="31" t="inlineStr">
        <is>
          <t>2025-2026</t>
        </is>
      </c>
      <c r="D2881" s="31" t="inlineStr">
        <is>
          <t>18900</t>
        </is>
      </c>
      <c r="E2881" s="31" t="inlineStr">
        <is>
          <t>72-55-15</t>
        </is>
      </c>
      <c r="F2881" s="31" t="inlineStr">
        <is>
          <t>SB04</t>
        </is>
      </c>
      <c r="G2881" s="31" t="inlineStr">
        <is>
          <t>LPT</t>
        </is>
      </c>
      <c r="H2881" s="27" t="n">
        <v>1275</v>
      </c>
      <c r="I2881" s="27" t="n">
        <v>1355</v>
      </c>
      <c r="J2881" s="154">
        <f>I2881/H2881-1</f>
        <v/>
      </c>
      <c r="K2881" s="31" t="inlineStr">
        <is>
          <t>8</t>
        </is>
      </c>
      <c r="L2881" s="31" t="inlineStr">
        <is>
          <t>7</t>
        </is>
      </c>
      <c r="M2881" s="31" t="inlineStr">
        <is>
          <t>S3</t>
        </is>
      </c>
      <c r="N2881" s="31" t="inlineStr">
        <is>
          <t>S5</t>
        </is>
      </c>
      <c r="O2881" s="31" t="inlineStr">
        <is>
          <t>305-025-408-0</t>
        </is>
      </c>
      <c r="P2881" s="31" t="inlineStr">
        <is>
          <t>SR Technics Switzerland</t>
        </is>
      </c>
    </row>
    <row r="2882">
      <c r="B2882" s="31" t="inlineStr">
        <is>
          <t>CFM56-7B</t>
        </is>
      </c>
      <c r="C2882" s="31" t="inlineStr">
        <is>
          <t>2025-2026</t>
        </is>
      </c>
      <c r="D2882" s="31" t="inlineStr">
        <is>
          <t>18941</t>
        </is>
      </c>
      <c r="E2882" s="31" t="inlineStr">
        <is>
          <t>73-11-15</t>
        </is>
      </c>
      <c r="F2882" s="31" t="inlineStr">
        <is>
          <t>B</t>
        </is>
      </c>
      <c r="G2882" s="31" t="inlineStr">
        <is>
          <t>Fuel system</t>
        </is>
      </c>
      <c r="H2882" s="27" t="n">
        <v>2005</v>
      </c>
      <c r="I2882" s="27" t="n">
        <v>2130</v>
      </c>
      <c r="J2882" s="154">
        <f>I2882/H2882-1</f>
        <v/>
      </c>
      <c r="K2882" s="31" t="inlineStr">
        <is>
          <t>39</t>
        </is>
      </c>
      <c r="L2882" s="31" t="inlineStr">
        <is>
          <t>38</t>
        </is>
      </c>
      <c r="M2882" s="31" t="inlineStr">
        <is>
          <t>S3</t>
        </is>
      </c>
      <c r="N2882" s="31" t="inlineStr">
        <is>
          <t>S5</t>
        </is>
      </c>
      <c r="O2882" s="31" t="inlineStr">
        <is>
          <t>340-402-101-0</t>
        </is>
      </c>
      <c r="P2882" s="31" t="inlineStr">
        <is>
          <t>SR Technics Switzerland</t>
        </is>
      </c>
    </row>
    <row r="2883">
      <c r="B2883" s="31" t="inlineStr">
        <is>
          <t>CFM56-7B</t>
        </is>
      </c>
      <c r="C2883" s="31" t="inlineStr">
        <is>
          <t>2025-2026</t>
        </is>
      </c>
      <c r="D2883" s="31" t="inlineStr">
        <is>
          <t>18941</t>
        </is>
      </c>
      <c r="E2883" s="31" t="inlineStr">
        <is>
          <t>73-11-15</t>
        </is>
      </c>
      <c r="F2883" s="31" t="inlineStr">
        <is>
          <t>C</t>
        </is>
      </c>
      <c r="G2883" s="31" t="inlineStr">
        <is>
          <t>Fuel system</t>
        </is>
      </c>
      <c r="H2883" s="27" t="n">
        <v>310</v>
      </c>
      <c r="I2883" s="27" t="n">
        <v>330</v>
      </c>
      <c r="J2883" s="154">
        <f>I2883/H2883-1</f>
        <v/>
      </c>
      <c r="K2883" s="31" t="inlineStr">
        <is>
          <t>39</t>
        </is>
      </c>
      <c r="L2883" s="31" t="inlineStr">
        <is>
          <t>38</t>
        </is>
      </c>
      <c r="M2883" s="31" t="inlineStr">
        <is>
          <t>S3</t>
        </is>
      </c>
      <c r="N2883" s="31" t="inlineStr">
        <is>
          <t>S5</t>
        </is>
      </c>
      <c r="O2883" s="31" t="inlineStr">
        <is>
          <t>340-402-101-0</t>
        </is>
      </c>
      <c r="P2883" s="31" t="inlineStr">
        <is>
          <t>SR Technics Switzerland</t>
        </is>
      </c>
    </row>
    <row r="2884">
      <c r="B2884" s="31" t="inlineStr">
        <is>
          <t>CFM56-7B</t>
        </is>
      </c>
      <c r="C2884" s="31" t="inlineStr">
        <is>
          <t>2025-2026</t>
        </is>
      </c>
      <c r="D2884" s="31" t="inlineStr">
        <is>
          <t>18941</t>
        </is>
      </c>
      <c r="E2884" s="31" t="inlineStr">
        <is>
          <t>73-11-15</t>
        </is>
      </c>
      <c r="F2884" s="31" t="inlineStr">
        <is>
          <t>G</t>
        </is>
      </c>
      <c r="G2884" s="31" t="inlineStr">
        <is>
          <t>Fuel system</t>
        </is>
      </c>
      <c r="H2884" s="27" t="n">
        <v>9230</v>
      </c>
      <c r="I2884" s="27" t="n">
        <v>9785</v>
      </c>
      <c r="J2884" s="154">
        <f>I2884/H2884-1</f>
        <v/>
      </c>
      <c r="K2884" s="31" t="inlineStr">
        <is>
          <t>39</t>
        </is>
      </c>
      <c r="L2884" s="31" t="inlineStr">
        <is>
          <t>38</t>
        </is>
      </c>
      <c r="M2884" s="31" t="inlineStr">
        <is>
          <t>S3</t>
        </is>
      </c>
      <c r="N2884" s="31" t="inlineStr">
        <is>
          <t>S5</t>
        </is>
      </c>
      <c r="O2884" s="31" t="inlineStr">
        <is>
          <t>340-402-101-0</t>
        </is>
      </c>
      <c r="P2884" s="31" t="inlineStr">
        <is>
          <t>SR Technics Switzerland</t>
        </is>
      </c>
    </row>
    <row r="2885">
      <c r="B2885" s="31" t="inlineStr">
        <is>
          <t>CFM56-7B</t>
        </is>
      </c>
      <c r="C2885" s="31" t="inlineStr">
        <is>
          <t>2025-2026</t>
        </is>
      </c>
      <c r="D2885" s="31" t="inlineStr">
        <is>
          <t>18941</t>
        </is>
      </c>
      <c r="E2885" s="31" t="inlineStr">
        <is>
          <t>73-11-15</t>
        </is>
      </c>
      <c r="F2885" s="31" t="inlineStr">
        <is>
          <t>SB00</t>
        </is>
      </c>
      <c r="G2885" s="31" t="inlineStr">
        <is>
          <t>Fuel system</t>
        </is>
      </c>
      <c r="H2885" s="27" t="n">
        <v>2290</v>
      </c>
      <c r="I2885" s="27" t="n">
        <v>2430</v>
      </c>
      <c r="J2885" s="154">
        <f>I2885/H2885-1</f>
        <v/>
      </c>
      <c r="K2885" s="31" t="inlineStr">
        <is>
          <t>39</t>
        </is>
      </c>
      <c r="L2885" s="31" t="inlineStr">
        <is>
          <t>38</t>
        </is>
      </c>
      <c r="M2885" s="31" t="inlineStr">
        <is>
          <t>S3</t>
        </is>
      </c>
      <c r="N2885" s="31" t="inlineStr">
        <is>
          <t>S5</t>
        </is>
      </c>
      <c r="O2885" s="31" t="inlineStr">
        <is>
          <t>340-402-101-0</t>
        </is>
      </c>
      <c r="P2885" s="31" t="inlineStr">
        <is>
          <t>SR Technics Switzerland</t>
        </is>
      </c>
    </row>
    <row r="2886">
      <c r="B2886" s="31" t="inlineStr">
        <is>
          <t>CFM56-7B</t>
        </is>
      </c>
      <c r="C2886" s="31" t="inlineStr">
        <is>
          <t>2025-2026</t>
        </is>
      </c>
      <c r="D2886" s="31" t="inlineStr">
        <is>
          <t>18941</t>
        </is>
      </c>
      <c r="E2886" s="31" t="inlineStr">
        <is>
          <t>73-11-15</t>
        </is>
      </c>
      <c r="F2886" s="31" t="inlineStr">
        <is>
          <t>SB02</t>
        </is>
      </c>
      <c r="G2886" s="31" t="inlineStr">
        <is>
          <t>Fuel system</t>
        </is>
      </c>
      <c r="H2886" s="27" t="n">
        <v>2220</v>
      </c>
      <c r="I2886" s="27" t="n">
        <v>2355</v>
      </c>
      <c r="J2886" s="154">
        <f>I2886/H2886-1</f>
        <v/>
      </c>
      <c r="K2886" s="31" t="inlineStr">
        <is>
          <t>39</t>
        </is>
      </c>
      <c r="L2886" s="31" t="inlineStr">
        <is>
          <t>38</t>
        </is>
      </c>
      <c r="M2886" s="31" t="inlineStr">
        <is>
          <t>S3</t>
        </is>
      </c>
      <c r="N2886" s="31" t="inlineStr">
        <is>
          <t>S5</t>
        </is>
      </c>
      <c r="O2886" s="31" t="inlineStr">
        <is>
          <t>340-402-101-0</t>
        </is>
      </c>
      <c r="P2886" s="31" t="inlineStr">
        <is>
          <t>SR Technics Switzerland</t>
        </is>
      </c>
    </row>
    <row r="2887">
      <c r="B2887" s="31" t="inlineStr">
        <is>
          <t>CFM56-7B</t>
        </is>
      </c>
      <c r="C2887" s="31" t="inlineStr">
        <is>
          <t>2025-2026</t>
        </is>
      </c>
      <c r="D2887" s="31" t="inlineStr">
        <is>
          <t>18941</t>
        </is>
      </c>
      <c r="E2887" s="31" t="inlineStr">
        <is>
          <t>73-11-15</t>
        </is>
      </c>
      <c r="F2887" s="31" t="inlineStr">
        <is>
          <t>SB03</t>
        </is>
      </c>
      <c r="G2887" s="31" t="inlineStr">
        <is>
          <t>Fuel system</t>
        </is>
      </c>
      <c r="H2887" s="27" t="n">
        <v>5410</v>
      </c>
      <c r="I2887" s="27" t="n">
        <v>5735</v>
      </c>
      <c r="J2887" s="154">
        <f>I2887/H2887-1</f>
        <v/>
      </c>
      <c r="K2887" s="31" t="inlineStr">
        <is>
          <t>39</t>
        </is>
      </c>
      <c r="L2887" s="31" t="inlineStr">
        <is>
          <t>38</t>
        </is>
      </c>
      <c r="M2887" s="31" t="inlineStr">
        <is>
          <t>S3</t>
        </is>
      </c>
      <c r="N2887" s="31" t="inlineStr">
        <is>
          <t>S5</t>
        </is>
      </c>
      <c r="O2887" s="31" t="inlineStr">
        <is>
          <t>340-402-101-0</t>
        </is>
      </c>
      <c r="P2887" s="31" t="inlineStr">
        <is>
          <t>SR Technics Switzerland</t>
        </is>
      </c>
    </row>
    <row r="2888">
      <c r="B2888" s="31" t="inlineStr">
        <is>
          <t>CFM56-7B</t>
        </is>
      </c>
      <c r="C2888" s="31" t="inlineStr">
        <is>
          <t>2025-2026</t>
        </is>
      </c>
      <c r="D2888" s="31" t="inlineStr">
        <is>
          <t>18941</t>
        </is>
      </c>
      <c r="E2888" s="31" t="inlineStr">
        <is>
          <t>73-11-15</t>
        </is>
      </c>
      <c r="F2888" s="31" t="inlineStr">
        <is>
          <t>SB04</t>
        </is>
      </c>
      <c r="G2888" s="31" t="inlineStr">
        <is>
          <t>Fuel system</t>
        </is>
      </c>
      <c r="H2888" s="27" t="n">
        <v>5410</v>
      </c>
      <c r="I2888" s="27" t="n">
        <v>5735</v>
      </c>
      <c r="J2888" s="154">
        <f>I2888/H2888-1</f>
        <v/>
      </c>
      <c r="K2888" s="31" t="inlineStr">
        <is>
          <t>39</t>
        </is>
      </c>
      <c r="L2888" s="31" t="inlineStr">
        <is>
          <t>38</t>
        </is>
      </c>
      <c r="M2888" s="31" t="inlineStr">
        <is>
          <t>S3</t>
        </is>
      </c>
      <c r="N2888" s="31" t="inlineStr">
        <is>
          <t>S5</t>
        </is>
      </c>
      <c r="O2888" s="31" t="inlineStr">
        <is>
          <t>340-402-101-0</t>
        </is>
      </c>
      <c r="P2888" s="31" t="inlineStr">
        <is>
          <t>SR Technics Switzerland</t>
        </is>
      </c>
    </row>
    <row r="2889">
      <c r="B2889" s="31" t="inlineStr">
        <is>
          <t>CFM56-7B</t>
        </is>
      </c>
      <c r="C2889" s="31" t="inlineStr">
        <is>
          <t>2025-2026</t>
        </is>
      </c>
      <c r="D2889" s="31" t="inlineStr">
        <is>
          <t>18941</t>
        </is>
      </c>
      <c r="E2889" s="31" t="inlineStr">
        <is>
          <t>73-11-15</t>
        </is>
      </c>
      <c r="F2889" s="31" t="inlineStr">
        <is>
          <t>SB05</t>
        </is>
      </c>
      <c r="G2889" s="31" t="inlineStr">
        <is>
          <t>Fuel system</t>
        </is>
      </c>
      <c r="H2889" s="27" t="n">
        <v>5410</v>
      </c>
      <c r="I2889" s="27" t="n">
        <v>5735</v>
      </c>
      <c r="J2889" s="154">
        <f>I2889/H2889-1</f>
        <v/>
      </c>
      <c r="K2889" s="31" t="inlineStr">
        <is>
          <t>39</t>
        </is>
      </c>
      <c r="L2889" s="31" t="inlineStr">
        <is>
          <t>38</t>
        </is>
      </c>
      <c r="M2889" s="31" t="inlineStr">
        <is>
          <t>S3</t>
        </is>
      </c>
      <c r="N2889" s="31" t="inlineStr">
        <is>
          <t>S5</t>
        </is>
      </c>
      <c r="O2889" s="31" t="inlineStr">
        <is>
          <t>340-402-101-0</t>
        </is>
      </c>
      <c r="P2889" s="31" t="inlineStr">
        <is>
          <t>SR Technics Switzerland</t>
        </is>
      </c>
    </row>
    <row r="2890">
      <c r="B2890" s="31" t="inlineStr">
        <is>
          <t>CFM56-7B</t>
        </is>
      </c>
      <c r="C2890" s="31" t="inlineStr">
        <is>
          <t>2025-2026</t>
        </is>
      </c>
      <c r="D2890" s="31" t="inlineStr">
        <is>
          <t>18941</t>
        </is>
      </c>
      <c r="E2890" s="31" t="inlineStr">
        <is>
          <t>73-11-15</t>
        </is>
      </c>
      <c r="F2890" s="31" t="inlineStr">
        <is>
          <t>SB06</t>
        </is>
      </c>
      <c r="G2890" s="31" t="inlineStr">
        <is>
          <t>Fuel system</t>
        </is>
      </c>
      <c r="H2890" s="27" t="n">
        <v>160</v>
      </c>
      <c r="I2890" s="27" t="n">
        <v>170</v>
      </c>
      <c r="J2890" s="154">
        <f>I2890/H2890-1</f>
        <v/>
      </c>
      <c r="K2890" s="31" t="inlineStr">
        <is>
          <t>39</t>
        </is>
      </c>
      <c r="L2890" s="31" t="inlineStr">
        <is>
          <t>38</t>
        </is>
      </c>
      <c r="M2890" s="31" t="inlineStr">
        <is>
          <t>S3</t>
        </is>
      </c>
      <c r="N2890" s="31" t="inlineStr">
        <is>
          <t>S5</t>
        </is>
      </c>
      <c r="O2890" s="31" t="inlineStr">
        <is>
          <t>340-402-101-0</t>
        </is>
      </c>
      <c r="P2890" s="31" t="inlineStr">
        <is>
          <t>SR Technics Switzerland</t>
        </is>
      </c>
    </row>
    <row r="2891">
      <c r="B2891" s="31" t="inlineStr">
        <is>
          <t>CFM56-7B</t>
        </is>
      </c>
      <c r="C2891" s="31" t="inlineStr">
        <is>
          <t>2025-2026</t>
        </is>
      </c>
      <c r="D2891" s="31" t="inlineStr">
        <is>
          <t>18941</t>
        </is>
      </c>
      <c r="E2891" s="31" t="inlineStr">
        <is>
          <t>73-11-15</t>
        </is>
      </c>
      <c r="F2891" s="31" t="inlineStr">
        <is>
          <t>SB08</t>
        </is>
      </c>
      <c r="G2891" s="31" t="inlineStr">
        <is>
          <t>Fuel system</t>
        </is>
      </c>
      <c r="H2891" s="27" t="n">
        <v>160</v>
      </c>
      <c r="I2891" s="27" t="n">
        <v>170</v>
      </c>
      <c r="J2891" s="154">
        <f>I2891/H2891-1</f>
        <v/>
      </c>
      <c r="K2891" s="31" t="inlineStr">
        <is>
          <t>39</t>
        </is>
      </c>
      <c r="L2891" s="31" t="inlineStr">
        <is>
          <t>39</t>
        </is>
      </c>
      <c r="M2891" s="31" t="inlineStr">
        <is>
          <t>S3</t>
        </is>
      </c>
      <c r="N2891" s="31" t="inlineStr">
        <is>
          <t>S5</t>
        </is>
      </c>
      <c r="O2891" s="31" t="inlineStr">
        <is>
          <t>340-402-101-0</t>
        </is>
      </c>
      <c r="P2891" s="31" t="inlineStr">
        <is>
          <t>SR Technics Switzerland</t>
        </is>
      </c>
    </row>
    <row r="2892">
      <c r="B2892" s="31" t="inlineStr">
        <is>
          <t>CFM56-7B</t>
        </is>
      </c>
      <c r="C2892" s="31" t="inlineStr">
        <is>
          <t>2025-2026</t>
        </is>
      </c>
      <c r="D2892" s="31" t="inlineStr">
        <is>
          <t>18941</t>
        </is>
      </c>
      <c r="E2892" s="31" t="inlineStr">
        <is>
          <t>73-11-15</t>
        </is>
      </c>
      <c r="F2892" s="31" t="inlineStr">
        <is>
          <t>SB09</t>
        </is>
      </c>
      <c r="G2892" s="31" t="inlineStr">
        <is>
          <t>Fuel system</t>
        </is>
      </c>
      <c r="H2892" s="27" t="n">
        <v>5410</v>
      </c>
      <c r="I2892" s="27" t="n">
        <v>5735</v>
      </c>
      <c r="J2892" s="154">
        <f>I2892/H2892-1</f>
        <v/>
      </c>
      <c r="K2892" s="31" t="inlineStr">
        <is>
          <t>39</t>
        </is>
      </c>
      <c r="L2892" s="31" t="inlineStr">
        <is>
          <t>39</t>
        </is>
      </c>
      <c r="M2892" s="31" t="inlineStr">
        <is>
          <t>S3</t>
        </is>
      </c>
      <c r="N2892" s="31" t="inlineStr">
        <is>
          <t>S5</t>
        </is>
      </c>
      <c r="O2892" s="31" t="inlineStr">
        <is>
          <t>340-402-101-0</t>
        </is>
      </c>
      <c r="P2892" s="31" t="inlineStr">
        <is>
          <t>SR Technics Switzerland</t>
        </is>
      </c>
    </row>
    <row r="2893">
      <c r="B2893" s="31" t="inlineStr">
        <is>
          <t>CFM56-7B</t>
        </is>
      </c>
      <c r="C2893" s="31" t="inlineStr">
        <is>
          <t>2025-2026</t>
        </is>
      </c>
      <c r="D2893" s="31" t="inlineStr">
        <is>
          <t>18941</t>
        </is>
      </c>
      <c r="E2893" s="31" t="inlineStr">
        <is>
          <t>73-11-15</t>
        </is>
      </c>
      <c r="F2893" s="31" t="inlineStr">
        <is>
          <t>SB10</t>
        </is>
      </c>
      <c r="G2893" s="31" t="inlineStr">
        <is>
          <t>Fuel system</t>
        </is>
      </c>
      <c r="H2893" s="27" t="n">
        <v>5410</v>
      </c>
      <c r="I2893" s="27" t="n">
        <v>5735</v>
      </c>
      <c r="J2893" s="154">
        <f>I2893/H2893-1</f>
        <v/>
      </c>
      <c r="K2893" s="31" t="inlineStr">
        <is>
          <t>39</t>
        </is>
      </c>
      <c r="L2893" s="31" t="inlineStr">
        <is>
          <t>39</t>
        </is>
      </c>
      <c r="M2893" s="31" t="inlineStr">
        <is>
          <t>S3</t>
        </is>
      </c>
      <c r="N2893" s="31" t="inlineStr">
        <is>
          <t>S5</t>
        </is>
      </c>
      <c r="O2893" s="31" t="inlineStr">
        <is>
          <t>340-402-101-0</t>
        </is>
      </c>
      <c r="P2893" s="31" t="inlineStr">
        <is>
          <t>SR Technics Switzerland</t>
        </is>
      </c>
    </row>
    <row r="2894">
      <c r="B2894" s="31" t="inlineStr">
        <is>
          <t>CFM56-7B</t>
        </is>
      </c>
      <c r="C2894" s="31" t="inlineStr">
        <is>
          <t>2025-2026</t>
        </is>
      </c>
      <c r="D2894" s="31" t="inlineStr">
        <is>
          <t>18941</t>
        </is>
      </c>
      <c r="E2894" s="31" t="inlineStr">
        <is>
          <t>73-11-15</t>
        </is>
      </c>
      <c r="F2894" s="31" t="inlineStr">
        <is>
          <t>SB11</t>
        </is>
      </c>
      <c r="G2894" s="31" t="inlineStr">
        <is>
          <t>Fuel system</t>
        </is>
      </c>
      <c r="H2894" s="27" t="n">
        <v>5410</v>
      </c>
      <c r="I2894" s="27" t="n">
        <v>5735</v>
      </c>
      <c r="J2894" s="154">
        <f>I2894/H2894-1</f>
        <v/>
      </c>
      <c r="K2894" s="31" t="inlineStr">
        <is>
          <t>39</t>
        </is>
      </c>
      <c r="L2894" s="31" t="inlineStr">
        <is>
          <t>39</t>
        </is>
      </c>
      <c r="M2894" s="31" t="inlineStr">
        <is>
          <t>S3</t>
        </is>
      </c>
      <c r="N2894" s="31" t="inlineStr">
        <is>
          <t>S5</t>
        </is>
      </c>
      <c r="O2894" s="31" t="inlineStr">
        <is>
          <t>340-402-101-0</t>
        </is>
      </c>
      <c r="P2894" s="31" t="inlineStr">
        <is>
          <t>SR Technics Switzerland</t>
        </is>
      </c>
    </row>
    <row r="2895">
      <c r="B2895" s="31" t="inlineStr">
        <is>
          <t>CFM56-7B</t>
        </is>
      </c>
      <c r="C2895" s="31" t="inlineStr">
        <is>
          <t>2025-2026</t>
        </is>
      </c>
      <c r="D2895" s="31" t="inlineStr">
        <is>
          <t>18941</t>
        </is>
      </c>
      <c r="E2895" s="31" t="inlineStr">
        <is>
          <t>73-11-15</t>
        </is>
      </c>
      <c r="F2895" s="31" t="inlineStr">
        <is>
          <t>SB13</t>
        </is>
      </c>
      <c r="G2895" s="31" t="inlineStr">
        <is>
          <t>Fuel system</t>
        </is>
      </c>
      <c r="H2895" s="27" t="n">
        <v>5000</v>
      </c>
      <c r="I2895" s="27" t="n">
        <v>5300</v>
      </c>
      <c r="J2895" s="154">
        <f>I2895/H2895-1</f>
        <v/>
      </c>
      <c r="K2895" s="31" t="inlineStr">
        <is>
          <t>39</t>
        </is>
      </c>
      <c r="L2895" s="31" t="inlineStr">
        <is>
          <t>39</t>
        </is>
      </c>
      <c r="M2895" s="31" t="inlineStr">
        <is>
          <t>S3</t>
        </is>
      </c>
      <c r="N2895" s="31" t="inlineStr">
        <is>
          <t>S5</t>
        </is>
      </c>
      <c r="O2895" s="31" t="inlineStr">
        <is>
          <t>340-402-101-0</t>
        </is>
      </c>
      <c r="P2895" s="31" t="inlineStr">
        <is>
          <t>SR Technics Switzerland</t>
        </is>
      </c>
    </row>
    <row r="2896">
      <c r="B2896" s="31" t="inlineStr">
        <is>
          <t>CFM56-7B</t>
        </is>
      </c>
      <c r="C2896" s="31" t="inlineStr">
        <is>
          <t>2025-2026</t>
        </is>
      </c>
      <c r="D2896" s="31" t="inlineStr">
        <is>
          <t>1920</t>
        </is>
      </c>
      <c r="E2896" s="31" t="inlineStr">
        <is>
          <t>36-10-03</t>
        </is>
      </c>
      <c r="F2896" s="31" t="inlineStr">
        <is>
          <t>D</t>
        </is>
      </c>
      <c r="G2896" s="31" t="inlineStr">
        <is>
          <t>Other / assembly</t>
        </is>
      </c>
      <c r="H2896" s="27" t="n">
        <v>1195</v>
      </c>
      <c r="I2896" s="27" t="n">
        <v>1270</v>
      </c>
      <c r="J2896" s="154">
        <f>I2896/H2896-1</f>
        <v/>
      </c>
      <c r="K2896" s="31" t="inlineStr">
        <is>
          <t>30</t>
        </is>
      </c>
      <c r="L2896" s="31" t="inlineStr">
        <is>
          <t>30</t>
        </is>
      </c>
      <c r="M2896" s="31" t="inlineStr">
        <is>
          <t>S3</t>
        </is>
      </c>
      <c r="N2896" s="31" t="inlineStr">
        <is>
          <t>S5</t>
        </is>
      </c>
      <c r="O2896" s="31" t="inlineStr">
        <is>
          <t>332A2310-1</t>
        </is>
      </c>
      <c r="P2896" s="31" t="inlineStr">
        <is>
          <t>SR Technics Switzerland</t>
        </is>
      </c>
    </row>
    <row r="2897">
      <c r="B2897" s="31" t="inlineStr">
        <is>
          <t>CFM56-7B</t>
        </is>
      </c>
      <c r="C2897" s="31" t="inlineStr">
        <is>
          <t>2025-2026</t>
        </is>
      </c>
      <c r="D2897" s="31" t="inlineStr">
        <is>
          <t>1920</t>
        </is>
      </c>
      <c r="E2897" s="31" t="inlineStr">
        <is>
          <t>36-10-03</t>
        </is>
      </c>
      <c r="F2897" s="31" t="inlineStr">
        <is>
          <t>F</t>
        </is>
      </c>
      <c r="G2897" s="31" t="inlineStr">
        <is>
          <t>Other / assembly</t>
        </is>
      </c>
      <c r="H2897" s="27" t="n">
        <v>2960</v>
      </c>
      <c r="I2897" s="27" t="n">
        <v>3140</v>
      </c>
      <c r="J2897" s="154">
        <f>I2897/H2897-1</f>
        <v/>
      </c>
      <c r="K2897" s="31" t="inlineStr">
        <is>
          <t>30</t>
        </is>
      </c>
      <c r="L2897" s="31" t="inlineStr">
        <is>
          <t>30</t>
        </is>
      </c>
      <c r="M2897" s="31" t="inlineStr">
        <is>
          <t>S3</t>
        </is>
      </c>
      <c r="N2897" s="31" t="inlineStr">
        <is>
          <t>S5</t>
        </is>
      </c>
      <c r="O2897" s="31" t="inlineStr">
        <is>
          <t>332A2310-1</t>
        </is>
      </c>
      <c r="P2897" s="31" t="inlineStr">
        <is>
          <t>SR Technics Switzerland</t>
        </is>
      </c>
    </row>
    <row r="2898">
      <c r="B2898" s="31" t="inlineStr">
        <is>
          <t>CFM56-7B</t>
        </is>
      </c>
      <c r="C2898" s="31" t="inlineStr">
        <is>
          <t>2025-2026</t>
        </is>
      </c>
      <c r="D2898" s="31" t="inlineStr">
        <is>
          <t>19228</t>
        </is>
      </c>
      <c r="E2898" s="31" t="inlineStr">
        <is>
          <t>72-56-01</t>
        </is>
      </c>
      <c r="F2898" s="31" t="inlineStr">
        <is>
          <t>A</t>
        </is>
      </c>
      <c r="G2898" s="31" t="inlineStr">
        <is>
          <t>LPT</t>
        </is>
      </c>
      <c r="H2898" s="27" t="n">
        <v>650</v>
      </c>
      <c r="I2898" s="27" t="n">
        <v>685</v>
      </c>
      <c r="J2898" s="154">
        <f>I2898/H2898-1</f>
        <v/>
      </c>
      <c r="K2898" s="31" t="inlineStr">
        <is>
          <t>39</t>
        </is>
      </c>
      <c r="L2898" s="31" t="inlineStr">
        <is>
          <t>39</t>
        </is>
      </c>
      <c r="M2898" s="31" t="inlineStr">
        <is>
          <t>S3</t>
        </is>
      </c>
      <c r="N2898" s="31" t="inlineStr">
        <is>
          <t>S5</t>
        </is>
      </c>
      <c r="O2898" s="31" t="inlineStr">
        <is>
          <t>056-000-221-0</t>
        </is>
      </c>
      <c r="P2898" s="31" t="inlineStr">
        <is>
          <t>SR Technics Switzerland</t>
        </is>
      </c>
    </row>
    <row r="2899">
      <c r="B2899" s="31" t="inlineStr">
        <is>
          <t>CFM56-7B</t>
        </is>
      </c>
      <c r="C2899" s="31" t="inlineStr">
        <is>
          <t>2025-2026</t>
        </is>
      </c>
      <c r="D2899" s="31" t="inlineStr">
        <is>
          <t>19228</t>
        </is>
      </c>
      <c r="E2899" s="31" t="inlineStr">
        <is>
          <t>72-56-01</t>
        </is>
      </c>
      <c r="F2899" s="31" t="inlineStr">
        <is>
          <t>AK</t>
        </is>
      </c>
      <c r="G2899" s="31" t="inlineStr">
        <is>
          <t>LPT</t>
        </is>
      </c>
      <c r="H2899" s="27" t="n">
        <v>995</v>
      </c>
      <c r="I2899" s="27" t="n">
        <v>1055</v>
      </c>
      <c r="J2899" s="154">
        <f>I2899/H2899-1</f>
        <v/>
      </c>
      <c r="K2899" s="31" t="inlineStr">
        <is>
          <t>39</t>
        </is>
      </c>
      <c r="L2899" s="31" t="inlineStr">
        <is>
          <t>39</t>
        </is>
      </c>
      <c r="M2899" s="31" t="inlineStr">
        <is>
          <t>S3</t>
        </is>
      </c>
      <c r="N2899" s="31" t="inlineStr">
        <is>
          <t>S5</t>
        </is>
      </c>
      <c r="O2899" s="31" t="inlineStr">
        <is>
          <t>056-000-221-0</t>
        </is>
      </c>
      <c r="P2899" s="31" t="inlineStr">
        <is>
          <t>SR Technics Switzerland</t>
        </is>
      </c>
    </row>
    <row r="2900">
      <c r="B2900" s="31" t="inlineStr">
        <is>
          <t>CFM56-7B</t>
        </is>
      </c>
      <c r="C2900" s="31" t="inlineStr">
        <is>
          <t>2025-2026</t>
        </is>
      </c>
      <c r="D2900" s="31" t="inlineStr">
        <is>
          <t>19228</t>
        </is>
      </c>
      <c r="E2900" s="31" t="inlineStr">
        <is>
          <t>72-56-01</t>
        </is>
      </c>
      <c r="F2900" s="31" t="inlineStr">
        <is>
          <t>S</t>
        </is>
      </c>
      <c r="G2900" s="31" t="inlineStr">
        <is>
          <t>LPT</t>
        </is>
      </c>
      <c r="H2900" s="27" t="n">
        <v>1190</v>
      </c>
      <c r="I2900" s="27" t="n">
        <v>1265</v>
      </c>
      <c r="J2900" s="154">
        <f>I2900/H2900-1</f>
        <v/>
      </c>
      <c r="K2900" s="31" t="inlineStr">
        <is>
          <t>39</t>
        </is>
      </c>
      <c r="L2900" s="31" t="inlineStr">
        <is>
          <t>39</t>
        </is>
      </c>
      <c r="M2900" s="31" t="inlineStr">
        <is>
          <t>S3</t>
        </is>
      </c>
      <c r="N2900" s="31" t="inlineStr">
        <is>
          <t>S5</t>
        </is>
      </c>
      <c r="O2900" s="31" t="inlineStr">
        <is>
          <t>056-000-221-0</t>
        </is>
      </c>
      <c r="P2900" s="31" t="inlineStr">
        <is>
          <t>SR Technics Switzerland</t>
        </is>
      </c>
    </row>
    <row r="2901">
      <c r="B2901" s="31" t="inlineStr">
        <is>
          <t>CFM56-7B</t>
        </is>
      </c>
      <c r="C2901" s="31" t="inlineStr">
        <is>
          <t>2025-2026</t>
        </is>
      </c>
      <c r="D2901" s="31" t="inlineStr">
        <is>
          <t>2009</t>
        </is>
      </c>
      <c r="E2901" s="31" t="inlineStr">
        <is>
          <t>72-52-05</t>
        </is>
      </c>
      <c r="F2901" s="31" t="inlineStr">
        <is>
          <t>A</t>
        </is>
      </c>
      <c r="G2901" s="31" t="inlineStr">
        <is>
          <t>HPT / nozzle</t>
        </is>
      </c>
      <c r="H2901" s="27" t="n">
        <v>1485</v>
      </c>
      <c r="I2901" s="27" t="n">
        <v>1560</v>
      </c>
      <c r="J2901" s="154">
        <f>I2901/H2901-1</f>
        <v/>
      </c>
      <c r="K2901" s="31" t="inlineStr">
        <is>
          <t>31</t>
        </is>
      </c>
      <c r="L2901" s="31" t="inlineStr">
        <is>
          <t>30</t>
        </is>
      </c>
      <c r="M2901" s="31" t="inlineStr">
        <is>
          <t>S3</t>
        </is>
      </c>
      <c r="N2901" s="31" t="inlineStr">
        <is>
          <t>S5</t>
        </is>
      </c>
      <c r="O2901" s="31" t="inlineStr">
        <is>
          <t>1498M45P03</t>
        </is>
      </c>
      <c r="P2901" s="31" t="inlineStr">
        <is>
          <t>SR Technics Switzerland</t>
        </is>
      </c>
    </row>
    <row r="2902">
      <c r="B2902" s="31" t="inlineStr">
        <is>
          <t>CFM56-7B</t>
        </is>
      </c>
      <c r="C2902" s="31" t="inlineStr">
        <is>
          <t>2025-2026</t>
        </is>
      </c>
      <c r="D2902" s="31" t="inlineStr">
        <is>
          <t>2009</t>
        </is>
      </c>
      <c r="E2902" s="31" t="inlineStr">
        <is>
          <t>72-52-05</t>
        </is>
      </c>
      <c r="F2902" s="31" t="inlineStr">
        <is>
          <t>B</t>
        </is>
      </c>
      <c r="G2902" s="31" t="inlineStr">
        <is>
          <t>HPT / nozzle</t>
        </is>
      </c>
      <c r="H2902" s="27" t="n">
        <v>300</v>
      </c>
      <c r="I2902" s="27" t="n">
        <v>320</v>
      </c>
      <c r="J2902" s="154">
        <f>I2902/H2902-1</f>
        <v/>
      </c>
      <c r="K2902" s="31" t="inlineStr">
        <is>
          <t>31</t>
        </is>
      </c>
      <c r="L2902" s="31" t="inlineStr">
        <is>
          <t>30</t>
        </is>
      </c>
      <c r="M2902" s="31" t="inlineStr">
        <is>
          <t>S3</t>
        </is>
      </c>
      <c r="N2902" s="31" t="inlineStr">
        <is>
          <t>S5</t>
        </is>
      </c>
      <c r="O2902" s="31" t="inlineStr">
        <is>
          <t>1498M45P03</t>
        </is>
      </c>
      <c r="P2902" s="31" t="inlineStr">
        <is>
          <t>SR Technics Switzerland</t>
        </is>
      </c>
    </row>
    <row r="2903">
      <c r="B2903" s="31" t="inlineStr">
        <is>
          <t>CFM56-7B</t>
        </is>
      </c>
      <c r="C2903" s="31" t="inlineStr">
        <is>
          <t>2025-2026</t>
        </is>
      </c>
      <c r="D2903" s="31" t="inlineStr">
        <is>
          <t>2009</t>
        </is>
      </c>
      <c r="E2903" s="31" t="inlineStr">
        <is>
          <t>72-52-05</t>
        </is>
      </c>
      <c r="F2903" s="31" t="inlineStr">
        <is>
          <t>C</t>
        </is>
      </c>
      <c r="G2903" s="31" t="inlineStr">
        <is>
          <t>HPT / nozzle</t>
        </is>
      </c>
      <c r="H2903" s="27" t="n">
        <v>6035</v>
      </c>
      <c r="I2903" s="27" t="n">
        <v>6400</v>
      </c>
      <c r="J2903" s="154">
        <f>I2903/H2903-1</f>
        <v/>
      </c>
      <c r="K2903" s="31" t="inlineStr">
        <is>
          <t>31</t>
        </is>
      </c>
      <c r="L2903" s="31" t="inlineStr">
        <is>
          <t>30</t>
        </is>
      </c>
      <c r="M2903" s="31" t="inlineStr">
        <is>
          <t>S3</t>
        </is>
      </c>
      <c r="N2903" s="31" t="inlineStr">
        <is>
          <t>S5</t>
        </is>
      </c>
      <c r="O2903" s="31" t="inlineStr">
        <is>
          <t>1498M45P03</t>
        </is>
      </c>
      <c r="P2903" s="31" t="inlineStr">
        <is>
          <t>SR Technics Switzerland</t>
        </is>
      </c>
    </row>
    <row r="2904">
      <c r="B2904" s="31" t="inlineStr">
        <is>
          <t>CFM56-7B</t>
        </is>
      </c>
      <c r="C2904" s="31" t="inlineStr">
        <is>
          <t>2025-2026</t>
        </is>
      </c>
      <c r="D2904" s="31" t="inlineStr">
        <is>
          <t>2009</t>
        </is>
      </c>
      <c r="E2904" s="31" t="inlineStr">
        <is>
          <t>72-52-05</t>
        </is>
      </c>
      <c r="F2904" s="31" t="inlineStr">
        <is>
          <t>F</t>
        </is>
      </c>
      <c r="G2904" s="31" t="inlineStr">
        <is>
          <t>HPT / nozzle</t>
        </is>
      </c>
      <c r="H2904" s="27" t="n">
        <v>7520</v>
      </c>
      <c r="I2904" s="27" t="n">
        <v>7975</v>
      </c>
      <c r="J2904" s="154">
        <f>I2904/H2904-1</f>
        <v/>
      </c>
      <c r="K2904" s="31" t="inlineStr">
        <is>
          <t>31</t>
        </is>
      </c>
      <c r="L2904" s="31" t="inlineStr">
        <is>
          <t>30</t>
        </is>
      </c>
      <c r="M2904" s="31" t="inlineStr">
        <is>
          <t>S3</t>
        </is>
      </c>
      <c r="N2904" s="31" t="inlineStr">
        <is>
          <t>S5</t>
        </is>
      </c>
      <c r="O2904" s="31" t="inlineStr">
        <is>
          <t>1498M45P03</t>
        </is>
      </c>
      <c r="P2904" s="31" t="inlineStr">
        <is>
          <t>SR Technics Switzerland</t>
        </is>
      </c>
    </row>
    <row r="2905">
      <c r="B2905" s="31" t="inlineStr">
        <is>
          <t>CFM56-7B</t>
        </is>
      </c>
      <c r="C2905" s="31" t="inlineStr">
        <is>
          <t>2025-2026</t>
        </is>
      </c>
      <c r="D2905" s="31" t="inlineStr">
        <is>
          <t>2009</t>
        </is>
      </c>
      <c r="E2905" s="31" t="inlineStr">
        <is>
          <t>72-52-05</t>
        </is>
      </c>
      <c r="F2905" s="31" t="inlineStr">
        <is>
          <t>G</t>
        </is>
      </c>
      <c r="G2905" s="31" t="inlineStr">
        <is>
          <t>HPT / nozzle</t>
        </is>
      </c>
      <c r="H2905" s="27" t="n">
        <v>7365</v>
      </c>
      <c r="I2905" s="27" t="n">
        <v>7810</v>
      </c>
      <c r="J2905" s="154">
        <f>I2905/H2905-1</f>
        <v/>
      </c>
      <c r="K2905" s="31" t="inlineStr">
        <is>
          <t>31</t>
        </is>
      </c>
      <c r="L2905" s="31" t="inlineStr">
        <is>
          <t>30</t>
        </is>
      </c>
      <c r="M2905" s="31" t="inlineStr">
        <is>
          <t>S3</t>
        </is>
      </c>
      <c r="N2905" s="31" t="inlineStr">
        <is>
          <t>S5</t>
        </is>
      </c>
      <c r="O2905" s="31" t="inlineStr">
        <is>
          <t>1498M45P03</t>
        </is>
      </c>
      <c r="P2905" s="31" t="inlineStr">
        <is>
          <t>SR Technics Switzerland</t>
        </is>
      </c>
    </row>
    <row r="2906">
      <c r="B2906" s="31" t="inlineStr">
        <is>
          <t>CFM56-7B</t>
        </is>
      </c>
      <c r="C2906" s="31" t="inlineStr">
        <is>
          <t>2025-2026</t>
        </is>
      </c>
      <c r="D2906" s="31" t="inlineStr">
        <is>
          <t>2009</t>
        </is>
      </c>
      <c r="E2906" s="31" t="inlineStr">
        <is>
          <t>72-52-05</t>
        </is>
      </c>
      <c r="F2906" s="31" t="inlineStr">
        <is>
          <t>M</t>
        </is>
      </c>
      <c r="G2906" s="31" t="inlineStr">
        <is>
          <t>HPT / nozzle</t>
        </is>
      </c>
      <c r="H2906" s="27" t="n">
        <v>665</v>
      </c>
      <c r="I2906" s="27" t="n">
        <v>705</v>
      </c>
      <c r="J2906" s="154">
        <f>I2906/H2906-1</f>
        <v/>
      </c>
      <c r="K2906" s="31" t="inlineStr">
        <is>
          <t>31</t>
        </is>
      </c>
      <c r="L2906" s="31" t="inlineStr">
        <is>
          <t>30</t>
        </is>
      </c>
      <c r="M2906" s="31" t="inlineStr">
        <is>
          <t>S3</t>
        </is>
      </c>
      <c r="N2906" s="31" t="inlineStr">
        <is>
          <t>S5</t>
        </is>
      </c>
      <c r="O2906" s="31" t="inlineStr">
        <is>
          <t>1498M45P03</t>
        </is>
      </c>
      <c r="P2906" s="31" t="inlineStr">
        <is>
          <t>SR Technics Switzerland</t>
        </is>
      </c>
    </row>
    <row r="2907">
      <c r="B2907" s="31" t="inlineStr">
        <is>
          <t>CFM56-7B</t>
        </is>
      </c>
      <c r="C2907" s="31" t="inlineStr">
        <is>
          <t>2025-2026</t>
        </is>
      </c>
      <c r="D2907" s="31" t="inlineStr">
        <is>
          <t>2055</t>
        </is>
      </c>
      <c r="E2907" s="31" t="inlineStr">
        <is>
          <t>72-55-14</t>
        </is>
      </c>
      <c r="F2907" s="31" t="inlineStr">
        <is>
          <t>A</t>
        </is>
      </c>
      <c r="G2907" s="31" t="inlineStr">
        <is>
          <t>LPT</t>
        </is>
      </c>
      <c r="H2907" s="27" t="n">
        <v>630</v>
      </c>
      <c r="I2907" s="27" t="n">
        <v>665</v>
      </c>
      <c r="J2907" s="154">
        <f>I2907/H2907-1</f>
        <v/>
      </c>
      <c r="K2907" s="31" t="inlineStr">
        <is>
          <t>3</t>
        </is>
      </c>
      <c r="L2907" s="31" t="inlineStr">
        <is>
          <t>2</t>
        </is>
      </c>
      <c r="M2907" s="31" t="inlineStr">
        <is>
          <t>S3</t>
        </is>
      </c>
      <c r="N2907" s="31" t="inlineStr">
        <is>
          <t>S5</t>
        </is>
      </c>
      <c r="O2907" s="31" t="inlineStr">
        <is>
          <t>336-009-801-0</t>
        </is>
      </c>
      <c r="P2907" s="31" t="inlineStr">
        <is>
          <t>SR Technics Switzerland</t>
        </is>
      </c>
    </row>
    <row r="2908">
      <c r="B2908" s="31" t="inlineStr">
        <is>
          <t>CFM56-7B</t>
        </is>
      </c>
      <c r="C2908" s="31" t="inlineStr">
        <is>
          <t>2025-2026</t>
        </is>
      </c>
      <c r="D2908" s="31" t="inlineStr">
        <is>
          <t>2055</t>
        </is>
      </c>
      <c r="E2908" s="31" t="inlineStr">
        <is>
          <t>72-55-14</t>
        </is>
      </c>
      <c r="F2908" s="31" t="inlineStr">
        <is>
          <t>C</t>
        </is>
      </c>
      <c r="G2908" s="31" t="inlineStr">
        <is>
          <t>LPT</t>
        </is>
      </c>
      <c r="H2908" s="27" t="n">
        <v>2335</v>
      </c>
      <c r="I2908" s="27" t="n">
        <v>2480</v>
      </c>
      <c r="J2908" s="154">
        <f>I2908/H2908-1</f>
        <v/>
      </c>
      <c r="K2908" s="31" t="inlineStr">
        <is>
          <t>3</t>
        </is>
      </c>
      <c r="L2908" s="31" t="inlineStr">
        <is>
          <t>2</t>
        </is>
      </c>
      <c r="M2908" s="31" t="inlineStr">
        <is>
          <t>S3</t>
        </is>
      </c>
      <c r="N2908" s="31" t="inlineStr">
        <is>
          <t>S5</t>
        </is>
      </c>
      <c r="O2908" s="31" t="inlineStr">
        <is>
          <t>336-009-801-0</t>
        </is>
      </c>
      <c r="P2908" s="31" t="inlineStr">
        <is>
          <t>SR Technics Switzerland</t>
        </is>
      </c>
    </row>
    <row r="2909">
      <c r="B2909" s="31" t="inlineStr">
        <is>
          <t>CFM56-7B</t>
        </is>
      </c>
      <c r="C2909" s="31" t="inlineStr">
        <is>
          <t>2025-2026</t>
        </is>
      </c>
      <c r="D2909" s="31" t="inlineStr">
        <is>
          <t>2055</t>
        </is>
      </c>
      <c r="E2909" s="31" t="inlineStr">
        <is>
          <t>72-55-14</t>
        </is>
      </c>
      <c r="F2909" s="31" t="inlineStr">
        <is>
          <t>E</t>
        </is>
      </c>
      <c r="G2909" s="31" t="inlineStr">
        <is>
          <t>LPT</t>
        </is>
      </c>
      <c r="H2909" s="27" t="n">
        <v>2120</v>
      </c>
      <c r="I2909" s="27" t="n">
        <v>2250</v>
      </c>
      <c r="J2909" s="154">
        <f>I2909/H2909-1</f>
        <v/>
      </c>
      <c r="K2909" s="31" t="inlineStr">
        <is>
          <t>3</t>
        </is>
      </c>
      <c r="L2909" s="31" t="inlineStr">
        <is>
          <t>2</t>
        </is>
      </c>
      <c r="M2909" s="31" t="inlineStr">
        <is>
          <t>S3</t>
        </is>
      </c>
      <c r="N2909" s="31" t="inlineStr">
        <is>
          <t>S5</t>
        </is>
      </c>
      <c r="O2909" s="31" t="inlineStr">
        <is>
          <t>336-009-801-0</t>
        </is>
      </c>
      <c r="P2909" s="31" t="inlineStr">
        <is>
          <t>SR Technics Switzerland</t>
        </is>
      </c>
    </row>
    <row r="2910">
      <c r="B2910" s="31" t="inlineStr">
        <is>
          <t>CFM56-7B</t>
        </is>
      </c>
      <c r="C2910" s="31" t="inlineStr">
        <is>
          <t>2025-2026</t>
        </is>
      </c>
      <c r="D2910" s="31" t="inlineStr">
        <is>
          <t>2082</t>
        </is>
      </c>
      <c r="E2910" s="31" t="inlineStr">
        <is>
          <t>72-42-00</t>
        </is>
      </c>
      <c r="F2910" s="31" t="inlineStr">
        <is>
          <t>A</t>
        </is>
      </c>
      <c r="G2910" s="31" t="inlineStr">
        <is>
          <t>Combustor</t>
        </is>
      </c>
      <c r="H2910" s="27" t="n">
        <v>4390</v>
      </c>
      <c r="I2910" s="27" t="n">
        <v>4610</v>
      </c>
      <c r="J2910" s="154">
        <f>I2910/H2910-1</f>
        <v/>
      </c>
      <c r="K2910" s="31" t="inlineStr">
        <is>
          <t>31</t>
        </is>
      </c>
      <c r="L2910" s="31" t="inlineStr">
        <is>
          <t>30</t>
        </is>
      </c>
      <c r="M2910" s="31" t="inlineStr">
        <is>
          <t>S3</t>
        </is>
      </c>
      <c r="N2910" s="31" t="inlineStr">
        <is>
          <t>S5</t>
        </is>
      </c>
      <c r="O2910" s="31" t="inlineStr">
        <is>
          <t>1493M73G04</t>
        </is>
      </c>
      <c r="P2910" s="31" t="inlineStr">
        <is>
          <t>SR Technics Switzerland</t>
        </is>
      </c>
    </row>
    <row r="2911">
      <c r="B2911" s="31" t="inlineStr">
        <is>
          <t>CFM56-7B</t>
        </is>
      </c>
      <c r="C2911" s="31" t="inlineStr">
        <is>
          <t>2025-2026</t>
        </is>
      </c>
      <c r="D2911" s="31" t="inlineStr">
        <is>
          <t>2082</t>
        </is>
      </c>
      <c r="E2911" s="31" t="inlineStr">
        <is>
          <t>72-42-00</t>
        </is>
      </c>
      <c r="F2911" s="31" t="inlineStr">
        <is>
          <t>F</t>
        </is>
      </c>
      <c r="G2911" s="31" t="inlineStr">
        <is>
          <t>Combustor</t>
        </is>
      </c>
      <c r="H2911" s="27" t="n">
        <v>3635</v>
      </c>
      <c r="I2911" s="27" t="n">
        <v>3855</v>
      </c>
      <c r="J2911" s="154">
        <f>I2911/H2911-1</f>
        <v/>
      </c>
      <c r="K2911" s="31" t="inlineStr">
        <is>
          <t>31</t>
        </is>
      </c>
      <c r="L2911" s="31" t="inlineStr">
        <is>
          <t>30</t>
        </is>
      </c>
      <c r="M2911" s="31" t="inlineStr">
        <is>
          <t>S3</t>
        </is>
      </c>
      <c r="N2911" s="31" t="inlineStr">
        <is>
          <t>S5</t>
        </is>
      </c>
      <c r="O2911" s="31" t="inlineStr">
        <is>
          <t>1493M73G04</t>
        </is>
      </c>
      <c r="P2911" s="31" t="inlineStr">
        <is>
          <t>SR Technics Switzerland</t>
        </is>
      </c>
    </row>
    <row r="2912">
      <c r="B2912" s="31" t="inlineStr">
        <is>
          <t>CFM56-7B</t>
        </is>
      </c>
      <c r="C2912" s="31" t="inlineStr">
        <is>
          <t>2025-2026</t>
        </is>
      </c>
      <c r="D2912" s="31" t="inlineStr">
        <is>
          <t>2082</t>
        </is>
      </c>
      <c r="E2912" s="31" t="inlineStr">
        <is>
          <t>72-42-00</t>
        </is>
      </c>
      <c r="F2912" s="31" t="inlineStr">
        <is>
          <t>I</t>
        </is>
      </c>
      <c r="G2912" s="31" t="inlineStr">
        <is>
          <t>Combustor</t>
        </is>
      </c>
      <c r="H2912" s="27" t="n">
        <v>350</v>
      </c>
      <c r="I2912" s="27" t="n">
        <v>375</v>
      </c>
      <c r="J2912" s="154">
        <f>I2912/H2912-1</f>
        <v/>
      </c>
      <c r="K2912" s="31" t="inlineStr">
        <is>
          <t>31</t>
        </is>
      </c>
      <c r="L2912" s="31" t="inlineStr">
        <is>
          <t>30</t>
        </is>
      </c>
      <c r="M2912" s="31" t="inlineStr">
        <is>
          <t>S3</t>
        </is>
      </c>
      <c r="N2912" s="31" t="inlineStr">
        <is>
          <t>S5</t>
        </is>
      </c>
      <c r="O2912" s="31" t="inlineStr">
        <is>
          <t>1493M73G04</t>
        </is>
      </c>
      <c r="P2912" s="31" t="inlineStr">
        <is>
          <t>SR Technics Switzerland</t>
        </is>
      </c>
    </row>
    <row r="2913">
      <c r="B2913" s="31" t="inlineStr">
        <is>
          <t>CFM56-7B</t>
        </is>
      </c>
      <c r="C2913" s="31" t="inlineStr">
        <is>
          <t>2025-2026</t>
        </is>
      </c>
      <c r="D2913" s="31" t="inlineStr">
        <is>
          <t>2082</t>
        </is>
      </c>
      <c r="E2913" s="31" t="inlineStr">
        <is>
          <t>72-42-00</t>
        </is>
      </c>
      <c r="F2913" s="31" t="inlineStr">
        <is>
          <t>SB00</t>
        </is>
      </c>
      <c r="G2913" s="31" t="inlineStr">
        <is>
          <t>Combustor</t>
        </is>
      </c>
      <c r="H2913" s="27" t="n">
        <v>265</v>
      </c>
      <c r="I2913" s="27" t="n">
        <v>285</v>
      </c>
      <c r="J2913" s="154">
        <f>I2913/H2913-1</f>
        <v/>
      </c>
      <c r="K2913" s="31" t="inlineStr">
        <is>
          <t>31</t>
        </is>
      </c>
      <c r="L2913" s="31" t="inlineStr">
        <is>
          <t>30</t>
        </is>
      </c>
      <c r="M2913" s="31" t="inlineStr">
        <is>
          <t>S3</t>
        </is>
      </c>
      <c r="N2913" s="31" t="inlineStr">
        <is>
          <t>S5</t>
        </is>
      </c>
      <c r="O2913" s="31" t="inlineStr">
        <is>
          <t>1493M73G04</t>
        </is>
      </c>
      <c r="P2913" s="31" t="inlineStr">
        <is>
          <t>SR Technics Switzerland</t>
        </is>
      </c>
    </row>
    <row r="2914">
      <c r="B2914" s="31" t="inlineStr">
        <is>
          <t>CFM56-7B</t>
        </is>
      </c>
      <c r="C2914" s="31" t="inlineStr">
        <is>
          <t>2025-2026</t>
        </is>
      </c>
      <c r="D2914" s="31" t="inlineStr">
        <is>
          <t>2082</t>
        </is>
      </c>
      <c r="E2914" s="31" t="inlineStr">
        <is>
          <t>72-42-00</t>
        </is>
      </c>
      <c r="F2914" s="31" t="inlineStr">
        <is>
          <t>SB06</t>
        </is>
      </c>
      <c r="G2914" s="31" t="inlineStr">
        <is>
          <t>Combustor</t>
        </is>
      </c>
      <c r="H2914" s="27" t="n">
        <v>265</v>
      </c>
      <c r="I2914" s="27" t="n">
        <v>285</v>
      </c>
      <c r="J2914" s="154">
        <f>I2914/H2914-1</f>
        <v/>
      </c>
      <c r="K2914" s="31" t="inlineStr">
        <is>
          <t>31</t>
        </is>
      </c>
      <c r="L2914" s="31" t="inlineStr">
        <is>
          <t>30</t>
        </is>
      </c>
      <c r="M2914" s="31" t="inlineStr">
        <is>
          <t>S3</t>
        </is>
      </c>
      <c r="N2914" s="31" t="inlineStr">
        <is>
          <t>S5</t>
        </is>
      </c>
      <c r="O2914" s="31" t="inlineStr">
        <is>
          <t>1493M73G04</t>
        </is>
      </c>
      <c r="P2914" s="31" t="inlineStr">
        <is>
          <t>SR Technics Switzerland</t>
        </is>
      </c>
    </row>
    <row r="2915">
      <c r="B2915" s="31" t="inlineStr">
        <is>
          <t>CFM56-7B</t>
        </is>
      </c>
      <c r="C2915" s="31" t="inlineStr">
        <is>
          <t>2025-2026</t>
        </is>
      </c>
      <c r="D2915" s="31" t="inlineStr">
        <is>
          <t>2082</t>
        </is>
      </c>
      <c r="E2915" s="31" t="inlineStr">
        <is>
          <t>72-42-00</t>
        </is>
      </c>
      <c r="F2915" s="31" t="inlineStr">
        <is>
          <t>SB12</t>
        </is>
      </c>
      <c r="G2915" s="31" t="inlineStr">
        <is>
          <t>Combustor</t>
        </is>
      </c>
      <c r="H2915" s="27" t="n">
        <v>265</v>
      </c>
      <c r="I2915" s="27" t="n">
        <v>285</v>
      </c>
      <c r="J2915" s="154">
        <f>I2915/H2915-1</f>
        <v/>
      </c>
      <c r="K2915" s="31" t="inlineStr">
        <is>
          <t>31</t>
        </is>
      </c>
      <c r="L2915" s="31" t="inlineStr">
        <is>
          <t>30</t>
        </is>
      </c>
      <c r="M2915" s="31" t="inlineStr">
        <is>
          <t>S3</t>
        </is>
      </c>
      <c r="N2915" s="31" t="inlineStr">
        <is>
          <t>S5</t>
        </is>
      </c>
      <c r="O2915" s="31" t="inlineStr">
        <is>
          <t>1493M73G04</t>
        </is>
      </c>
      <c r="P2915" s="31" t="inlineStr">
        <is>
          <t>SR Technics Switzerland</t>
        </is>
      </c>
    </row>
    <row r="2916">
      <c r="B2916" s="31" t="inlineStr">
        <is>
          <t>CFM56-7B</t>
        </is>
      </c>
      <c r="C2916" s="31" t="inlineStr">
        <is>
          <t>2025-2026</t>
        </is>
      </c>
      <c r="D2916" s="31" t="inlineStr">
        <is>
          <t>212</t>
        </is>
      </c>
      <c r="E2916" s="31" t="inlineStr">
        <is>
          <t>72-23-02</t>
        </is>
      </c>
      <c r="F2916" s="31" t="inlineStr">
        <is>
          <t>A</t>
        </is>
      </c>
      <c r="G2916" s="31" t="inlineStr">
        <is>
          <t>Fan / booster</t>
        </is>
      </c>
      <c r="H2916" s="27" t="n">
        <v>2545</v>
      </c>
      <c r="I2916" s="27" t="n">
        <v>2675</v>
      </c>
      <c r="J2916" s="154">
        <f>I2916/H2916-1</f>
        <v/>
      </c>
      <c r="K2916" s="31" t="inlineStr">
        <is>
          <t>2</t>
        </is>
      </c>
      <c r="L2916" s="31" t="inlineStr">
        <is>
          <t>2</t>
        </is>
      </c>
      <c r="M2916" s="31" t="inlineStr">
        <is>
          <t>S3</t>
        </is>
      </c>
      <c r="N2916" s="31" t="inlineStr">
        <is>
          <t>S5</t>
        </is>
      </c>
      <c r="O2916" s="31" t="inlineStr">
        <is>
          <t>340-059-815-0</t>
        </is>
      </c>
      <c r="P2916" s="31" t="inlineStr">
        <is>
          <t>SR Technics Switzerland</t>
        </is>
      </c>
    </row>
    <row r="2917">
      <c r="B2917" s="31" t="inlineStr">
        <is>
          <t>CFM56-7B</t>
        </is>
      </c>
      <c r="C2917" s="31" t="inlineStr">
        <is>
          <t>2025-2026</t>
        </is>
      </c>
      <c r="D2917" s="31" t="inlineStr">
        <is>
          <t>212</t>
        </is>
      </c>
      <c r="E2917" s="31" t="inlineStr">
        <is>
          <t>72-23-02</t>
        </is>
      </c>
      <c r="F2917" s="31" t="inlineStr">
        <is>
          <t>AD</t>
        </is>
      </c>
      <c r="G2917" s="31" t="inlineStr">
        <is>
          <t>Fan / booster</t>
        </is>
      </c>
      <c r="H2917" s="27" t="n">
        <v>4530</v>
      </c>
      <c r="I2917" s="27" t="n">
        <v>4805</v>
      </c>
      <c r="J2917" s="154">
        <f>I2917/H2917-1</f>
        <v/>
      </c>
      <c r="K2917" s="31" t="inlineStr">
        <is>
          <t>2</t>
        </is>
      </c>
      <c r="L2917" s="31" t="inlineStr">
        <is>
          <t>2</t>
        </is>
      </c>
      <c r="M2917" s="31" t="inlineStr">
        <is>
          <t>S3</t>
        </is>
      </c>
      <c r="N2917" s="31" t="inlineStr">
        <is>
          <t>S5</t>
        </is>
      </c>
      <c r="O2917" s="31" t="inlineStr">
        <is>
          <t>340-059-815-0</t>
        </is>
      </c>
      <c r="P2917" s="31" t="inlineStr">
        <is>
          <t>SR Technics Switzerland</t>
        </is>
      </c>
    </row>
    <row r="2918">
      <c r="B2918" s="31" t="inlineStr">
        <is>
          <t>CFM56-7B</t>
        </is>
      </c>
      <c r="C2918" s="31" t="inlineStr">
        <is>
          <t>2025-2026</t>
        </is>
      </c>
      <c r="D2918" s="31" t="inlineStr">
        <is>
          <t>212</t>
        </is>
      </c>
      <c r="E2918" s="31" t="inlineStr">
        <is>
          <t>72-23-02</t>
        </is>
      </c>
      <c r="F2918" s="31" t="inlineStr">
        <is>
          <t>AE</t>
        </is>
      </c>
      <c r="G2918" s="31" t="inlineStr">
        <is>
          <t>Fan / booster</t>
        </is>
      </c>
      <c r="H2918" s="27" t="n">
        <v>1095</v>
      </c>
      <c r="I2918" s="27" t="n">
        <v>1165</v>
      </c>
      <c r="J2918" s="154">
        <f>I2918/H2918-1</f>
        <v/>
      </c>
      <c r="K2918" s="31" t="inlineStr">
        <is>
          <t>2</t>
        </is>
      </c>
      <c r="L2918" s="31" t="inlineStr">
        <is>
          <t>2</t>
        </is>
      </c>
      <c r="M2918" s="31" t="inlineStr">
        <is>
          <t>S3</t>
        </is>
      </c>
      <c r="N2918" s="31" t="inlineStr">
        <is>
          <t>S5</t>
        </is>
      </c>
      <c r="O2918" s="31" t="inlineStr">
        <is>
          <t>340-059-815-0</t>
        </is>
      </c>
      <c r="P2918" s="31" t="inlineStr">
        <is>
          <t>SR Technics Switzerland</t>
        </is>
      </c>
    </row>
    <row r="2919">
      <c r="B2919" s="31" t="inlineStr">
        <is>
          <t>CFM56-7B</t>
        </is>
      </c>
      <c r="C2919" s="31" t="inlineStr">
        <is>
          <t>2025-2026</t>
        </is>
      </c>
      <c r="D2919" s="31" t="inlineStr">
        <is>
          <t>212</t>
        </is>
      </c>
      <c r="E2919" s="31" t="inlineStr">
        <is>
          <t>72-23-02</t>
        </is>
      </c>
      <c r="F2919" s="31" t="inlineStr">
        <is>
          <t>AI</t>
        </is>
      </c>
      <c r="G2919" s="31" t="inlineStr">
        <is>
          <t>Fan / booster</t>
        </is>
      </c>
      <c r="H2919" s="27" t="n">
        <v>3910</v>
      </c>
      <c r="I2919" s="27" t="n">
        <v>4145</v>
      </c>
      <c r="J2919" s="154">
        <f>I2919/H2919-1</f>
        <v/>
      </c>
      <c r="K2919" s="31" t="inlineStr">
        <is>
          <t>2</t>
        </is>
      </c>
      <c r="L2919" s="31" t="inlineStr">
        <is>
          <t>2</t>
        </is>
      </c>
      <c r="M2919" s="31" t="inlineStr">
        <is>
          <t>S3</t>
        </is>
      </c>
      <c r="N2919" s="31" t="inlineStr">
        <is>
          <t>S5</t>
        </is>
      </c>
      <c r="O2919" s="31" t="inlineStr">
        <is>
          <t>340-059-815-0</t>
        </is>
      </c>
      <c r="P2919" s="31" t="inlineStr">
        <is>
          <t>SR Technics Switzerland</t>
        </is>
      </c>
    </row>
    <row r="2920">
      <c r="B2920" s="31" t="inlineStr">
        <is>
          <t>CFM56-7B</t>
        </is>
      </c>
      <c r="C2920" s="31" t="inlineStr">
        <is>
          <t>2025-2026</t>
        </is>
      </c>
      <c r="D2920" s="31" t="inlineStr">
        <is>
          <t>212</t>
        </is>
      </c>
      <c r="E2920" s="31" t="inlineStr">
        <is>
          <t>72-23-02</t>
        </is>
      </c>
      <c r="F2920" s="31" t="inlineStr">
        <is>
          <t>AJ</t>
        </is>
      </c>
      <c r="G2920" s="31" t="inlineStr">
        <is>
          <t>Fan / booster</t>
        </is>
      </c>
      <c r="H2920" s="27" t="n">
        <v>3420</v>
      </c>
      <c r="I2920" s="27" t="n">
        <v>3630</v>
      </c>
      <c r="J2920" s="154">
        <f>I2920/H2920-1</f>
        <v/>
      </c>
      <c r="K2920" s="31" t="inlineStr">
        <is>
          <t>2</t>
        </is>
      </c>
      <c r="L2920" s="31" t="inlineStr">
        <is>
          <t>2</t>
        </is>
      </c>
      <c r="M2920" s="31" t="inlineStr">
        <is>
          <t>S3</t>
        </is>
      </c>
      <c r="N2920" s="31" t="inlineStr">
        <is>
          <t>S5</t>
        </is>
      </c>
      <c r="O2920" s="31" t="inlineStr">
        <is>
          <t>340-059-815-0</t>
        </is>
      </c>
      <c r="P2920" s="31" t="inlineStr">
        <is>
          <t>SR Technics Switzerland</t>
        </is>
      </c>
    </row>
    <row r="2921">
      <c r="B2921" s="31" t="inlineStr">
        <is>
          <t>CFM56-7B</t>
        </is>
      </c>
      <c r="C2921" s="31" t="inlineStr">
        <is>
          <t>2025-2026</t>
        </is>
      </c>
      <c r="D2921" s="31" t="inlineStr">
        <is>
          <t>212</t>
        </is>
      </c>
      <c r="E2921" s="31" t="inlineStr">
        <is>
          <t>72-23-02</t>
        </is>
      </c>
      <c r="F2921" s="31" t="inlineStr">
        <is>
          <t>AL</t>
        </is>
      </c>
      <c r="G2921" s="31" t="inlineStr">
        <is>
          <t>Fan / booster</t>
        </is>
      </c>
      <c r="H2921" s="27" t="n">
        <v>1310</v>
      </c>
      <c r="I2921" s="27" t="n">
        <v>1390</v>
      </c>
      <c r="J2921" s="154">
        <f>I2921/H2921-1</f>
        <v/>
      </c>
      <c r="K2921" s="31" t="inlineStr">
        <is>
          <t>2</t>
        </is>
      </c>
      <c r="L2921" s="31" t="inlineStr">
        <is>
          <t>2</t>
        </is>
      </c>
      <c r="M2921" s="31" t="inlineStr">
        <is>
          <t>S3</t>
        </is>
      </c>
      <c r="N2921" s="31" t="inlineStr">
        <is>
          <t>S5</t>
        </is>
      </c>
      <c r="O2921" s="31" t="inlineStr">
        <is>
          <t>340-059-815-0</t>
        </is>
      </c>
      <c r="P2921" s="31" t="inlineStr">
        <is>
          <t>SR Technics Switzerland</t>
        </is>
      </c>
    </row>
    <row r="2922">
      <c r="B2922" s="31" t="inlineStr">
        <is>
          <t>CFM56-7B</t>
        </is>
      </c>
      <c r="C2922" s="31" t="inlineStr">
        <is>
          <t>2025-2026</t>
        </is>
      </c>
      <c r="D2922" s="31" t="inlineStr">
        <is>
          <t>212</t>
        </is>
      </c>
      <c r="E2922" s="31" t="inlineStr">
        <is>
          <t>72-23-02</t>
        </is>
      </c>
      <c r="F2922" s="31" t="inlineStr">
        <is>
          <t>AM</t>
        </is>
      </c>
      <c r="G2922" s="31" t="inlineStr">
        <is>
          <t>Fan / booster</t>
        </is>
      </c>
      <c r="H2922" s="27" t="n">
        <v>655</v>
      </c>
      <c r="I2922" s="27" t="n">
        <v>695</v>
      </c>
      <c r="J2922" s="154">
        <f>I2922/H2922-1</f>
        <v/>
      </c>
      <c r="K2922" s="31" t="inlineStr">
        <is>
          <t>2</t>
        </is>
      </c>
      <c r="L2922" s="31" t="inlineStr">
        <is>
          <t>2</t>
        </is>
      </c>
      <c r="M2922" s="31" t="inlineStr">
        <is>
          <t>S3</t>
        </is>
      </c>
      <c r="N2922" s="31" t="inlineStr">
        <is>
          <t>S5</t>
        </is>
      </c>
      <c r="O2922" s="31" t="inlineStr">
        <is>
          <t>340-059-815-0</t>
        </is>
      </c>
      <c r="P2922" s="31" t="inlineStr">
        <is>
          <t>SR Technics Switzerland</t>
        </is>
      </c>
    </row>
    <row r="2923">
      <c r="B2923" s="31" t="inlineStr">
        <is>
          <t>CFM56-7B</t>
        </is>
      </c>
      <c r="C2923" s="31" t="inlineStr">
        <is>
          <t>2025-2026</t>
        </is>
      </c>
      <c r="D2923" s="31" t="inlineStr">
        <is>
          <t>212</t>
        </is>
      </c>
      <c r="E2923" s="31" t="inlineStr">
        <is>
          <t>72-23-02</t>
        </is>
      </c>
      <c r="F2923" s="31" t="inlineStr">
        <is>
          <t>AN</t>
        </is>
      </c>
      <c r="G2923" s="31" t="inlineStr">
        <is>
          <t>Fan / booster</t>
        </is>
      </c>
      <c r="H2923" s="27" t="n">
        <v>860</v>
      </c>
      <c r="I2923" s="27" t="n">
        <v>915</v>
      </c>
      <c r="J2923" s="154">
        <f>I2923/H2923-1</f>
        <v/>
      </c>
      <c r="K2923" s="31" t="inlineStr">
        <is>
          <t>2</t>
        </is>
      </c>
      <c r="L2923" s="31" t="inlineStr">
        <is>
          <t>2</t>
        </is>
      </c>
      <c r="M2923" s="31" t="inlineStr">
        <is>
          <t>S3</t>
        </is>
      </c>
      <c r="N2923" s="31" t="inlineStr">
        <is>
          <t>S5</t>
        </is>
      </c>
      <c r="O2923" s="31" t="inlineStr">
        <is>
          <t>340-059-815-0</t>
        </is>
      </c>
      <c r="P2923" s="31" t="inlineStr">
        <is>
          <t>SR Technics Switzerland</t>
        </is>
      </c>
    </row>
    <row r="2924">
      <c r="B2924" s="31" t="inlineStr">
        <is>
          <t>CFM56-7B</t>
        </is>
      </c>
      <c r="C2924" s="31" t="inlineStr">
        <is>
          <t>2025-2026</t>
        </is>
      </c>
      <c r="D2924" s="31" t="inlineStr">
        <is>
          <t>212</t>
        </is>
      </c>
      <c r="E2924" s="31" t="inlineStr">
        <is>
          <t>72-23-02</t>
        </is>
      </c>
      <c r="F2924" s="31" t="inlineStr">
        <is>
          <t>C</t>
        </is>
      </c>
      <c r="G2924" s="31" t="inlineStr">
        <is>
          <t>Fan / booster</t>
        </is>
      </c>
      <c r="H2924" s="27" t="n">
        <v>325</v>
      </c>
      <c r="I2924" s="27" t="n">
        <v>345</v>
      </c>
      <c r="J2924" s="154">
        <f>I2924/H2924-1</f>
        <v/>
      </c>
      <c r="K2924" s="31" t="inlineStr">
        <is>
          <t>2</t>
        </is>
      </c>
      <c r="L2924" s="31" t="inlineStr">
        <is>
          <t>2</t>
        </is>
      </c>
      <c r="M2924" s="31" t="inlineStr">
        <is>
          <t>S3</t>
        </is>
      </c>
      <c r="N2924" s="31" t="inlineStr">
        <is>
          <t>S5</t>
        </is>
      </c>
      <c r="O2924" s="31" t="inlineStr">
        <is>
          <t>340-059-815-0</t>
        </is>
      </c>
      <c r="P2924" s="31" t="inlineStr">
        <is>
          <t>SR Technics Switzerland</t>
        </is>
      </c>
    </row>
    <row r="2925">
      <c r="B2925" s="31" t="inlineStr">
        <is>
          <t>CFM56-7B</t>
        </is>
      </c>
      <c r="C2925" s="31" t="inlineStr">
        <is>
          <t>2025-2026</t>
        </is>
      </c>
      <c r="D2925" s="31" t="inlineStr">
        <is>
          <t>212</t>
        </is>
      </c>
      <c r="E2925" s="31" t="inlineStr">
        <is>
          <t>72-23-02</t>
        </is>
      </c>
      <c r="F2925" s="31" t="inlineStr">
        <is>
          <t>D</t>
        </is>
      </c>
      <c r="G2925" s="31" t="inlineStr">
        <is>
          <t>Fan / booster</t>
        </is>
      </c>
      <c r="H2925" s="27" t="n">
        <v>1610</v>
      </c>
      <c r="I2925" s="27" t="n">
        <v>1710</v>
      </c>
      <c r="J2925" s="154">
        <f>I2925/H2925-1</f>
        <v/>
      </c>
      <c r="K2925" s="31" t="inlineStr">
        <is>
          <t>2</t>
        </is>
      </c>
      <c r="L2925" s="31" t="inlineStr">
        <is>
          <t>2</t>
        </is>
      </c>
      <c r="M2925" s="31" t="inlineStr">
        <is>
          <t>S3</t>
        </is>
      </c>
      <c r="N2925" s="31" t="inlineStr">
        <is>
          <t>S5</t>
        </is>
      </c>
      <c r="O2925" s="31" t="inlineStr">
        <is>
          <t>340-059-815-0</t>
        </is>
      </c>
      <c r="P2925" s="31" t="inlineStr">
        <is>
          <t>SR Technics Switzerland</t>
        </is>
      </c>
    </row>
    <row r="2926">
      <c r="B2926" s="31" t="inlineStr">
        <is>
          <t>CFM56-7B</t>
        </is>
      </c>
      <c r="C2926" s="31" t="inlineStr">
        <is>
          <t>2025-2026</t>
        </is>
      </c>
      <c r="D2926" s="31" t="inlineStr">
        <is>
          <t>212</t>
        </is>
      </c>
      <c r="E2926" s="31" t="inlineStr">
        <is>
          <t>72-23-02</t>
        </is>
      </c>
      <c r="F2926" s="31" t="inlineStr">
        <is>
          <t>F</t>
        </is>
      </c>
      <c r="G2926" s="31" t="inlineStr">
        <is>
          <t>Fan / booster</t>
        </is>
      </c>
      <c r="H2926" s="27" t="n">
        <v>2570</v>
      </c>
      <c r="I2926" s="27" t="n">
        <v>2725</v>
      </c>
      <c r="J2926" s="154">
        <f>I2926/H2926-1</f>
        <v/>
      </c>
      <c r="K2926" s="31" t="inlineStr">
        <is>
          <t>2</t>
        </is>
      </c>
      <c r="L2926" s="31" t="inlineStr">
        <is>
          <t>2</t>
        </is>
      </c>
      <c r="M2926" s="31" t="inlineStr">
        <is>
          <t>S3</t>
        </is>
      </c>
      <c r="N2926" s="31" t="inlineStr">
        <is>
          <t>S5</t>
        </is>
      </c>
      <c r="O2926" s="31" t="inlineStr">
        <is>
          <t>340-059-815-0</t>
        </is>
      </c>
      <c r="P2926" s="31" t="inlineStr">
        <is>
          <t>SR Technics Switzerland</t>
        </is>
      </c>
    </row>
    <row r="2927">
      <c r="B2927" s="31" t="inlineStr">
        <is>
          <t>CFM56-7B</t>
        </is>
      </c>
      <c r="C2927" s="31" t="inlineStr">
        <is>
          <t>2025-2026</t>
        </is>
      </c>
      <c r="D2927" s="31" t="inlineStr">
        <is>
          <t>212</t>
        </is>
      </c>
      <c r="E2927" s="31" t="inlineStr">
        <is>
          <t>72-23-02</t>
        </is>
      </c>
      <c r="F2927" s="31" t="inlineStr">
        <is>
          <t>I</t>
        </is>
      </c>
      <c r="G2927" s="31" t="inlineStr">
        <is>
          <t>Fan / booster</t>
        </is>
      </c>
      <c r="H2927" s="27" t="n">
        <v>1610</v>
      </c>
      <c r="I2927" s="27" t="n">
        <v>1710</v>
      </c>
      <c r="J2927" s="154">
        <f>I2927/H2927-1</f>
        <v/>
      </c>
      <c r="K2927" s="31" t="inlineStr">
        <is>
          <t>2</t>
        </is>
      </c>
      <c r="L2927" s="31" t="inlineStr">
        <is>
          <t>2</t>
        </is>
      </c>
      <c r="M2927" s="31" t="inlineStr">
        <is>
          <t>S3</t>
        </is>
      </c>
      <c r="N2927" s="31" t="inlineStr">
        <is>
          <t>S5</t>
        </is>
      </c>
      <c r="O2927" s="31" t="inlineStr">
        <is>
          <t>340-059-815-0</t>
        </is>
      </c>
      <c r="P2927" s="31" t="inlineStr">
        <is>
          <t>SR Technics Switzerland</t>
        </is>
      </c>
    </row>
    <row r="2928">
      <c r="B2928" s="31" t="inlineStr">
        <is>
          <t>CFM56-7B</t>
        </is>
      </c>
      <c r="C2928" s="31" t="inlineStr">
        <is>
          <t>2025-2026</t>
        </is>
      </c>
      <c r="D2928" s="31" t="inlineStr">
        <is>
          <t>212</t>
        </is>
      </c>
      <c r="E2928" s="31" t="inlineStr">
        <is>
          <t>72-23-02</t>
        </is>
      </c>
      <c r="F2928" s="31" t="inlineStr">
        <is>
          <t>K</t>
        </is>
      </c>
      <c r="G2928" s="31" t="inlineStr">
        <is>
          <t>Fan / booster</t>
        </is>
      </c>
      <c r="H2928" s="27" t="n">
        <v>1470</v>
      </c>
      <c r="I2928" s="27" t="n">
        <v>1560</v>
      </c>
      <c r="J2928" s="154">
        <f>I2928/H2928-1</f>
        <v/>
      </c>
      <c r="K2928" s="31" t="inlineStr">
        <is>
          <t>2</t>
        </is>
      </c>
      <c r="L2928" s="31" t="inlineStr">
        <is>
          <t>2</t>
        </is>
      </c>
      <c r="M2928" s="31" t="inlineStr">
        <is>
          <t>S3</t>
        </is>
      </c>
      <c r="N2928" s="31" t="inlineStr">
        <is>
          <t>S5</t>
        </is>
      </c>
      <c r="O2928" s="31" t="inlineStr">
        <is>
          <t>340-059-815-0</t>
        </is>
      </c>
      <c r="P2928" s="31" t="inlineStr">
        <is>
          <t>SR Technics Switzerland</t>
        </is>
      </c>
    </row>
    <row r="2929">
      <c r="B2929" s="31" t="inlineStr">
        <is>
          <t>CFM56-7B</t>
        </is>
      </c>
      <c r="C2929" s="31" t="inlineStr">
        <is>
          <t>2025-2026</t>
        </is>
      </c>
      <c r="D2929" s="31" t="inlineStr">
        <is>
          <t>212</t>
        </is>
      </c>
      <c r="E2929" s="31" t="inlineStr">
        <is>
          <t>72-23-02</t>
        </is>
      </c>
      <c r="F2929" s="31" t="inlineStr">
        <is>
          <t>L</t>
        </is>
      </c>
      <c r="G2929" s="31" t="inlineStr">
        <is>
          <t>Fan / booster</t>
        </is>
      </c>
      <c r="H2929" s="27" t="n">
        <v>23125</v>
      </c>
      <c r="I2929" s="27" t="n">
        <v>24515</v>
      </c>
      <c r="J2929" s="154">
        <f>I2929/H2929-1</f>
        <v/>
      </c>
      <c r="K2929" s="31" t="inlineStr">
        <is>
          <t>2</t>
        </is>
      </c>
      <c r="L2929" s="31" t="inlineStr">
        <is>
          <t>2</t>
        </is>
      </c>
      <c r="M2929" s="31" t="inlineStr">
        <is>
          <t>S3</t>
        </is>
      </c>
      <c r="N2929" s="31" t="inlineStr">
        <is>
          <t>S5</t>
        </is>
      </c>
      <c r="O2929" s="31" t="inlineStr">
        <is>
          <t>340-059-815-0</t>
        </is>
      </c>
      <c r="P2929" s="31" t="inlineStr">
        <is>
          <t>SR Technics Switzerland</t>
        </is>
      </c>
    </row>
    <row r="2930">
      <c r="B2930" s="31" t="inlineStr">
        <is>
          <t>CFM56-7B</t>
        </is>
      </c>
      <c r="C2930" s="31" t="inlineStr">
        <is>
          <t>2025-2026</t>
        </is>
      </c>
      <c r="D2930" s="31" t="inlineStr">
        <is>
          <t>212</t>
        </is>
      </c>
      <c r="E2930" s="31" t="inlineStr">
        <is>
          <t>72-23-02</t>
        </is>
      </c>
      <c r="F2930" s="31" t="inlineStr">
        <is>
          <t>P</t>
        </is>
      </c>
      <c r="G2930" s="31" t="inlineStr">
        <is>
          <t>Fan / booster</t>
        </is>
      </c>
      <c r="H2930" s="27" t="n">
        <v>2670</v>
      </c>
      <c r="I2930" s="27" t="n">
        <v>2835</v>
      </c>
      <c r="J2930" s="154">
        <f>I2930/H2930-1</f>
        <v/>
      </c>
      <c r="K2930" s="31" t="inlineStr">
        <is>
          <t>2</t>
        </is>
      </c>
      <c r="L2930" s="31" t="inlineStr">
        <is>
          <t>2</t>
        </is>
      </c>
      <c r="M2930" s="31" t="inlineStr">
        <is>
          <t>S3</t>
        </is>
      </c>
      <c r="N2930" s="31" t="inlineStr">
        <is>
          <t>S5</t>
        </is>
      </c>
      <c r="O2930" s="31" t="inlineStr">
        <is>
          <t>340-059-815-0</t>
        </is>
      </c>
      <c r="P2930" s="31" t="inlineStr">
        <is>
          <t>SR Technics Switzerland</t>
        </is>
      </c>
    </row>
    <row r="2931">
      <c r="B2931" s="31" t="inlineStr">
        <is>
          <t>CFM56-7B</t>
        </is>
      </c>
      <c r="C2931" s="31" t="inlineStr">
        <is>
          <t>2025-2026</t>
        </is>
      </c>
      <c r="D2931" s="31" t="inlineStr">
        <is>
          <t>212</t>
        </is>
      </c>
      <c r="E2931" s="31" t="inlineStr">
        <is>
          <t>72-23-02</t>
        </is>
      </c>
      <c r="F2931" s="31" t="inlineStr">
        <is>
          <t>Q</t>
        </is>
      </c>
      <c r="G2931" s="31" t="inlineStr">
        <is>
          <t>Fan / booster</t>
        </is>
      </c>
      <c r="H2931" s="27" t="n">
        <v>5330</v>
      </c>
      <c r="I2931" s="27" t="n">
        <v>5650</v>
      </c>
      <c r="J2931" s="154">
        <f>I2931/H2931-1</f>
        <v/>
      </c>
      <c r="K2931" s="31" t="inlineStr">
        <is>
          <t>2</t>
        </is>
      </c>
      <c r="L2931" s="31" t="inlineStr">
        <is>
          <t>2</t>
        </is>
      </c>
      <c r="M2931" s="31" t="inlineStr">
        <is>
          <t>S3</t>
        </is>
      </c>
      <c r="N2931" s="31" t="inlineStr">
        <is>
          <t>S5</t>
        </is>
      </c>
      <c r="O2931" s="31" t="inlineStr">
        <is>
          <t>340-059-815-0</t>
        </is>
      </c>
      <c r="P2931" s="31" t="inlineStr">
        <is>
          <t>SR Technics Switzerland</t>
        </is>
      </c>
    </row>
    <row r="2932">
      <c r="B2932" s="31" t="inlineStr">
        <is>
          <t>CFM56-7B</t>
        </is>
      </c>
      <c r="C2932" s="31" t="inlineStr">
        <is>
          <t>2025-2026</t>
        </is>
      </c>
      <c r="D2932" s="31" t="inlineStr">
        <is>
          <t>212</t>
        </is>
      </c>
      <c r="E2932" s="31" t="inlineStr">
        <is>
          <t>72-23-02</t>
        </is>
      </c>
      <c r="F2932" s="31" t="inlineStr">
        <is>
          <t>SB01</t>
        </is>
      </c>
      <c r="G2932" s="31" t="inlineStr">
        <is>
          <t>Fan / booster</t>
        </is>
      </c>
      <c r="H2932" s="27" t="n">
        <v>5720</v>
      </c>
      <c r="I2932" s="27" t="n">
        <v>6065</v>
      </c>
      <c r="J2932" s="154">
        <f>I2932/H2932-1</f>
        <v/>
      </c>
      <c r="K2932" s="31" t="inlineStr">
        <is>
          <t>2</t>
        </is>
      </c>
      <c r="L2932" s="31" t="inlineStr">
        <is>
          <t>2</t>
        </is>
      </c>
      <c r="M2932" s="31" t="inlineStr">
        <is>
          <t>S3</t>
        </is>
      </c>
      <c r="N2932" s="31" t="inlineStr">
        <is>
          <t>S5</t>
        </is>
      </c>
      <c r="O2932" s="31" t="inlineStr">
        <is>
          <t>340-059-815-0</t>
        </is>
      </c>
      <c r="P2932" s="31" t="inlineStr">
        <is>
          <t>SR Technics Switzerland</t>
        </is>
      </c>
    </row>
    <row r="2933">
      <c r="B2933" s="31" t="inlineStr">
        <is>
          <t>CFM56-7B</t>
        </is>
      </c>
      <c r="C2933" s="31" t="inlineStr">
        <is>
          <t>2025-2026</t>
        </is>
      </c>
      <c r="D2933" s="31" t="inlineStr">
        <is>
          <t>212</t>
        </is>
      </c>
      <c r="E2933" s="31" t="inlineStr">
        <is>
          <t>72-23-02</t>
        </is>
      </c>
      <c r="F2933" s="31" t="inlineStr">
        <is>
          <t>SB02</t>
        </is>
      </c>
      <c r="G2933" s="31" t="inlineStr">
        <is>
          <t>Fan / booster</t>
        </is>
      </c>
      <c r="H2933" s="27" t="n">
        <v>160</v>
      </c>
      <c r="I2933" s="27" t="n">
        <v>170</v>
      </c>
      <c r="J2933" s="154">
        <f>I2933/H2933-1</f>
        <v/>
      </c>
      <c r="K2933" s="31" t="inlineStr">
        <is>
          <t>2</t>
        </is>
      </c>
      <c r="L2933" s="31" t="inlineStr">
        <is>
          <t>2</t>
        </is>
      </c>
      <c r="M2933" s="31" t="inlineStr">
        <is>
          <t>S3</t>
        </is>
      </c>
      <c r="N2933" s="31" t="inlineStr">
        <is>
          <t>S5</t>
        </is>
      </c>
      <c r="O2933" s="31" t="inlineStr">
        <is>
          <t>340-059-815-0</t>
        </is>
      </c>
      <c r="P2933" s="31" t="inlineStr">
        <is>
          <t>SR Technics Switzerland</t>
        </is>
      </c>
    </row>
    <row r="2934">
      <c r="B2934" s="31" t="inlineStr">
        <is>
          <t>CFM56-7B</t>
        </is>
      </c>
      <c r="C2934" s="31" t="inlineStr">
        <is>
          <t>2025-2026</t>
        </is>
      </c>
      <c r="D2934" s="31" t="inlineStr">
        <is>
          <t>212</t>
        </is>
      </c>
      <c r="E2934" s="31" t="inlineStr">
        <is>
          <t>72-23-02</t>
        </is>
      </c>
      <c r="F2934" s="31" t="inlineStr">
        <is>
          <t>SB04</t>
        </is>
      </c>
      <c r="G2934" s="31" t="inlineStr">
        <is>
          <t>Fan / booster</t>
        </is>
      </c>
      <c r="H2934" s="27" t="n">
        <v>8650</v>
      </c>
      <c r="I2934" s="27" t="n">
        <v>9170</v>
      </c>
      <c r="J2934" s="154">
        <f>I2934/H2934-1</f>
        <v/>
      </c>
      <c r="K2934" s="31" t="inlineStr">
        <is>
          <t>2</t>
        </is>
      </c>
      <c r="L2934" s="31" t="inlineStr">
        <is>
          <t>2</t>
        </is>
      </c>
      <c r="M2934" s="31" t="inlineStr">
        <is>
          <t>S3</t>
        </is>
      </c>
      <c r="N2934" s="31" t="inlineStr">
        <is>
          <t>S5</t>
        </is>
      </c>
      <c r="O2934" s="31" t="inlineStr">
        <is>
          <t>340-059-815-0</t>
        </is>
      </c>
      <c r="P2934" s="31" t="inlineStr">
        <is>
          <t>SR Technics Switzerland</t>
        </is>
      </c>
    </row>
    <row r="2935">
      <c r="B2935" s="31" t="inlineStr">
        <is>
          <t>CFM56-7B</t>
        </is>
      </c>
      <c r="C2935" s="31" t="inlineStr">
        <is>
          <t>2025-2026</t>
        </is>
      </c>
      <c r="D2935" s="31" t="inlineStr">
        <is>
          <t>212</t>
        </is>
      </c>
      <c r="E2935" s="31" t="inlineStr">
        <is>
          <t>72-23-02</t>
        </is>
      </c>
      <c r="F2935" s="31" t="inlineStr">
        <is>
          <t>SB05</t>
        </is>
      </c>
      <c r="G2935" s="31" t="inlineStr">
        <is>
          <t>Fan / booster</t>
        </is>
      </c>
      <c r="H2935" s="27" t="n">
        <v>185</v>
      </c>
      <c r="I2935" s="27" t="n">
        <v>200</v>
      </c>
      <c r="J2935" s="154">
        <f>I2935/H2935-1</f>
        <v/>
      </c>
      <c r="K2935" s="31" t="inlineStr">
        <is>
          <t>2</t>
        </is>
      </c>
      <c r="L2935" s="31" t="inlineStr">
        <is>
          <t>2</t>
        </is>
      </c>
      <c r="M2935" s="31" t="inlineStr">
        <is>
          <t>S3</t>
        </is>
      </c>
      <c r="N2935" s="31" t="inlineStr">
        <is>
          <t>S5</t>
        </is>
      </c>
      <c r="O2935" s="31" t="inlineStr">
        <is>
          <t>340-059-815-0</t>
        </is>
      </c>
      <c r="P2935" s="31" t="inlineStr">
        <is>
          <t>SR Technics Switzerland</t>
        </is>
      </c>
    </row>
    <row r="2936">
      <c r="B2936" s="31" t="inlineStr">
        <is>
          <t>CFM56-7B</t>
        </is>
      </c>
      <c r="C2936" s="31" t="inlineStr">
        <is>
          <t>2025-2026</t>
        </is>
      </c>
      <c r="D2936" s="31" t="inlineStr">
        <is>
          <t>212</t>
        </is>
      </c>
      <c r="E2936" s="31" t="inlineStr">
        <is>
          <t>72-23-02</t>
        </is>
      </c>
      <c r="F2936" s="31" t="inlineStr">
        <is>
          <t>U</t>
        </is>
      </c>
      <c r="G2936" s="31" t="inlineStr">
        <is>
          <t>Fan / booster</t>
        </is>
      </c>
      <c r="H2936" s="27" t="n">
        <v>3570</v>
      </c>
      <c r="I2936" s="27" t="n">
        <v>3785</v>
      </c>
      <c r="J2936" s="154">
        <f>I2936/H2936-1</f>
        <v/>
      </c>
      <c r="K2936" s="31" t="inlineStr">
        <is>
          <t>2</t>
        </is>
      </c>
      <c r="L2936" s="31" t="inlineStr">
        <is>
          <t>2</t>
        </is>
      </c>
      <c r="M2936" s="31" t="inlineStr">
        <is>
          <t>S3</t>
        </is>
      </c>
      <c r="N2936" s="31" t="inlineStr">
        <is>
          <t>S5</t>
        </is>
      </c>
      <c r="O2936" s="31" t="inlineStr">
        <is>
          <t>340-059-815-0</t>
        </is>
      </c>
      <c r="P2936" s="31" t="inlineStr">
        <is>
          <t>SR Technics Switzerland</t>
        </is>
      </c>
    </row>
    <row r="2937">
      <c r="B2937" s="31" t="inlineStr">
        <is>
          <t>CFM56-7B</t>
        </is>
      </c>
      <c r="C2937" s="31" t="inlineStr">
        <is>
          <t>2025-2026</t>
        </is>
      </c>
      <c r="D2937" s="31" t="inlineStr">
        <is>
          <t>212</t>
        </is>
      </c>
      <c r="E2937" s="31" t="inlineStr">
        <is>
          <t>72-23-02</t>
        </is>
      </c>
      <c r="F2937" s="31" t="inlineStr">
        <is>
          <t>V</t>
        </is>
      </c>
      <c r="G2937" s="31" t="inlineStr">
        <is>
          <t>Fan / booster</t>
        </is>
      </c>
      <c r="H2937" s="27" t="n">
        <v>765</v>
      </c>
      <c r="I2937" s="27" t="n">
        <v>815</v>
      </c>
      <c r="J2937" s="154">
        <f>I2937/H2937-1</f>
        <v/>
      </c>
      <c r="K2937" s="31" t="inlineStr">
        <is>
          <t>2</t>
        </is>
      </c>
      <c r="L2937" s="31" t="inlineStr">
        <is>
          <t>2</t>
        </is>
      </c>
      <c r="M2937" s="31" t="inlineStr">
        <is>
          <t>S3</t>
        </is>
      </c>
      <c r="N2937" s="31" t="inlineStr">
        <is>
          <t>S5</t>
        </is>
      </c>
      <c r="O2937" s="31" t="inlineStr">
        <is>
          <t>340-059-815-0</t>
        </is>
      </c>
      <c r="P2937" s="31" t="inlineStr">
        <is>
          <t>SR Technics Switzerland</t>
        </is>
      </c>
    </row>
    <row r="2938">
      <c r="B2938" s="31" t="inlineStr">
        <is>
          <t>CFM56-7B</t>
        </is>
      </c>
      <c r="C2938" s="31" t="inlineStr">
        <is>
          <t>2025-2026</t>
        </is>
      </c>
      <c r="D2938" s="31" t="inlineStr">
        <is>
          <t>212</t>
        </is>
      </c>
      <c r="E2938" s="31" t="inlineStr">
        <is>
          <t>72-23-02</t>
        </is>
      </c>
      <c r="F2938" s="31" t="inlineStr">
        <is>
          <t>W</t>
        </is>
      </c>
      <c r="G2938" s="31" t="inlineStr">
        <is>
          <t>Fan / booster</t>
        </is>
      </c>
      <c r="H2938" s="27" t="n">
        <v>3125</v>
      </c>
      <c r="I2938" s="27" t="n">
        <v>3315</v>
      </c>
      <c r="J2938" s="154">
        <f>I2938/H2938-1</f>
        <v/>
      </c>
      <c r="K2938" s="31" t="inlineStr">
        <is>
          <t>2</t>
        </is>
      </c>
      <c r="L2938" s="31" t="inlineStr">
        <is>
          <t>2</t>
        </is>
      </c>
      <c r="M2938" s="31" t="inlineStr">
        <is>
          <t>S3</t>
        </is>
      </c>
      <c r="N2938" s="31" t="inlineStr">
        <is>
          <t>S5</t>
        </is>
      </c>
      <c r="O2938" s="31" t="inlineStr">
        <is>
          <t>340-059-815-0</t>
        </is>
      </c>
      <c r="P2938" s="31" t="inlineStr">
        <is>
          <t>SR Technics Switzerland</t>
        </is>
      </c>
    </row>
    <row r="2939">
      <c r="B2939" s="31" t="inlineStr">
        <is>
          <t>CFM56-7B</t>
        </is>
      </c>
      <c r="C2939" s="31" t="inlineStr">
        <is>
          <t>2025-2026</t>
        </is>
      </c>
      <c r="D2939" s="31" t="inlineStr">
        <is>
          <t>212</t>
        </is>
      </c>
      <c r="E2939" s="31" t="inlineStr">
        <is>
          <t>72-23-02</t>
        </is>
      </c>
      <c r="F2939" s="31" t="inlineStr">
        <is>
          <t>Y</t>
        </is>
      </c>
      <c r="G2939" s="31" t="inlineStr">
        <is>
          <t>Fan / booster</t>
        </is>
      </c>
      <c r="H2939" s="27" t="n">
        <v>5220</v>
      </c>
      <c r="I2939" s="27" t="n">
        <v>5535</v>
      </c>
      <c r="J2939" s="154">
        <f>I2939/H2939-1</f>
        <v/>
      </c>
      <c r="K2939" s="31" t="inlineStr">
        <is>
          <t>2</t>
        </is>
      </c>
      <c r="L2939" s="31" t="inlineStr">
        <is>
          <t>2</t>
        </is>
      </c>
      <c r="M2939" s="31" t="inlineStr">
        <is>
          <t>S3</t>
        </is>
      </c>
      <c r="N2939" s="31" t="inlineStr">
        <is>
          <t>S5</t>
        </is>
      </c>
      <c r="O2939" s="31" t="inlineStr">
        <is>
          <t>340-059-815-0</t>
        </is>
      </c>
      <c r="P2939" s="31" t="inlineStr">
        <is>
          <t>SR Technics Switzerland</t>
        </is>
      </c>
    </row>
    <row r="2940">
      <c r="B2940" s="31" t="inlineStr">
        <is>
          <t>CFM56-7B</t>
        </is>
      </c>
      <c r="C2940" s="31" t="inlineStr">
        <is>
          <t>2025-2026</t>
        </is>
      </c>
      <c r="D2940" s="31" t="inlineStr">
        <is>
          <t>21511</t>
        </is>
      </c>
      <c r="E2940" s="31" t="inlineStr">
        <is>
          <t>72-31-04</t>
        </is>
      </c>
      <c r="F2940" s="31" t="inlineStr">
        <is>
          <t>A</t>
        </is>
      </c>
      <c r="G2940" s="31" t="inlineStr">
        <is>
          <t>Compressor</t>
        </is>
      </c>
      <c r="H2940" s="27" t="n">
        <v>2425</v>
      </c>
      <c r="I2940" s="27" t="n">
        <v>2550</v>
      </c>
      <c r="J2940" s="154">
        <f>I2940/H2940-1</f>
        <v/>
      </c>
      <c r="K2940" s="31" t="inlineStr">
        <is>
          <t>8</t>
        </is>
      </c>
      <c r="L2940" s="31" t="inlineStr">
        <is>
          <t>7</t>
        </is>
      </c>
      <c r="M2940" s="31" t="inlineStr">
        <is>
          <t>S3</t>
        </is>
      </c>
      <c r="N2940" s="31" t="inlineStr">
        <is>
          <t>S5</t>
        </is>
      </c>
      <c r="O2940" s="31" t="inlineStr">
        <is>
          <t>1558M31G03</t>
        </is>
      </c>
      <c r="P2940" s="31" t="inlineStr">
        <is>
          <t>SR Technics Switzerland</t>
        </is>
      </c>
    </row>
    <row r="2941">
      <c r="B2941" s="31" t="inlineStr">
        <is>
          <t>CFM56-7B</t>
        </is>
      </c>
      <c r="C2941" s="31" t="inlineStr">
        <is>
          <t>2025-2026</t>
        </is>
      </c>
      <c r="D2941" s="31" t="inlineStr">
        <is>
          <t>21511</t>
        </is>
      </c>
      <c r="E2941" s="31" t="inlineStr">
        <is>
          <t>72-31-04</t>
        </is>
      </c>
      <c r="F2941" s="31" t="inlineStr">
        <is>
          <t>B</t>
        </is>
      </c>
      <c r="G2941" s="31" t="inlineStr">
        <is>
          <t>Compressor</t>
        </is>
      </c>
      <c r="H2941" s="27" t="n">
        <v>2415</v>
      </c>
      <c r="I2941" s="27" t="n">
        <v>2560</v>
      </c>
      <c r="J2941" s="154">
        <f>I2941/H2941-1</f>
        <v/>
      </c>
      <c r="K2941" s="31" t="inlineStr">
        <is>
          <t>8</t>
        </is>
      </c>
      <c r="L2941" s="31" t="inlineStr">
        <is>
          <t>7</t>
        </is>
      </c>
      <c r="M2941" s="31" t="inlineStr">
        <is>
          <t>S3</t>
        </is>
      </c>
      <c r="N2941" s="31" t="inlineStr">
        <is>
          <t>S5</t>
        </is>
      </c>
      <c r="O2941" s="31" t="inlineStr">
        <is>
          <t>1558M31G03</t>
        </is>
      </c>
      <c r="P2941" s="31" t="inlineStr">
        <is>
          <t>SR Technics Switzerland</t>
        </is>
      </c>
    </row>
    <row r="2942">
      <c r="B2942" s="31" t="inlineStr">
        <is>
          <t>CFM56-7B</t>
        </is>
      </c>
      <c r="C2942" s="31" t="inlineStr">
        <is>
          <t>2025-2026</t>
        </is>
      </c>
      <c r="D2942" s="31" t="inlineStr">
        <is>
          <t>21511</t>
        </is>
      </c>
      <c r="E2942" s="31" t="inlineStr">
        <is>
          <t>72-31-04</t>
        </is>
      </c>
      <c r="F2942" s="31" t="inlineStr">
        <is>
          <t>C</t>
        </is>
      </c>
      <c r="G2942" s="31" t="inlineStr">
        <is>
          <t>Compressor</t>
        </is>
      </c>
      <c r="H2942" s="27" t="n">
        <v>120</v>
      </c>
      <c r="I2942" s="27" t="n">
        <v>130</v>
      </c>
      <c r="J2942" s="154">
        <f>I2942/H2942-1</f>
        <v/>
      </c>
      <c r="K2942" s="31" t="inlineStr">
        <is>
          <t>8</t>
        </is>
      </c>
      <c r="L2942" s="31" t="inlineStr">
        <is>
          <t>7</t>
        </is>
      </c>
      <c r="M2942" s="31" t="inlineStr">
        <is>
          <t>S3</t>
        </is>
      </c>
      <c r="N2942" s="31" t="inlineStr">
        <is>
          <t>S5</t>
        </is>
      </c>
      <c r="O2942" s="31" t="inlineStr">
        <is>
          <t>1558M31G03</t>
        </is>
      </c>
      <c r="P2942" s="31" t="inlineStr">
        <is>
          <t>SR Technics Switzerland</t>
        </is>
      </c>
    </row>
    <row r="2943">
      <c r="B2943" s="31" t="inlineStr">
        <is>
          <t>CFM56-7B</t>
        </is>
      </c>
      <c r="C2943" s="31" t="inlineStr">
        <is>
          <t>2025-2026</t>
        </is>
      </c>
      <c r="D2943" s="31" t="inlineStr">
        <is>
          <t>21511</t>
        </is>
      </c>
      <c r="E2943" s="31" t="inlineStr">
        <is>
          <t>72-31-04</t>
        </is>
      </c>
      <c r="F2943" s="31" t="inlineStr">
        <is>
          <t>F</t>
        </is>
      </c>
      <c r="G2943" s="31" t="inlineStr">
        <is>
          <t>Compressor</t>
        </is>
      </c>
      <c r="H2943" s="27" t="n">
        <v>6670</v>
      </c>
      <c r="I2943" s="27" t="n">
        <v>7075</v>
      </c>
      <c r="J2943" s="154">
        <f>I2943/H2943-1</f>
        <v/>
      </c>
      <c r="K2943" s="31" t="inlineStr">
        <is>
          <t>8</t>
        </is>
      </c>
      <c r="L2943" s="31" t="inlineStr">
        <is>
          <t>7</t>
        </is>
      </c>
      <c r="M2943" s="31" t="inlineStr">
        <is>
          <t>S3</t>
        </is>
      </c>
      <c r="N2943" s="31" t="inlineStr">
        <is>
          <t>S5</t>
        </is>
      </c>
      <c r="O2943" s="31" t="inlineStr">
        <is>
          <t>1558M31G03</t>
        </is>
      </c>
      <c r="P2943" s="31" t="inlineStr">
        <is>
          <t>SR Technics Switzerland</t>
        </is>
      </c>
    </row>
    <row r="2944">
      <c r="B2944" s="31" t="inlineStr">
        <is>
          <t>CFM56-7B</t>
        </is>
      </c>
      <c r="C2944" s="31" t="inlineStr">
        <is>
          <t>2025-2026</t>
        </is>
      </c>
      <c r="D2944" s="31" t="inlineStr">
        <is>
          <t>21511</t>
        </is>
      </c>
      <c r="E2944" s="31" t="inlineStr">
        <is>
          <t>72-31-04</t>
        </is>
      </c>
      <c r="F2944" s="31" t="inlineStr">
        <is>
          <t>G</t>
        </is>
      </c>
      <c r="G2944" s="31" t="inlineStr">
        <is>
          <t>Compressor</t>
        </is>
      </c>
      <c r="H2944" s="27" t="n">
        <v>3235</v>
      </c>
      <c r="I2944" s="27" t="n">
        <v>3430</v>
      </c>
      <c r="J2944" s="154">
        <f>I2944/H2944-1</f>
        <v/>
      </c>
      <c r="K2944" s="31" t="inlineStr">
        <is>
          <t>8</t>
        </is>
      </c>
      <c r="L2944" s="31" t="inlineStr">
        <is>
          <t>7</t>
        </is>
      </c>
      <c r="M2944" s="31" t="inlineStr">
        <is>
          <t>S3</t>
        </is>
      </c>
      <c r="N2944" s="31" t="inlineStr">
        <is>
          <t>S5</t>
        </is>
      </c>
      <c r="O2944" s="31" t="inlineStr">
        <is>
          <t>1558M31G03</t>
        </is>
      </c>
      <c r="P2944" s="31" t="inlineStr">
        <is>
          <t>SR Technics Switzerland</t>
        </is>
      </c>
    </row>
    <row r="2945">
      <c r="B2945" s="31" t="inlineStr">
        <is>
          <t>CFM56-7B</t>
        </is>
      </c>
      <c r="C2945" s="31" t="inlineStr">
        <is>
          <t>2025-2026</t>
        </is>
      </c>
      <c r="D2945" s="31" t="inlineStr">
        <is>
          <t>21511</t>
        </is>
      </c>
      <c r="E2945" s="31" t="inlineStr">
        <is>
          <t>72-31-04</t>
        </is>
      </c>
      <c r="F2945" s="31" t="inlineStr">
        <is>
          <t>H</t>
        </is>
      </c>
      <c r="G2945" s="31" t="inlineStr">
        <is>
          <t>Compressor</t>
        </is>
      </c>
      <c r="H2945" s="27" t="n">
        <v>5575</v>
      </c>
      <c r="I2945" s="27" t="n">
        <v>5910</v>
      </c>
      <c r="J2945" s="154">
        <f>I2945/H2945-1</f>
        <v/>
      </c>
      <c r="K2945" s="31" t="inlineStr">
        <is>
          <t>8</t>
        </is>
      </c>
      <c r="L2945" s="31" t="inlineStr">
        <is>
          <t>7</t>
        </is>
      </c>
      <c r="M2945" s="31" t="inlineStr">
        <is>
          <t>S3</t>
        </is>
      </c>
      <c r="N2945" s="31" t="inlineStr">
        <is>
          <t>S5</t>
        </is>
      </c>
      <c r="O2945" s="31" t="inlineStr">
        <is>
          <t>1558M31G03</t>
        </is>
      </c>
      <c r="P2945" s="31" t="inlineStr">
        <is>
          <t>SR Technics Switzerland</t>
        </is>
      </c>
    </row>
    <row r="2946">
      <c r="B2946" s="31" t="inlineStr">
        <is>
          <t>CFM56-7B</t>
        </is>
      </c>
      <c r="C2946" s="31" t="inlineStr">
        <is>
          <t>2025-2026</t>
        </is>
      </c>
      <c r="D2946" s="31" t="inlineStr">
        <is>
          <t>21511</t>
        </is>
      </c>
      <c r="E2946" s="31" t="inlineStr">
        <is>
          <t>72-31-04</t>
        </is>
      </c>
      <c r="F2946" s="31" t="inlineStr">
        <is>
          <t>SB02</t>
        </is>
      </c>
      <c r="G2946" s="31" t="inlineStr">
        <is>
          <t>Compressor</t>
        </is>
      </c>
      <c r="H2946" s="27" t="n">
        <v>1550</v>
      </c>
      <c r="I2946" s="27" t="n">
        <v>1645</v>
      </c>
      <c r="J2946" s="154">
        <f>I2946/H2946-1</f>
        <v/>
      </c>
      <c r="K2946" s="31" t="inlineStr">
        <is>
          <t>8</t>
        </is>
      </c>
      <c r="L2946" s="31" t="inlineStr">
        <is>
          <t>7</t>
        </is>
      </c>
      <c r="M2946" s="31" t="inlineStr">
        <is>
          <t>S3</t>
        </is>
      </c>
      <c r="N2946" s="31" t="inlineStr">
        <is>
          <t>S5</t>
        </is>
      </c>
      <c r="O2946" s="31" t="inlineStr">
        <is>
          <t>1558M31G03</t>
        </is>
      </c>
      <c r="P2946" s="31" t="inlineStr">
        <is>
          <t>SR Technics Switzerland</t>
        </is>
      </c>
    </row>
    <row r="2947">
      <c r="B2947" s="31" t="inlineStr">
        <is>
          <t>CFM56-7B</t>
        </is>
      </c>
      <c r="C2947" s="31" t="inlineStr">
        <is>
          <t>2025-2026</t>
        </is>
      </c>
      <c r="D2947" s="31" t="inlineStr">
        <is>
          <t>21512</t>
        </is>
      </c>
      <c r="E2947" s="31" t="inlineStr">
        <is>
          <t>72-31-05</t>
        </is>
      </c>
      <c r="F2947" s="31" t="inlineStr">
        <is>
          <t>A</t>
        </is>
      </c>
      <c r="G2947" s="31" t="inlineStr">
        <is>
          <t>Compressor</t>
        </is>
      </c>
      <c r="H2947" s="27" t="n">
        <v>1580</v>
      </c>
      <c r="I2947" s="27" t="n">
        <v>1660</v>
      </c>
      <c r="J2947" s="154">
        <f>I2947/H2947-1</f>
        <v/>
      </c>
      <c r="K2947" s="31" t="inlineStr">
        <is>
          <t>8</t>
        </is>
      </c>
      <c r="L2947" s="31" t="inlineStr">
        <is>
          <t>7</t>
        </is>
      </c>
      <c r="M2947" s="31" t="inlineStr">
        <is>
          <t>S3</t>
        </is>
      </c>
      <c r="N2947" s="31" t="inlineStr">
        <is>
          <t>S5</t>
        </is>
      </c>
      <c r="O2947" s="31" t="inlineStr">
        <is>
          <t>1590M59P01</t>
        </is>
      </c>
      <c r="P2947" s="31" t="inlineStr">
        <is>
          <t>SR Technics Switzerland</t>
        </is>
      </c>
    </row>
    <row r="2948">
      <c r="B2948" s="31" t="inlineStr">
        <is>
          <t>CFM56-7B</t>
        </is>
      </c>
      <c r="C2948" s="31" t="inlineStr">
        <is>
          <t>2025-2026</t>
        </is>
      </c>
      <c r="D2948" s="31" t="inlineStr">
        <is>
          <t>21512</t>
        </is>
      </c>
      <c r="E2948" s="31" t="inlineStr">
        <is>
          <t>72-31-05</t>
        </is>
      </c>
      <c r="F2948" s="31" t="inlineStr">
        <is>
          <t>B</t>
        </is>
      </c>
      <c r="G2948" s="31" t="inlineStr">
        <is>
          <t>Compressor</t>
        </is>
      </c>
      <c r="H2948" s="27" t="n">
        <v>840</v>
      </c>
      <c r="I2948" s="27" t="n">
        <v>895</v>
      </c>
      <c r="J2948" s="154">
        <f>I2948/H2948-1</f>
        <v/>
      </c>
      <c r="K2948" s="31" t="inlineStr">
        <is>
          <t>8</t>
        </is>
      </c>
      <c r="L2948" s="31" t="inlineStr">
        <is>
          <t>7</t>
        </is>
      </c>
      <c r="M2948" s="31" t="inlineStr">
        <is>
          <t>S3</t>
        </is>
      </c>
      <c r="N2948" s="31" t="inlineStr">
        <is>
          <t>S5</t>
        </is>
      </c>
      <c r="O2948" s="31" t="inlineStr">
        <is>
          <t>1590M59P01</t>
        </is>
      </c>
      <c r="P2948" s="31" t="inlineStr">
        <is>
          <t>SR Technics Switzerland</t>
        </is>
      </c>
    </row>
    <row r="2949">
      <c r="B2949" s="31" t="inlineStr">
        <is>
          <t>CFM56-7B</t>
        </is>
      </c>
      <c r="C2949" s="31" t="inlineStr">
        <is>
          <t>2025-2026</t>
        </is>
      </c>
      <c r="D2949" s="31" t="inlineStr">
        <is>
          <t>21512</t>
        </is>
      </c>
      <c r="E2949" s="31" t="inlineStr">
        <is>
          <t>72-31-05</t>
        </is>
      </c>
      <c r="F2949" s="31" t="inlineStr">
        <is>
          <t>C</t>
        </is>
      </c>
      <c r="G2949" s="31" t="inlineStr">
        <is>
          <t>Compressor</t>
        </is>
      </c>
      <c r="H2949" s="27" t="n">
        <v>4295</v>
      </c>
      <c r="I2949" s="27" t="n">
        <v>4555</v>
      </c>
      <c r="J2949" s="154">
        <f>I2949/H2949-1</f>
        <v/>
      </c>
      <c r="K2949" s="31" t="inlineStr">
        <is>
          <t>8</t>
        </is>
      </c>
      <c r="L2949" s="31" t="inlineStr">
        <is>
          <t>7</t>
        </is>
      </c>
      <c r="M2949" s="31" t="inlineStr">
        <is>
          <t>S3</t>
        </is>
      </c>
      <c r="N2949" s="31" t="inlineStr">
        <is>
          <t>S5</t>
        </is>
      </c>
      <c r="O2949" s="31" t="inlineStr">
        <is>
          <t>1590M59P01</t>
        </is>
      </c>
      <c r="P2949" s="31" t="inlineStr">
        <is>
          <t>SR Technics Switzerland</t>
        </is>
      </c>
    </row>
    <row r="2950">
      <c r="B2950" s="31" t="inlineStr">
        <is>
          <t>CFM56-7B</t>
        </is>
      </c>
      <c r="C2950" s="31" t="inlineStr">
        <is>
          <t>2025-2026</t>
        </is>
      </c>
      <c r="D2950" s="31" t="inlineStr">
        <is>
          <t>21512</t>
        </is>
      </c>
      <c r="E2950" s="31" t="inlineStr">
        <is>
          <t>72-31-05</t>
        </is>
      </c>
      <c r="F2950" s="31" t="inlineStr">
        <is>
          <t>L</t>
        </is>
      </c>
      <c r="G2950" s="31" t="inlineStr">
        <is>
          <t>Compressor</t>
        </is>
      </c>
      <c r="H2950" s="27" t="n">
        <v>840</v>
      </c>
      <c r="I2950" s="27" t="n">
        <v>895</v>
      </c>
      <c r="J2950" s="154">
        <f>I2950/H2950-1</f>
        <v/>
      </c>
      <c r="K2950" s="31" t="inlineStr">
        <is>
          <t>8</t>
        </is>
      </c>
      <c r="L2950" s="31" t="inlineStr">
        <is>
          <t>7</t>
        </is>
      </c>
      <c r="M2950" s="31" t="inlineStr">
        <is>
          <t>S3</t>
        </is>
      </c>
      <c r="N2950" s="31" t="inlineStr">
        <is>
          <t>S5</t>
        </is>
      </c>
      <c r="O2950" s="31" t="inlineStr">
        <is>
          <t>1590M59P01</t>
        </is>
      </c>
      <c r="P2950" s="31" t="inlineStr">
        <is>
          <t>SR Technics Switzerland</t>
        </is>
      </c>
    </row>
    <row r="2951">
      <c r="B2951" s="31" t="inlineStr">
        <is>
          <t>CFM56-7B</t>
        </is>
      </c>
      <c r="C2951" s="31" t="inlineStr">
        <is>
          <t>2025-2026</t>
        </is>
      </c>
      <c r="D2951" s="31" t="inlineStr">
        <is>
          <t>21512</t>
        </is>
      </c>
      <c r="E2951" s="31" t="inlineStr">
        <is>
          <t>72-31-05</t>
        </is>
      </c>
      <c r="F2951" s="31" t="inlineStr">
        <is>
          <t>M</t>
        </is>
      </c>
      <c r="G2951" s="31" t="inlineStr">
        <is>
          <t>Compressor</t>
        </is>
      </c>
      <c r="H2951" s="27" t="n">
        <v>840</v>
      </c>
      <c r="I2951" s="27" t="n">
        <v>895</v>
      </c>
      <c r="J2951" s="154">
        <f>I2951/H2951-1</f>
        <v/>
      </c>
      <c r="K2951" s="31" t="inlineStr">
        <is>
          <t>8</t>
        </is>
      </c>
      <c r="L2951" s="31" t="inlineStr">
        <is>
          <t>7</t>
        </is>
      </c>
      <c r="M2951" s="31" t="inlineStr">
        <is>
          <t>S3</t>
        </is>
      </c>
      <c r="N2951" s="31" t="inlineStr">
        <is>
          <t>S5</t>
        </is>
      </c>
      <c r="O2951" s="31" t="inlineStr">
        <is>
          <t>1590M59P01</t>
        </is>
      </c>
      <c r="P2951" s="31" t="inlineStr">
        <is>
          <t>SR Technics Switzerland</t>
        </is>
      </c>
    </row>
    <row r="2952">
      <c r="B2952" s="31" t="inlineStr">
        <is>
          <t>CFM56-7B</t>
        </is>
      </c>
      <c r="C2952" s="31" t="inlineStr">
        <is>
          <t>2025-2026</t>
        </is>
      </c>
      <c r="D2952" s="31" t="inlineStr">
        <is>
          <t>21512</t>
        </is>
      </c>
      <c r="E2952" s="31" t="inlineStr">
        <is>
          <t>72-31-05</t>
        </is>
      </c>
      <c r="F2952" s="31" t="inlineStr">
        <is>
          <t>SB00</t>
        </is>
      </c>
      <c r="G2952" s="31" t="inlineStr">
        <is>
          <t>Compressor</t>
        </is>
      </c>
      <c r="H2952" s="27" t="n">
        <v>905</v>
      </c>
      <c r="I2952" s="27" t="n">
        <v>960</v>
      </c>
      <c r="J2952" s="154">
        <f>I2952/H2952-1</f>
        <v/>
      </c>
      <c r="K2952" s="31" t="inlineStr">
        <is>
          <t>8</t>
        </is>
      </c>
      <c r="L2952" s="31" t="inlineStr">
        <is>
          <t>7</t>
        </is>
      </c>
      <c r="M2952" s="31" t="inlineStr">
        <is>
          <t>S3</t>
        </is>
      </c>
      <c r="N2952" s="31" t="inlineStr">
        <is>
          <t>S5</t>
        </is>
      </c>
      <c r="O2952" s="31" t="inlineStr">
        <is>
          <t>1590M59P01</t>
        </is>
      </c>
      <c r="P2952" s="31" t="inlineStr">
        <is>
          <t>SR Technics Switzerland</t>
        </is>
      </c>
    </row>
    <row r="2953">
      <c r="B2953" s="31" t="inlineStr">
        <is>
          <t>CFM56-7B</t>
        </is>
      </c>
      <c r="C2953" s="31" t="inlineStr">
        <is>
          <t>2025-2026</t>
        </is>
      </c>
      <c r="D2953" s="31" t="inlineStr">
        <is>
          <t>2153</t>
        </is>
      </c>
      <c r="E2953" s="31" t="inlineStr">
        <is>
          <t>72-21-20</t>
        </is>
      </c>
      <c r="F2953" s="31" t="inlineStr">
        <is>
          <t>A</t>
        </is>
      </c>
      <c r="G2953" s="31" t="inlineStr">
        <is>
          <t>Fan / booster</t>
        </is>
      </c>
      <c r="H2953" s="27" t="n">
        <v>190</v>
      </c>
      <c r="I2953" s="27" t="n">
        <v>205</v>
      </c>
      <c r="J2953" s="154">
        <f>I2953/H2953-1</f>
        <v/>
      </c>
      <c r="K2953" s="31" t="inlineStr">
        <is>
          <t>3</t>
        </is>
      </c>
      <c r="L2953" s="31" t="inlineStr">
        <is>
          <t>3</t>
        </is>
      </c>
      <c r="M2953" s="31" t="inlineStr">
        <is>
          <t>S3</t>
        </is>
      </c>
      <c r="N2953" s="31" t="inlineStr">
        <is>
          <t>S5</t>
        </is>
      </c>
      <c r="O2953" s="31" t="inlineStr">
        <is>
          <t>340-001-804-0</t>
        </is>
      </c>
      <c r="P2953" s="31" t="inlineStr">
        <is>
          <t>SR Technics Switzerland</t>
        </is>
      </c>
    </row>
    <row r="2954">
      <c r="B2954" s="31" t="inlineStr">
        <is>
          <t>CFM56-7B</t>
        </is>
      </c>
      <c r="C2954" s="31" t="inlineStr">
        <is>
          <t>2025-2026</t>
        </is>
      </c>
      <c r="D2954" s="31" t="inlineStr">
        <is>
          <t>2153</t>
        </is>
      </c>
      <c r="E2954" s="31" t="inlineStr">
        <is>
          <t>72-21-20</t>
        </is>
      </c>
      <c r="F2954" s="31" t="inlineStr">
        <is>
          <t>B</t>
        </is>
      </c>
      <c r="G2954" s="31" t="inlineStr">
        <is>
          <t>Fan / booster</t>
        </is>
      </c>
      <c r="H2954" s="27" t="n">
        <v>840</v>
      </c>
      <c r="I2954" s="27" t="n">
        <v>900</v>
      </c>
      <c r="J2954" s="154">
        <f>I2954/H2954-1</f>
        <v/>
      </c>
      <c r="K2954" s="31" t="inlineStr">
        <is>
          <t>3</t>
        </is>
      </c>
      <c r="L2954" s="31" t="inlineStr">
        <is>
          <t>3</t>
        </is>
      </c>
      <c r="M2954" s="31" t="inlineStr">
        <is>
          <t>S3</t>
        </is>
      </c>
      <c r="N2954" s="31" t="inlineStr">
        <is>
          <t>S5</t>
        </is>
      </c>
      <c r="O2954" s="31" t="inlineStr">
        <is>
          <t>340-001-804-0</t>
        </is>
      </c>
      <c r="P2954" s="31" t="inlineStr">
        <is>
          <t>SR Technics Switzerland</t>
        </is>
      </c>
    </row>
    <row r="2955">
      <c r="B2955" s="31" t="inlineStr">
        <is>
          <t>CFM56-7B</t>
        </is>
      </c>
      <c r="C2955" s="31" t="inlineStr">
        <is>
          <t>2025-2026</t>
        </is>
      </c>
      <c r="D2955" s="31" t="inlineStr">
        <is>
          <t>2200</t>
        </is>
      </c>
      <c r="E2955" s="31" t="inlineStr">
        <is>
          <t>72-41-03</t>
        </is>
      </c>
      <c r="F2955" s="31" t="inlineStr">
        <is>
          <t>C</t>
        </is>
      </c>
      <c r="G2955" s="31" t="inlineStr">
        <is>
          <t>Combustor</t>
        </is>
      </c>
      <c r="H2955" s="27" t="n">
        <v>365</v>
      </c>
      <c r="I2955" s="27" t="n">
        <v>1235</v>
      </c>
      <c r="J2955" s="154">
        <f>I2955/H2955-1</f>
        <v/>
      </c>
      <c r="K2955" s="31" t="inlineStr">
        <is>
          <t>3</t>
        </is>
      </c>
      <c r="L2955" s="31" t="inlineStr">
        <is>
          <t>3</t>
        </is>
      </c>
      <c r="M2955" s="31" t="inlineStr">
        <is>
          <t>S3</t>
        </is>
      </c>
      <c r="N2955" s="31" t="inlineStr">
        <is>
          <t>S5</t>
        </is>
      </c>
      <c r="O2955" s="31" t="inlineStr">
        <is>
          <t>1523M40G02</t>
        </is>
      </c>
      <c r="P2955" s="31" t="inlineStr">
        <is>
          <t>SR Technics Switzerland</t>
        </is>
      </c>
    </row>
    <row r="2956">
      <c r="B2956" s="31" t="inlineStr">
        <is>
          <t>CFM56-7B</t>
        </is>
      </c>
      <c r="C2956" s="31" t="inlineStr">
        <is>
          <t>2025-2026</t>
        </is>
      </c>
      <c r="D2956" s="31" t="inlineStr">
        <is>
          <t>2200</t>
        </is>
      </c>
      <c r="E2956" s="31" t="inlineStr">
        <is>
          <t>72-41-03</t>
        </is>
      </c>
      <c r="F2956" s="31" t="inlineStr">
        <is>
          <t>SB03</t>
        </is>
      </c>
      <c r="G2956" s="31" t="inlineStr">
        <is>
          <t>Combustor</t>
        </is>
      </c>
      <c r="H2956" s="27" t="n">
        <v>510</v>
      </c>
      <c r="I2956" s="27" t="n">
        <v>545</v>
      </c>
      <c r="J2956" s="154">
        <f>I2956/H2956-1</f>
        <v/>
      </c>
      <c r="K2956" s="31" t="inlineStr">
        <is>
          <t>3</t>
        </is>
      </c>
      <c r="L2956" s="31" t="inlineStr">
        <is>
          <t>3</t>
        </is>
      </c>
      <c r="M2956" s="31" t="inlineStr">
        <is>
          <t>S3</t>
        </is>
      </c>
      <c r="N2956" s="31" t="inlineStr">
        <is>
          <t>S5</t>
        </is>
      </c>
      <c r="O2956" s="31" t="inlineStr">
        <is>
          <t>1523M40G02</t>
        </is>
      </c>
      <c r="P2956" s="31" t="inlineStr">
        <is>
          <t>SR Technics Switzerland</t>
        </is>
      </c>
    </row>
    <row r="2957">
      <c r="B2957" s="31" t="inlineStr">
        <is>
          <t>CFM56-7B</t>
        </is>
      </c>
      <c r="C2957" s="31" t="inlineStr">
        <is>
          <t>2025-2026</t>
        </is>
      </c>
      <c r="D2957" s="31" t="inlineStr">
        <is>
          <t>24630</t>
        </is>
      </c>
      <c r="E2957" s="31" t="inlineStr">
        <is>
          <t>72-53-09</t>
        </is>
      </c>
      <c r="F2957" s="31" t="inlineStr">
        <is>
          <t>B</t>
        </is>
      </c>
      <c r="G2957" s="31" t="inlineStr">
        <is>
          <t>HPT / nozzle</t>
        </is>
      </c>
      <c r="H2957" s="27" t="n">
        <v>440</v>
      </c>
      <c r="I2957" s="27" t="n">
        <v>470</v>
      </c>
      <c r="J2957" s="154">
        <f>I2957/H2957-1</f>
        <v/>
      </c>
      <c r="K2957" s="31" t="inlineStr">
        <is>
          <t>8</t>
        </is>
      </c>
      <c r="L2957" s="31" t="inlineStr">
        <is>
          <t>7</t>
        </is>
      </c>
      <c r="M2957" s="31" t="inlineStr">
        <is>
          <t>S3</t>
        </is>
      </c>
      <c r="N2957" s="31" t="inlineStr">
        <is>
          <t>S5</t>
        </is>
      </c>
      <c r="O2957" s="31" t="inlineStr">
        <is>
          <t>336-026-101-0</t>
        </is>
      </c>
      <c r="P2957" s="31" t="inlineStr">
        <is>
          <t>SR Technics Switzerland</t>
        </is>
      </c>
    </row>
    <row r="2958">
      <c r="B2958" s="31" t="inlineStr">
        <is>
          <t>CFM56-7B</t>
        </is>
      </c>
      <c r="C2958" s="31" t="inlineStr">
        <is>
          <t>2025-2026</t>
        </is>
      </c>
      <c r="D2958" s="31" t="inlineStr">
        <is>
          <t>251</t>
        </is>
      </c>
      <c r="E2958" s="31" t="inlineStr">
        <is>
          <t>72-55-04</t>
        </is>
      </c>
      <c r="F2958" s="31" t="inlineStr">
        <is>
          <t>A</t>
        </is>
      </c>
      <c r="G2958" s="31" t="inlineStr">
        <is>
          <t>LPT</t>
        </is>
      </c>
      <c r="H2958" s="27" t="n">
        <v>765</v>
      </c>
      <c r="I2958" s="27" t="n">
        <v>805</v>
      </c>
      <c r="J2958" s="154">
        <f>I2958/H2958-1</f>
        <v/>
      </c>
      <c r="K2958" s="31" t="inlineStr">
        <is>
          <t>2</t>
        </is>
      </c>
      <c r="L2958" s="31" t="inlineStr">
        <is>
          <t>2</t>
        </is>
      </c>
      <c r="M2958" s="31" t="inlineStr">
        <is>
          <t>S3</t>
        </is>
      </c>
      <c r="N2958" s="31" t="inlineStr">
        <is>
          <t>S5</t>
        </is>
      </c>
      <c r="O2958" s="31" t="inlineStr">
        <is>
          <t>336-095-401-0</t>
        </is>
      </c>
      <c r="P2958" s="31" t="inlineStr">
        <is>
          <t>SR Technics Switzerland</t>
        </is>
      </c>
    </row>
    <row r="2959">
      <c r="B2959" s="31" t="inlineStr">
        <is>
          <t>CFM56-7B</t>
        </is>
      </c>
      <c r="C2959" s="31" t="inlineStr">
        <is>
          <t>2025-2026</t>
        </is>
      </c>
      <c r="D2959" s="31" t="inlineStr">
        <is>
          <t>2586</t>
        </is>
      </c>
      <c r="E2959" s="31" t="inlineStr">
        <is>
          <t>72-21-23</t>
        </is>
      </c>
      <c r="F2959" s="31" t="inlineStr">
        <is>
          <t>B</t>
        </is>
      </c>
      <c r="G2959" s="31" t="inlineStr">
        <is>
          <t>Fan / booster</t>
        </is>
      </c>
      <c r="H2959" s="27" t="n">
        <v>470</v>
      </c>
      <c r="I2959" s="27" t="n">
        <v>500</v>
      </c>
      <c r="J2959" s="154">
        <f>I2959/H2959-1</f>
        <v/>
      </c>
      <c r="K2959" s="31" t="inlineStr">
        <is>
          <t>3</t>
        </is>
      </c>
      <c r="L2959" s="31" t="inlineStr">
        <is>
          <t>3</t>
        </is>
      </c>
      <c r="M2959" s="31" t="inlineStr">
        <is>
          <t>S3</t>
        </is>
      </c>
      <c r="N2959" s="31" t="inlineStr">
        <is>
          <t>S5</t>
        </is>
      </c>
      <c r="O2959" s="31" t="inlineStr">
        <is>
          <t>340-079-603-0</t>
        </is>
      </c>
      <c r="P2959" s="31" t="inlineStr">
        <is>
          <t>SR Technics Switzerland</t>
        </is>
      </c>
    </row>
    <row r="2960">
      <c r="B2960" s="31" t="inlineStr">
        <is>
          <t>CFM56-7B</t>
        </is>
      </c>
      <c r="C2960" s="31" t="inlineStr">
        <is>
          <t>2025-2026</t>
        </is>
      </c>
      <c r="D2960" s="31" t="inlineStr">
        <is>
          <t>2591</t>
        </is>
      </c>
      <c r="E2960" s="31" t="inlineStr">
        <is>
          <t>72-33-01</t>
        </is>
      </c>
      <c r="F2960" s="31" t="inlineStr">
        <is>
          <t>A</t>
        </is>
      </c>
      <c r="G2960" s="31" t="inlineStr">
        <is>
          <t>Compressor</t>
        </is>
      </c>
      <c r="H2960" s="27" t="n">
        <v>1210</v>
      </c>
      <c r="I2960" s="27" t="n">
        <v>1275</v>
      </c>
      <c r="J2960" s="154">
        <f>I2960/H2960-1</f>
        <v/>
      </c>
      <c r="K2960" s="31" t="inlineStr">
        <is>
          <t>3</t>
        </is>
      </c>
      <c r="L2960" s="31" t="inlineStr">
        <is>
          <t>3</t>
        </is>
      </c>
      <c r="M2960" s="31" t="inlineStr">
        <is>
          <t>S3</t>
        </is>
      </c>
      <c r="N2960" s="31" t="inlineStr">
        <is>
          <t>S5</t>
        </is>
      </c>
      <c r="O2960" s="31" t="inlineStr">
        <is>
          <t>1559M40G03</t>
        </is>
      </c>
      <c r="P2960" s="31" t="inlineStr">
        <is>
          <t>SR Technics Switzerland</t>
        </is>
      </c>
    </row>
    <row r="2961">
      <c r="B2961" s="31" t="inlineStr">
        <is>
          <t>CFM56-7B</t>
        </is>
      </c>
      <c r="C2961" s="31" t="inlineStr">
        <is>
          <t>2025-2026</t>
        </is>
      </c>
      <c r="D2961" s="31" t="inlineStr">
        <is>
          <t>2591</t>
        </is>
      </c>
      <c r="E2961" s="31" t="inlineStr">
        <is>
          <t>72-33-01</t>
        </is>
      </c>
      <c r="F2961" s="31" t="inlineStr">
        <is>
          <t>B</t>
        </is>
      </c>
      <c r="G2961" s="31" t="inlineStr">
        <is>
          <t>Compressor</t>
        </is>
      </c>
      <c r="H2961" s="27" t="n">
        <v>1510</v>
      </c>
      <c r="I2961" s="27" t="n">
        <v>1605</v>
      </c>
      <c r="J2961" s="154">
        <f>I2961/H2961-1</f>
        <v/>
      </c>
      <c r="K2961" s="31" t="inlineStr">
        <is>
          <t>3</t>
        </is>
      </c>
      <c r="L2961" s="31" t="inlineStr">
        <is>
          <t>3</t>
        </is>
      </c>
      <c r="M2961" s="31" t="inlineStr">
        <is>
          <t>S3</t>
        </is>
      </c>
      <c r="N2961" s="31" t="inlineStr">
        <is>
          <t>S5</t>
        </is>
      </c>
      <c r="O2961" s="31" t="inlineStr">
        <is>
          <t>1559M40G03</t>
        </is>
      </c>
      <c r="P2961" s="31" t="inlineStr">
        <is>
          <t>SR Technics Switzerland</t>
        </is>
      </c>
    </row>
    <row r="2962">
      <c r="B2962" s="31" t="inlineStr">
        <is>
          <t>CFM56-7B</t>
        </is>
      </c>
      <c r="C2962" s="31" t="inlineStr">
        <is>
          <t>2025-2026</t>
        </is>
      </c>
      <c r="D2962" s="31" t="inlineStr">
        <is>
          <t>2591</t>
        </is>
      </c>
      <c r="E2962" s="31" t="inlineStr">
        <is>
          <t>72-33-01</t>
        </is>
      </c>
      <c r="F2962" s="31" t="inlineStr">
        <is>
          <t>C</t>
        </is>
      </c>
      <c r="G2962" s="31" t="inlineStr">
        <is>
          <t>Compressor</t>
        </is>
      </c>
      <c r="H2962" s="27" t="n">
        <v>890</v>
      </c>
      <c r="I2962" s="27" t="n">
        <v>945</v>
      </c>
      <c r="J2962" s="154">
        <f>I2962/H2962-1</f>
        <v/>
      </c>
      <c r="K2962" s="31" t="inlineStr">
        <is>
          <t>3</t>
        </is>
      </c>
      <c r="L2962" s="31" t="inlineStr">
        <is>
          <t>3</t>
        </is>
      </c>
      <c r="M2962" s="31" t="inlineStr">
        <is>
          <t>S3</t>
        </is>
      </c>
      <c r="N2962" s="31" t="inlineStr">
        <is>
          <t>S5</t>
        </is>
      </c>
      <c r="O2962" s="31" t="inlineStr">
        <is>
          <t>1559M40G03</t>
        </is>
      </c>
      <c r="P2962" s="31" t="inlineStr">
        <is>
          <t>SR Technics Switzerland</t>
        </is>
      </c>
    </row>
    <row r="2963">
      <c r="B2963" s="31" t="inlineStr">
        <is>
          <t>CFM56-7B</t>
        </is>
      </c>
      <c r="C2963" s="31" t="inlineStr">
        <is>
          <t>2025-2026</t>
        </is>
      </c>
      <c r="D2963" s="31" t="inlineStr">
        <is>
          <t>2591</t>
        </is>
      </c>
      <c r="E2963" s="31" t="inlineStr">
        <is>
          <t>72-33-01</t>
        </is>
      </c>
      <c r="F2963" s="31" t="inlineStr">
        <is>
          <t>F</t>
        </is>
      </c>
      <c r="G2963" s="31" t="inlineStr">
        <is>
          <t>Compressor</t>
        </is>
      </c>
      <c r="H2963" s="27" t="n">
        <v>7190</v>
      </c>
      <c r="I2963" s="27" t="n">
        <v>7625</v>
      </c>
      <c r="J2963" s="154">
        <f>I2963/H2963-1</f>
        <v/>
      </c>
      <c r="K2963" s="31" t="inlineStr">
        <is>
          <t>3</t>
        </is>
      </c>
      <c r="L2963" s="31" t="inlineStr">
        <is>
          <t>3</t>
        </is>
      </c>
      <c r="M2963" s="31" t="inlineStr">
        <is>
          <t>S3</t>
        </is>
      </c>
      <c r="N2963" s="31" t="inlineStr">
        <is>
          <t>S5</t>
        </is>
      </c>
      <c r="O2963" s="31" t="inlineStr">
        <is>
          <t>1559M40G03</t>
        </is>
      </c>
      <c r="P2963" s="31" t="inlineStr">
        <is>
          <t>SR Technics Switzerland</t>
        </is>
      </c>
    </row>
    <row r="2964">
      <c r="B2964" s="31" t="inlineStr">
        <is>
          <t>CFM56-7B</t>
        </is>
      </c>
      <c r="C2964" s="31" t="inlineStr">
        <is>
          <t>2025-2026</t>
        </is>
      </c>
      <c r="D2964" s="31" t="inlineStr">
        <is>
          <t>2591</t>
        </is>
      </c>
      <c r="E2964" s="31" t="inlineStr">
        <is>
          <t>72-33-01</t>
        </is>
      </c>
      <c r="F2964" s="31" t="inlineStr">
        <is>
          <t>G</t>
        </is>
      </c>
      <c r="G2964" s="31" t="inlineStr">
        <is>
          <t>Compressor</t>
        </is>
      </c>
      <c r="H2964" s="27" t="n">
        <v>6250</v>
      </c>
      <c r="I2964" s="27" t="n">
        <v>6625</v>
      </c>
      <c r="J2964" s="154">
        <f>I2964/H2964-1</f>
        <v/>
      </c>
      <c r="K2964" s="31" t="inlineStr">
        <is>
          <t>3</t>
        </is>
      </c>
      <c r="L2964" s="31" t="inlineStr">
        <is>
          <t>3</t>
        </is>
      </c>
      <c r="M2964" s="31" t="inlineStr">
        <is>
          <t>S3</t>
        </is>
      </c>
      <c r="N2964" s="31" t="inlineStr">
        <is>
          <t>S5</t>
        </is>
      </c>
      <c r="O2964" s="31" t="inlineStr">
        <is>
          <t>1559M40G03</t>
        </is>
      </c>
      <c r="P2964" s="31" t="inlineStr">
        <is>
          <t>SR Technics Switzerland</t>
        </is>
      </c>
    </row>
    <row r="2965">
      <c r="B2965" s="31" t="inlineStr">
        <is>
          <t>CFM56-7B</t>
        </is>
      </c>
      <c r="C2965" s="31" t="inlineStr">
        <is>
          <t>2025-2026</t>
        </is>
      </c>
      <c r="D2965" s="31" t="inlineStr">
        <is>
          <t>2742</t>
        </is>
      </c>
      <c r="E2965" s="31" t="inlineStr">
        <is>
          <t>72-21-03</t>
        </is>
      </c>
      <c r="F2965" s="31" t="inlineStr">
        <is>
          <t>A</t>
        </is>
      </c>
      <c r="G2965" s="31" t="inlineStr">
        <is>
          <t>Fan / booster</t>
        </is>
      </c>
      <c r="H2965" s="27" t="n">
        <v>5800</v>
      </c>
      <c r="I2965" s="27" t="n">
        <v>6090</v>
      </c>
      <c r="J2965" s="154">
        <f>I2965/H2965-1</f>
        <v/>
      </c>
      <c r="K2965" s="31" t="inlineStr">
        <is>
          <t>3</t>
        </is>
      </c>
      <c r="L2965" s="31" t="inlineStr">
        <is>
          <t>3</t>
        </is>
      </c>
      <c r="M2965" s="31" t="inlineStr">
        <is>
          <t>S3</t>
        </is>
      </c>
      <c r="N2965" s="31" t="inlineStr">
        <is>
          <t>S5</t>
        </is>
      </c>
      <c r="O2965" s="31" t="inlineStr">
        <is>
          <t>340-000-410-0</t>
        </is>
      </c>
      <c r="P2965" s="31" t="inlineStr">
        <is>
          <t>SR Technics Switzerland</t>
        </is>
      </c>
    </row>
    <row r="2966">
      <c r="B2966" s="31" t="inlineStr">
        <is>
          <t>CFM56-7B</t>
        </is>
      </c>
      <c r="C2966" s="31" t="inlineStr">
        <is>
          <t>2025-2026</t>
        </is>
      </c>
      <c r="D2966" s="31" t="inlineStr">
        <is>
          <t>2742</t>
        </is>
      </c>
      <c r="E2966" s="31" t="inlineStr">
        <is>
          <t>72-21-03</t>
        </is>
      </c>
      <c r="F2966" s="31" t="inlineStr">
        <is>
          <t>B</t>
        </is>
      </c>
      <c r="G2966" s="31" t="inlineStr">
        <is>
          <t>Fan / booster</t>
        </is>
      </c>
      <c r="H2966" s="27" t="n">
        <v>650</v>
      </c>
      <c r="I2966" s="27" t="n">
        <v>690</v>
      </c>
      <c r="J2966" s="154">
        <f>I2966/H2966-1</f>
        <v/>
      </c>
      <c r="K2966" s="31" t="inlineStr">
        <is>
          <t>3</t>
        </is>
      </c>
      <c r="L2966" s="31" t="inlineStr">
        <is>
          <t>3</t>
        </is>
      </c>
      <c r="M2966" s="31" t="inlineStr">
        <is>
          <t>S3</t>
        </is>
      </c>
      <c r="N2966" s="31" t="inlineStr">
        <is>
          <t>S5</t>
        </is>
      </c>
      <c r="O2966" s="31" t="inlineStr">
        <is>
          <t>340-000-410-0</t>
        </is>
      </c>
      <c r="P2966" s="31" t="inlineStr">
        <is>
          <t>SR Technics Switzerland</t>
        </is>
      </c>
    </row>
    <row r="2967">
      <c r="B2967" s="31" t="inlineStr">
        <is>
          <t>CFM56-7B</t>
        </is>
      </c>
      <c r="C2967" s="31" t="inlineStr">
        <is>
          <t>2025-2026</t>
        </is>
      </c>
      <c r="D2967" s="31" t="inlineStr">
        <is>
          <t>2742</t>
        </is>
      </c>
      <c r="E2967" s="31" t="inlineStr">
        <is>
          <t>72-21-03</t>
        </is>
      </c>
      <c r="F2967" s="31" t="inlineStr">
        <is>
          <t>C</t>
        </is>
      </c>
      <c r="G2967" s="31" t="inlineStr">
        <is>
          <t>Fan / booster</t>
        </is>
      </c>
      <c r="H2967" s="27" t="n">
        <v>2230</v>
      </c>
      <c r="I2967" s="27" t="n">
        <v>2365</v>
      </c>
      <c r="J2967" s="154">
        <f>I2967/H2967-1</f>
        <v/>
      </c>
      <c r="K2967" s="31" t="inlineStr">
        <is>
          <t>3</t>
        </is>
      </c>
      <c r="L2967" s="31" t="inlineStr">
        <is>
          <t>3</t>
        </is>
      </c>
      <c r="M2967" s="31" t="inlineStr">
        <is>
          <t>S3</t>
        </is>
      </c>
      <c r="N2967" s="31" t="inlineStr">
        <is>
          <t>S5</t>
        </is>
      </c>
      <c r="O2967" s="31" t="inlineStr">
        <is>
          <t>340-000-410-0</t>
        </is>
      </c>
      <c r="P2967" s="31" t="inlineStr">
        <is>
          <t>SR Technics Switzerland</t>
        </is>
      </c>
    </row>
    <row r="2968">
      <c r="B2968" s="31" t="inlineStr">
        <is>
          <t>CFM56-7B</t>
        </is>
      </c>
      <c r="C2968" s="31" t="inlineStr">
        <is>
          <t>2025-2026</t>
        </is>
      </c>
      <c r="D2968" s="31" t="inlineStr">
        <is>
          <t>2742</t>
        </is>
      </c>
      <c r="E2968" s="31" t="inlineStr">
        <is>
          <t>72-21-03</t>
        </is>
      </c>
      <c r="F2968" s="31" t="inlineStr">
        <is>
          <t>D</t>
        </is>
      </c>
      <c r="G2968" s="31" t="inlineStr">
        <is>
          <t>Fan / booster</t>
        </is>
      </c>
      <c r="H2968" s="27" t="n">
        <v>500</v>
      </c>
      <c r="I2968" s="27" t="n">
        <v>530</v>
      </c>
      <c r="J2968" s="154">
        <f>I2968/H2968-1</f>
        <v/>
      </c>
      <c r="K2968" s="31" t="inlineStr">
        <is>
          <t>3</t>
        </is>
      </c>
      <c r="L2968" s="31" t="inlineStr">
        <is>
          <t>3</t>
        </is>
      </c>
      <c r="M2968" s="31" t="inlineStr">
        <is>
          <t>S3</t>
        </is>
      </c>
      <c r="N2968" s="31" t="inlineStr">
        <is>
          <t>S5</t>
        </is>
      </c>
      <c r="O2968" s="31" t="inlineStr">
        <is>
          <t>340-000-410-0</t>
        </is>
      </c>
      <c r="P2968" s="31" t="inlineStr">
        <is>
          <t>SR Technics Switzerland</t>
        </is>
      </c>
    </row>
    <row r="2969">
      <c r="B2969" s="31" t="inlineStr">
        <is>
          <t>CFM56-7B</t>
        </is>
      </c>
      <c r="C2969" s="31" t="inlineStr">
        <is>
          <t>2025-2026</t>
        </is>
      </c>
      <c r="D2969" s="31" t="inlineStr">
        <is>
          <t>2742</t>
        </is>
      </c>
      <c r="E2969" s="31" t="inlineStr">
        <is>
          <t>72-21-03</t>
        </is>
      </c>
      <c r="F2969" s="31" t="inlineStr">
        <is>
          <t>M</t>
        </is>
      </c>
      <c r="G2969" s="31" t="inlineStr">
        <is>
          <t>Fan / booster</t>
        </is>
      </c>
      <c r="H2969" s="27" t="n">
        <v>4430</v>
      </c>
      <c r="I2969" s="27" t="n">
        <v>4700</v>
      </c>
      <c r="J2969" s="154">
        <f>I2969/H2969-1</f>
        <v/>
      </c>
      <c r="K2969" s="31" t="inlineStr">
        <is>
          <t>3</t>
        </is>
      </c>
      <c r="L2969" s="31" t="inlineStr">
        <is>
          <t>3</t>
        </is>
      </c>
      <c r="M2969" s="31" t="inlineStr">
        <is>
          <t>S3</t>
        </is>
      </c>
      <c r="N2969" s="31" t="inlineStr">
        <is>
          <t>S5</t>
        </is>
      </c>
      <c r="O2969" s="31" t="inlineStr">
        <is>
          <t>340-000-410-0</t>
        </is>
      </c>
      <c r="P2969" s="31" t="inlineStr">
        <is>
          <t>SR Technics Switzerland</t>
        </is>
      </c>
    </row>
    <row r="2970">
      <c r="B2970" s="31" t="inlineStr">
        <is>
          <t>CFM56-7B</t>
        </is>
      </c>
      <c r="C2970" s="31" t="inlineStr">
        <is>
          <t>2025-2026</t>
        </is>
      </c>
      <c r="D2970" s="31" t="inlineStr">
        <is>
          <t>2742</t>
        </is>
      </c>
      <c r="E2970" s="31" t="inlineStr">
        <is>
          <t>72-21-03</t>
        </is>
      </c>
      <c r="F2970" s="31" t="inlineStr">
        <is>
          <t>R</t>
        </is>
      </c>
      <c r="G2970" s="31" t="inlineStr">
        <is>
          <t>Fan / booster</t>
        </is>
      </c>
      <c r="H2970" s="27" t="n">
        <v>995</v>
      </c>
      <c r="I2970" s="27" t="n">
        <v>1055</v>
      </c>
      <c r="J2970" s="154">
        <f>I2970/H2970-1</f>
        <v/>
      </c>
      <c r="K2970" s="31" t="inlineStr">
        <is>
          <t>3</t>
        </is>
      </c>
      <c r="L2970" s="31" t="inlineStr">
        <is>
          <t>3</t>
        </is>
      </c>
      <c r="M2970" s="31" t="inlineStr">
        <is>
          <t>S3</t>
        </is>
      </c>
      <c r="N2970" s="31" t="inlineStr">
        <is>
          <t>S5</t>
        </is>
      </c>
      <c r="O2970" s="31" t="inlineStr">
        <is>
          <t>340-000-410-0</t>
        </is>
      </c>
      <c r="P2970" s="31" t="inlineStr">
        <is>
          <t>SR Technics Switzerland</t>
        </is>
      </c>
    </row>
    <row r="2971">
      <c r="B2971" s="31" t="inlineStr">
        <is>
          <t>CFM56-7B</t>
        </is>
      </c>
      <c r="C2971" s="31" t="inlineStr">
        <is>
          <t>2025-2026</t>
        </is>
      </c>
      <c r="D2971" s="31" t="inlineStr">
        <is>
          <t>2742</t>
        </is>
      </c>
      <c r="E2971" s="31" t="inlineStr">
        <is>
          <t>72-21-03</t>
        </is>
      </c>
      <c r="F2971" s="31" t="inlineStr">
        <is>
          <t>S</t>
        </is>
      </c>
      <c r="G2971" s="31" t="inlineStr">
        <is>
          <t>Fan / booster</t>
        </is>
      </c>
      <c r="H2971" s="27" t="n">
        <v>5070</v>
      </c>
      <c r="I2971" s="27" t="n">
        <v>5375</v>
      </c>
      <c r="J2971" s="154">
        <f>I2971/H2971-1</f>
        <v/>
      </c>
      <c r="K2971" s="31" t="inlineStr">
        <is>
          <t>3</t>
        </is>
      </c>
      <c r="L2971" s="31" t="inlineStr">
        <is>
          <t>3</t>
        </is>
      </c>
      <c r="M2971" s="31" t="inlineStr">
        <is>
          <t>S3</t>
        </is>
      </c>
      <c r="N2971" s="31" t="inlineStr">
        <is>
          <t>S5</t>
        </is>
      </c>
      <c r="O2971" s="31" t="inlineStr">
        <is>
          <t>340-000-410-0</t>
        </is>
      </c>
      <c r="P2971" s="31" t="inlineStr">
        <is>
          <t>SR Technics Switzerland</t>
        </is>
      </c>
    </row>
    <row r="2972">
      <c r="B2972" s="31" t="inlineStr">
        <is>
          <t>CFM56-7B</t>
        </is>
      </c>
      <c r="C2972" s="31" t="inlineStr">
        <is>
          <t>2025-2026</t>
        </is>
      </c>
      <c r="D2972" s="31" t="inlineStr">
        <is>
          <t>2742</t>
        </is>
      </c>
      <c r="E2972" s="31" t="inlineStr">
        <is>
          <t>72-21-03</t>
        </is>
      </c>
      <c r="F2972" s="31" t="inlineStr">
        <is>
          <t>SB02</t>
        </is>
      </c>
      <c r="G2972" s="31" t="inlineStr">
        <is>
          <t>Fan / booster</t>
        </is>
      </c>
      <c r="H2972" s="27" t="n">
        <v>780</v>
      </c>
      <c r="I2972" s="27" t="n">
        <v>830</v>
      </c>
      <c r="J2972" s="154">
        <f>I2972/H2972-1</f>
        <v/>
      </c>
      <c r="K2972" s="31" t="inlineStr">
        <is>
          <t>3</t>
        </is>
      </c>
      <c r="L2972" s="31" t="inlineStr">
        <is>
          <t>3</t>
        </is>
      </c>
      <c r="M2972" s="31" t="inlineStr">
        <is>
          <t>S3</t>
        </is>
      </c>
      <c r="N2972" s="31" t="inlineStr">
        <is>
          <t>S5</t>
        </is>
      </c>
      <c r="O2972" s="31" t="inlineStr">
        <is>
          <t>340-000-410-0</t>
        </is>
      </c>
      <c r="P2972" s="31" t="inlineStr">
        <is>
          <t>SR Technics Switzerland</t>
        </is>
      </c>
    </row>
    <row r="2973">
      <c r="B2973" s="31" t="inlineStr">
        <is>
          <t>CFM56-7B</t>
        </is>
      </c>
      <c r="C2973" s="31" t="inlineStr">
        <is>
          <t>2025-2026</t>
        </is>
      </c>
      <c r="D2973" s="31" t="inlineStr">
        <is>
          <t>2742</t>
        </is>
      </c>
      <c r="E2973" s="31" t="inlineStr">
        <is>
          <t>72-21-03</t>
        </is>
      </c>
      <c r="F2973" s="31" t="inlineStr">
        <is>
          <t>SB03</t>
        </is>
      </c>
      <c r="G2973" s="31" t="inlineStr">
        <is>
          <t>Fan / booster</t>
        </is>
      </c>
      <c r="H2973" s="27" t="n">
        <v>510</v>
      </c>
      <c r="I2973" s="27" t="n">
        <v>545</v>
      </c>
      <c r="J2973" s="154">
        <f>I2973/H2973-1</f>
        <v/>
      </c>
      <c r="K2973" s="31" t="inlineStr">
        <is>
          <t>3</t>
        </is>
      </c>
      <c r="L2973" s="31" t="inlineStr">
        <is>
          <t>3</t>
        </is>
      </c>
      <c r="M2973" s="31" t="inlineStr">
        <is>
          <t>S3</t>
        </is>
      </c>
      <c r="N2973" s="31" t="inlineStr">
        <is>
          <t>S5</t>
        </is>
      </c>
      <c r="O2973" s="31" t="inlineStr">
        <is>
          <t>340-000-410-0</t>
        </is>
      </c>
      <c r="P2973" s="31" t="inlineStr">
        <is>
          <t>SR Technics Switzerland</t>
        </is>
      </c>
    </row>
    <row r="2974">
      <c r="B2974" s="31" t="inlineStr">
        <is>
          <t>CFM56-7B</t>
        </is>
      </c>
      <c r="C2974" s="31" t="inlineStr">
        <is>
          <t>2025-2026</t>
        </is>
      </c>
      <c r="D2974" s="31" t="inlineStr">
        <is>
          <t>2742</t>
        </is>
      </c>
      <c r="E2974" s="31" t="inlineStr">
        <is>
          <t>72-21-03</t>
        </is>
      </c>
      <c r="F2974" s="31" t="inlineStr">
        <is>
          <t>SB04</t>
        </is>
      </c>
      <c r="G2974" s="31" t="inlineStr">
        <is>
          <t>Fan / booster</t>
        </is>
      </c>
      <c r="H2974" s="27" t="n">
        <v>595</v>
      </c>
      <c r="I2974" s="27" t="n">
        <v>635</v>
      </c>
      <c r="J2974" s="154">
        <f>I2974/H2974-1</f>
        <v/>
      </c>
      <c r="K2974" s="31" t="inlineStr">
        <is>
          <t>3</t>
        </is>
      </c>
      <c r="L2974" s="31" t="inlineStr">
        <is>
          <t>3</t>
        </is>
      </c>
      <c r="M2974" s="31" t="inlineStr">
        <is>
          <t>S3</t>
        </is>
      </c>
      <c r="N2974" s="31" t="inlineStr">
        <is>
          <t>S5</t>
        </is>
      </c>
      <c r="O2974" s="31" t="inlineStr">
        <is>
          <t>340-000-410-0</t>
        </is>
      </c>
      <c r="P2974" s="31" t="inlineStr">
        <is>
          <t>SR Technics Switzerland</t>
        </is>
      </c>
    </row>
    <row r="2975">
      <c r="B2975" s="31" t="inlineStr">
        <is>
          <t>CFM56-7B</t>
        </is>
      </c>
      <c r="C2975" s="31" t="inlineStr">
        <is>
          <t>2025-2026</t>
        </is>
      </c>
      <c r="D2975" s="31" t="inlineStr">
        <is>
          <t>2742</t>
        </is>
      </c>
      <c r="E2975" s="31" t="inlineStr">
        <is>
          <t>72-21-03</t>
        </is>
      </c>
      <c r="F2975" s="31" t="inlineStr">
        <is>
          <t>U</t>
        </is>
      </c>
      <c r="G2975" s="31" t="inlineStr">
        <is>
          <t>Fan / booster</t>
        </is>
      </c>
      <c r="H2975" s="27" t="n">
        <v>3410</v>
      </c>
      <c r="I2975" s="27" t="n">
        <v>3615</v>
      </c>
      <c r="J2975" s="154">
        <f>I2975/H2975-1</f>
        <v/>
      </c>
      <c r="K2975" s="31" t="inlineStr">
        <is>
          <t>3</t>
        </is>
      </c>
      <c r="L2975" s="31" t="inlineStr">
        <is>
          <t>3</t>
        </is>
      </c>
      <c r="M2975" s="31" t="inlineStr">
        <is>
          <t>S3</t>
        </is>
      </c>
      <c r="N2975" s="31" t="inlineStr">
        <is>
          <t>S5</t>
        </is>
      </c>
      <c r="O2975" s="31" t="inlineStr">
        <is>
          <t>340-000-410-0</t>
        </is>
      </c>
      <c r="P2975" s="31" t="inlineStr">
        <is>
          <t>SR Technics Switzerland</t>
        </is>
      </c>
    </row>
    <row r="2976">
      <c r="B2976" s="31" t="inlineStr">
        <is>
          <t>CFM56-7B</t>
        </is>
      </c>
      <c r="C2976" s="31" t="inlineStr">
        <is>
          <t>2025-2026</t>
        </is>
      </c>
      <c r="D2976" s="31" t="inlineStr">
        <is>
          <t>2882</t>
        </is>
      </c>
      <c r="E2976" s="31" t="inlineStr">
        <is>
          <t>72-52-03</t>
        </is>
      </c>
      <c r="F2976" s="31" t="inlineStr">
        <is>
          <t>B</t>
        </is>
      </c>
      <c r="G2976" s="31" t="inlineStr">
        <is>
          <t>HPT / nozzle</t>
        </is>
      </c>
      <c r="H2976" s="27" t="n">
        <v>205</v>
      </c>
      <c r="I2976" s="27" t="n">
        <v>600</v>
      </c>
      <c r="J2976" s="154">
        <f>I2976/H2976-1</f>
        <v/>
      </c>
      <c r="K2976" s="31" t="inlineStr">
        <is>
          <t>3</t>
        </is>
      </c>
      <c r="L2976" s="31" t="inlineStr">
        <is>
          <t>3</t>
        </is>
      </c>
      <c r="M2976" s="31" t="inlineStr">
        <is>
          <t>S3</t>
        </is>
      </c>
      <c r="N2976" s="31" t="inlineStr">
        <is>
          <t>S5</t>
        </is>
      </c>
      <c r="O2976" s="31" t="inlineStr">
        <is>
          <t>1795M36P01</t>
        </is>
      </c>
      <c r="P2976" s="31" t="inlineStr">
        <is>
          <t>SR Technics Switzerland</t>
        </is>
      </c>
    </row>
    <row r="2977">
      <c r="B2977" s="31" t="inlineStr">
        <is>
          <t>CFM56-7B</t>
        </is>
      </c>
      <c r="C2977" s="31" t="inlineStr">
        <is>
          <t>2025-2026</t>
        </is>
      </c>
      <c r="D2977" s="31" t="inlineStr">
        <is>
          <t>2882</t>
        </is>
      </c>
      <c r="E2977" s="31" t="inlineStr">
        <is>
          <t>72-52-03</t>
        </is>
      </c>
      <c r="F2977" s="31" t="inlineStr">
        <is>
          <t>C</t>
        </is>
      </c>
      <c r="G2977" s="31" t="inlineStr">
        <is>
          <t>HPT / nozzle</t>
        </is>
      </c>
      <c r="H2977" s="27" t="n">
        <v>1405</v>
      </c>
      <c r="I2977" s="27" t="n">
        <v>2800</v>
      </c>
      <c r="J2977" s="154">
        <f>I2977/H2977-1</f>
        <v/>
      </c>
      <c r="K2977" s="31" t="inlineStr">
        <is>
          <t>4</t>
        </is>
      </c>
      <c r="L2977" s="31" t="inlineStr">
        <is>
          <t>3</t>
        </is>
      </c>
      <c r="M2977" s="31" t="inlineStr">
        <is>
          <t>S3</t>
        </is>
      </c>
      <c r="N2977" s="31" t="inlineStr">
        <is>
          <t>S5</t>
        </is>
      </c>
      <c r="O2977" s="31" t="inlineStr">
        <is>
          <t>1795M36P01</t>
        </is>
      </c>
      <c r="P2977" s="31" t="inlineStr">
        <is>
          <t>SR Technics Switzerland</t>
        </is>
      </c>
    </row>
    <row r="2978">
      <c r="B2978" s="31" t="inlineStr">
        <is>
          <t>CFM56-7B</t>
        </is>
      </c>
      <c r="C2978" s="31" t="inlineStr">
        <is>
          <t>2025-2026</t>
        </is>
      </c>
      <c r="D2978" s="31" t="inlineStr">
        <is>
          <t>2882</t>
        </is>
      </c>
      <c r="E2978" s="31" t="inlineStr">
        <is>
          <t>72-52-03</t>
        </is>
      </c>
      <c r="F2978" s="31" t="inlineStr">
        <is>
          <t>E</t>
        </is>
      </c>
      <c r="G2978" s="31" t="inlineStr">
        <is>
          <t>HPT / nozzle</t>
        </is>
      </c>
      <c r="H2978" s="27" t="n">
        <v>4705</v>
      </c>
      <c r="I2978" s="27" t="n">
        <v>4705</v>
      </c>
      <c r="J2978" s="154">
        <f>I2978/H2978-1</f>
        <v/>
      </c>
      <c r="K2978" s="31" t="inlineStr">
        <is>
          <t>4</t>
        </is>
      </c>
      <c r="L2978" s="31" t="inlineStr">
        <is>
          <t>3</t>
        </is>
      </c>
      <c r="M2978" s="31" t="inlineStr">
        <is>
          <t>S3</t>
        </is>
      </c>
      <c r="N2978" s="31" t="inlineStr">
        <is>
          <t>S5</t>
        </is>
      </c>
      <c r="O2978" s="31" t="inlineStr">
        <is>
          <t>1795M36P01</t>
        </is>
      </c>
      <c r="P2978" s="31" t="inlineStr">
        <is>
          <t>SR Technics Switzerland</t>
        </is>
      </c>
    </row>
    <row r="2979">
      <c r="B2979" s="31" t="inlineStr">
        <is>
          <t>CFM56-7B</t>
        </is>
      </c>
      <c r="C2979" s="31" t="inlineStr">
        <is>
          <t>2025-2026</t>
        </is>
      </c>
      <c r="D2979" s="31" t="inlineStr">
        <is>
          <t>2882</t>
        </is>
      </c>
      <c r="E2979" s="31" t="inlineStr">
        <is>
          <t>72-52-03</t>
        </is>
      </c>
      <c r="F2979" s="31" t="inlineStr">
        <is>
          <t>G</t>
        </is>
      </c>
      <c r="G2979" s="31" t="inlineStr">
        <is>
          <t>HPT / nozzle</t>
        </is>
      </c>
      <c r="H2979" s="27" t="n">
        <v>4980</v>
      </c>
      <c r="I2979" s="27" t="n">
        <v>4980</v>
      </c>
      <c r="J2979" s="154">
        <f>I2979/H2979-1</f>
        <v/>
      </c>
      <c r="K2979" s="31" t="inlineStr">
        <is>
          <t>4</t>
        </is>
      </c>
      <c r="L2979" s="31" t="inlineStr">
        <is>
          <t>3</t>
        </is>
      </c>
      <c r="M2979" s="31" t="inlineStr">
        <is>
          <t>S3</t>
        </is>
      </c>
      <c r="N2979" s="31" t="inlineStr">
        <is>
          <t>S5</t>
        </is>
      </c>
      <c r="O2979" s="31" t="inlineStr">
        <is>
          <t>1795M36P01</t>
        </is>
      </c>
      <c r="P2979" s="31" t="inlineStr">
        <is>
          <t>SR Technics Switzerland</t>
        </is>
      </c>
    </row>
    <row r="2980">
      <c r="B2980" s="31" t="inlineStr">
        <is>
          <t>CFM56-7B</t>
        </is>
      </c>
      <c r="C2980" s="31" t="inlineStr">
        <is>
          <t>2025-2026</t>
        </is>
      </c>
      <c r="D2980" s="31" t="inlineStr">
        <is>
          <t>2882</t>
        </is>
      </c>
      <c r="E2980" s="31" t="inlineStr">
        <is>
          <t>72-52-03</t>
        </is>
      </c>
      <c r="F2980" s="31" t="inlineStr">
        <is>
          <t>SB02</t>
        </is>
      </c>
      <c r="G2980" s="31" t="inlineStr">
        <is>
          <t>HPT / nozzle</t>
        </is>
      </c>
      <c r="H2980" s="27" t="n">
        <v>405</v>
      </c>
      <c r="I2980" s="27" t="n">
        <v>430</v>
      </c>
      <c r="J2980" s="154">
        <f>I2980/H2980-1</f>
        <v/>
      </c>
      <c r="K2980" s="31" t="inlineStr">
        <is>
          <t>4</t>
        </is>
      </c>
      <c r="L2980" s="31" t="inlineStr">
        <is>
          <t>4</t>
        </is>
      </c>
      <c r="M2980" s="31" t="inlineStr">
        <is>
          <t>S3</t>
        </is>
      </c>
      <c r="N2980" s="31" t="inlineStr">
        <is>
          <t>S5</t>
        </is>
      </c>
      <c r="O2980" s="31" t="inlineStr">
        <is>
          <t>1795M36P01</t>
        </is>
      </c>
      <c r="P2980" s="31" t="inlineStr">
        <is>
          <t>SR Technics Switzerland</t>
        </is>
      </c>
    </row>
    <row r="2981">
      <c r="B2981" s="31" t="inlineStr">
        <is>
          <t>CFM56-7B</t>
        </is>
      </c>
      <c r="C2981" s="31" t="inlineStr">
        <is>
          <t>2025-2026</t>
        </is>
      </c>
      <c r="D2981" s="31" t="inlineStr">
        <is>
          <t>2882</t>
        </is>
      </c>
      <c r="E2981" s="31" t="inlineStr">
        <is>
          <t>72-52-03</t>
        </is>
      </c>
      <c r="F2981" s="31" t="inlineStr">
        <is>
          <t>SB06</t>
        </is>
      </c>
      <c r="G2981" s="31" t="inlineStr">
        <is>
          <t>HPT / nozzle</t>
        </is>
      </c>
      <c r="H2981" s="27" t="n">
        <v>510</v>
      </c>
      <c r="I2981" s="27" t="n">
        <v>545</v>
      </c>
      <c r="J2981" s="154">
        <f>I2981/H2981-1</f>
        <v/>
      </c>
      <c r="K2981" s="31" t="inlineStr">
        <is>
          <t>4</t>
        </is>
      </c>
      <c r="L2981" s="31" t="inlineStr">
        <is>
          <t>4</t>
        </is>
      </c>
      <c r="M2981" s="31" t="inlineStr">
        <is>
          <t>S3</t>
        </is>
      </c>
      <c r="N2981" s="31" t="inlineStr">
        <is>
          <t>S5</t>
        </is>
      </c>
      <c r="O2981" s="31" t="inlineStr">
        <is>
          <t>1795M36P01</t>
        </is>
      </c>
      <c r="P2981" s="31" t="inlineStr">
        <is>
          <t>SR Technics Switzerland</t>
        </is>
      </c>
    </row>
    <row r="2982">
      <c r="B2982" s="31" t="inlineStr">
        <is>
          <t>CFM56-7B</t>
        </is>
      </c>
      <c r="C2982" s="31" t="inlineStr">
        <is>
          <t>2025-2026</t>
        </is>
      </c>
      <c r="D2982" s="31" t="inlineStr">
        <is>
          <t>3016</t>
        </is>
      </c>
      <c r="E2982" s="31" t="inlineStr">
        <is>
          <t>72-33-00</t>
        </is>
      </c>
      <c r="F2982" s="31" t="inlineStr">
        <is>
          <t>B</t>
        </is>
      </c>
      <c r="G2982" s="31" t="inlineStr">
        <is>
          <t>Compressor</t>
        </is>
      </c>
      <c r="H2982" s="27" t="n">
        <v>1890</v>
      </c>
      <c r="I2982" s="27" t="n">
        <v>2005</v>
      </c>
      <c r="J2982" s="154">
        <f>I2982/H2982-1</f>
        <v/>
      </c>
      <c r="K2982" s="31" t="inlineStr">
        <is>
          <t>31</t>
        </is>
      </c>
      <c r="L2982" s="31" t="inlineStr">
        <is>
          <t>31</t>
        </is>
      </c>
      <c r="M2982" s="31" t="inlineStr">
        <is>
          <t>S3</t>
        </is>
      </c>
      <c r="N2982" s="31" t="inlineStr">
        <is>
          <t>S5</t>
        </is>
      </c>
      <c r="O2982" s="31" t="inlineStr">
        <is>
          <t>9324M67G01</t>
        </is>
      </c>
      <c r="P2982" s="31" t="inlineStr">
        <is>
          <t>SR Technics Switzerland</t>
        </is>
      </c>
    </row>
    <row r="2983">
      <c r="B2983" s="31" t="inlineStr">
        <is>
          <t>CFM56-7B</t>
        </is>
      </c>
      <c r="C2983" s="31" t="inlineStr">
        <is>
          <t>2025-2026</t>
        </is>
      </c>
      <c r="D2983" s="31" t="inlineStr">
        <is>
          <t>3021</t>
        </is>
      </c>
      <c r="E2983" s="31" t="inlineStr">
        <is>
          <t>73-21-76</t>
        </is>
      </c>
      <c r="F2983" s="31" t="inlineStr">
        <is>
          <t>G</t>
        </is>
      </c>
      <c r="G2983" s="31" t="inlineStr">
        <is>
          <t>Fuel system</t>
        </is>
      </c>
      <c r="H2983" s="27" t="n">
        <v>12920</v>
      </c>
      <c r="I2983" s="27" t="n">
        <v>13700</v>
      </c>
      <c r="J2983" s="154">
        <f>I2983/H2983-1</f>
        <v/>
      </c>
      <c r="K2983" s="31" t="inlineStr">
        <is>
          <t>4</t>
        </is>
      </c>
      <c r="L2983" s="31" t="inlineStr">
        <is>
          <t>4</t>
        </is>
      </c>
      <c r="M2983" s="31" t="inlineStr">
        <is>
          <t>S3</t>
        </is>
      </c>
      <c r="N2983" s="31" t="inlineStr">
        <is>
          <t>S5</t>
        </is>
      </c>
      <c r="O2983" s="31" t="inlineStr">
        <is>
          <t>1853M56P06</t>
        </is>
      </c>
      <c r="P2983" s="31" t="inlineStr">
        <is>
          <t>SR Technics Switzerland</t>
        </is>
      </c>
    </row>
    <row r="2984">
      <c r="B2984" s="31" t="inlineStr">
        <is>
          <t>CFM56-7B</t>
        </is>
      </c>
      <c r="C2984" s="31" t="inlineStr">
        <is>
          <t>2025-2026</t>
        </is>
      </c>
      <c r="D2984" s="31" t="inlineStr">
        <is>
          <t>3021</t>
        </is>
      </c>
      <c r="E2984" s="31" t="inlineStr">
        <is>
          <t>73-21-76</t>
        </is>
      </c>
      <c r="F2984" s="31" t="inlineStr">
        <is>
          <t>SB00</t>
        </is>
      </c>
      <c r="G2984" s="31" t="inlineStr">
        <is>
          <t>Fuel system</t>
        </is>
      </c>
      <c r="H2984" s="27" t="n">
        <v>4225</v>
      </c>
      <c r="I2984" s="27" t="n">
        <v>4480</v>
      </c>
      <c r="J2984" s="154">
        <f>I2984/H2984-1</f>
        <v/>
      </c>
      <c r="K2984" s="31" t="inlineStr">
        <is>
          <t>4</t>
        </is>
      </c>
      <c r="L2984" s="31" t="inlineStr">
        <is>
          <t>4</t>
        </is>
      </c>
      <c r="M2984" s="31" t="inlineStr">
        <is>
          <t>S3</t>
        </is>
      </c>
      <c r="N2984" s="31" t="inlineStr">
        <is>
          <t>S5</t>
        </is>
      </c>
      <c r="O2984" s="31" t="inlineStr">
        <is>
          <t>1853M56P06</t>
        </is>
      </c>
      <c r="P2984" s="31" t="inlineStr">
        <is>
          <t>SR Technics Switzerland</t>
        </is>
      </c>
    </row>
    <row r="2985">
      <c r="B2985" s="31" t="inlineStr">
        <is>
          <t>CFM56-7B</t>
        </is>
      </c>
      <c r="C2985" s="31" t="inlineStr">
        <is>
          <t>2025-2026</t>
        </is>
      </c>
      <c r="D2985" s="31" t="inlineStr">
        <is>
          <t>3021</t>
        </is>
      </c>
      <c r="E2985" s="31" t="inlineStr">
        <is>
          <t>73-21-76</t>
        </is>
      </c>
      <c r="F2985" s="31" t="inlineStr">
        <is>
          <t>SB01</t>
        </is>
      </c>
      <c r="G2985" s="31" t="inlineStr">
        <is>
          <t>Fuel system</t>
        </is>
      </c>
      <c r="H2985" s="27" t="n">
        <v>510</v>
      </c>
      <c r="I2985" s="27" t="n">
        <v>545</v>
      </c>
      <c r="J2985" s="154">
        <f>I2985/H2985-1</f>
        <v/>
      </c>
      <c r="K2985" s="31" t="inlineStr">
        <is>
          <t>4</t>
        </is>
      </c>
      <c r="L2985" s="31" t="inlineStr">
        <is>
          <t>4</t>
        </is>
      </c>
      <c r="M2985" s="31" t="inlineStr">
        <is>
          <t>S3</t>
        </is>
      </c>
      <c r="N2985" s="31" t="inlineStr">
        <is>
          <t>S5</t>
        </is>
      </c>
      <c r="O2985" s="31" t="inlineStr">
        <is>
          <t>1853M56P06</t>
        </is>
      </c>
      <c r="P2985" s="31" t="inlineStr">
        <is>
          <t>SR Technics Switzerland</t>
        </is>
      </c>
    </row>
    <row r="2986">
      <c r="B2986" s="31" t="inlineStr">
        <is>
          <t>CFM56-7B</t>
        </is>
      </c>
      <c r="C2986" s="31" t="inlineStr">
        <is>
          <t>2025-2026</t>
        </is>
      </c>
      <c r="D2986" s="31" t="inlineStr">
        <is>
          <t>3021</t>
        </is>
      </c>
      <c r="E2986" s="31" t="inlineStr">
        <is>
          <t>73-21-76</t>
        </is>
      </c>
      <c r="F2986" s="31" t="inlineStr">
        <is>
          <t>SB02</t>
        </is>
      </c>
      <c r="G2986" s="31" t="inlineStr">
        <is>
          <t>Fuel system</t>
        </is>
      </c>
      <c r="H2986" s="27" t="n">
        <v>510</v>
      </c>
      <c r="I2986" s="27" t="n">
        <v>545</v>
      </c>
      <c r="J2986" s="154">
        <f>I2986/H2986-1</f>
        <v/>
      </c>
      <c r="K2986" s="31" t="inlineStr">
        <is>
          <t>4</t>
        </is>
      </c>
      <c r="L2986" s="31" t="inlineStr">
        <is>
          <t>4</t>
        </is>
      </c>
      <c r="M2986" s="31" t="inlineStr">
        <is>
          <t>S3</t>
        </is>
      </c>
      <c r="N2986" s="31" t="inlineStr">
        <is>
          <t>S5</t>
        </is>
      </c>
      <c r="O2986" s="31" t="inlineStr">
        <is>
          <t>1853M56P06</t>
        </is>
      </c>
      <c r="P2986" s="31" t="inlineStr">
        <is>
          <t>SR Technics Switzerland</t>
        </is>
      </c>
    </row>
    <row r="2987">
      <c r="B2987" s="31" t="inlineStr">
        <is>
          <t>CFM56-7B</t>
        </is>
      </c>
      <c r="C2987" s="31" t="inlineStr">
        <is>
          <t>2025-2026</t>
        </is>
      </c>
      <c r="D2987" s="31" t="inlineStr">
        <is>
          <t>3021</t>
        </is>
      </c>
      <c r="E2987" s="31" t="inlineStr">
        <is>
          <t>73-21-76</t>
        </is>
      </c>
      <c r="F2987" s="31" t="inlineStr">
        <is>
          <t>SB03</t>
        </is>
      </c>
      <c r="G2987" s="31" t="inlineStr">
        <is>
          <t>Fuel system</t>
        </is>
      </c>
      <c r="H2987" s="27" t="n">
        <v>510</v>
      </c>
      <c r="I2987" s="27" t="n">
        <v>545</v>
      </c>
      <c r="J2987" s="154">
        <f>I2987/H2987-1</f>
        <v/>
      </c>
      <c r="K2987" s="31" t="inlineStr">
        <is>
          <t>4</t>
        </is>
      </c>
      <c r="L2987" s="31" t="inlineStr">
        <is>
          <t>4</t>
        </is>
      </c>
      <c r="M2987" s="31" t="inlineStr">
        <is>
          <t>S3</t>
        </is>
      </c>
      <c r="N2987" s="31" t="inlineStr">
        <is>
          <t>S5</t>
        </is>
      </c>
      <c r="O2987" s="31" t="inlineStr">
        <is>
          <t>1853M56P06</t>
        </is>
      </c>
      <c r="P2987" s="31" t="inlineStr">
        <is>
          <t>SR Technics Switzerland</t>
        </is>
      </c>
    </row>
    <row r="2988">
      <c r="B2988" s="31" t="inlineStr">
        <is>
          <t>CFM56-7B</t>
        </is>
      </c>
      <c r="C2988" s="31" t="inlineStr">
        <is>
          <t>2025-2026</t>
        </is>
      </c>
      <c r="D2988" s="31" t="inlineStr">
        <is>
          <t>3021</t>
        </is>
      </c>
      <c r="E2988" s="31" t="inlineStr">
        <is>
          <t>73-21-76</t>
        </is>
      </c>
      <c r="F2988" s="31" t="inlineStr">
        <is>
          <t>SB04</t>
        </is>
      </c>
      <c r="G2988" s="31" t="inlineStr">
        <is>
          <t>Fuel system</t>
        </is>
      </c>
      <c r="H2988" s="27" t="n">
        <v>510</v>
      </c>
      <c r="I2988" s="27" t="n">
        <v>545</v>
      </c>
      <c r="J2988" s="154">
        <f>I2988/H2988-1</f>
        <v/>
      </c>
      <c r="K2988" s="31" t="inlineStr">
        <is>
          <t>4</t>
        </is>
      </c>
      <c r="L2988" s="31" t="inlineStr">
        <is>
          <t>4</t>
        </is>
      </c>
      <c r="M2988" s="31" t="inlineStr">
        <is>
          <t>S3</t>
        </is>
      </c>
      <c r="N2988" s="31" t="inlineStr">
        <is>
          <t>S5</t>
        </is>
      </c>
      <c r="O2988" s="31" t="inlineStr">
        <is>
          <t>1853M56P06</t>
        </is>
      </c>
      <c r="P2988" s="31" t="inlineStr">
        <is>
          <t>SR Technics Switzerland</t>
        </is>
      </c>
    </row>
    <row r="2989">
      <c r="B2989" s="31" t="inlineStr">
        <is>
          <t>CFM56-7B</t>
        </is>
      </c>
      <c r="C2989" s="31" t="inlineStr">
        <is>
          <t>2025-2026</t>
        </is>
      </c>
      <c r="D2989" s="31" t="inlineStr">
        <is>
          <t>3044</t>
        </is>
      </c>
      <c r="E2989" s="31" t="inlineStr">
        <is>
          <t>73-11-13</t>
        </is>
      </c>
      <c r="F2989" s="31" t="inlineStr">
        <is>
          <t>B</t>
        </is>
      </c>
      <c r="G2989" s="31" t="inlineStr">
        <is>
          <t>Fuel system</t>
        </is>
      </c>
      <c r="H2989" s="27" t="n">
        <v>285</v>
      </c>
      <c r="I2989" s="27" t="n">
        <v>285</v>
      </c>
      <c r="J2989" s="154">
        <f>I2989/H2989-1</f>
        <v/>
      </c>
      <c r="K2989" s="31" t="inlineStr">
        <is>
          <t>4</t>
        </is>
      </c>
      <c r="L2989" s="31" t="inlineStr">
        <is>
          <t>4</t>
        </is>
      </c>
      <c r="M2989" s="31" t="inlineStr">
        <is>
          <t>S3</t>
        </is>
      </c>
      <c r="N2989" s="31" t="inlineStr">
        <is>
          <t>S5</t>
        </is>
      </c>
      <c r="O2989" s="31" t="inlineStr">
        <is>
          <t>217780-1</t>
        </is>
      </c>
      <c r="P2989" s="31" t="inlineStr">
        <is>
          <t>SR Technics Switzerland</t>
        </is>
      </c>
    </row>
    <row r="2990">
      <c r="B2990" s="31" t="inlineStr">
        <is>
          <t>CFM56-7B</t>
        </is>
      </c>
      <c r="C2990" s="31" t="inlineStr">
        <is>
          <t>2025-2026</t>
        </is>
      </c>
      <c r="D2990" s="31" t="inlineStr">
        <is>
          <t>3044</t>
        </is>
      </c>
      <c r="E2990" s="31" t="inlineStr">
        <is>
          <t>73-11-13</t>
        </is>
      </c>
      <c r="F2990" s="31" t="inlineStr">
        <is>
          <t>E</t>
        </is>
      </c>
      <c r="G2990" s="31" t="inlineStr">
        <is>
          <t>Fuel system</t>
        </is>
      </c>
      <c r="H2990" s="27" t="n">
        <v>980</v>
      </c>
      <c r="I2990" s="27" t="n">
        <v>980</v>
      </c>
      <c r="J2990" s="154">
        <f>I2990/H2990-1</f>
        <v/>
      </c>
      <c r="K2990" s="31" t="inlineStr">
        <is>
          <t>4</t>
        </is>
      </c>
      <c r="L2990" s="31" t="inlineStr">
        <is>
          <t>4</t>
        </is>
      </c>
      <c r="M2990" s="31" t="inlineStr">
        <is>
          <t>S3</t>
        </is>
      </c>
      <c r="N2990" s="31" t="inlineStr">
        <is>
          <t>S5</t>
        </is>
      </c>
      <c r="O2990" s="31" t="inlineStr">
        <is>
          <t>217780-1</t>
        </is>
      </c>
      <c r="P2990" s="31" t="inlineStr">
        <is>
          <t>SR Technics Switzerland</t>
        </is>
      </c>
    </row>
    <row r="2991">
      <c r="B2991" s="31" t="inlineStr">
        <is>
          <t>CFM56-7B</t>
        </is>
      </c>
      <c r="C2991" s="31" t="inlineStr">
        <is>
          <t>2025-2026</t>
        </is>
      </c>
      <c r="D2991" s="31" t="inlineStr">
        <is>
          <t>3207</t>
        </is>
      </c>
      <c r="E2991" s="31" t="inlineStr">
        <is>
          <t>72-53-06</t>
        </is>
      </c>
      <c r="F2991" s="31" t="inlineStr">
        <is>
          <t>B</t>
        </is>
      </c>
      <c r="G2991" s="31" t="inlineStr">
        <is>
          <t>HPT / nozzle</t>
        </is>
      </c>
      <c r="H2991" s="27" t="n">
        <v>280</v>
      </c>
      <c r="I2991" s="27" t="n">
        <v>300</v>
      </c>
      <c r="J2991" s="154">
        <f>I2991/H2991-1</f>
        <v/>
      </c>
      <c r="K2991" s="31" t="inlineStr">
        <is>
          <t>4</t>
        </is>
      </c>
      <c r="L2991" s="31" t="inlineStr">
        <is>
          <t>4</t>
        </is>
      </c>
      <c r="M2991" s="31" t="inlineStr">
        <is>
          <t>S3</t>
        </is>
      </c>
      <c r="N2991" s="31" t="inlineStr">
        <is>
          <t>S5</t>
        </is>
      </c>
      <c r="O2991" s="31" t="inlineStr">
        <is>
          <t>338-010-103-0</t>
        </is>
      </c>
      <c r="P2991" s="31" t="inlineStr">
        <is>
          <t>SRTAS</t>
        </is>
      </c>
    </row>
    <row r="2992">
      <c r="B2992" s="31" t="inlineStr">
        <is>
          <t>CFM56-7B</t>
        </is>
      </c>
      <c r="C2992" s="31" t="inlineStr">
        <is>
          <t>2025-2026</t>
        </is>
      </c>
      <c r="D2992" s="31" t="inlineStr">
        <is>
          <t>3207</t>
        </is>
      </c>
      <c r="E2992" s="31" t="inlineStr">
        <is>
          <t>72-53-06</t>
        </is>
      </c>
      <c r="F2992" s="31" t="inlineStr">
        <is>
          <t>C</t>
        </is>
      </c>
      <c r="G2992" s="31" t="inlineStr">
        <is>
          <t>HPT / nozzle</t>
        </is>
      </c>
      <c r="H2992" s="27" t="n">
        <v>630</v>
      </c>
      <c r="I2992" s="27" t="n">
        <v>675</v>
      </c>
      <c r="J2992" s="154">
        <f>I2992/H2992-1</f>
        <v/>
      </c>
      <c r="K2992" s="31" t="inlineStr">
        <is>
          <t>4</t>
        </is>
      </c>
      <c r="L2992" s="31" t="inlineStr">
        <is>
          <t>4</t>
        </is>
      </c>
      <c r="M2992" s="31" t="inlineStr">
        <is>
          <t>S3</t>
        </is>
      </c>
      <c r="N2992" s="31" t="inlineStr">
        <is>
          <t>S5</t>
        </is>
      </c>
      <c r="O2992" s="31" t="inlineStr">
        <is>
          <t>338-010-103-0</t>
        </is>
      </c>
      <c r="P2992" s="31" t="inlineStr">
        <is>
          <t>SRTAS</t>
        </is>
      </c>
    </row>
    <row r="2993">
      <c r="B2993" s="31" t="inlineStr">
        <is>
          <t>CFM56-7B</t>
        </is>
      </c>
      <c r="C2993" s="31" t="inlineStr">
        <is>
          <t>2025-2026</t>
        </is>
      </c>
      <c r="D2993" s="31" t="inlineStr">
        <is>
          <t>3207</t>
        </is>
      </c>
      <c r="E2993" s="31" t="inlineStr">
        <is>
          <t>72-53-06</t>
        </is>
      </c>
      <c r="F2993" s="31" t="inlineStr">
        <is>
          <t>G</t>
        </is>
      </c>
      <c r="G2993" s="31" t="inlineStr">
        <is>
          <t>HPT / nozzle</t>
        </is>
      </c>
      <c r="H2993" s="27" t="n">
        <v>1095</v>
      </c>
      <c r="I2993" s="27" t="n">
        <v>1175</v>
      </c>
      <c r="J2993" s="154">
        <f>I2993/H2993-1</f>
        <v/>
      </c>
      <c r="K2993" s="31" t="inlineStr">
        <is>
          <t>5</t>
        </is>
      </c>
      <c r="L2993" s="31" t="inlineStr">
        <is>
          <t>4</t>
        </is>
      </c>
      <c r="M2993" s="31" t="inlineStr">
        <is>
          <t>S3</t>
        </is>
      </c>
      <c r="N2993" s="31" t="inlineStr">
        <is>
          <t>S5</t>
        </is>
      </c>
      <c r="O2993" s="31" t="inlineStr">
        <is>
          <t>338-010-103-0</t>
        </is>
      </c>
      <c r="P2993" s="31" t="inlineStr">
        <is>
          <t>SRTAS</t>
        </is>
      </c>
    </row>
    <row r="2994">
      <c r="B2994" s="31" t="inlineStr">
        <is>
          <t>CFM56-7B</t>
        </is>
      </c>
      <c r="C2994" s="31" t="inlineStr">
        <is>
          <t>2025-2026</t>
        </is>
      </c>
      <c r="D2994" s="31" t="inlineStr">
        <is>
          <t>3207</t>
        </is>
      </c>
      <c r="E2994" s="31" t="inlineStr">
        <is>
          <t>72-53-06</t>
        </is>
      </c>
      <c r="F2994" s="31" t="inlineStr">
        <is>
          <t>H</t>
        </is>
      </c>
      <c r="G2994" s="31" t="inlineStr">
        <is>
          <t>HPT / nozzle</t>
        </is>
      </c>
      <c r="H2994" s="27" t="n">
        <v>3890</v>
      </c>
      <c r="I2994" s="27" t="n">
        <v>4165</v>
      </c>
      <c r="J2994" s="154">
        <f>I2994/H2994-1</f>
        <v/>
      </c>
      <c r="K2994" s="31" t="inlineStr">
        <is>
          <t>5</t>
        </is>
      </c>
      <c r="L2994" s="31" t="inlineStr">
        <is>
          <t>4</t>
        </is>
      </c>
      <c r="M2994" s="31" t="inlineStr">
        <is>
          <t>S3</t>
        </is>
      </c>
      <c r="N2994" s="31" t="inlineStr">
        <is>
          <t>S5</t>
        </is>
      </c>
      <c r="O2994" s="31" t="inlineStr">
        <is>
          <t>338-010-103-0</t>
        </is>
      </c>
      <c r="P2994" s="31" t="inlineStr">
        <is>
          <t>SRTAS</t>
        </is>
      </c>
    </row>
    <row r="2995">
      <c r="B2995" s="31" t="inlineStr">
        <is>
          <t>CFM56-7B</t>
        </is>
      </c>
      <c r="C2995" s="31" t="inlineStr">
        <is>
          <t>2025-2026</t>
        </is>
      </c>
      <c r="D2995" s="31" t="inlineStr">
        <is>
          <t>3207</t>
        </is>
      </c>
      <c r="E2995" s="31" t="inlineStr">
        <is>
          <t>72-53-06</t>
        </is>
      </c>
      <c r="F2995" s="31" t="inlineStr">
        <is>
          <t>N</t>
        </is>
      </c>
      <c r="G2995" s="31" t="inlineStr">
        <is>
          <t>HPT / nozzle</t>
        </is>
      </c>
      <c r="H2995" s="27" t="n">
        <v>10570</v>
      </c>
      <c r="I2995" s="27" t="n">
        <v>11310</v>
      </c>
      <c r="J2995" s="154">
        <f>I2995/H2995-1</f>
        <v/>
      </c>
      <c r="K2995" s="31" t="inlineStr">
        <is>
          <t>5</t>
        </is>
      </c>
      <c r="L2995" s="31" t="inlineStr">
        <is>
          <t>5</t>
        </is>
      </c>
      <c r="M2995" s="31" t="inlineStr">
        <is>
          <t>S3</t>
        </is>
      </c>
      <c r="N2995" s="31" t="inlineStr">
        <is>
          <t>S5</t>
        </is>
      </c>
      <c r="O2995" s="31" t="inlineStr">
        <is>
          <t>338-010-103-0</t>
        </is>
      </c>
      <c r="P2995" s="31" t="inlineStr">
        <is>
          <t>SRTAS</t>
        </is>
      </c>
    </row>
    <row r="2996">
      <c r="B2996" s="31" t="inlineStr">
        <is>
          <t>CFM56-7B</t>
        </is>
      </c>
      <c r="C2996" s="31" t="inlineStr">
        <is>
          <t>2025-2026</t>
        </is>
      </c>
      <c r="D2996" s="31" t="inlineStr">
        <is>
          <t>3302</t>
        </is>
      </c>
      <c r="E2996" s="31" t="inlineStr">
        <is>
          <t>72-09-04</t>
        </is>
      </c>
      <c r="F2996" s="31" t="inlineStr">
        <is>
          <t>A</t>
        </is>
      </c>
      <c r="G2996" s="31" t="inlineStr">
        <is>
          <t>Other / assembly</t>
        </is>
      </c>
      <c r="H2996" s="27" t="n">
        <v>250</v>
      </c>
      <c r="I2996" s="27" t="n">
        <v>265</v>
      </c>
      <c r="J2996" s="154">
        <f>I2996/H2996-1</f>
        <v/>
      </c>
      <c r="K2996" s="31" t="inlineStr">
        <is>
          <t>5</t>
        </is>
      </c>
      <c r="L2996" s="31" t="inlineStr">
        <is>
          <t>5</t>
        </is>
      </c>
      <c r="M2996" s="31" t="inlineStr">
        <is>
          <t>S3</t>
        </is>
      </c>
      <c r="N2996" s="31" t="inlineStr">
        <is>
          <t>S5</t>
        </is>
      </c>
      <c r="O2996" s="31" t="inlineStr">
        <is>
          <t>340-091-804-0</t>
        </is>
      </c>
      <c r="P2996" s="31" t="inlineStr">
        <is>
          <t>SR Technics Switzerland</t>
        </is>
      </c>
    </row>
    <row r="2997">
      <c r="B2997" s="31" t="inlineStr">
        <is>
          <t>CFM56-7B</t>
        </is>
      </c>
      <c r="C2997" s="31" t="inlineStr">
        <is>
          <t>2025-2026</t>
        </is>
      </c>
      <c r="D2997" s="31" t="inlineStr">
        <is>
          <t>3302</t>
        </is>
      </c>
      <c r="E2997" s="31" t="inlineStr">
        <is>
          <t>72-09-04</t>
        </is>
      </c>
      <c r="F2997" s="31" t="inlineStr">
        <is>
          <t>C</t>
        </is>
      </c>
      <c r="G2997" s="31" t="inlineStr">
        <is>
          <t>Other / assembly</t>
        </is>
      </c>
      <c r="H2997" s="27" t="n">
        <v>395</v>
      </c>
      <c r="I2997" s="27" t="n">
        <v>420</v>
      </c>
      <c r="J2997" s="154">
        <f>I2997/H2997-1</f>
        <v/>
      </c>
      <c r="K2997" s="31" t="inlineStr">
        <is>
          <t>5</t>
        </is>
      </c>
      <c r="L2997" s="31" t="inlineStr">
        <is>
          <t>5</t>
        </is>
      </c>
      <c r="M2997" s="31" t="inlineStr">
        <is>
          <t>S3</t>
        </is>
      </c>
      <c r="N2997" s="31" t="inlineStr">
        <is>
          <t>S5</t>
        </is>
      </c>
      <c r="O2997" s="31" t="inlineStr">
        <is>
          <t>340-091-804-0</t>
        </is>
      </c>
      <c r="P2997" s="31" t="inlineStr">
        <is>
          <t>SR Technics Switzerland</t>
        </is>
      </c>
    </row>
    <row r="2998">
      <c r="B2998" s="31" t="inlineStr">
        <is>
          <t>CFM56-7B</t>
        </is>
      </c>
      <c r="C2998" s="31" t="inlineStr">
        <is>
          <t>2025-2026</t>
        </is>
      </c>
      <c r="D2998" s="31" t="inlineStr">
        <is>
          <t>3461</t>
        </is>
      </c>
      <c r="E2998" s="31" t="inlineStr">
        <is>
          <t>72-09-01</t>
        </is>
      </c>
      <c r="F2998" s="31" t="inlineStr">
        <is>
          <t>SB00</t>
        </is>
      </c>
      <c r="G2998" s="31" t="inlineStr">
        <is>
          <t>Other / assembly</t>
        </is>
      </c>
      <c r="H2998" s="27" t="n">
        <v>495</v>
      </c>
      <c r="I2998" s="27" t="n">
        <v>525</v>
      </c>
      <c r="J2998" s="154">
        <f>I2998/H2998-1</f>
        <v/>
      </c>
      <c r="K2998" s="31" t="inlineStr">
        <is>
          <t>31</t>
        </is>
      </c>
      <c r="L2998" s="31" t="inlineStr">
        <is>
          <t>31</t>
        </is>
      </c>
      <c r="M2998" s="31" t="inlineStr">
        <is>
          <t>S3</t>
        </is>
      </c>
      <c r="N2998" s="31" t="inlineStr">
        <is>
          <t>S5</t>
        </is>
      </c>
      <c r="O2998" s="31" t="inlineStr">
        <is>
          <t>301-480-220-0</t>
        </is>
      </c>
      <c r="P2998" s="31" t="inlineStr">
        <is>
          <t>SR Technics Switzerland</t>
        </is>
      </c>
    </row>
    <row r="2999">
      <c r="B2999" s="31" t="inlineStr">
        <is>
          <t>CFM56-7B</t>
        </is>
      </c>
      <c r="C2999" s="31" t="inlineStr">
        <is>
          <t>2025-2026</t>
        </is>
      </c>
      <c r="D2999" s="31" t="inlineStr">
        <is>
          <t>3473</t>
        </is>
      </c>
      <c r="E2999" s="31" t="inlineStr">
        <is>
          <t>72-56-06</t>
        </is>
      </c>
      <c r="F2999" s="31" t="inlineStr">
        <is>
          <t>A</t>
        </is>
      </c>
      <c r="G2999" s="31" t="inlineStr">
        <is>
          <t>LPT</t>
        </is>
      </c>
      <c r="H2999" s="27" t="n">
        <v>1685</v>
      </c>
      <c r="I2999" s="27" t="n">
        <v>1770</v>
      </c>
      <c r="J2999" s="154">
        <f>I2999/H2999-1</f>
        <v/>
      </c>
      <c r="K2999" s="31" t="inlineStr">
        <is>
          <t>5</t>
        </is>
      </c>
      <c r="L2999" s="31" t="inlineStr">
        <is>
          <t>5</t>
        </is>
      </c>
      <c r="M2999" s="31" t="inlineStr">
        <is>
          <t>S3</t>
        </is>
      </c>
      <c r="N2999" s="31" t="inlineStr">
        <is>
          <t>S5</t>
        </is>
      </c>
      <c r="O2999" s="31" t="inlineStr">
        <is>
          <t>336-024-704-0</t>
        </is>
      </c>
      <c r="P2999" s="31" t="inlineStr">
        <is>
          <t>SR Technics Switzerland</t>
        </is>
      </c>
    </row>
    <row r="3000">
      <c r="B3000" s="31" t="inlineStr">
        <is>
          <t>CFM56-7B</t>
        </is>
      </c>
      <c r="C3000" s="31" t="inlineStr">
        <is>
          <t>2025-2026</t>
        </is>
      </c>
      <c r="D3000" s="31" t="inlineStr">
        <is>
          <t>3473</t>
        </is>
      </c>
      <c r="E3000" s="31" t="inlineStr">
        <is>
          <t>72-56-06</t>
        </is>
      </c>
      <c r="F3000" s="31" t="inlineStr">
        <is>
          <t>C</t>
        </is>
      </c>
      <c r="G3000" s="31" t="inlineStr">
        <is>
          <t>LPT</t>
        </is>
      </c>
      <c r="H3000" s="27" t="n">
        <v>855</v>
      </c>
      <c r="I3000" s="27" t="n">
        <v>910</v>
      </c>
      <c r="J3000" s="154">
        <f>I3000/H3000-1</f>
        <v/>
      </c>
      <c r="K3000" s="31" t="inlineStr">
        <is>
          <t>6</t>
        </is>
      </c>
      <c r="L3000" s="31" t="inlineStr">
        <is>
          <t>5</t>
        </is>
      </c>
      <c r="M3000" s="31" t="inlineStr">
        <is>
          <t>S3</t>
        </is>
      </c>
      <c r="N3000" s="31" t="inlineStr">
        <is>
          <t>S5</t>
        </is>
      </c>
      <c r="O3000" s="31" t="inlineStr">
        <is>
          <t>336-024-704-0</t>
        </is>
      </c>
      <c r="P3000" s="31" t="inlineStr">
        <is>
          <t>SR Technics Switzerland</t>
        </is>
      </c>
    </row>
    <row r="3001">
      <c r="B3001" s="31" t="inlineStr">
        <is>
          <t>CFM56-7B</t>
        </is>
      </c>
      <c r="C3001" s="31" t="inlineStr">
        <is>
          <t>2025-2026</t>
        </is>
      </c>
      <c r="D3001" s="31" t="inlineStr">
        <is>
          <t>3473</t>
        </is>
      </c>
      <c r="E3001" s="31" t="inlineStr">
        <is>
          <t>72-56-06</t>
        </is>
      </c>
      <c r="F3001" s="31" t="inlineStr">
        <is>
          <t>E</t>
        </is>
      </c>
      <c r="G3001" s="31" t="inlineStr">
        <is>
          <t>LPT</t>
        </is>
      </c>
      <c r="H3001" s="27" t="n">
        <v>2930</v>
      </c>
      <c r="I3001" s="27" t="n">
        <v>3110</v>
      </c>
      <c r="J3001" s="154">
        <f>I3001/H3001-1</f>
        <v/>
      </c>
      <c r="K3001" s="31" t="inlineStr">
        <is>
          <t>6</t>
        </is>
      </c>
      <c r="L3001" s="31" t="inlineStr">
        <is>
          <t>5</t>
        </is>
      </c>
      <c r="M3001" s="31" t="inlineStr">
        <is>
          <t>S3</t>
        </is>
      </c>
      <c r="N3001" s="31" t="inlineStr">
        <is>
          <t>S5</t>
        </is>
      </c>
      <c r="O3001" s="31" t="inlineStr">
        <is>
          <t>336-024-704-0</t>
        </is>
      </c>
      <c r="P3001" s="31" t="inlineStr">
        <is>
          <t>SR Technics Switzerland</t>
        </is>
      </c>
    </row>
    <row r="3002">
      <c r="B3002" s="31" t="inlineStr">
        <is>
          <t>CFM56-7B</t>
        </is>
      </c>
      <c r="C3002" s="31" t="inlineStr">
        <is>
          <t>2025-2026</t>
        </is>
      </c>
      <c r="D3002" s="31" t="inlineStr">
        <is>
          <t>3473</t>
        </is>
      </c>
      <c r="E3002" s="31" t="inlineStr">
        <is>
          <t>72-56-06</t>
        </is>
      </c>
      <c r="F3002" s="31" t="inlineStr">
        <is>
          <t>G</t>
        </is>
      </c>
      <c r="G3002" s="31" t="inlineStr">
        <is>
          <t>LPT</t>
        </is>
      </c>
      <c r="H3002" s="27" t="n">
        <v>3180</v>
      </c>
      <c r="I3002" s="27" t="n">
        <v>3375</v>
      </c>
      <c r="J3002" s="154">
        <f>I3002/H3002-1</f>
        <v/>
      </c>
      <c r="K3002" s="31" t="inlineStr">
        <is>
          <t>6</t>
        </is>
      </c>
      <c r="L3002" s="31" t="inlineStr">
        <is>
          <t>5</t>
        </is>
      </c>
      <c r="M3002" s="31" t="inlineStr">
        <is>
          <t>S3</t>
        </is>
      </c>
      <c r="N3002" s="31" t="inlineStr">
        <is>
          <t>S5</t>
        </is>
      </c>
      <c r="O3002" s="31" t="inlineStr">
        <is>
          <t>336-024-704-0</t>
        </is>
      </c>
      <c r="P3002" s="31" t="inlineStr">
        <is>
          <t>SR Technics Switzerland</t>
        </is>
      </c>
    </row>
    <row r="3003">
      <c r="B3003" s="31" t="inlineStr">
        <is>
          <t>CFM56-7B</t>
        </is>
      </c>
      <c r="C3003" s="31" t="inlineStr">
        <is>
          <t>2025-2026</t>
        </is>
      </c>
      <c r="D3003" s="31" t="inlineStr">
        <is>
          <t>3473</t>
        </is>
      </c>
      <c r="E3003" s="31" t="inlineStr">
        <is>
          <t>72-56-06</t>
        </is>
      </c>
      <c r="F3003" s="31" t="inlineStr">
        <is>
          <t>SB00</t>
        </is>
      </c>
      <c r="G3003" s="31" t="inlineStr">
        <is>
          <t>LPT</t>
        </is>
      </c>
      <c r="H3003" s="27" t="n">
        <v>1205</v>
      </c>
      <c r="I3003" s="27" t="n">
        <v>1280</v>
      </c>
      <c r="J3003" s="154">
        <f>I3003/H3003-1</f>
        <v/>
      </c>
      <c r="K3003" s="31" t="inlineStr">
        <is>
          <t>6</t>
        </is>
      </c>
      <c r="L3003" s="31" t="inlineStr">
        <is>
          <t>5</t>
        </is>
      </c>
      <c r="M3003" s="31" t="inlineStr">
        <is>
          <t>S3</t>
        </is>
      </c>
      <c r="N3003" s="31" t="inlineStr">
        <is>
          <t>S5</t>
        </is>
      </c>
      <c r="O3003" s="31" t="inlineStr">
        <is>
          <t>336-024-704-0</t>
        </is>
      </c>
      <c r="P3003" s="31" t="inlineStr">
        <is>
          <t>SR Technics Switzerland</t>
        </is>
      </c>
    </row>
    <row r="3004">
      <c r="B3004" s="31" t="inlineStr">
        <is>
          <t>CFM56-7B</t>
        </is>
      </c>
      <c r="C3004" s="31" t="inlineStr">
        <is>
          <t>2025-2026</t>
        </is>
      </c>
      <c r="D3004" s="31" t="inlineStr">
        <is>
          <t>3473</t>
        </is>
      </c>
      <c r="E3004" s="31" t="inlineStr">
        <is>
          <t>72-56-06</t>
        </is>
      </c>
      <c r="F3004" s="31" t="inlineStr">
        <is>
          <t>SB01</t>
        </is>
      </c>
      <c r="G3004" s="31" t="inlineStr">
        <is>
          <t>LPT</t>
        </is>
      </c>
      <c r="H3004" s="27" t="n">
        <v>1205</v>
      </c>
      <c r="I3004" s="27" t="n">
        <v>1280</v>
      </c>
      <c r="J3004" s="154">
        <f>I3004/H3004-1</f>
        <v/>
      </c>
      <c r="K3004" s="31" t="inlineStr">
        <is>
          <t>6</t>
        </is>
      </c>
      <c r="L3004" s="31" t="inlineStr">
        <is>
          <t>5</t>
        </is>
      </c>
      <c r="M3004" s="31" t="inlineStr">
        <is>
          <t>S3</t>
        </is>
      </c>
      <c r="N3004" s="31" t="inlineStr">
        <is>
          <t>S5</t>
        </is>
      </c>
      <c r="O3004" s="31" t="inlineStr">
        <is>
          <t>336-024-704-0</t>
        </is>
      </c>
      <c r="P3004" s="31" t="inlineStr">
        <is>
          <t>SR Technics Switzerland</t>
        </is>
      </c>
    </row>
    <row r="3005">
      <c r="B3005" s="31" t="inlineStr">
        <is>
          <t>CFM56-7B</t>
        </is>
      </c>
      <c r="C3005" s="31" t="inlineStr">
        <is>
          <t>2025-2026</t>
        </is>
      </c>
      <c r="D3005" s="31" t="inlineStr">
        <is>
          <t>3643</t>
        </is>
      </c>
      <c r="E3005" s="31" t="inlineStr">
        <is>
          <t>72-21-18</t>
        </is>
      </c>
      <c r="F3005" s="31" t="inlineStr">
        <is>
          <t>A</t>
        </is>
      </c>
      <c r="G3005" s="31" t="inlineStr">
        <is>
          <t>Fan / booster</t>
        </is>
      </c>
      <c r="H3005" s="27" t="n">
        <v>400</v>
      </c>
      <c r="I3005" s="27" t="n">
        <v>420</v>
      </c>
      <c r="J3005" s="154">
        <f>I3005/H3005-1</f>
        <v/>
      </c>
      <c r="K3005" s="31" t="inlineStr">
        <is>
          <t>6</t>
        </is>
      </c>
      <c r="L3005" s="31" t="inlineStr">
        <is>
          <t>5</t>
        </is>
      </c>
      <c r="M3005" s="31" t="inlineStr">
        <is>
          <t>S3</t>
        </is>
      </c>
      <c r="N3005" s="31" t="inlineStr">
        <is>
          <t>S5</t>
        </is>
      </c>
      <c r="O3005" s="31" t="inlineStr">
        <is>
          <t>340-001-108-0</t>
        </is>
      </c>
      <c r="P3005" s="31" t="inlineStr">
        <is>
          <t>SR Technics Switzerland</t>
        </is>
      </c>
    </row>
    <row r="3006">
      <c r="B3006" s="31" t="inlineStr">
        <is>
          <t>CFM56-7B</t>
        </is>
      </c>
      <c r="C3006" s="31" t="inlineStr">
        <is>
          <t>2025-2026</t>
        </is>
      </c>
      <c r="D3006" s="31" t="inlineStr">
        <is>
          <t>3643</t>
        </is>
      </c>
      <c r="E3006" s="31" t="inlineStr">
        <is>
          <t>72-21-18</t>
        </is>
      </c>
      <c r="F3006" s="31" t="inlineStr">
        <is>
          <t>C</t>
        </is>
      </c>
      <c r="G3006" s="31" t="inlineStr">
        <is>
          <t>Fan / booster</t>
        </is>
      </c>
      <c r="H3006" s="27" t="n">
        <v>2200</v>
      </c>
      <c r="I3006" s="27" t="n">
        <v>2335</v>
      </c>
      <c r="J3006" s="154">
        <f>I3006/H3006-1</f>
        <v/>
      </c>
      <c r="K3006" s="31" t="inlineStr">
        <is>
          <t>6</t>
        </is>
      </c>
      <c r="L3006" s="31" t="inlineStr">
        <is>
          <t>5</t>
        </is>
      </c>
      <c r="M3006" s="31" t="inlineStr">
        <is>
          <t>S3</t>
        </is>
      </c>
      <c r="N3006" s="31" t="inlineStr">
        <is>
          <t>S5</t>
        </is>
      </c>
      <c r="O3006" s="31" t="inlineStr">
        <is>
          <t>340-001-108-0</t>
        </is>
      </c>
      <c r="P3006" s="31" t="inlineStr">
        <is>
          <t>SR Technics Switzerland</t>
        </is>
      </c>
    </row>
    <row r="3007">
      <c r="B3007" s="31" t="inlineStr">
        <is>
          <t>CFM56-7B</t>
        </is>
      </c>
      <c r="C3007" s="31" t="inlineStr">
        <is>
          <t>2025-2026</t>
        </is>
      </c>
      <c r="D3007" s="31" t="inlineStr">
        <is>
          <t>3643</t>
        </is>
      </c>
      <c r="E3007" s="31" t="inlineStr">
        <is>
          <t>72-21-18</t>
        </is>
      </c>
      <c r="F3007" s="31" t="inlineStr">
        <is>
          <t>SB00</t>
        </is>
      </c>
      <c r="G3007" s="31" t="inlineStr">
        <is>
          <t>Fan / booster</t>
        </is>
      </c>
      <c r="H3007" s="27" t="n">
        <v>3485</v>
      </c>
      <c r="I3007" s="27" t="n">
        <v>3695</v>
      </c>
      <c r="J3007" s="154">
        <f>I3007/H3007-1</f>
        <v/>
      </c>
      <c r="K3007" s="31" t="inlineStr">
        <is>
          <t>6</t>
        </is>
      </c>
      <c r="L3007" s="31" t="inlineStr">
        <is>
          <t>5</t>
        </is>
      </c>
      <c r="M3007" s="31" t="inlineStr">
        <is>
          <t>S3</t>
        </is>
      </c>
      <c r="N3007" s="31" t="inlineStr">
        <is>
          <t>S5</t>
        </is>
      </c>
      <c r="O3007" s="31" t="inlineStr">
        <is>
          <t>340-001-108-0</t>
        </is>
      </c>
      <c r="P3007" s="31" t="inlineStr">
        <is>
          <t>SR Technics Switzerland</t>
        </is>
      </c>
    </row>
    <row r="3008">
      <c r="B3008" s="31" t="inlineStr">
        <is>
          <t>CFM56-7B</t>
        </is>
      </c>
      <c r="C3008" s="31" t="inlineStr">
        <is>
          <t>2025-2026</t>
        </is>
      </c>
      <c r="D3008" s="31" t="inlineStr">
        <is>
          <t>3941</t>
        </is>
      </c>
      <c r="E3008" s="31" t="inlineStr">
        <is>
          <t>72-21-11</t>
        </is>
      </c>
      <c r="F3008" s="31" t="inlineStr">
        <is>
          <t>A</t>
        </is>
      </c>
      <c r="G3008" s="31" t="inlineStr">
        <is>
          <t>Fan / booster</t>
        </is>
      </c>
      <c r="H3008" s="27" t="n">
        <v>40</v>
      </c>
      <c r="I3008" s="27" t="n">
        <v>45</v>
      </c>
      <c r="J3008" s="154">
        <f>I3008/H3008-1</f>
        <v/>
      </c>
      <c r="K3008" s="31" t="inlineStr">
        <is>
          <t>33</t>
        </is>
      </c>
      <c r="L3008" s="31" t="inlineStr">
        <is>
          <t>32</t>
        </is>
      </c>
      <c r="M3008" s="31" t="inlineStr">
        <is>
          <t>S3</t>
        </is>
      </c>
      <c r="N3008" s="31" t="inlineStr">
        <is>
          <t>S5</t>
        </is>
      </c>
      <c r="O3008" s="31" t="inlineStr">
        <is>
          <t>J816P050A</t>
        </is>
      </c>
      <c r="P3008" s="31" t="inlineStr">
        <is>
          <t>SR Technics Switzerland</t>
        </is>
      </c>
    </row>
    <row r="3009">
      <c r="B3009" s="31" t="inlineStr">
        <is>
          <t>CFM56-7B</t>
        </is>
      </c>
      <c r="C3009" s="31" t="inlineStr">
        <is>
          <t>2025-2026</t>
        </is>
      </c>
      <c r="D3009" s="31" t="inlineStr">
        <is>
          <t>3975</t>
        </is>
      </c>
      <c r="E3009" s="31" t="inlineStr">
        <is>
          <t>72-51-10</t>
        </is>
      </c>
      <c r="F3009" s="31" t="inlineStr">
        <is>
          <t>A</t>
        </is>
      </c>
      <c r="G3009" s="31" t="inlineStr">
        <is>
          <t>HPT / nozzle</t>
        </is>
      </c>
      <c r="H3009" s="27" t="n">
        <v>505</v>
      </c>
      <c r="I3009" s="27" t="n">
        <v>535</v>
      </c>
      <c r="J3009" s="154">
        <f>I3009/H3009-1</f>
        <v/>
      </c>
      <c r="K3009" s="31" t="inlineStr">
        <is>
          <t>6</t>
        </is>
      </c>
      <c r="L3009" s="31" t="inlineStr">
        <is>
          <t>5</t>
        </is>
      </c>
      <c r="M3009" s="31" t="inlineStr">
        <is>
          <t>S3</t>
        </is>
      </c>
      <c r="N3009" s="31" t="inlineStr">
        <is>
          <t>S5</t>
        </is>
      </c>
      <c r="O3009" s="31" t="inlineStr">
        <is>
          <t>1358M80P04</t>
        </is>
      </c>
      <c r="P3009" s="31" t="inlineStr">
        <is>
          <t>SR Technics Switzerland</t>
        </is>
      </c>
    </row>
    <row r="3010">
      <c r="B3010" s="31" t="inlineStr">
        <is>
          <t>CFM56-7B</t>
        </is>
      </c>
      <c r="C3010" s="31" t="inlineStr">
        <is>
          <t>2025-2026</t>
        </is>
      </c>
      <c r="D3010" s="31" t="inlineStr">
        <is>
          <t>3975</t>
        </is>
      </c>
      <c r="E3010" s="31" t="inlineStr">
        <is>
          <t>72-51-10</t>
        </is>
      </c>
      <c r="F3010" s="31" t="inlineStr">
        <is>
          <t>B</t>
        </is>
      </c>
      <c r="G3010" s="31" t="inlineStr">
        <is>
          <t>HPT / nozzle</t>
        </is>
      </c>
      <c r="H3010" s="27" t="n">
        <v>3605</v>
      </c>
      <c r="I3010" s="27" t="n">
        <v>3825</v>
      </c>
      <c r="J3010" s="154">
        <f>I3010/H3010-1</f>
        <v/>
      </c>
      <c r="K3010" s="31" t="inlineStr">
        <is>
          <t>6</t>
        </is>
      </c>
      <c r="L3010" s="31" t="inlineStr">
        <is>
          <t>5</t>
        </is>
      </c>
      <c r="M3010" s="31" t="inlineStr">
        <is>
          <t>S3</t>
        </is>
      </c>
      <c r="N3010" s="31" t="inlineStr">
        <is>
          <t>S5</t>
        </is>
      </c>
      <c r="O3010" s="31" t="inlineStr">
        <is>
          <t>1358M80P04</t>
        </is>
      </c>
      <c r="P3010" s="31" t="inlineStr">
        <is>
          <t>SR Technics Switzerland</t>
        </is>
      </c>
    </row>
    <row r="3011">
      <c r="B3011" s="31" t="inlineStr">
        <is>
          <t>CFM56-7B</t>
        </is>
      </c>
      <c r="C3011" s="31" t="inlineStr">
        <is>
          <t>2025-2026</t>
        </is>
      </c>
      <c r="D3011" s="31" t="inlineStr">
        <is>
          <t>44969</t>
        </is>
      </c>
      <c r="E3011" s="31" t="inlineStr">
        <is>
          <t>72-42-01</t>
        </is>
      </c>
      <c r="F3011" s="31" t="inlineStr">
        <is>
          <t>A</t>
        </is>
      </c>
      <c r="G3011" s="31" t="inlineStr">
        <is>
          <t>Combustor</t>
        </is>
      </c>
      <c r="H3011" s="27" t="n">
        <v>960</v>
      </c>
      <c r="I3011" s="27" t="n">
        <v>1010</v>
      </c>
      <c r="J3011" s="154">
        <f>I3011/H3011-1</f>
        <v/>
      </c>
      <c r="K3011" s="31" t="inlineStr">
        <is>
          <t>8</t>
        </is>
      </c>
      <c r="L3011" s="31" t="inlineStr">
        <is>
          <t>7</t>
        </is>
      </c>
      <c r="M3011" s="31" t="inlineStr">
        <is>
          <t>S3</t>
        </is>
      </c>
      <c r="N3011" s="31" t="inlineStr">
        <is>
          <t>S5</t>
        </is>
      </c>
      <c r="O3011" s="31" t="inlineStr">
        <is>
          <t>9531M11G02</t>
        </is>
      </c>
      <c r="P3011" s="31" t="inlineStr">
        <is>
          <t>SR Technics Switzerland</t>
        </is>
      </c>
    </row>
    <row r="3012">
      <c r="B3012" s="31" t="inlineStr">
        <is>
          <t>CFM56-7B</t>
        </is>
      </c>
      <c r="C3012" s="31" t="inlineStr">
        <is>
          <t>2025-2026</t>
        </is>
      </c>
      <c r="D3012" s="31" t="inlineStr">
        <is>
          <t>44969</t>
        </is>
      </c>
      <c r="E3012" s="31" t="inlineStr">
        <is>
          <t>72-42-01</t>
        </is>
      </c>
      <c r="F3012" s="31" t="inlineStr">
        <is>
          <t>C</t>
        </is>
      </c>
      <c r="G3012" s="31" t="inlineStr">
        <is>
          <t>Combustor</t>
        </is>
      </c>
      <c r="H3012" s="27" t="n">
        <v>1550</v>
      </c>
      <c r="I3012" s="27" t="n">
        <v>1645</v>
      </c>
      <c r="J3012" s="154">
        <f>I3012/H3012-1</f>
        <v/>
      </c>
      <c r="K3012" s="31" t="inlineStr">
        <is>
          <t>8</t>
        </is>
      </c>
      <c r="L3012" s="31" t="inlineStr">
        <is>
          <t>8</t>
        </is>
      </c>
      <c r="M3012" s="31" t="inlineStr">
        <is>
          <t>S3</t>
        </is>
      </c>
      <c r="N3012" s="31" t="inlineStr">
        <is>
          <t>S5</t>
        </is>
      </c>
      <c r="O3012" s="31" t="inlineStr">
        <is>
          <t>9531M11G02</t>
        </is>
      </c>
      <c r="P3012" s="31" t="inlineStr">
        <is>
          <t>SR Technics Switzerland</t>
        </is>
      </c>
    </row>
    <row r="3013">
      <c r="B3013" s="31" t="inlineStr">
        <is>
          <t>CFM56-7B</t>
        </is>
      </c>
      <c r="C3013" s="31" t="inlineStr">
        <is>
          <t>2025-2026</t>
        </is>
      </c>
      <c r="D3013" s="31" t="inlineStr">
        <is>
          <t>45002</t>
        </is>
      </c>
      <c r="E3013" s="31" t="inlineStr">
        <is>
          <t>72-21-22</t>
        </is>
      </c>
      <c r="F3013" s="31" t="inlineStr">
        <is>
          <t>A</t>
        </is>
      </c>
      <c r="G3013" s="31" t="inlineStr">
        <is>
          <t>Fan / booster</t>
        </is>
      </c>
      <c r="H3013" s="27" t="n">
        <v>125</v>
      </c>
      <c r="I3013" s="27" t="n">
        <v>135</v>
      </c>
      <c r="J3013" s="154">
        <f>I3013/H3013-1</f>
        <v/>
      </c>
      <c r="K3013" s="31" t="inlineStr">
        <is>
          <t>40</t>
        </is>
      </c>
      <c r="L3013" s="31" t="inlineStr">
        <is>
          <t>40</t>
        </is>
      </c>
      <c r="M3013" s="31" t="inlineStr">
        <is>
          <t>S3</t>
        </is>
      </c>
      <c r="N3013" s="31" t="inlineStr">
        <is>
          <t>S5</t>
        </is>
      </c>
      <c r="O3013" s="31" t="inlineStr">
        <is>
          <t>340-252-305-0</t>
        </is>
      </c>
      <c r="P3013" s="31" t="inlineStr">
        <is>
          <t>SR Technics Switzerland</t>
        </is>
      </c>
    </row>
    <row r="3014">
      <c r="B3014" s="31" t="inlineStr">
        <is>
          <t>CFM56-7B</t>
        </is>
      </c>
      <c r="C3014" s="31" t="inlineStr">
        <is>
          <t>2025-2026</t>
        </is>
      </c>
      <c r="D3014" s="31" t="inlineStr">
        <is>
          <t>45002</t>
        </is>
      </c>
      <c r="E3014" s="31" t="inlineStr">
        <is>
          <t>72-21-22</t>
        </is>
      </c>
      <c r="F3014" s="31" t="inlineStr">
        <is>
          <t>B</t>
        </is>
      </c>
      <c r="G3014" s="31" t="inlineStr">
        <is>
          <t>Fan / booster</t>
        </is>
      </c>
      <c r="H3014" s="27" t="n">
        <v>190</v>
      </c>
      <c r="I3014" s="27" t="n">
        <v>205</v>
      </c>
      <c r="J3014" s="154">
        <f>I3014/H3014-1</f>
        <v/>
      </c>
      <c r="K3014" s="31" t="inlineStr">
        <is>
          <t>40</t>
        </is>
      </c>
      <c r="L3014" s="31" t="inlineStr">
        <is>
          <t>40</t>
        </is>
      </c>
      <c r="M3014" s="31" t="inlineStr">
        <is>
          <t>S3</t>
        </is>
      </c>
      <c r="N3014" s="31" t="inlineStr">
        <is>
          <t>S5</t>
        </is>
      </c>
      <c r="O3014" s="31" t="inlineStr">
        <is>
          <t>340-252-305-0</t>
        </is>
      </c>
      <c r="P3014" s="31" t="inlineStr">
        <is>
          <t>SR Technics Switzerland</t>
        </is>
      </c>
    </row>
    <row r="3015">
      <c r="B3015" s="31" t="inlineStr">
        <is>
          <t>CFM56-7B</t>
        </is>
      </c>
      <c r="C3015" s="31" t="inlineStr">
        <is>
          <t>2025-2026</t>
        </is>
      </c>
      <c r="D3015" s="31" t="inlineStr">
        <is>
          <t>453</t>
        </is>
      </c>
      <c r="E3015" s="31" t="inlineStr">
        <is>
          <t>72-53-08</t>
        </is>
      </c>
      <c r="F3015" s="31" t="inlineStr">
        <is>
          <t>A</t>
        </is>
      </c>
      <c r="G3015" s="31" t="inlineStr">
        <is>
          <t>HPT / nozzle</t>
        </is>
      </c>
      <c r="H3015" s="27" t="n">
        <v>1100</v>
      </c>
      <c r="I3015" s="27" t="n">
        <v>1155</v>
      </c>
      <c r="J3015" s="154">
        <f>I3015/H3015-1</f>
        <v/>
      </c>
      <c r="K3015" s="31" t="inlineStr">
        <is>
          <t>28</t>
        </is>
      </c>
      <c r="L3015" s="31" t="inlineStr">
        <is>
          <t>28</t>
        </is>
      </c>
      <c r="M3015" s="31" t="inlineStr">
        <is>
          <t>S3</t>
        </is>
      </c>
      <c r="N3015" s="31" t="inlineStr">
        <is>
          <t>S5</t>
        </is>
      </c>
      <c r="O3015" s="31" t="inlineStr">
        <is>
          <t>338-111-303-0</t>
        </is>
      </c>
      <c r="P3015" s="31" t="inlineStr">
        <is>
          <t>SR Technics Switzerland</t>
        </is>
      </c>
    </row>
    <row r="3016">
      <c r="B3016" s="31" t="inlineStr">
        <is>
          <t>CFM56-7B</t>
        </is>
      </c>
      <c r="C3016" s="31" t="inlineStr">
        <is>
          <t>2025-2026</t>
        </is>
      </c>
      <c r="D3016" s="31" t="inlineStr">
        <is>
          <t>453</t>
        </is>
      </c>
      <c r="E3016" s="31" t="inlineStr">
        <is>
          <t>72-53-08</t>
        </is>
      </c>
      <c r="F3016" s="31" t="inlineStr">
        <is>
          <t>D</t>
        </is>
      </c>
      <c r="G3016" s="31" t="inlineStr">
        <is>
          <t>HPT / nozzle</t>
        </is>
      </c>
      <c r="H3016" s="27" t="n">
        <v>2810</v>
      </c>
      <c r="I3016" s="27" t="n">
        <v>2980</v>
      </c>
      <c r="J3016" s="154">
        <f>I3016/H3016-1</f>
        <v/>
      </c>
      <c r="K3016" s="31" t="inlineStr">
        <is>
          <t>28</t>
        </is>
      </c>
      <c r="L3016" s="31" t="inlineStr">
        <is>
          <t>28</t>
        </is>
      </c>
      <c r="M3016" s="31" t="inlineStr">
        <is>
          <t>S3</t>
        </is>
      </c>
      <c r="N3016" s="31" t="inlineStr">
        <is>
          <t>S5</t>
        </is>
      </c>
      <c r="O3016" s="31" t="inlineStr">
        <is>
          <t>338-111-303-0</t>
        </is>
      </c>
      <c r="P3016" s="31" t="inlineStr">
        <is>
          <t>SR Technics Switzerland</t>
        </is>
      </c>
    </row>
    <row r="3017">
      <c r="B3017" s="31" t="inlineStr">
        <is>
          <t>CFM56-7B</t>
        </is>
      </c>
      <c r="C3017" s="31" t="inlineStr">
        <is>
          <t>2025-2026</t>
        </is>
      </c>
      <c r="D3017" s="31" t="inlineStr">
        <is>
          <t>601859</t>
        </is>
      </c>
      <c r="E3017" s="31" t="inlineStr">
        <is>
          <t>73-11-15</t>
        </is>
      </c>
      <c r="F3017" s="31" t="inlineStr">
        <is>
          <t>B</t>
        </is>
      </c>
      <c r="G3017" s="31" t="inlineStr">
        <is>
          <t>Fuel system</t>
        </is>
      </c>
      <c r="H3017" s="27" t="n">
        <v>1105</v>
      </c>
      <c r="I3017" s="27" t="n">
        <v>1175</v>
      </c>
      <c r="J3017" s="154">
        <f>I3017/H3017-1</f>
        <v/>
      </c>
      <c r="K3017" s="31" t="inlineStr">
        <is>
          <t>52</t>
        </is>
      </c>
      <c r="L3017" s="31" t="inlineStr">
        <is>
          <t>51</t>
        </is>
      </c>
      <c r="M3017" s="31" t="inlineStr">
        <is>
          <t>S3</t>
        </is>
      </c>
      <c r="N3017" s="31" t="inlineStr">
        <is>
          <t>S5</t>
        </is>
      </c>
      <c r="O3017" s="31" t="inlineStr">
        <is>
          <t>219316-1</t>
        </is>
      </c>
      <c r="P3017" s="31" t="inlineStr">
        <is>
          <t>SR Technics Switzerland</t>
        </is>
      </c>
    </row>
    <row r="3018">
      <c r="B3018" s="31" t="inlineStr">
        <is>
          <t>CFM56-7B</t>
        </is>
      </c>
      <c r="C3018" s="31" t="inlineStr">
        <is>
          <t>2025-2026</t>
        </is>
      </c>
      <c r="D3018" s="31" t="inlineStr">
        <is>
          <t>603519</t>
        </is>
      </c>
      <c r="E3018" s="31" t="inlineStr">
        <is>
          <t>71-21-37</t>
        </is>
      </c>
      <c r="F3018" s="31" t="inlineStr">
        <is>
          <t>A</t>
        </is>
      </c>
      <c r="G3018" s="31" t="inlineStr">
        <is>
          <t>Other / assembly</t>
        </is>
      </c>
      <c r="H3018" s="27" t="n">
        <v>365</v>
      </c>
      <c r="I3018" s="27" t="n">
        <v>385</v>
      </c>
      <c r="J3018" s="154">
        <f>I3018/H3018-1</f>
        <v/>
      </c>
      <c r="K3018" s="31" t="inlineStr">
        <is>
          <t>52</t>
        </is>
      </c>
      <c r="L3018" s="31" t="inlineStr">
        <is>
          <t>51</t>
        </is>
      </c>
      <c r="M3018" s="31" t="inlineStr">
        <is>
          <t>S3</t>
        </is>
      </c>
      <c r="N3018" s="31" t="inlineStr">
        <is>
          <t>S5</t>
        </is>
      </c>
      <c r="O3018" s="31" t="inlineStr">
        <is>
          <t>310A2037-10</t>
        </is>
      </c>
      <c r="P3018" s="31" t="inlineStr">
        <is>
          <t>SR Technics Switzerland</t>
        </is>
      </c>
    </row>
    <row r="3019">
      <c r="B3019" s="31" t="inlineStr">
        <is>
          <t>CFM56-7B</t>
        </is>
      </c>
      <c r="C3019" s="31" t="inlineStr">
        <is>
          <t>2025-2026</t>
        </is>
      </c>
      <c r="D3019" s="31" t="inlineStr">
        <is>
          <t>603670</t>
        </is>
      </c>
      <c r="E3019" s="31" t="inlineStr">
        <is>
          <t>72-22-00</t>
        </is>
      </c>
      <c r="F3019" s="31" t="inlineStr">
        <is>
          <t>A</t>
        </is>
      </c>
      <c r="G3019" s="31" t="inlineStr">
        <is>
          <t>Fan / booster</t>
        </is>
      </c>
      <c r="H3019" s="27" t="n">
        <v>80</v>
      </c>
      <c r="I3019" s="27" t="n">
        <v>85</v>
      </c>
      <c r="J3019" s="154">
        <f>I3019/H3019-1</f>
        <v/>
      </c>
      <c r="K3019" s="31" t="inlineStr">
        <is>
          <t>20</t>
        </is>
      </c>
      <c r="L3019" s="31" t="inlineStr">
        <is>
          <t>20</t>
        </is>
      </c>
      <c r="M3019" s="31" t="inlineStr">
        <is>
          <t>S3</t>
        </is>
      </c>
      <c r="N3019" s="31" t="inlineStr">
        <is>
          <t>S5</t>
        </is>
      </c>
      <c r="O3019" s="31" t="inlineStr">
        <is>
          <t>301-475-904-6</t>
        </is>
      </c>
      <c r="P3019" s="31" t="inlineStr">
        <is>
          <t>SR Technics Switzerland</t>
        </is>
      </c>
    </row>
    <row r="3020">
      <c r="B3020" s="31" t="inlineStr">
        <is>
          <t>CFM56-7B</t>
        </is>
      </c>
      <c r="C3020" s="31" t="inlineStr">
        <is>
          <t>2025-2026</t>
        </is>
      </c>
      <c r="D3020" s="31" t="inlineStr">
        <is>
          <t>603670</t>
        </is>
      </c>
      <c r="E3020" s="31" t="inlineStr">
        <is>
          <t>72-22-00</t>
        </is>
      </c>
      <c r="F3020" s="31" t="inlineStr">
        <is>
          <t>B</t>
        </is>
      </c>
      <c r="G3020" s="31" t="inlineStr">
        <is>
          <t>Fan / booster</t>
        </is>
      </c>
      <c r="H3020" s="27" t="n">
        <v>225</v>
      </c>
      <c r="I3020" s="27" t="n">
        <v>240</v>
      </c>
      <c r="J3020" s="154">
        <f>I3020/H3020-1</f>
        <v/>
      </c>
      <c r="K3020" s="31" t="inlineStr">
        <is>
          <t>20</t>
        </is>
      </c>
      <c r="L3020" s="31" t="inlineStr">
        <is>
          <t>20</t>
        </is>
      </c>
      <c r="M3020" s="31" t="inlineStr">
        <is>
          <t>S3</t>
        </is>
      </c>
      <c r="N3020" s="31" t="inlineStr">
        <is>
          <t>S5</t>
        </is>
      </c>
      <c r="O3020" s="31" t="inlineStr">
        <is>
          <t>301-475-904-6</t>
        </is>
      </c>
      <c r="P3020" s="31" t="inlineStr">
        <is>
          <t>SR Technics Switzerland</t>
        </is>
      </c>
    </row>
    <row r="3021">
      <c r="B3021" s="31" t="inlineStr">
        <is>
          <t>CFM56-7B</t>
        </is>
      </c>
      <c r="C3021" s="31" t="inlineStr">
        <is>
          <t>2025-2026</t>
        </is>
      </c>
      <c r="D3021" s="31" t="inlineStr">
        <is>
          <t>607350</t>
        </is>
      </c>
      <c r="E3021" s="31" t="inlineStr">
        <is>
          <t>71-51-02</t>
        </is>
      </c>
      <c r="F3021" s="31" t="inlineStr">
        <is>
          <t>C</t>
        </is>
      </c>
      <c r="G3021" s="31" t="inlineStr">
        <is>
          <t>Other / assembly</t>
        </is>
      </c>
      <c r="H3021" s="27" t="n">
        <v>385</v>
      </c>
      <c r="I3021" s="27" t="n">
        <v>410</v>
      </c>
      <c r="J3021" s="154">
        <f>I3021/H3021-1</f>
        <v/>
      </c>
      <c r="K3021" s="31" t="inlineStr">
        <is>
          <t>52</t>
        </is>
      </c>
      <c r="L3021" s="31" t="inlineStr">
        <is>
          <t>51</t>
        </is>
      </c>
      <c r="M3021" s="31" t="inlineStr">
        <is>
          <t>S3</t>
        </is>
      </c>
      <c r="N3021" s="31" t="inlineStr">
        <is>
          <t>S5</t>
        </is>
      </c>
      <c r="O3021" s="31" t="inlineStr">
        <is>
          <t>325-029-901-0</t>
        </is>
      </c>
      <c r="P3021" s="31" t="inlineStr">
        <is>
          <t>SR Technics Switzerland</t>
        </is>
      </c>
    </row>
    <row r="3022">
      <c r="B3022" s="31" t="inlineStr">
        <is>
          <t>CFM56-7B</t>
        </is>
      </c>
      <c r="C3022" s="31" t="inlineStr">
        <is>
          <t>2025-2026</t>
        </is>
      </c>
      <c r="D3022" s="31" t="inlineStr">
        <is>
          <t>607350</t>
        </is>
      </c>
      <c r="E3022" s="31" t="inlineStr">
        <is>
          <t>71-51-02</t>
        </is>
      </c>
      <c r="F3022" s="31" t="inlineStr">
        <is>
          <t>D</t>
        </is>
      </c>
      <c r="G3022" s="31" t="inlineStr">
        <is>
          <t>Other / assembly</t>
        </is>
      </c>
      <c r="H3022" s="27" t="n">
        <v>1140</v>
      </c>
      <c r="I3022" s="27" t="n">
        <v>1210</v>
      </c>
      <c r="J3022" s="154">
        <f>I3022/H3022-1</f>
        <v/>
      </c>
      <c r="K3022" s="31" t="inlineStr">
        <is>
          <t>52</t>
        </is>
      </c>
      <c r="L3022" s="31" t="inlineStr">
        <is>
          <t>51</t>
        </is>
      </c>
      <c r="M3022" s="31" t="inlineStr">
        <is>
          <t>S3</t>
        </is>
      </c>
      <c r="N3022" s="31" t="inlineStr">
        <is>
          <t>S5</t>
        </is>
      </c>
      <c r="O3022" s="31" t="inlineStr">
        <is>
          <t>325-029-901-0</t>
        </is>
      </c>
      <c r="P3022" s="31" t="inlineStr">
        <is>
          <t>SR Technics Switzerland</t>
        </is>
      </c>
    </row>
    <row r="3023">
      <c r="B3023" s="31" t="inlineStr">
        <is>
          <t>CFM56-7B</t>
        </is>
      </c>
      <c r="C3023" s="31" t="inlineStr">
        <is>
          <t>2025-2026</t>
        </is>
      </c>
      <c r="D3023" s="31" t="inlineStr">
        <is>
          <t>607350</t>
        </is>
      </c>
      <c r="E3023" s="31" t="inlineStr">
        <is>
          <t>71-51-02</t>
        </is>
      </c>
      <c r="F3023" s="31" t="inlineStr">
        <is>
          <t>SB00</t>
        </is>
      </c>
      <c r="G3023" s="31" t="inlineStr">
        <is>
          <t>Other / assembly</t>
        </is>
      </c>
      <c r="H3023" s="27" t="n">
        <v>530</v>
      </c>
      <c r="I3023" s="27" t="n">
        <v>565</v>
      </c>
      <c r="J3023" s="154">
        <f>I3023/H3023-1</f>
        <v/>
      </c>
      <c r="K3023" s="31" t="inlineStr">
        <is>
          <t>52</t>
        </is>
      </c>
      <c r="L3023" s="31" t="inlineStr">
        <is>
          <t>51</t>
        </is>
      </c>
      <c r="M3023" s="31" t="inlineStr">
        <is>
          <t>S3</t>
        </is>
      </c>
      <c r="N3023" s="31" t="inlineStr">
        <is>
          <t>S5</t>
        </is>
      </c>
      <c r="O3023" s="31" t="inlineStr">
        <is>
          <t>325-029-901-0</t>
        </is>
      </c>
      <c r="P3023" s="31" t="inlineStr">
        <is>
          <t>SR Technics Switzerland</t>
        </is>
      </c>
    </row>
    <row r="3024">
      <c r="B3024" s="31" t="inlineStr">
        <is>
          <t>CFM56-7B</t>
        </is>
      </c>
      <c r="C3024" s="31" t="inlineStr">
        <is>
          <t>2025-2026</t>
        </is>
      </c>
      <c r="D3024" s="31" t="inlineStr">
        <is>
          <t>607353</t>
        </is>
      </c>
      <c r="E3024" s="31" t="inlineStr">
        <is>
          <t>71-51-01</t>
        </is>
      </c>
      <c r="F3024" s="31" t="inlineStr">
        <is>
          <t>C</t>
        </is>
      </c>
      <c r="G3024" s="31" t="inlineStr">
        <is>
          <t>Other / assembly</t>
        </is>
      </c>
      <c r="H3024" s="27" t="n">
        <v>385</v>
      </c>
      <c r="I3024" s="27" t="n">
        <v>410</v>
      </c>
      <c r="J3024" s="154">
        <f>I3024/H3024-1</f>
        <v/>
      </c>
      <c r="K3024" s="31" t="inlineStr">
        <is>
          <t>20</t>
        </is>
      </c>
      <c r="L3024" s="31" t="inlineStr">
        <is>
          <t>20</t>
        </is>
      </c>
      <c r="M3024" s="31" t="inlineStr">
        <is>
          <t>S3</t>
        </is>
      </c>
      <c r="N3024" s="31" t="inlineStr">
        <is>
          <t>S5</t>
        </is>
      </c>
      <c r="O3024" s="31" t="inlineStr">
        <is>
          <t>325-026-701-0</t>
        </is>
      </c>
      <c r="P3024" s="31" t="inlineStr">
        <is>
          <t>SR Technics Switzerland</t>
        </is>
      </c>
    </row>
    <row r="3025">
      <c r="B3025" s="31" t="inlineStr">
        <is>
          <t>CFM56-7B</t>
        </is>
      </c>
      <c r="C3025" s="31" t="inlineStr">
        <is>
          <t>2025-2026</t>
        </is>
      </c>
      <c r="D3025" s="31" t="inlineStr">
        <is>
          <t>607353</t>
        </is>
      </c>
      <c r="E3025" s="31" t="inlineStr">
        <is>
          <t>71-51-01</t>
        </is>
      </c>
      <c r="F3025" s="31" t="inlineStr">
        <is>
          <t>D</t>
        </is>
      </c>
      <c r="G3025" s="31" t="inlineStr">
        <is>
          <t>Other / assembly</t>
        </is>
      </c>
      <c r="H3025" s="27" t="n">
        <v>1755</v>
      </c>
      <c r="I3025" s="27" t="n">
        <v>1865</v>
      </c>
      <c r="J3025" s="154">
        <f>I3025/H3025-1</f>
        <v/>
      </c>
      <c r="K3025" s="31" t="inlineStr">
        <is>
          <t>20</t>
        </is>
      </c>
      <c r="L3025" s="31" t="inlineStr">
        <is>
          <t>20</t>
        </is>
      </c>
      <c r="M3025" s="31" t="inlineStr">
        <is>
          <t>S3</t>
        </is>
      </c>
      <c r="N3025" s="31" t="inlineStr">
        <is>
          <t>S5</t>
        </is>
      </c>
      <c r="O3025" s="31" t="inlineStr">
        <is>
          <t>325-026-701-0</t>
        </is>
      </c>
      <c r="P3025" s="31" t="inlineStr">
        <is>
          <t>SR Technics Switzerland</t>
        </is>
      </c>
    </row>
    <row r="3026">
      <c r="B3026" s="31" t="inlineStr">
        <is>
          <t>CFM56-7B</t>
        </is>
      </c>
      <c r="C3026" s="31" t="inlineStr">
        <is>
          <t>2025-2026</t>
        </is>
      </c>
      <c r="D3026" s="31" t="inlineStr">
        <is>
          <t>607354</t>
        </is>
      </c>
      <c r="E3026" s="31" t="inlineStr">
        <is>
          <t>71-51-01</t>
        </is>
      </c>
      <c r="F3026" s="31" t="inlineStr">
        <is>
          <t>C</t>
        </is>
      </c>
      <c r="G3026" s="31" t="inlineStr">
        <is>
          <t>Other / assembly</t>
        </is>
      </c>
      <c r="H3026" s="27" t="n">
        <v>385</v>
      </c>
      <c r="I3026" s="27" t="n">
        <v>410</v>
      </c>
      <c r="J3026" s="154">
        <f>I3026/H3026-1</f>
        <v/>
      </c>
      <c r="K3026" s="31" t="inlineStr">
        <is>
          <t>21</t>
        </is>
      </c>
      <c r="L3026" s="31" t="inlineStr">
        <is>
          <t>20</t>
        </is>
      </c>
      <c r="M3026" s="31" t="inlineStr">
        <is>
          <t>S3</t>
        </is>
      </c>
      <c r="N3026" s="31" t="inlineStr">
        <is>
          <t>S5</t>
        </is>
      </c>
      <c r="O3026" s="31" t="inlineStr">
        <is>
          <t>325-035-501-0</t>
        </is>
      </c>
      <c r="P3026" s="31" t="inlineStr">
        <is>
          <t>SR Technics Switzerland</t>
        </is>
      </c>
    </row>
    <row r="3027">
      <c r="B3027" s="31" t="inlineStr">
        <is>
          <t>CFM56-7B</t>
        </is>
      </c>
      <c r="C3027" s="31" t="inlineStr">
        <is>
          <t>2025-2026</t>
        </is>
      </c>
      <c r="D3027" s="31" t="inlineStr">
        <is>
          <t>607354</t>
        </is>
      </c>
      <c r="E3027" s="31" t="inlineStr">
        <is>
          <t>71-51-01</t>
        </is>
      </c>
      <c r="F3027" s="31" t="inlineStr">
        <is>
          <t>D</t>
        </is>
      </c>
      <c r="G3027" s="31" t="inlineStr">
        <is>
          <t>Other / assembly</t>
        </is>
      </c>
      <c r="H3027" s="27" t="n">
        <v>1205</v>
      </c>
      <c r="I3027" s="27" t="n">
        <v>1280</v>
      </c>
      <c r="J3027" s="154">
        <f>I3027/H3027-1</f>
        <v/>
      </c>
      <c r="K3027" s="31" t="inlineStr">
        <is>
          <t>21</t>
        </is>
      </c>
      <c r="L3027" s="31" t="inlineStr">
        <is>
          <t>20</t>
        </is>
      </c>
      <c r="M3027" s="31" t="inlineStr">
        <is>
          <t>S3</t>
        </is>
      </c>
      <c r="N3027" s="31" t="inlineStr">
        <is>
          <t>S5</t>
        </is>
      </c>
      <c r="O3027" s="31" t="inlineStr">
        <is>
          <t>325-035-501-0</t>
        </is>
      </c>
      <c r="P3027" s="31" t="inlineStr">
        <is>
          <t>SR Technics Switzerland</t>
        </is>
      </c>
    </row>
    <row r="3028">
      <c r="B3028" s="31" t="inlineStr">
        <is>
          <t>CFM56-7B</t>
        </is>
      </c>
      <c r="C3028" s="31" t="inlineStr">
        <is>
          <t>2025-2026</t>
        </is>
      </c>
      <c r="D3028" s="31" t="inlineStr">
        <is>
          <t>607354</t>
        </is>
      </c>
      <c r="E3028" s="31" t="inlineStr">
        <is>
          <t>71-51-01</t>
        </is>
      </c>
      <c r="F3028" s="31" t="inlineStr">
        <is>
          <t>SB00</t>
        </is>
      </c>
      <c r="G3028" s="31" t="inlineStr">
        <is>
          <t>Other / assembly</t>
        </is>
      </c>
      <c r="H3028" s="27" t="n">
        <v>385</v>
      </c>
      <c r="I3028" s="27" t="n">
        <v>410</v>
      </c>
      <c r="J3028" s="154">
        <f>I3028/H3028-1</f>
        <v/>
      </c>
      <c r="K3028" s="31" t="inlineStr">
        <is>
          <t>21</t>
        </is>
      </c>
      <c r="L3028" s="31" t="inlineStr">
        <is>
          <t>20</t>
        </is>
      </c>
      <c r="M3028" s="31" t="inlineStr">
        <is>
          <t>S3</t>
        </is>
      </c>
      <c r="N3028" s="31" t="inlineStr">
        <is>
          <t>S5</t>
        </is>
      </c>
      <c r="O3028" s="31" t="inlineStr">
        <is>
          <t>325-035-501-0</t>
        </is>
      </c>
      <c r="P3028" s="31" t="inlineStr">
        <is>
          <t>SR Technics Switzerland</t>
        </is>
      </c>
    </row>
    <row r="3029">
      <c r="B3029" s="31" t="inlineStr">
        <is>
          <t>CFM56-7B</t>
        </is>
      </c>
      <c r="C3029" s="31" t="inlineStr">
        <is>
          <t>2025-2026</t>
        </is>
      </c>
      <c r="D3029" s="31" t="inlineStr">
        <is>
          <t>607355</t>
        </is>
      </c>
      <c r="E3029" s="31" t="inlineStr">
        <is>
          <t>71-51-01</t>
        </is>
      </c>
      <c r="F3029" s="31" t="inlineStr">
        <is>
          <t>C</t>
        </is>
      </c>
      <c r="G3029" s="31" t="inlineStr">
        <is>
          <t>Other / assembly</t>
        </is>
      </c>
      <c r="H3029" s="27" t="n">
        <v>405</v>
      </c>
      <c r="I3029" s="27" t="n">
        <v>430</v>
      </c>
      <c r="J3029" s="154">
        <f>I3029/H3029-1</f>
        <v/>
      </c>
      <c r="K3029" s="31" t="inlineStr">
        <is>
          <t>21</t>
        </is>
      </c>
      <c r="L3029" s="31" t="inlineStr">
        <is>
          <t>20</t>
        </is>
      </c>
      <c r="M3029" s="31" t="inlineStr">
        <is>
          <t>S3</t>
        </is>
      </c>
      <c r="N3029" s="31" t="inlineStr">
        <is>
          <t>S5</t>
        </is>
      </c>
      <c r="O3029" s="31" t="inlineStr">
        <is>
          <t>325-026-901-0</t>
        </is>
      </c>
      <c r="P3029" s="31" t="inlineStr">
        <is>
          <t>SR Technics Switzerland</t>
        </is>
      </c>
    </row>
    <row r="3030">
      <c r="B3030" s="31" t="inlineStr">
        <is>
          <t>CFM56-7B</t>
        </is>
      </c>
      <c r="C3030" s="31" t="inlineStr">
        <is>
          <t>2025-2026</t>
        </is>
      </c>
      <c r="D3030" s="31" t="inlineStr">
        <is>
          <t>607355</t>
        </is>
      </c>
      <c r="E3030" s="31" t="inlineStr">
        <is>
          <t>71-51-01</t>
        </is>
      </c>
      <c r="F3030" s="31" t="inlineStr">
        <is>
          <t>D</t>
        </is>
      </c>
      <c r="G3030" s="31" t="inlineStr">
        <is>
          <t>Other / assembly</t>
        </is>
      </c>
      <c r="H3030" s="27" t="n">
        <v>1180</v>
      </c>
      <c r="I3030" s="27" t="n">
        <v>1255</v>
      </c>
      <c r="J3030" s="154">
        <f>I3030/H3030-1</f>
        <v/>
      </c>
      <c r="K3030" s="31" t="inlineStr">
        <is>
          <t>21</t>
        </is>
      </c>
      <c r="L3030" s="31" t="inlineStr">
        <is>
          <t>20</t>
        </is>
      </c>
      <c r="M3030" s="31" t="inlineStr">
        <is>
          <t>S3</t>
        </is>
      </c>
      <c r="N3030" s="31" t="inlineStr">
        <is>
          <t>S5</t>
        </is>
      </c>
      <c r="O3030" s="31" t="inlineStr">
        <is>
          <t>325-026-901-0</t>
        </is>
      </c>
      <c r="P3030" s="31" t="inlineStr">
        <is>
          <t>SR Technics Switzerland</t>
        </is>
      </c>
    </row>
    <row r="3031">
      <c r="B3031" s="31" t="inlineStr">
        <is>
          <t>CFM56-7B</t>
        </is>
      </c>
      <c r="C3031" s="31" t="inlineStr">
        <is>
          <t>2025-2026</t>
        </is>
      </c>
      <c r="D3031" s="31" t="inlineStr">
        <is>
          <t>607356</t>
        </is>
      </c>
      <c r="E3031" s="31" t="inlineStr">
        <is>
          <t>71-51-01</t>
        </is>
      </c>
      <c r="F3031" s="31" t="inlineStr">
        <is>
          <t>C</t>
        </is>
      </c>
      <c r="G3031" s="31" t="inlineStr">
        <is>
          <t>Other / assembly</t>
        </is>
      </c>
      <c r="H3031" s="27" t="n">
        <v>385</v>
      </c>
      <c r="I3031" s="27" t="n">
        <v>410</v>
      </c>
      <c r="J3031" s="154">
        <f>I3031/H3031-1</f>
        <v/>
      </c>
      <c r="K3031" s="31" t="inlineStr">
        <is>
          <t>21</t>
        </is>
      </c>
      <c r="L3031" s="31" t="inlineStr">
        <is>
          <t>20</t>
        </is>
      </c>
      <c r="M3031" s="31" t="inlineStr">
        <is>
          <t>S3</t>
        </is>
      </c>
      <c r="N3031" s="31" t="inlineStr">
        <is>
          <t>S5</t>
        </is>
      </c>
      <c r="O3031" s="31" t="inlineStr">
        <is>
          <t>325-015-001-0</t>
        </is>
      </c>
      <c r="P3031" s="31" t="inlineStr">
        <is>
          <t>SR Technics Switzerland</t>
        </is>
      </c>
    </row>
    <row r="3032">
      <c r="B3032" s="31" t="inlineStr">
        <is>
          <t>CFM56-7B</t>
        </is>
      </c>
      <c r="C3032" s="31" t="inlineStr">
        <is>
          <t>2025-2026</t>
        </is>
      </c>
      <c r="D3032" s="31" t="inlineStr">
        <is>
          <t>607356</t>
        </is>
      </c>
      <c r="E3032" s="31" t="inlineStr">
        <is>
          <t>71-51-01</t>
        </is>
      </c>
      <c r="F3032" s="31" t="inlineStr">
        <is>
          <t>D</t>
        </is>
      </c>
      <c r="G3032" s="31" t="inlineStr">
        <is>
          <t>Other / assembly</t>
        </is>
      </c>
      <c r="H3032" s="27" t="n">
        <v>1140</v>
      </c>
      <c r="I3032" s="27" t="n">
        <v>1210</v>
      </c>
      <c r="J3032" s="154">
        <f>I3032/H3032-1</f>
        <v/>
      </c>
      <c r="K3032" s="31" t="inlineStr">
        <is>
          <t>21</t>
        </is>
      </c>
      <c r="L3032" s="31" t="inlineStr">
        <is>
          <t>20</t>
        </is>
      </c>
      <c r="M3032" s="31" t="inlineStr">
        <is>
          <t>S3</t>
        </is>
      </c>
      <c r="N3032" s="31" t="inlineStr">
        <is>
          <t>S5</t>
        </is>
      </c>
      <c r="O3032" s="31" t="inlineStr">
        <is>
          <t>325-015-001-0</t>
        </is>
      </c>
      <c r="P3032" s="31" t="inlineStr">
        <is>
          <t>SR Technics Switzerland</t>
        </is>
      </c>
    </row>
    <row r="3033">
      <c r="B3033" s="31" t="inlineStr">
        <is>
          <t>CFM56-7B</t>
        </is>
      </c>
      <c r="C3033" s="31" t="inlineStr">
        <is>
          <t>2025-2026</t>
        </is>
      </c>
      <c r="D3033" s="31" t="inlineStr">
        <is>
          <t>607357</t>
        </is>
      </c>
      <c r="E3033" s="31" t="inlineStr">
        <is>
          <t>71-51-01</t>
        </is>
      </c>
      <c r="F3033" s="31" t="inlineStr">
        <is>
          <t>C</t>
        </is>
      </c>
      <c r="G3033" s="31" t="inlineStr">
        <is>
          <t>Other / assembly</t>
        </is>
      </c>
      <c r="H3033" s="27" t="n">
        <v>385</v>
      </c>
      <c r="I3033" s="27" t="n">
        <v>410</v>
      </c>
      <c r="J3033" s="154">
        <f>I3033/H3033-1</f>
        <v/>
      </c>
      <c r="K3033" s="31" t="inlineStr">
        <is>
          <t>21</t>
        </is>
      </c>
      <c r="L3033" s="31" t="inlineStr">
        <is>
          <t>20</t>
        </is>
      </c>
      <c r="M3033" s="31" t="inlineStr">
        <is>
          <t>S3</t>
        </is>
      </c>
      <c r="N3033" s="31" t="inlineStr">
        <is>
          <t>S5</t>
        </is>
      </c>
      <c r="O3033" s="31" t="inlineStr">
        <is>
          <t>325-035-201-0</t>
        </is>
      </c>
      <c r="P3033" s="31" t="inlineStr">
        <is>
          <t>SR Technics Switzerland</t>
        </is>
      </c>
    </row>
    <row r="3034">
      <c r="B3034" s="31" t="inlineStr">
        <is>
          <t>CFM56-7B</t>
        </is>
      </c>
      <c r="C3034" s="31" t="inlineStr">
        <is>
          <t>2025-2026</t>
        </is>
      </c>
      <c r="D3034" s="31" t="inlineStr">
        <is>
          <t>607357</t>
        </is>
      </c>
      <c r="E3034" s="31" t="inlineStr">
        <is>
          <t>71-51-01</t>
        </is>
      </c>
      <c r="F3034" s="31" t="inlineStr">
        <is>
          <t>D</t>
        </is>
      </c>
      <c r="G3034" s="31" t="inlineStr">
        <is>
          <t>Other / assembly</t>
        </is>
      </c>
      <c r="H3034" s="27" t="n">
        <v>1140</v>
      </c>
      <c r="I3034" s="27" t="n">
        <v>1210</v>
      </c>
      <c r="J3034" s="154">
        <f>I3034/H3034-1</f>
        <v/>
      </c>
      <c r="K3034" s="31" t="inlineStr">
        <is>
          <t>21</t>
        </is>
      </c>
      <c r="L3034" s="31" t="inlineStr">
        <is>
          <t>21</t>
        </is>
      </c>
      <c r="M3034" s="31" t="inlineStr">
        <is>
          <t>S3</t>
        </is>
      </c>
      <c r="N3034" s="31" t="inlineStr">
        <is>
          <t>S5</t>
        </is>
      </c>
      <c r="O3034" s="31" t="inlineStr">
        <is>
          <t>325-035-201-0</t>
        </is>
      </c>
      <c r="P3034" s="31" t="inlineStr">
        <is>
          <t>SR Technics Switzerland</t>
        </is>
      </c>
    </row>
    <row r="3035">
      <c r="B3035" s="31" t="inlineStr">
        <is>
          <t>CFM56-7B</t>
        </is>
      </c>
      <c r="C3035" s="31" t="inlineStr">
        <is>
          <t>2025-2026</t>
        </is>
      </c>
      <c r="D3035" s="31" t="inlineStr">
        <is>
          <t>607358</t>
        </is>
      </c>
      <c r="E3035" s="31" t="inlineStr">
        <is>
          <t>71-51-01</t>
        </is>
      </c>
      <c r="F3035" s="31" t="inlineStr">
        <is>
          <t>C</t>
        </is>
      </c>
      <c r="G3035" s="31" t="inlineStr">
        <is>
          <t>Other / assembly</t>
        </is>
      </c>
      <c r="H3035" s="27" t="n">
        <v>385</v>
      </c>
      <c r="I3035" s="27" t="n">
        <v>410</v>
      </c>
      <c r="J3035" s="154">
        <f>I3035/H3035-1</f>
        <v/>
      </c>
      <c r="K3035" s="31" t="inlineStr">
        <is>
          <t>21</t>
        </is>
      </c>
      <c r="L3035" s="31" t="inlineStr">
        <is>
          <t>21</t>
        </is>
      </c>
      <c r="M3035" s="31" t="inlineStr">
        <is>
          <t>S3</t>
        </is>
      </c>
      <c r="N3035" s="31" t="inlineStr">
        <is>
          <t>S5</t>
        </is>
      </c>
      <c r="O3035" s="31" t="inlineStr">
        <is>
          <t>325-026-801-0</t>
        </is>
      </c>
      <c r="P3035" s="31" t="inlineStr">
        <is>
          <t>SR Technics Switzerland</t>
        </is>
      </c>
    </row>
    <row r="3036">
      <c r="B3036" s="31" t="inlineStr">
        <is>
          <t>CFM56-7B</t>
        </is>
      </c>
      <c r="C3036" s="31" t="inlineStr">
        <is>
          <t>2025-2026</t>
        </is>
      </c>
      <c r="D3036" s="31" t="inlineStr">
        <is>
          <t>607358</t>
        </is>
      </c>
      <c r="E3036" s="31" t="inlineStr">
        <is>
          <t>71-51-01</t>
        </is>
      </c>
      <c r="F3036" s="31" t="inlineStr">
        <is>
          <t>D</t>
        </is>
      </c>
      <c r="G3036" s="31" t="inlineStr">
        <is>
          <t>Other / assembly</t>
        </is>
      </c>
      <c r="H3036" s="27" t="n">
        <v>1140</v>
      </c>
      <c r="I3036" s="27" t="n">
        <v>1210</v>
      </c>
      <c r="J3036" s="154">
        <f>I3036/H3036-1</f>
        <v/>
      </c>
      <c r="K3036" s="31" t="inlineStr">
        <is>
          <t>21</t>
        </is>
      </c>
      <c r="L3036" s="31" t="inlineStr">
        <is>
          <t>21</t>
        </is>
      </c>
      <c r="M3036" s="31" t="inlineStr">
        <is>
          <t>S3</t>
        </is>
      </c>
      <c r="N3036" s="31" t="inlineStr">
        <is>
          <t>S5</t>
        </is>
      </c>
      <c r="O3036" s="31" t="inlineStr">
        <is>
          <t>325-026-801-0</t>
        </is>
      </c>
      <c r="P3036" s="31" t="inlineStr">
        <is>
          <t>SR Technics Switzerland</t>
        </is>
      </c>
    </row>
    <row r="3037">
      <c r="B3037" s="31" t="inlineStr">
        <is>
          <t>CFM56-7B</t>
        </is>
      </c>
      <c r="C3037" s="31" t="inlineStr">
        <is>
          <t>2025-2026</t>
        </is>
      </c>
      <c r="D3037" s="31" t="inlineStr">
        <is>
          <t>609461</t>
        </is>
      </c>
      <c r="E3037" s="31" t="inlineStr">
        <is>
          <t>73-24-03</t>
        </is>
      </c>
      <c r="F3037" s="31" t="inlineStr">
        <is>
          <t>C</t>
        </is>
      </c>
      <c r="G3037" s="31" t="inlineStr">
        <is>
          <t>Fuel system</t>
        </is>
      </c>
      <c r="H3037" s="27" t="n">
        <v>420</v>
      </c>
      <c r="I3037" s="27" t="n">
        <v>450</v>
      </c>
      <c r="J3037" s="154">
        <f>I3037/H3037-1</f>
        <v/>
      </c>
      <c r="K3037" s="31" t="inlineStr">
        <is>
          <t>21</t>
        </is>
      </c>
      <c r="L3037" s="31" t="inlineStr">
        <is>
          <t>21</t>
        </is>
      </c>
      <c r="M3037" s="31" t="inlineStr">
        <is>
          <t>S3</t>
        </is>
      </c>
      <c r="N3037" s="31" t="inlineStr">
        <is>
          <t>S5</t>
        </is>
      </c>
      <c r="O3037" s="31" t="inlineStr">
        <is>
          <t>325-034-901-0</t>
        </is>
      </c>
      <c r="P3037" s="31" t="inlineStr">
        <is>
          <t>SR Technics Switzerland</t>
        </is>
      </c>
    </row>
    <row r="3038">
      <c r="B3038" s="31" t="inlineStr">
        <is>
          <t>CFM56-7B</t>
        </is>
      </c>
      <c r="C3038" s="31" t="inlineStr">
        <is>
          <t>2025-2026</t>
        </is>
      </c>
      <c r="D3038" s="31" t="inlineStr">
        <is>
          <t>609461</t>
        </is>
      </c>
      <c r="E3038" s="31" t="inlineStr">
        <is>
          <t>73-24-03</t>
        </is>
      </c>
      <c r="F3038" s="31" t="inlineStr">
        <is>
          <t>D</t>
        </is>
      </c>
      <c r="G3038" s="31" t="inlineStr">
        <is>
          <t>Fuel system</t>
        </is>
      </c>
      <c r="H3038" s="27" t="n">
        <v>1140</v>
      </c>
      <c r="I3038" s="27" t="n">
        <v>1210</v>
      </c>
      <c r="J3038" s="154">
        <f>I3038/H3038-1</f>
        <v/>
      </c>
      <c r="K3038" s="31" t="inlineStr">
        <is>
          <t>21</t>
        </is>
      </c>
      <c r="L3038" s="31" t="inlineStr">
        <is>
          <t>21</t>
        </is>
      </c>
      <c r="M3038" s="31" t="inlineStr">
        <is>
          <t>S3</t>
        </is>
      </c>
      <c r="N3038" s="31" t="inlineStr">
        <is>
          <t>S5</t>
        </is>
      </c>
      <c r="O3038" s="31" t="inlineStr">
        <is>
          <t>325-034-901-0</t>
        </is>
      </c>
      <c r="P3038" s="31" t="inlineStr">
        <is>
          <t>SR Technics Switzerland</t>
        </is>
      </c>
    </row>
    <row r="3039">
      <c r="B3039" s="31" t="inlineStr">
        <is>
          <t>CFM56-7B</t>
        </is>
      </c>
      <c r="C3039" s="31" t="inlineStr">
        <is>
          <t>2025-2026</t>
        </is>
      </c>
      <c r="D3039" s="31" t="inlineStr">
        <is>
          <t>609461</t>
        </is>
      </c>
      <c r="E3039" s="31" t="inlineStr">
        <is>
          <t>73-24-03</t>
        </is>
      </c>
      <c r="F3039" s="31" t="inlineStr">
        <is>
          <t>SB00</t>
        </is>
      </c>
      <c r="G3039" s="31" t="inlineStr">
        <is>
          <t>Fuel system</t>
        </is>
      </c>
      <c r="H3039" s="27" t="n">
        <v>290</v>
      </c>
      <c r="I3039" s="27" t="n">
        <v>310</v>
      </c>
      <c r="J3039" s="154">
        <f>I3039/H3039-1</f>
        <v/>
      </c>
      <c r="K3039" s="31" t="inlineStr">
        <is>
          <t>21</t>
        </is>
      </c>
      <c r="L3039" s="31" t="inlineStr">
        <is>
          <t>21</t>
        </is>
      </c>
      <c r="M3039" s="31" t="inlineStr">
        <is>
          <t>S3</t>
        </is>
      </c>
      <c r="N3039" s="31" t="inlineStr">
        <is>
          <t>S5</t>
        </is>
      </c>
      <c r="O3039" s="31" t="inlineStr">
        <is>
          <t>325-034-901-0</t>
        </is>
      </c>
      <c r="P3039" s="31" t="inlineStr">
        <is>
          <t>SR Technics Switzerland</t>
        </is>
      </c>
    </row>
    <row r="3040">
      <c r="B3040" s="31" t="inlineStr">
        <is>
          <t>CFM56-7B</t>
        </is>
      </c>
      <c r="C3040" s="31" t="inlineStr">
        <is>
          <t>2025-2026</t>
        </is>
      </c>
      <c r="D3040" s="31" t="inlineStr">
        <is>
          <t>609462</t>
        </is>
      </c>
      <c r="E3040" s="31" t="inlineStr">
        <is>
          <t>73-24-03</t>
        </is>
      </c>
      <c r="F3040" s="31" t="inlineStr">
        <is>
          <t>C</t>
        </is>
      </c>
      <c r="G3040" s="31" t="inlineStr">
        <is>
          <t>Fuel system</t>
        </is>
      </c>
      <c r="H3040" s="27" t="n">
        <v>385</v>
      </c>
      <c r="I3040" s="27" t="n">
        <v>410</v>
      </c>
      <c r="J3040" s="154">
        <f>I3040/H3040-1</f>
        <v/>
      </c>
      <c r="K3040" s="31" t="inlineStr">
        <is>
          <t>21</t>
        </is>
      </c>
      <c r="L3040" s="31" t="inlineStr">
        <is>
          <t>21</t>
        </is>
      </c>
      <c r="M3040" s="31" t="inlineStr">
        <is>
          <t>S3</t>
        </is>
      </c>
      <c r="N3040" s="31" t="inlineStr">
        <is>
          <t>S5</t>
        </is>
      </c>
      <c r="O3040" s="31" t="inlineStr">
        <is>
          <t>325-035-001-0</t>
        </is>
      </c>
      <c r="P3040" s="31" t="inlineStr">
        <is>
          <t>SR Technics Switzerland</t>
        </is>
      </c>
    </row>
    <row r="3041">
      <c r="B3041" s="31" t="inlineStr">
        <is>
          <t>CFM56-7B</t>
        </is>
      </c>
      <c r="C3041" s="31" t="inlineStr">
        <is>
          <t>2025-2026</t>
        </is>
      </c>
      <c r="D3041" s="31" t="inlineStr">
        <is>
          <t>609462</t>
        </is>
      </c>
      <c r="E3041" s="31" t="inlineStr">
        <is>
          <t>73-24-03</t>
        </is>
      </c>
      <c r="F3041" s="31" t="inlineStr">
        <is>
          <t>D</t>
        </is>
      </c>
      <c r="G3041" s="31" t="inlineStr">
        <is>
          <t>Fuel system</t>
        </is>
      </c>
      <c r="H3041" s="27" t="n">
        <v>1265</v>
      </c>
      <c r="I3041" s="27" t="n">
        <v>1345</v>
      </c>
      <c r="J3041" s="154">
        <f>I3041/H3041-1</f>
        <v/>
      </c>
      <c r="K3041" s="31" t="inlineStr">
        <is>
          <t>21</t>
        </is>
      </c>
      <c r="L3041" s="31" t="inlineStr">
        <is>
          <t>21</t>
        </is>
      </c>
      <c r="M3041" s="31" t="inlineStr">
        <is>
          <t>S3</t>
        </is>
      </c>
      <c r="N3041" s="31" t="inlineStr">
        <is>
          <t>S5</t>
        </is>
      </c>
      <c r="O3041" s="31" t="inlineStr">
        <is>
          <t>325-035-001-0</t>
        </is>
      </c>
      <c r="P3041" s="31" t="inlineStr">
        <is>
          <t>SR Technics Switzerland</t>
        </is>
      </c>
    </row>
    <row r="3042">
      <c r="B3042" s="31" t="inlineStr">
        <is>
          <t>CFM56-7B</t>
        </is>
      </c>
      <c r="C3042" s="31" t="inlineStr">
        <is>
          <t>2025-2026</t>
        </is>
      </c>
      <c r="D3042" s="31" t="inlineStr">
        <is>
          <t>609463</t>
        </is>
      </c>
      <c r="E3042" s="31" t="inlineStr">
        <is>
          <t>73-24-03</t>
        </is>
      </c>
      <c r="F3042" s="31" t="inlineStr">
        <is>
          <t>C</t>
        </is>
      </c>
      <c r="G3042" s="31" t="inlineStr">
        <is>
          <t>Fuel system</t>
        </is>
      </c>
      <c r="H3042" s="27" t="n">
        <v>420</v>
      </c>
      <c r="I3042" s="27" t="n">
        <v>450</v>
      </c>
      <c r="J3042" s="154">
        <f>I3042/H3042-1</f>
        <v/>
      </c>
      <c r="K3042" s="31" t="inlineStr">
        <is>
          <t>21</t>
        </is>
      </c>
      <c r="L3042" s="31" t="inlineStr">
        <is>
          <t>21</t>
        </is>
      </c>
      <c r="M3042" s="31" t="inlineStr">
        <is>
          <t>S3</t>
        </is>
      </c>
      <c r="N3042" s="31" t="inlineStr">
        <is>
          <t>S5</t>
        </is>
      </c>
      <c r="O3042" s="31" t="inlineStr">
        <is>
          <t>325-025-701-0</t>
        </is>
      </c>
      <c r="P3042" s="31" t="inlineStr">
        <is>
          <t>SR Technics Switzerland</t>
        </is>
      </c>
    </row>
    <row r="3043">
      <c r="B3043" s="31" t="inlineStr">
        <is>
          <t>CFM56-7B</t>
        </is>
      </c>
      <c r="C3043" s="31" t="inlineStr">
        <is>
          <t>2025-2026</t>
        </is>
      </c>
      <c r="D3043" s="31" t="inlineStr">
        <is>
          <t>609463</t>
        </is>
      </c>
      <c r="E3043" s="31" t="inlineStr">
        <is>
          <t>73-24-03</t>
        </is>
      </c>
      <c r="F3043" s="31" t="inlineStr">
        <is>
          <t>D</t>
        </is>
      </c>
      <c r="G3043" s="31" t="inlineStr">
        <is>
          <t>Fuel system</t>
        </is>
      </c>
      <c r="H3043" s="27" t="n">
        <v>1140</v>
      </c>
      <c r="I3043" s="27" t="n">
        <v>1210</v>
      </c>
      <c r="J3043" s="154">
        <f>I3043/H3043-1</f>
        <v/>
      </c>
      <c r="K3043" s="31" t="inlineStr">
        <is>
          <t>21</t>
        </is>
      </c>
      <c r="L3043" s="31" t="inlineStr">
        <is>
          <t>21</t>
        </is>
      </c>
      <c r="M3043" s="31" t="inlineStr">
        <is>
          <t>S3</t>
        </is>
      </c>
      <c r="N3043" s="31" t="inlineStr">
        <is>
          <t>S5</t>
        </is>
      </c>
      <c r="O3043" s="31" t="inlineStr">
        <is>
          <t>325-025-701-0</t>
        </is>
      </c>
      <c r="P3043" s="31" t="inlineStr">
        <is>
          <t>SR Technics Switzerland</t>
        </is>
      </c>
    </row>
    <row r="3044">
      <c r="B3044" s="31" t="inlineStr">
        <is>
          <t>CFM56-7B</t>
        </is>
      </c>
      <c r="C3044" s="31" t="inlineStr">
        <is>
          <t>2025-2026</t>
        </is>
      </c>
      <c r="D3044" s="31" t="inlineStr">
        <is>
          <t>609488</t>
        </is>
      </c>
      <c r="E3044" s="31" t="inlineStr">
        <is>
          <t>73-24-03</t>
        </is>
      </c>
      <c r="F3044" s="31" t="inlineStr">
        <is>
          <t>C</t>
        </is>
      </c>
      <c r="G3044" s="31" t="inlineStr">
        <is>
          <t>Fuel system</t>
        </is>
      </c>
      <c r="H3044" s="27" t="n">
        <v>385</v>
      </c>
      <c r="I3044" s="27" t="n">
        <v>410</v>
      </c>
      <c r="J3044" s="154">
        <f>I3044/H3044-1</f>
        <v/>
      </c>
      <c r="K3044" s="31" t="inlineStr">
        <is>
          <t>52</t>
        </is>
      </c>
      <c r="L3044" s="31" t="inlineStr">
        <is>
          <t>51</t>
        </is>
      </c>
      <c r="M3044" s="31" t="inlineStr">
        <is>
          <t>S3</t>
        </is>
      </c>
      <c r="N3044" s="31" t="inlineStr">
        <is>
          <t>S5</t>
        </is>
      </c>
      <c r="O3044" s="31" t="inlineStr">
        <is>
          <t>325-025-801-0</t>
        </is>
      </c>
      <c r="P3044" s="31" t="inlineStr">
        <is>
          <t>SR Technics Switzerland</t>
        </is>
      </c>
    </row>
    <row r="3045">
      <c r="B3045" s="31" t="inlineStr">
        <is>
          <t>CFM56-7B</t>
        </is>
      </c>
      <c r="C3045" s="31" t="inlineStr">
        <is>
          <t>2025-2026</t>
        </is>
      </c>
      <c r="D3045" s="31" t="inlineStr">
        <is>
          <t>609488</t>
        </is>
      </c>
      <c r="E3045" s="31" t="inlineStr">
        <is>
          <t>73-24-03</t>
        </is>
      </c>
      <c r="F3045" s="31" t="inlineStr">
        <is>
          <t>D</t>
        </is>
      </c>
      <c r="G3045" s="31" t="inlineStr">
        <is>
          <t>Fuel system</t>
        </is>
      </c>
      <c r="H3045" s="27" t="n">
        <v>1265</v>
      </c>
      <c r="I3045" s="27" t="n">
        <v>1345</v>
      </c>
      <c r="J3045" s="154">
        <f>I3045/H3045-1</f>
        <v/>
      </c>
      <c r="K3045" s="31" t="inlineStr">
        <is>
          <t>52</t>
        </is>
      </c>
      <c r="L3045" s="31" t="inlineStr">
        <is>
          <t>51</t>
        </is>
      </c>
      <c r="M3045" s="31" t="inlineStr">
        <is>
          <t>S3</t>
        </is>
      </c>
      <c r="N3045" s="31" t="inlineStr">
        <is>
          <t>S5</t>
        </is>
      </c>
      <c r="O3045" s="31" t="inlineStr">
        <is>
          <t>325-025-801-0</t>
        </is>
      </c>
      <c r="P3045" s="31" t="inlineStr">
        <is>
          <t>SR Technics Switzerland</t>
        </is>
      </c>
    </row>
    <row r="3046">
      <c r="B3046" s="31" t="inlineStr">
        <is>
          <t>CFM56-7B</t>
        </is>
      </c>
      <c r="C3046" s="31" t="inlineStr">
        <is>
          <t>2025-2026</t>
        </is>
      </c>
      <c r="D3046" s="31" t="inlineStr">
        <is>
          <t>609489</t>
        </is>
      </c>
      <c r="E3046" s="31" t="inlineStr">
        <is>
          <t>73-24-04</t>
        </is>
      </c>
      <c r="F3046" s="31" t="inlineStr">
        <is>
          <t>C</t>
        </is>
      </c>
      <c r="G3046" s="31" t="inlineStr">
        <is>
          <t>Fuel system</t>
        </is>
      </c>
      <c r="H3046" s="27" t="n">
        <v>350</v>
      </c>
      <c r="I3046" s="27" t="n">
        <v>375</v>
      </c>
      <c r="J3046" s="154">
        <f>I3046/H3046-1</f>
        <v/>
      </c>
      <c r="K3046" s="31" t="inlineStr">
        <is>
          <t>21</t>
        </is>
      </c>
      <c r="L3046" s="31" t="inlineStr">
        <is>
          <t>21</t>
        </is>
      </c>
      <c r="M3046" s="31" t="inlineStr">
        <is>
          <t>S3</t>
        </is>
      </c>
      <c r="N3046" s="31" t="inlineStr">
        <is>
          <t>S5</t>
        </is>
      </c>
      <c r="O3046" s="31" t="inlineStr">
        <is>
          <t>325-025-201-0</t>
        </is>
      </c>
      <c r="P3046" s="31" t="inlineStr">
        <is>
          <t>SR Technics Switzerland</t>
        </is>
      </c>
    </row>
    <row r="3047">
      <c r="B3047" s="31" t="inlineStr">
        <is>
          <t>CFM56-7B</t>
        </is>
      </c>
      <c r="C3047" s="31" t="inlineStr">
        <is>
          <t>2025-2026</t>
        </is>
      </c>
      <c r="D3047" s="31" t="inlineStr">
        <is>
          <t>609489</t>
        </is>
      </c>
      <c r="E3047" s="31" t="inlineStr">
        <is>
          <t>73-24-04</t>
        </is>
      </c>
      <c r="F3047" s="31" t="inlineStr">
        <is>
          <t>D</t>
        </is>
      </c>
      <c r="G3047" s="31" t="inlineStr">
        <is>
          <t>Fuel system</t>
        </is>
      </c>
      <c r="H3047" s="27" t="n">
        <v>1140</v>
      </c>
      <c r="I3047" s="27" t="n">
        <v>1210</v>
      </c>
      <c r="J3047" s="154">
        <f>I3047/H3047-1</f>
        <v/>
      </c>
      <c r="K3047" s="31" t="inlineStr">
        <is>
          <t>21</t>
        </is>
      </c>
      <c r="L3047" s="31" t="inlineStr">
        <is>
          <t>21</t>
        </is>
      </c>
      <c r="M3047" s="31" t="inlineStr">
        <is>
          <t>S3</t>
        </is>
      </c>
      <c r="N3047" s="31" t="inlineStr">
        <is>
          <t>S5</t>
        </is>
      </c>
      <c r="O3047" s="31" t="inlineStr">
        <is>
          <t>325-025-201-0</t>
        </is>
      </c>
      <c r="P3047" s="31" t="inlineStr">
        <is>
          <t>SR Technics Switzerland</t>
        </is>
      </c>
    </row>
    <row r="3048">
      <c r="B3048" s="31" t="inlineStr">
        <is>
          <t>CFM56-7B</t>
        </is>
      </c>
      <c r="C3048" s="31" t="inlineStr">
        <is>
          <t>2025-2026</t>
        </is>
      </c>
      <c r="D3048" s="31" t="inlineStr">
        <is>
          <t>609489</t>
        </is>
      </c>
      <c r="E3048" s="31" t="inlineStr">
        <is>
          <t>73-24-04</t>
        </is>
      </c>
      <c r="F3048" s="31" t="inlineStr">
        <is>
          <t>SB00</t>
        </is>
      </c>
      <c r="G3048" s="31" t="inlineStr">
        <is>
          <t>Fuel system</t>
        </is>
      </c>
      <c r="H3048" s="27" t="n">
        <v>290</v>
      </c>
      <c r="I3048" s="27" t="n">
        <v>310</v>
      </c>
      <c r="J3048" s="154">
        <f>I3048/H3048-1</f>
        <v/>
      </c>
      <c r="K3048" s="31" t="inlineStr">
        <is>
          <t>21</t>
        </is>
      </c>
      <c r="L3048" s="31" t="inlineStr">
        <is>
          <t>21</t>
        </is>
      </c>
      <c r="M3048" s="31" t="inlineStr">
        <is>
          <t>S3</t>
        </is>
      </c>
      <c r="N3048" s="31" t="inlineStr">
        <is>
          <t>S5</t>
        </is>
      </c>
      <c r="O3048" s="31" t="inlineStr">
        <is>
          <t>325-025-201-0</t>
        </is>
      </c>
      <c r="P3048" s="31" t="inlineStr">
        <is>
          <t>SR Technics Switzerland</t>
        </is>
      </c>
    </row>
    <row r="3049">
      <c r="B3049" s="31" t="inlineStr">
        <is>
          <t>CFM56-7B</t>
        </is>
      </c>
      <c r="C3049" s="31" t="inlineStr">
        <is>
          <t>2025-2026</t>
        </is>
      </c>
      <c r="D3049" s="31" t="inlineStr">
        <is>
          <t>609489</t>
        </is>
      </c>
      <c r="E3049" s="31" t="inlineStr">
        <is>
          <t>73-24-04</t>
        </is>
      </c>
      <c r="F3049" s="31" t="inlineStr">
        <is>
          <t>SB01</t>
        </is>
      </c>
      <c r="G3049" s="31" t="inlineStr">
        <is>
          <t>Fuel system</t>
        </is>
      </c>
      <c r="H3049" s="27" t="n">
        <v>290</v>
      </c>
      <c r="I3049" s="27" t="n">
        <v>310</v>
      </c>
      <c r="J3049" s="154">
        <f>I3049/H3049-1</f>
        <v/>
      </c>
      <c r="K3049" s="31" t="inlineStr">
        <is>
          <t>21</t>
        </is>
      </c>
      <c r="L3049" s="31" t="inlineStr">
        <is>
          <t>21</t>
        </is>
      </c>
      <c r="M3049" s="31" t="inlineStr">
        <is>
          <t>S3</t>
        </is>
      </c>
      <c r="N3049" s="31" t="inlineStr">
        <is>
          <t>S5</t>
        </is>
      </c>
      <c r="O3049" s="31" t="inlineStr">
        <is>
          <t>325-025-201-0</t>
        </is>
      </c>
      <c r="P3049" s="31" t="inlineStr">
        <is>
          <t>SR Technics Switzerland</t>
        </is>
      </c>
    </row>
    <row r="3050">
      <c r="B3050" s="31" t="inlineStr">
        <is>
          <t>CFM56-7B</t>
        </is>
      </c>
      <c r="C3050" s="31" t="inlineStr">
        <is>
          <t>2025-2026</t>
        </is>
      </c>
      <c r="D3050" s="31" t="inlineStr">
        <is>
          <t>609491</t>
        </is>
      </c>
      <c r="E3050" s="31" t="inlineStr">
        <is>
          <t>73-24-05</t>
        </is>
      </c>
      <c r="F3050" s="31" t="inlineStr">
        <is>
          <t>C</t>
        </is>
      </c>
      <c r="G3050" s="31" t="inlineStr">
        <is>
          <t>Fuel system</t>
        </is>
      </c>
      <c r="H3050" s="27" t="n">
        <v>350</v>
      </c>
      <c r="I3050" s="27" t="n">
        <v>375</v>
      </c>
      <c r="J3050" s="154">
        <f>I3050/H3050-1</f>
        <v/>
      </c>
      <c r="K3050" s="31" t="inlineStr">
        <is>
          <t>21</t>
        </is>
      </c>
      <c r="L3050" s="31" t="inlineStr">
        <is>
          <t>21</t>
        </is>
      </c>
      <c r="M3050" s="31" t="inlineStr">
        <is>
          <t>S3</t>
        </is>
      </c>
      <c r="N3050" s="31" t="inlineStr">
        <is>
          <t>S5</t>
        </is>
      </c>
      <c r="O3050" s="31" t="inlineStr">
        <is>
          <t>325-027-701-0</t>
        </is>
      </c>
      <c r="P3050" s="31" t="inlineStr">
        <is>
          <t>SR Technics Switzerland</t>
        </is>
      </c>
    </row>
    <row r="3051">
      <c r="B3051" s="31" t="inlineStr">
        <is>
          <t>CFM56-7B</t>
        </is>
      </c>
      <c r="C3051" s="31" t="inlineStr">
        <is>
          <t>2025-2026</t>
        </is>
      </c>
      <c r="D3051" s="31" t="inlineStr">
        <is>
          <t>609491</t>
        </is>
      </c>
      <c r="E3051" s="31" t="inlineStr">
        <is>
          <t>73-24-05</t>
        </is>
      </c>
      <c r="F3051" s="31" t="inlineStr">
        <is>
          <t>D</t>
        </is>
      </c>
      <c r="G3051" s="31" t="inlineStr">
        <is>
          <t>Fuel system</t>
        </is>
      </c>
      <c r="H3051" s="27" t="n">
        <v>1140</v>
      </c>
      <c r="I3051" s="27" t="n">
        <v>1210</v>
      </c>
      <c r="J3051" s="154">
        <f>I3051/H3051-1</f>
        <v/>
      </c>
      <c r="K3051" s="31" t="inlineStr">
        <is>
          <t>21</t>
        </is>
      </c>
      <c r="L3051" s="31" t="inlineStr">
        <is>
          <t>21</t>
        </is>
      </c>
      <c r="M3051" s="31" t="inlineStr">
        <is>
          <t>S3</t>
        </is>
      </c>
      <c r="N3051" s="31" t="inlineStr">
        <is>
          <t>S5</t>
        </is>
      </c>
      <c r="O3051" s="31" t="inlineStr">
        <is>
          <t>325-027-701-0</t>
        </is>
      </c>
      <c r="P3051" s="31" t="inlineStr">
        <is>
          <t>SR Technics Switzerland</t>
        </is>
      </c>
    </row>
    <row r="3052">
      <c r="B3052" s="31" t="inlineStr">
        <is>
          <t>CFM56-7B</t>
        </is>
      </c>
      <c r="C3052" s="31" t="inlineStr">
        <is>
          <t>2025-2026</t>
        </is>
      </c>
      <c r="D3052" s="31" t="inlineStr">
        <is>
          <t>609491</t>
        </is>
      </c>
      <c r="E3052" s="31" t="inlineStr">
        <is>
          <t>73-24-05</t>
        </is>
      </c>
      <c r="F3052" s="31" t="inlineStr">
        <is>
          <t>SB02</t>
        </is>
      </c>
      <c r="G3052" s="31" t="inlineStr">
        <is>
          <t>Fuel system</t>
        </is>
      </c>
      <c r="H3052" s="27" t="n">
        <v>290</v>
      </c>
      <c r="I3052" s="27" t="n">
        <v>310</v>
      </c>
      <c r="J3052" s="154">
        <f>I3052/H3052-1</f>
        <v/>
      </c>
      <c r="K3052" s="31" t="inlineStr">
        <is>
          <t>21</t>
        </is>
      </c>
      <c r="L3052" s="31" t="inlineStr">
        <is>
          <t>21</t>
        </is>
      </c>
      <c r="M3052" s="31" t="inlineStr">
        <is>
          <t>S3</t>
        </is>
      </c>
      <c r="N3052" s="31" t="inlineStr">
        <is>
          <t>S5</t>
        </is>
      </c>
      <c r="O3052" s="31" t="inlineStr">
        <is>
          <t>325-027-701-0</t>
        </is>
      </c>
      <c r="P3052" s="31" t="inlineStr">
        <is>
          <t>SR Technics Switzerland</t>
        </is>
      </c>
    </row>
    <row r="3053">
      <c r="B3053" s="31" t="inlineStr">
        <is>
          <t>CFM56-7B</t>
        </is>
      </c>
      <c r="C3053" s="31" t="inlineStr">
        <is>
          <t>2025-2026</t>
        </is>
      </c>
      <c r="D3053" s="31" t="inlineStr">
        <is>
          <t>609492</t>
        </is>
      </c>
      <c r="E3053" s="31" t="inlineStr">
        <is>
          <t>73-24-05</t>
        </is>
      </c>
      <c r="F3053" s="31" t="inlineStr">
        <is>
          <t>C</t>
        </is>
      </c>
      <c r="G3053" s="31" t="inlineStr">
        <is>
          <t>Fuel system</t>
        </is>
      </c>
      <c r="H3053" s="27" t="n">
        <v>350</v>
      </c>
      <c r="I3053" s="27" t="n">
        <v>375</v>
      </c>
      <c r="J3053" s="154">
        <f>I3053/H3053-1</f>
        <v/>
      </c>
      <c r="K3053" s="31" t="inlineStr">
        <is>
          <t>22</t>
        </is>
      </c>
      <c r="L3053" s="31" t="inlineStr">
        <is>
          <t>21</t>
        </is>
      </c>
      <c r="M3053" s="31" t="inlineStr">
        <is>
          <t>S3</t>
        </is>
      </c>
      <c r="N3053" s="31" t="inlineStr">
        <is>
          <t>S5</t>
        </is>
      </c>
      <c r="O3053" s="31" t="inlineStr">
        <is>
          <t>325-025-401-0</t>
        </is>
      </c>
      <c r="P3053" s="31" t="inlineStr">
        <is>
          <t>SR Technics Switzerland</t>
        </is>
      </c>
    </row>
    <row r="3054">
      <c r="B3054" s="31" t="inlineStr">
        <is>
          <t>CFM56-7B</t>
        </is>
      </c>
      <c r="C3054" s="31" t="inlineStr">
        <is>
          <t>2025-2026</t>
        </is>
      </c>
      <c r="D3054" s="31" t="inlineStr">
        <is>
          <t>609492</t>
        </is>
      </c>
      <c r="E3054" s="31" t="inlineStr">
        <is>
          <t>73-24-05</t>
        </is>
      </c>
      <c r="F3054" s="31" t="inlineStr">
        <is>
          <t>D</t>
        </is>
      </c>
      <c r="G3054" s="31" t="inlineStr">
        <is>
          <t>Fuel system</t>
        </is>
      </c>
      <c r="H3054" s="27" t="n">
        <v>1140</v>
      </c>
      <c r="I3054" s="27" t="n">
        <v>1210</v>
      </c>
      <c r="J3054" s="154">
        <f>I3054/H3054-1</f>
        <v/>
      </c>
      <c r="K3054" s="31" t="inlineStr">
        <is>
          <t>22</t>
        </is>
      </c>
      <c r="L3054" s="31" t="inlineStr">
        <is>
          <t>21</t>
        </is>
      </c>
      <c r="M3054" s="31" t="inlineStr">
        <is>
          <t>S3</t>
        </is>
      </c>
      <c r="N3054" s="31" t="inlineStr">
        <is>
          <t>S5</t>
        </is>
      </c>
      <c r="O3054" s="31" t="inlineStr">
        <is>
          <t>325-025-401-0</t>
        </is>
      </c>
      <c r="P3054" s="31" t="inlineStr">
        <is>
          <t>SR Technics Switzerland</t>
        </is>
      </c>
    </row>
    <row r="3055">
      <c r="B3055" s="31" t="inlineStr">
        <is>
          <t>CFM56-7B</t>
        </is>
      </c>
      <c r="C3055" s="31" t="inlineStr">
        <is>
          <t>2025-2026</t>
        </is>
      </c>
      <c r="D3055" s="31" t="inlineStr">
        <is>
          <t>609492</t>
        </is>
      </c>
      <c r="E3055" s="31" t="inlineStr">
        <is>
          <t>73-24-05</t>
        </is>
      </c>
      <c r="F3055" s="31" t="inlineStr">
        <is>
          <t>SB00</t>
        </is>
      </c>
      <c r="G3055" s="31" t="inlineStr">
        <is>
          <t>Fuel system</t>
        </is>
      </c>
      <c r="H3055" s="27" t="n">
        <v>290</v>
      </c>
      <c r="I3055" s="27" t="n">
        <v>310</v>
      </c>
      <c r="J3055" s="154">
        <f>I3055/H3055-1</f>
        <v/>
      </c>
      <c r="K3055" s="31" t="inlineStr">
        <is>
          <t>22</t>
        </is>
      </c>
      <c r="L3055" s="31" t="inlineStr">
        <is>
          <t>21</t>
        </is>
      </c>
      <c r="M3055" s="31" t="inlineStr">
        <is>
          <t>S3</t>
        </is>
      </c>
      <c r="N3055" s="31" t="inlineStr">
        <is>
          <t>S5</t>
        </is>
      </c>
      <c r="O3055" s="31" t="inlineStr">
        <is>
          <t>325-025-401-0</t>
        </is>
      </c>
      <c r="P3055" s="31" t="inlineStr">
        <is>
          <t>SR Technics Switzerland</t>
        </is>
      </c>
    </row>
    <row r="3056">
      <c r="B3056" s="31" t="inlineStr">
        <is>
          <t>CFM56-7B</t>
        </is>
      </c>
      <c r="C3056" s="31" t="inlineStr">
        <is>
          <t>2025-2026</t>
        </is>
      </c>
      <c r="D3056" s="31" t="inlineStr">
        <is>
          <t>609503</t>
        </is>
      </c>
      <c r="E3056" s="31" t="inlineStr">
        <is>
          <t>73-24-04</t>
        </is>
      </c>
      <c r="F3056" s="31" t="inlineStr">
        <is>
          <t>C</t>
        </is>
      </c>
      <c r="G3056" s="31" t="inlineStr">
        <is>
          <t>Fuel system</t>
        </is>
      </c>
      <c r="H3056" s="27" t="n">
        <v>335</v>
      </c>
      <c r="I3056" s="27" t="n">
        <v>360</v>
      </c>
      <c r="J3056" s="154">
        <f>I3056/H3056-1</f>
        <v/>
      </c>
      <c r="K3056" s="31" t="inlineStr">
        <is>
          <t>22</t>
        </is>
      </c>
      <c r="L3056" s="31" t="inlineStr">
        <is>
          <t>21</t>
        </is>
      </c>
      <c r="M3056" s="31" t="inlineStr">
        <is>
          <t>S3</t>
        </is>
      </c>
      <c r="N3056" s="31" t="inlineStr">
        <is>
          <t>S5</t>
        </is>
      </c>
      <c r="O3056" s="31" t="inlineStr">
        <is>
          <t>325-034-801-0</t>
        </is>
      </c>
      <c r="P3056" s="31" t="inlineStr">
        <is>
          <t>SR Technics Switzerland</t>
        </is>
      </c>
    </row>
    <row r="3057">
      <c r="B3057" s="31" t="inlineStr">
        <is>
          <t>CFM56-7B</t>
        </is>
      </c>
      <c r="C3057" s="31" t="inlineStr">
        <is>
          <t>2025-2026</t>
        </is>
      </c>
      <c r="D3057" s="31" t="inlineStr">
        <is>
          <t>609503</t>
        </is>
      </c>
      <c r="E3057" s="31" t="inlineStr">
        <is>
          <t>73-24-04</t>
        </is>
      </c>
      <c r="F3057" s="31" t="inlineStr">
        <is>
          <t>D</t>
        </is>
      </c>
      <c r="G3057" s="31" t="inlineStr">
        <is>
          <t>Fuel system</t>
        </is>
      </c>
      <c r="H3057" s="27" t="n">
        <v>1110</v>
      </c>
      <c r="I3057" s="27" t="n">
        <v>1180</v>
      </c>
      <c r="J3057" s="154">
        <f>I3057/H3057-1</f>
        <v/>
      </c>
      <c r="K3057" s="31" t="inlineStr">
        <is>
          <t>22</t>
        </is>
      </c>
      <c r="L3057" s="31" t="inlineStr">
        <is>
          <t>21</t>
        </is>
      </c>
      <c r="M3057" s="31" t="inlineStr">
        <is>
          <t>S3</t>
        </is>
      </c>
      <c r="N3057" s="31" t="inlineStr">
        <is>
          <t>S5</t>
        </is>
      </c>
      <c r="O3057" s="31" t="inlineStr">
        <is>
          <t>325-034-801-0</t>
        </is>
      </c>
      <c r="P3057" s="31" t="inlineStr">
        <is>
          <t>SR Technics Switzerland</t>
        </is>
      </c>
    </row>
    <row r="3058">
      <c r="B3058" s="31" t="inlineStr">
        <is>
          <t>CFM56-7B</t>
        </is>
      </c>
      <c r="C3058" s="31" t="inlineStr">
        <is>
          <t>2025-2026</t>
        </is>
      </c>
      <c r="D3058" s="31" t="inlineStr">
        <is>
          <t>609503</t>
        </is>
      </c>
      <c r="E3058" s="31" t="inlineStr">
        <is>
          <t>73-24-04</t>
        </is>
      </c>
      <c r="F3058" s="31" t="inlineStr">
        <is>
          <t>SB00</t>
        </is>
      </c>
      <c r="G3058" s="31" t="inlineStr">
        <is>
          <t>Fuel system</t>
        </is>
      </c>
      <c r="H3058" s="27" t="n">
        <v>980</v>
      </c>
      <c r="I3058" s="27" t="n">
        <v>1040</v>
      </c>
      <c r="J3058" s="154">
        <f>I3058/H3058-1</f>
        <v/>
      </c>
      <c r="K3058" s="31" t="inlineStr">
        <is>
          <t>22</t>
        </is>
      </c>
      <c r="L3058" s="31" t="inlineStr">
        <is>
          <t>21</t>
        </is>
      </c>
      <c r="M3058" s="31" t="inlineStr">
        <is>
          <t>S3</t>
        </is>
      </c>
      <c r="N3058" s="31" t="inlineStr">
        <is>
          <t>S5</t>
        </is>
      </c>
      <c r="O3058" s="31" t="inlineStr">
        <is>
          <t>325-034-801-0</t>
        </is>
      </c>
      <c r="P3058" s="31" t="inlineStr">
        <is>
          <t>SR Technics Switzerland</t>
        </is>
      </c>
    </row>
    <row r="3059">
      <c r="B3059" s="31" t="inlineStr">
        <is>
          <t>CFM56-7B</t>
        </is>
      </c>
      <c r="C3059" s="31" t="inlineStr">
        <is>
          <t>2025-2026</t>
        </is>
      </c>
      <c r="D3059" s="31" t="inlineStr">
        <is>
          <t>609503</t>
        </is>
      </c>
      <c r="E3059" s="31" t="inlineStr">
        <is>
          <t>73-24-04</t>
        </is>
      </c>
      <c r="F3059" s="31" t="inlineStr">
        <is>
          <t>SB01</t>
        </is>
      </c>
      <c r="G3059" s="31" t="inlineStr">
        <is>
          <t>Fuel system</t>
        </is>
      </c>
      <c r="H3059" s="27" t="n">
        <v>980</v>
      </c>
      <c r="I3059" s="27" t="n">
        <v>1040</v>
      </c>
      <c r="J3059" s="154">
        <f>I3059/H3059-1</f>
        <v/>
      </c>
      <c r="K3059" s="31" t="inlineStr">
        <is>
          <t>22</t>
        </is>
      </c>
      <c r="L3059" s="31" t="inlineStr">
        <is>
          <t>21</t>
        </is>
      </c>
      <c r="M3059" s="31" t="inlineStr">
        <is>
          <t>S3</t>
        </is>
      </c>
      <c r="N3059" s="31" t="inlineStr">
        <is>
          <t>S5</t>
        </is>
      </c>
      <c r="O3059" s="31" t="inlineStr">
        <is>
          <t>325-034-801-0</t>
        </is>
      </c>
      <c r="P3059" s="31" t="inlineStr">
        <is>
          <t>SR Technics Switzerland</t>
        </is>
      </c>
    </row>
    <row r="3060">
      <c r="B3060" s="31" t="inlineStr">
        <is>
          <t>CFM56-7B</t>
        </is>
      </c>
      <c r="C3060" s="31" t="inlineStr">
        <is>
          <t>2025-2026</t>
        </is>
      </c>
      <c r="D3060" s="31" t="inlineStr">
        <is>
          <t>609503</t>
        </is>
      </c>
      <c r="E3060" s="31" t="inlineStr">
        <is>
          <t>73-24-04</t>
        </is>
      </c>
      <c r="F3060" s="31" t="inlineStr">
        <is>
          <t>SB02</t>
        </is>
      </c>
      <c r="G3060" s="31" t="inlineStr">
        <is>
          <t>Fuel system</t>
        </is>
      </c>
      <c r="H3060" s="27" t="n">
        <v>555</v>
      </c>
      <c r="I3060" s="27" t="n">
        <v>590</v>
      </c>
      <c r="J3060" s="154">
        <f>I3060/H3060-1</f>
        <v/>
      </c>
      <c r="K3060" s="31" t="inlineStr">
        <is>
          <t>22</t>
        </is>
      </c>
      <c r="L3060" s="31" t="inlineStr">
        <is>
          <t>21</t>
        </is>
      </c>
      <c r="M3060" s="31" t="inlineStr">
        <is>
          <t>S3</t>
        </is>
      </c>
      <c r="N3060" s="31" t="inlineStr">
        <is>
          <t>S5</t>
        </is>
      </c>
      <c r="O3060" s="31" t="inlineStr">
        <is>
          <t>325-034-801-0</t>
        </is>
      </c>
      <c r="P3060" s="31" t="inlineStr">
        <is>
          <t>SR Technics Switzerland</t>
        </is>
      </c>
    </row>
    <row r="3061">
      <c r="B3061" s="31" t="inlineStr">
        <is>
          <t>CFM56-7B</t>
        </is>
      </c>
      <c r="C3061" s="31" t="inlineStr">
        <is>
          <t>2025-2026</t>
        </is>
      </c>
      <c r="D3061" s="31" t="inlineStr">
        <is>
          <t>610379</t>
        </is>
      </c>
      <c r="E3061" s="31" t="inlineStr">
        <is>
          <t>72-62-08</t>
        </is>
      </c>
      <c r="F3061" s="31" t="inlineStr">
        <is>
          <t>A</t>
        </is>
      </c>
      <c r="G3061" s="31" t="inlineStr">
        <is>
          <t>Gearbox</t>
        </is>
      </c>
      <c r="H3061" s="27" t="n">
        <v>310</v>
      </c>
      <c r="I3061" s="27" t="n">
        <v>330</v>
      </c>
      <c r="J3061" s="154">
        <f>I3061/H3061-1</f>
        <v/>
      </c>
      <c r="K3061" s="31" t="inlineStr">
        <is>
          <t>22</t>
        </is>
      </c>
      <c r="L3061" s="31" t="inlineStr">
        <is>
          <t>21</t>
        </is>
      </c>
      <c r="M3061" s="31" t="inlineStr">
        <is>
          <t>S3</t>
        </is>
      </c>
      <c r="N3061" s="31" t="inlineStr">
        <is>
          <t>S5</t>
        </is>
      </c>
      <c r="O3061" s="31" t="inlineStr">
        <is>
          <t>340-051-301-0</t>
        </is>
      </c>
      <c r="P3061" s="31" t="inlineStr">
        <is>
          <t>SR Technics Switzerland</t>
        </is>
      </c>
    </row>
    <row r="3062">
      <c r="B3062" s="31" t="inlineStr">
        <is>
          <t>CFM56-7B</t>
        </is>
      </c>
      <c r="C3062" s="31" t="inlineStr">
        <is>
          <t>2025-2026</t>
        </is>
      </c>
      <c r="D3062" s="31" t="inlineStr">
        <is>
          <t>613126</t>
        </is>
      </c>
      <c r="E3062" s="31" t="inlineStr">
        <is>
          <t>72-53-02</t>
        </is>
      </c>
      <c r="F3062" s="31" t="inlineStr">
        <is>
          <t>A</t>
        </is>
      </c>
      <c r="G3062" s="31" t="inlineStr">
        <is>
          <t>HPT / nozzle</t>
        </is>
      </c>
      <c r="H3062" s="27" t="n">
        <v>450</v>
      </c>
      <c r="I3062" s="27" t="n">
        <v>475</v>
      </c>
      <c r="J3062" s="154">
        <f>I3062/H3062-1</f>
        <v/>
      </c>
      <c r="K3062" s="31" t="inlineStr">
        <is>
          <t>22</t>
        </is>
      </c>
      <c r="L3062" s="31" t="inlineStr">
        <is>
          <t>21</t>
        </is>
      </c>
      <c r="M3062" s="31" t="inlineStr">
        <is>
          <t>S3</t>
        </is>
      </c>
      <c r="N3062" s="31" t="inlineStr">
        <is>
          <t>S5</t>
        </is>
      </c>
      <c r="O3062" s="31" t="inlineStr">
        <is>
          <t>1523M69P01</t>
        </is>
      </c>
      <c r="P3062" s="31" t="inlineStr">
        <is>
          <t>SR Technics Switzerland</t>
        </is>
      </c>
    </row>
    <row r="3063">
      <c r="B3063" s="31" t="inlineStr">
        <is>
          <t>CFM56-7B</t>
        </is>
      </c>
      <c r="C3063" s="31" t="inlineStr">
        <is>
          <t>2025-2026</t>
        </is>
      </c>
      <c r="D3063" s="31" t="inlineStr">
        <is>
          <t>613126</t>
        </is>
      </c>
      <c r="E3063" s="31" t="inlineStr">
        <is>
          <t>72-53-02</t>
        </is>
      </c>
      <c r="F3063" s="31" t="inlineStr">
        <is>
          <t>B</t>
        </is>
      </c>
      <c r="G3063" s="31" t="inlineStr">
        <is>
          <t>HPT / nozzle</t>
        </is>
      </c>
      <c r="H3063" s="27" t="n">
        <v>375</v>
      </c>
      <c r="I3063" s="27" t="n">
        <v>400</v>
      </c>
      <c r="J3063" s="154">
        <f>I3063/H3063-1</f>
        <v/>
      </c>
      <c r="K3063" s="31" t="inlineStr">
        <is>
          <t>22</t>
        </is>
      </c>
      <c r="L3063" s="31" t="inlineStr">
        <is>
          <t>22</t>
        </is>
      </c>
      <c r="M3063" s="31" t="inlineStr">
        <is>
          <t>S3</t>
        </is>
      </c>
      <c r="N3063" s="31" t="inlineStr">
        <is>
          <t>S5</t>
        </is>
      </c>
      <c r="O3063" s="31" t="inlineStr">
        <is>
          <t>1523M69P01</t>
        </is>
      </c>
      <c r="P3063" s="31" t="inlineStr">
        <is>
          <t>SR Technics Switzerland</t>
        </is>
      </c>
    </row>
    <row r="3064">
      <c r="B3064" s="31" t="inlineStr">
        <is>
          <t>CFM56-7B</t>
        </is>
      </c>
      <c r="C3064" s="31" t="inlineStr">
        <is>
          <t>2025-2026</t>
        </is>
      </c>
      <c r="D3064" s="31" t="inlineStr">
        <is>
          <t>613126</t>
        </is>
      </c>
      <c r="E3064" s="31" t="inlineStr">
        <is>
          <t>72-53-02</t>
        </is>
      </c>
      <c r="F3064" s="31" t="inlineStr">
        <is>
          <t>Z</t>
        </is>
      </c>
      <c r="G3064" s="31" t="inlineStr">
        <is>
          <t>HPT / nozzle</t>
        </is>
      </c>
      <c r="H3064" s="27" t="n">
        <v>690</v>
      </c>
      <c r="I3064" s="27" t="n">
        <v>735</v>
      </c>
      <c r="J3064" s="154">
        <f>I3064/H3064-1</f>
        <v/>
      </c>
      <c r="K3064" s="31" t="inlineStr">
        <is>
          <t>22</t>
        </is>
      </c>
      <c r="L3064" s="31" t="inlineStr">
        <is>
          <t>22</t>
        </is>
      </c>
      <c r="M3064" s="31" t="inlineStr">
        <is>
          <t>S3</t>
        </is>
      </c>
      <c r="N3064" s="31" t="inlineStr">
        <is>
          <t>S5</t>
        </is>
      </c>
      <c r="O3064" s="31" t="inlineStr">
        <is>
          <t>1523M69P01</t>
        </is>
      </c>
      <c r="P3064" s="31" t="inlineStr">
        <is>
          <t>SR Technics Switzerland</t>
        </is>
      </c>
    </row>
    <row r="3065">
      <c r="B3065" s="31" t="inlineStr">
        <is>
          <t>CFM56-7B</t>
        </is>
      </c>
      <c r="C3065" s="31" t="inlineStr">
        <is>
          <t>2025-2026</t>
        </is>
      </c>
      <c r="D3065" s="31" t="inlineStr">
        <is>
          <t>614086</t>
        </is>
      </c>
      <c r="E3065" s="31" t="inlineStr">
        <is>
          <t>72-56-04</t>
        </is>
      </c>
      <c r="F3065" s="31" t="inlineStr">
        <is>
          <t>B</t>
        </is>
      </c>
      <c r="G3065" s="31" t="inlineStr">
        <is>
          <t>LPT</t>
        </is>
      </c>
      <c r="H3065" s="27" t="n">
        <v>495</v>
      </c>
      <c r="I3065" s="27" t="n">
        <v>525</v>
      </c>
      <c r="J3065" s="154">
        <f>I3065/H3065-1</f>
        <v/>
      </c>
      <c r="K3065" s="31" t="inlineStr">
        <is>
          <t>22</t>
        </is>
      </c>
      <c r="L3065" s="31" t="inlineStr">
        <is>
          <t>22</t>
        </is>
      </c>
      <c r="M3065" s="31" t="inlineStr">
        <is>
          <t>S3</t>
        </is>
      </c>
      <c r="N3065" s="31" t="inlineStr">
        <is>
          <t>S5</t>
        </is>
      </c>
      <c r="O3065" s="31" t="inlineStr">
        <is>
          <t>340-165-503-0</t>
        </is>
      </c>
      <c r="P3065" s="31" t="inlineStr">
        <is>
          <t>SR Technics Switzerland</t>
        </is>
      </c>
    </row>
    <row r="3066">
      <c r="B3066" s="31" t="inlineStr">
        <is>
          <t>CFM56-7B</t>
        </is>
      </c>
      <c r="C3066" s="31" t="inlineStr">
        <is>
          <t>2025-2026</t>
        </is>
      </c>
      <c r="D3066" s="31" t="inlineStr">
        <is>
          <t>614157</t>
        </is>
      </c>
      <c r="E3066" s="31" t="inlineStr">
        <is>
          <t>72-61-13</t>
        </is>
      </c>
      <c r="F3066" s="31" t="inlineStr">
        <is>
          <t>A</t>
        </is>
      </c>
      <c r="G3066" s="31" t="inlineStr">
        <is>
          <t>Gearbox</t>
        </is>
      </c>
      <c r="H3066" s="27" t="n">
        <v>1115</v>
      </c>
      <c r="I3066" s="27" t="n">
        <v>1175</v>
      </c>
      <c r="J3066" s="154">
        <f>I3066/H3066-1</f>
        <v/>
      </c>
      <c r="K3066" s="31" t="inlineStr">
        <is>
          <t>52</t>
        </is>
      </c>
      <c r="L3066" s="31" t="inlineStr">
        <is>
          <t>51</t>
        </is>
      </c>
      <c r="M3066" s="31" t="inlineStr">
        <is>
          <t>S3</t>
        </is>
      </c>
      <c r="N3066" s="31" t="inlineStr">
        <is>
          <t>S5</t>
        </is>
      </c>
      <c r="O3066" s="31" t="inlineStr">
        <is>
          <t>9542M62P02</t>
        </is>
      </c>
      <c r="P3066" s="31" t="inlineStr">
        <is>
          <t>SR Technics Switzerland</t>
        </is>
      </c>
    </row>
    <row r="3067">
      <c r="B3067" s="31" t="inlineStr">
        <is>
          <t>CFM56-7B</t>
        </is>
      </c>
      <c r="C3067" s="31" t="inlineStr">
        <is>
          <t>2025-2026</t>
        </is>
      </c>
      <c r="D3067" s="31" t="inlineStr">
        <is>
          <t>618701</t>
        </is>
      </c>
      <c r="E3067" s="31" t="inlineStr">
        <is>
          <t>72-56-02</t>
        </is>
      </c>
      <c r="F3067" s="31" t="inlineStr">
        <is>
          <t>A</t>
        </is>
      </c>
      <c r="G3067" s="31" t="inlineStr">
        <is>
          <t>LPT</t>
        </is>
      </c>
      <c r="H3067" s="27" t="n">
        <v>905</v>
      </c>
      <c r="I3067" s="27" t="n">
        <v>955</v>
      </c>
      <c r="J3067" s="154">
        <f>I3067/H3067-1</f>
        <v/>
      </c>
      <c r="K3067" s="31" t="inlineStr">
        <is>
          <t>22</t>
        </is>
      </c>
      <c r="L3067" s="31" t="inlineStr">
        <is>
          <t>22</t>
        </is>
      </c>
      <c r="M3067" s="31" t="inlineStr">
        <is>
          <t>S3</t>
        </is>
      </c>
      <c r="N3067" s="31" t="inlineStr">
        <is>
          <t>S5</t>
        </is>
      </c>
      <c r="O3067" s="31" t="inlineStr">
        <is>
          <t>336-026-806-0</t>
        </is>
      </c>
      <c r="P3067" s="31" t="inlineStr">
        <is>
          <t>SR Technics Switzerland</t>
        </is>
      </c>
    </row>
    <row r="3068">
      <c r="B3068" s="31" t="inlineStr">
        <is>
          <t>CFM56-7B</t>
        </is>
      </c>
      <c r="C3068" s="31" t="inlineStr">
        <is>
          <t>2025-2026</t>
        </is>
      </c>
      <c r="D3068" s="31" t="inlineStr">
        <is>
          <t>618701</t>
        </is>
      </c>
      <c r="E3068" s="31" t="inlineStr">
        <is>
          <t>72-56-02</t>
        </is>
      </c>
      <c r="F3068" s="31" t="inlineStr">
        <is>
          <t>C</t>
        </is>
      </c>
      <c r="G3068" s="31" t="inlineStr">
        <is>
          <t>LPT</t>
        </is>
      </c>
      <c r="H3068" s="27" t="n">
        <v>3240</v>
      </c>
      <c r="I3068" s="27" t="n">
        <v>3435</v>
      </c>
      <c r="J3068" s="154">
        <f>I3068/H3068-1</f>
        <v/>
      </c>
      <c r="K3068" s="31" t="inlineStr">
        <is>
          <t>22</t>
        </is>
      </c>
      <c r="L3068" s="31" t="inlineStr">
        <is>
          <t>22</t>
        </is>
      </c>
      <c r="M3068" s="31" t="inlineStr">
        <is>
          <t>S3</t>
        </is>
      </c>
      <c r="N3068" s="31" t="inlineStr">
        <is>
          <t>S5</t>
        </is>
      </c>
      <c r="O3068" s="31" t="inlineStr">
        <is>
          <t>336-026-806-0</t>
        </is>
      </c>
      <c r="P3068" s="31" t="inlineStr">
        <is>
          <t>SR Technics Switzerland</t>
        </is>
      </c>
    </row>
    <row r="3069">
      <c r="B3069" s="31" t="inlineStr">
        <is>
          <t>CFM56-7B</t>
        </is>
      </c>
      <c r="C3069" s="31" t="inlineStr">
        <is>
          <t>2025-2026</t>
        </is>
      </c>
      <c r="D3069" s="31" t="inlineStr">
        <is>
          <t>618701</t>
        </is>
      </c>
      <c r="E3069" s="31" t="inlineStr">
        <is>
          <t>72-56-02</t>
        </is>
      </c>
      <c r="F3069" s="31" t="inlineStr">
        <is>
          <t>G</t>
        </is>
      </c>
      <c r="G3069" s="31" t="inlineStr">
        <is>
          <t>LPT</t>
        </is>
      </c>
      <c r="H3069" s="27" t="n">
        <v>2865</v>
      </c>
      <c r="I3069" s="27" t="n">
        <v>3040</v>
      </c>
      <c r="J3069" s="154">
        <f>I3069/H3069-1</f>
        <v/>
      </c>
      <c r="K3069" s="31" t="inlineStr">
        <is>
          <t>22</t>
        </is>
      </c>
      <c r="L3069" s="31" t="inlineStr">
        <is>
          <t>22</t>
        </is>
      </c>
      <c r="M3069" s="31" t="inlineStr">
        <is>
          <t>S3</t>
        </is>
      </c>
      <c r="N3069" s="31" t="inlineStr">
        <is>
          <t>S5</t>
        </is>
      </c>
      <c r="O3069" s="31" t="inlineStr">
        <is>
          <t>336-026-806-0</t>
        </is>
      </c>
      <c r="P3069" s="31" t="inlineStr">
        <is>
          <t>SR Technics Switzerland</t>
        </is>
      </c>
    </row>
    <row r="3070">
      <c r="B3070" s="31" t="inlineStr">
        <is>
          <t>CFM56-7B</t>
        </is>
      </c>
      <c r="C3070" s="31" t="inlineStr">
        <is>
          <t>2025-2026</t>
        </is>
      </c>
      <c r="D3070" s="31" t="inlineStr">
        <is>
          <t>618701</t>
        </is>
      </c>
      <c r="E3070" s="31" t="inlineStr">
        <is>
          <t>72-56-02</t>
        </is>
      </c>
      <c r="F3070" s="31" t="inlineStr">
        <is>
          <t>J</t>
        </is>
      </c>
      <c r="G3070" s="31" t="inlineStr">
        <is>
          <t>LPT</t>
        </is>
      </c>
      <c r="H3070" s="27" t="n">
        <v>5060</v>
      </c>
      <c r="I3070" s="27" t="n">
        <v>5365</v>
      </c>
      <c r="J3070" s="154">
        <f>I3070/H3070-1</f>
        <v/>
      </c>
      <c r="K3070" s="31" t="inlineStr">
        <is>
          <t>22</t>
        </is>
      </c>
      <c r="L3070" s="31" t="inlineStr">
        <is>
          <t>22</t>
        </is>
      </c>
      <c r="M3070" s="31" t="inlineStr">
        <is>
          <t>S3</t>
        </is>
      </c>
      <c r="N3070" s="31" t="inlineStr">
        <is>
          <t>S5</t>
        </is>
      </c>
      <c r="O3070" s="31" t="inlineStr">
        <is>
          <t>336-026-806-0</t>
        </is>
      </c>
      <c r="P3070" s="31" t="inlineStr">
        <is>
          <t>SR Technics Switzerland</t>
        </is>
      </c>
    </row>
    <row r="3071">
      <c r="B3071" s="31" t="inlineStr">
        <is>
          <t>CFM56-7B</t>
        </is>
      </c>
      <c r="C3071" s="31" t="inlineStr">
        <is>
          <t>2025-2026</t>
        </is>
      </c>
      <c r="D3071" s="31" t="inlineStr">
        <is>
          <t>618701</t>
        </is>
      </c>
      <c r="E3071" s="31" t="inlineStr">
        <is>
          <t>72-56-02</t>
        </is>
      </c>
      <c r="F3071" s="31" t="inlineStr">
        <is>
          <t>N</t>
        </is>
      </c>
      <c r="G3071" s="31" t="inlineStr">
        <is>
          <t>LPT</t>
        </is>
      </c>
      <c r="H3071" s="27" t="n">
        <v>1955</v>
      </c>
      <c r="I3071" s="27" t="n">
        <v>2075</v>
      </c>
      <c r="J3071" s="154">
        <f>I3071/H3071-1</f>
        <v/>
      </c>
      <c r="K3071" s="31" t="inlineStr">
        <is>
          <t>22</t>
        </is>
      </c>
      <c r="L3071" s="31" t="inlineStr">
        <is>
          <t>22</t>
        </is>
      </c>
      <c r="M3071" s="31" t="inlineStr">
        <is>
          <t>S3</t>
        </is>
      </c>
      <c r="N3071" s="31" t="inlineStr">
        <is>
          <t>S5</t>
        </is>
      </c>
      <c r="O3071" s="31" t="inlineStr">
        <is>
          <t>336-026-806-0</t>
        </is>
      </c>
      <c r="P3071" s="31" t="inlineStr">
        <is>
          <t>SR Technics Switzerland</t>
        </is>
      </c>
    </row>
    <row r="3072">
      <c r="B3072" s="31" t="inlineStr">
        <is>
          <t>CFM56-7B</t>
        </is>
      </c>
      <c r="C3072" s="31" t="inlineStr">
        <is>
          <t>2025-2026</t>
        </is>
      </c>
      <c r="D3072" s="31" t="inlineStr">
        <is>
          <t>618701</t>
        </is>
      </c>
      <c r="E3072" s="31" t="inlineStr">
        <is>
          <t>72-56-02</t>
        </is>
      </c>
      <c r="F3072" s="31" t="inlineStr">
        <is>
          <t>SB00</t>
        </is>
      </c>
      <c r="G3072" s="31" t="inlineStr">
        <is>
          <t>LPT</t>
        </is>
      </c>
      <c r="H3072" s="27" t="n">
        <v>1180</v>
      </c>
      <c r="I3072" s="27" t="n">
        <v>1255</v>
      </c>
      <c r="J3072" s="154">
        <f>I3072/H3072-1</f>
        <v/>
      </c>
      <c r="K3072" s="31" t="inlineStr">
        <is>
          <t>22</t>
        </is>
      </c>
      <c r="L3072" s="31" t="inlineStr">
        <is>
          <t>22</t>
        </is>
      </c>
      <c r="M3072" s="31" t="inlineStr">
        <is>
          <t>S3</t>
        </is>
      </c>
      <c r="N3072" s="31" t="inlineStr">
        <is>
          <t>S5</t>
        </is>
      </c>
      <c r="O3072" s="31" t="inlineStr">
        <is>
          <t>336-026-806-0</t>
        </is>
      </c>
      <c r="P3072" s="31" t="inlineStr">
        <is>
          <t>SR Technics Switzerland</t>
        </is>
      </c>
    </row>
    <row r="3073">
      <c r="B3073" s="31" t="inlineStr">
        <is>
          <t>CFM56-7B</t>
        </is>
      </c>
      <c r="C3073" s="31" t="inlineStr">
        <is>
          <t>2025-2026</t>
        </is>
      </c>
      <c r="D3073" s="31" t="inlineStr">
        <is>
          <t>618701</t>
        </is>
      </c>
      <c r="E3073" s="31" t="inlineStr">
        <is>
          <t>72-56-02</t>
        </is>
      </c>
      <c r="F3073" s="31" t="inlineStr">
        <is>
          <t>SB03</t>
        </is>
      </c>
      <c r="G3073" s="31" t="inlineStr">
        <is>
          <t>LPT</t>
        </is>
      </c>
      <c r="H3073" s="27" t="n">
        <v>1350</v>
      </c>
      <c r="I3073" s="27" t="n">
        <v>1435</v>
      </c>
      <c r="J3073" s="154">
        <f>I3073/H3073-1</f>
        <v/>
      </c>
      <c r="K3073" s="31" t="inlineStr">
        <is>
          <t>22</t>
        </is>
      </c>
      <c r="L3073" s="31" t="inlineStr">
        <is>
          <t>22</t>
        </is>
      </c>
      <c r="M3073" s="31" t="inlineStr">
        <is>
          <t>S3</t>
        </is>
      </c>
      <c r="N3073" s="31" t="inlineStr">
        <is>
          <t>S5</t>
        </is>
      </c>
      <c r="O3073" s="31" t="inlineStr">
        <is>
          <t>336-026-806-0</t>
        </is>
      </c>
      <c r="P3073" s="31" t="inlineStr">
        <is>
          <t>SR Technics Switzerland</t>
        </is>
      </c>
    </row>
    <row r="3074">
      <c r="B3074" s="31" t="inlineStr">
        <is>
          <t>CFM56-7B</t>
        </is>
      </c>
      <c r="C3074" s="31" t="inlineStr">
        <is>
          <t>2025-2026</t>
        </is>
      </c>
      <c r="D3074" s="31" t="inlineStr">
        <is>
          <t>618701</t>
        </is>
      </c>
      <c r="E3074" s="31" t="inlineStr">
        <is>
          <t>72-56-02</t>
        </is>
      </c>
      <c r="F3074" s="31" t="inlineStr">
        <is>
          <t>U</t>
        </is>
      </c>
      <c r="G3074" s="31" t="inlineStr">
        <is>
          <t>LPT</t>
        </is>
      </c>
      <c r="H3074" s="27" t="n">
        <v>2540</v>
      </c>
      <c r="I3074" s="27" t="n">
        <v>2695</v>
      </c>
      <c r="J3074" s="154">
        <f>I3074/H3074-1</f>
        <v/>
      </c>
      <c r="K3074" s="31" t="inlineStr">
        <is>
          <t>22</t>
        </is>
      </c>
      <c r="L3074" s="31" t="inlineStr">
        <is>
          <t>22</t>
        </is>
      </c>
      <c r="M3074" s="31" t="inlineStr">
        <is>
          <t>S3</t>
        </is>
      </c>
      <c r="N3074" s="31" t="inlineStr">
        <is>
          <t>S5</t>
        </is>
      </c>
      <c r="O3074" s="31" t="inlineStr">
        <is>
          <t>336-026-806-0</t>
        </is>
      </c>
      <c r="P3074" s="31" t="inlineStr">
        <is>
          <t>SR Technics Switzerland</t>
        </is>
      </c>
    </row>
    <row r="3075">
      <c r="B3075" s="31" t="inlineStr">
        <is>
          <t>CFM56-7B</t>
        </is>
      </c>
      <c r="C3075" s="31" t="inlineStr">
        <is>
          <t>2025-2026</t>
        </is>
      </c>
      <c r="D3075" s="31" t="inlineStr">
        <is>
          <t>619936</t>
        </is>
      </c>
      <c r="E3075" s="31" t="inlineStr">
        <is>
          <t>72-56-07</t>
        </is>
      </c>
      <c r="F3075" s="31" t="inlineStr">
        <is>
          <t>B</t>
        </is>
      </c>
      <c r="G3075" s="31" t="inlineStr">
        <is>
          <t>LPT</t>
        </is>
      </c>
      <c r="H3075" s="27" t="n">
        <v>985</v>
      </c>
      <c r="I3075" s="27" t="n">
        <v>1045</v>
      </c>
      <c r="J3075" s="154">
        <f>I3075/H3075-1</f>
        <v/>
      </c>
      <c r="K3075" s="31" t="inlineStr">
        <is>
          <t>52</t>
        </is>
      </c>
      <c r="L3075" s="31" t="inlineStr">
        <is>
          <t>51</t>
        </is>
      </c>
      <c r="M3075" s="31" t="inlineStr">
        <is>
          <t>S3</t>
        </is>
      </c>
      <c r="N3075" s="31" t="inlineStr">
        <is>
          <t>S5</t>
        </is>
      </c>
      <c r="O3075" s="31" t="inlineStr">
        <is>
          <t>336-031-901-0</t>
        </is>
      </c>
      <c r="P3075" s="31" t="inlineStr">
        <is>
          <t>SR Technics Switzerland</t>
        </is>
      </c>
    </row>
    <row r="3076">
      <c r="B3076" s="31" t="inlineStr">
        <is>
          <t>CFM56-7B</t>
        </is>
      </c>
      <c r="C3076" s="31" t="inlineStr">
        <is>
          <t>2025-2026</t>
        </is>
      </c>
      <c r="D3076" s="31" t="inlineStr">
        <is>
          <t>619936</t>
        </is>
      </c>
      <c r="E3076" s="31" t="inlineStr">
        <is>
          <t>72-56-07</t>
        </is>
      </c>
      <c r="F3076" s="31" t="inlineStr">
        <is>
          <t>C</t>
        </is>
      </c>
      <c r="G3076" s="31" t="inlineStr">
        <is>
          <t>LPT</t>
        </is>
      </c>
      <c r="H3076" s="27" t="n">
        <v>3510</v>
      </c>
      <c r="I3076" s="27" t="n">
        <v>3725</v>
      </c>
      <c r="J3076" s="154">
        <f>I3076/H3076-1</f>
        <v/>
      </c>
      <c r="K3076" s="31" t="inlineStr">
        <is>
          <t>52</t>
        </is>
      </c>
      <c r="L3076" s="31" t="inlineStr">
        <is>
          <t>51</t>
        </is>
      </c>
      <c r="M3076" s="31" t="inlineStr">
        <is>
          <t>S3</t>
        </is>
      </c>
      <c r="N3076" s="31" t="inlineStr">
        <is>
          <t>S5</t>
        </is>
      </c>
      <c r="O3076" s="31" t="inlineStr">
        <is>
          <t>336-031-901-0</t>
        </is>
      </c>
      <c r="P3076" s="31" t="inlineStr">
        <is>
          <t>SR Technics Switzerland</t>
        </is>
      </c>
    </row>
    <row r="3077">
      <c r="B3077" s="31" t="inlineStr">
        <is>
          <t>CFM56-7B</t>
        </is>
      </c>
      <c r="C3077" s="31" t="inlineStr">
        <is>
          <t>2025-2026</t>
        </is>
      </c>
      <c r="D3077" s="31" t="inlineStr">
        <is>
          <t>619936</t>
        </is>
      </c>
      <c r="E3077" s="31" t="inlineStr">
        <is>
          <t>72-56-07</t>
        </is>
      </c>
      <c r="F3077" s="31" t="inlineStr">
        <is>
          <t>E</t>
        </is>
      </c>
      <c r="G3077" s="31" t="inlineStr">
        <is>
          <t>LPT</t>
        </is>
      </c>
      <c r="H3077" s="27" t="n">
        <v>470</v>
      </c>
      <c r="I3077" s="27" t="n">
        <v>500</v>
      </c>
      <c r="J3077" s="154">
        <f>I3077/H3077-1</f>
        <v/>
      </c>
      <c r="K3077" s="31" t="inlineStr">
        <is>
          <t>52</t>
        </is>
      </c>
      <c r="L3077" s="31" t="inlineStr">
        <is>
          <t>51</t>
        </is>
      </c>
      <c r="M3077" s="31" t="inlineStr">
        <is>
          <t>S3</t>
        </is>
      </c>
      <c r="N3077" s="31" t="inlineStr">
        <is>
          <t>S5</t>
        </is>
      </c>
      <c r="O3077" s="31" t="inlineStr">
        <is>
          <t>336-031-901-0</t>
        </is>
      </c>
      <c r="P3077" s="31" t="inlineStr">
        <is>
          <t>SR Technics Switzerland</t>
        </is>
      </c>
    </row>
    <row r="3078">
      <c r="B3078" s="31" t="inlineStr">
        <is>
          <t>CFM56-7B</t>
        </is>
      </c>
      <c r="C3078" s="31" t="inlineStr">
        <is>
          <t>2025-2026</t>
        </is>
      </c>
      <c r="D3078" s="31" t="inlineStr">
        <is>
          <t>619936</t>
        </is>
      </c>
      <c r="E3078" s="31" t="inlineStr">
        <is>
          <t>72-56-07</t>
        </is>
      </c>
      <c r="F3078" s="31" t="inlineStr">
        <is>
          <t>F</t>
        </is>
      </c>
      <c r="G3078" s="31" t="inlineStr">
        <is>
          <t>LPT</t>
        </is>
      </c>
      <c r="H3078" s="27" t="n">
        <v>510</v>
      </c>
      <c r="I3078" s="27" t="n">
        <v>545</v>
      </c>
      <c r="J3078" s="154">
        <f>I3078/H3078-1</f>
        <v/>
      </c>
      <c r="K3078" s="31" t="inlineStr">
        <is>
          <t>52</t>
        </is>
      </c>
      <c r="L3078" s="31" t="inlineStr">
        <is>
          <t>51</t>
        </is>
      </c>
      <c r="M3078" s="31" t="inlineStr">
        <is>
          <t>S3</t>
        </is>
      </c>
      <c r="N3078" s="31" t="inlineStr">
        <is>
          <t>S5</t>
        </is>
      </c>
      <c r="O3078" s="31" t="inlineStr">
        <is>
          <t>336-031-901-0</t>
        </is>
      </c>
      <c r="P3078" s="31" t="inlineStr">
        <is>
          <t>SR Technics Switzerland</t>
        </is>
      </c>
    </row>
    <row r="3079">
      <c r="B3079" s="31" t="inlineStr">
        <is>
          <t>CFM56-7B</t>
        </is>
      </c>
      <c r="C3079" s="31" t="inlineStr">
        <is>
          <t>2025-2026</t>
        </is>
      </c>
      <c r="D3079" s="31" t="inlineStr">
        <is>
          <t>619936</t>
        </is>
      </c>
      <c r="E3079" s="31" t="inlineStr">
        <is>
          <t>72-56-07</t>
        </is>
      </c>
      <c r="F3079" s="31" t="inlineStr">
        <is>
          <t>G</t>
        </is>
      </c>
      <c r="G3079" s="31" t="inlineStr">
        <is>
          <t>LPT</t>
        </is>
      </c>
      <c r="H3079" s="27" t="n">
        <v>190</v>
      </c>
      <c r="I3079" s="27" t="n">
        <v>205</v>
      </c>
      <c r="J3079" s="154">
        <f>I3079/H3079-1</f>
        <v/>
      </c>
      <c r="K3079" s="31" t="inlineStr">
        <is>
          <t>52</t>
        </is>
      </c>
      <c r="L3079" s="31" t="inlineStr">
        <is>
          <t>51</t>
        </is>
      </c>
      <c r="M3079" s="31" t="inlineStr">
        <is>
          <t>S3</t>
        </is>
      </c>
      <c r="N3079" s="31" t="inlineStr">
        <is>
          <t>S5</t>
        </is>
      </c>
      <c r="O3079" s="31" t="inlineStr">
        <is>
          <t>336-031-901-0</t>
        </is>
      </c>
      <c r="P3079" s="31" t="inlineStr">
        <is>
          <t>SR Technics Switzerland</t>
        </is>
      </c>
    </row>
    <row r="3080">
      <c r="B3080" s="31" t="inlineStr">
        <is>
          <t>CFM56-7B</t>
        </is>
      </c>
      <c r="C3080" s="31" t="inlineStr">
        <is>
          <t>2025-2026</t>
        </is>
      </c>
      <c r="D3080" s="31" t="inlineStr">
        <is>
          <t>622278</t>
        </is>
      </c>
      <c r="E3080" s="31" t="inlineStr">
        <is>
          <t>72-00-63</t>
        </is>
      </c>
      <c r="F3080" s="31" t="inlineStr">
        <is>
          <t>A</t>
        </is>
      </c>
      <c r="G3080" s="31" t="inlineStr">
        <is>
          <t>Other / assembly</t>
        </is>
      </c>
      <c r="H3080" s="27" t="n">
        <v>4835</v>
      </c>
      <c r="I3080" s="27" t="n">
        <v>5080</v>
      </c>
      <c r="J3080" s="154">
        <f>I3080/H3080-1</f>
        <v/>
      </c>
      <c r="K3080" s="31" t="inlineStr">
        <is>
          <t>52</t>
        </is>
      </c>
      <c r="L3080" s="31" t="inlineStr">
        <is>
          <t>51</t>
        </is>
      </c>
      <c r="M3080" s="31" t="inlineStr">
        <is>
          <t>S3</t>
        </is>
      </c>
      <c r="N3080" s="31" t="inlineStr">
        <is>
          <t>S5</t>
        </is>
      </c>
      <c r="O3080" s="31" t="inlineStr">
        <is>
          <t>338-089-701-0</t>
        </is>
      </c>
      <c r="P3080" s="31" t="inlineStr">
        <is>
          <t>SR Technics Switzerland</t>
        </is>
      </c>
    </row>
    <row r="3081">
      <c r="B3081" s="31" t="inlineStr">
        <is>
          <t>CFM56-7B</t>
        </is>
      </c>
      <c r="C3081" s="31" t="inlineStr">
        <is>
          <t>2025-2026</t>
        </is>
      </c>
      <c r="D3081" s="31" t="inlineStr">
        <is>
          <t>622278</t>
        </is>
      </c>
      <c r="E3081" s="31" t="inlineStr">
        <is>
          <t>72-00-63</t>
        </is>
      </c>
      <c r="F3081" s="31" t="inlineStr">
        <is>
          <t>SB04</t>
        </is>
      </c>
      <c r="G3081" s="31" t="inlineStr">
        <is>
          <t>Other / assembly</t>
        </is>
      </c>
      <c r="H3081" s="27" t="n">
        <v>495</v>
      </c>
      <c r="I3081" s="27" t="n">
        <v>525</v>
      </c>
      <c r="J3081" s="154">
        <f>I3081/H3081-1</f>
        <v/>
      </c>
      <c r="K3081" s="31" t="inlineStr">
        <is>
          <t>52</t>
        </is>
      </c>
      <c r="L3081" s="31" t="inlineStr">
        <is>
          <t>51</t>
        </is>
      </c>
      <c r="M3081" s="31" t="inlineStr">
        <is>
          <t>S3</t>
        </is>
      </c>
      <c r="N3081" s="31" t="inlineStr">
        <is>
          <t>S5</t>
        </is>
      </c>
      <c r="O3081" s="31" t="inlineStr">
        <is>
          <t>338-089-701-0</t>
        </is>
      </c>
      <c r="P3081" s="31" t="inlineStr">
        <is>
          <t>SR Technics Switzerland</t>
        </is>
      </c>
    </row>
    <row r="3082">
      <c r="B3082" s="31" t="inlineStr">
        <is>
          <t>CFM56-7B</t>
        </is>
      </c>
      <c r="C3082" s="31" t="inlineStr">
        <is>
          <t>2025-2026</t>
        </is>
      </c>
      <c r="D3082" s="31" t="inlineStr">
        <is>
          <t>624071</t>
        </is>
      </c>
      <c r="E3082" s="31" t="inlineStr">
        <is>
          <t>72-23-14</t>
        </is>
      </c>
      <c r="F3082" s="31" t="inlineStr">
        <is>
          <t>K</t>
        </is>
      </c>
      <c r="G3082" s="31" t="inlineStr">
        <is>
          <t>Fan / booster</t>
        </is>
      </c>
      <c r="H3082" s="27" t="n">
        <v>960</v>
      </c>
      <c r="I3082" s="27" t="n">
        <v>1020</v>
      </c>
      <c r="J3082" s="154">
        <f>I3082/H3082-1</f>
        <v/>
      </c>
      <c r="K3082" s="31" t="inlineStr">
        <is>
          <t>53</t>
        </is>
      </c>
      <c r="L3082" s="31" t="inlineStr">
        <is>
          <t>52</t>
        </is>
      </c>
      <c r="M3082" s="31" t="inlineStr">
        <is>
          <t>S3</t>
        </is>
      </c>
      <c r="N3082" s="31" t="inlineStr">
        <is>
          <t>S5</t>
        </is>
      </c>
      <c r="O3082" s="31" t="inlineStr">
        <is>
          <t>301-360-006-0</t>
        </is>
      </c>
      <c r="P3082" s="31" t="inlineStr">
        <is>
          <t>SR Technics Switzerland</t>
        </is>
      </c>
    </row>
    <row r="3083">
      <c r="B3083" s="31" t="inlineStr">
        <is>
          <t>CFM56-7B</t>
        </is>
      </c>
      <c r="C3083" s="31" t="inlineStr">
        <is>
          <t>2025-2026</t>
        </is>
      </c>
      <c r="D3083" s="31" t="inlineStr">
        <is>
          <t>624218</t>
        </is>
      </c>
      <c r="E3083" s="31" t="inlineStr">
        <is>
          <t>36-12-07</t>
        </is>
      </c>
      <c r="F3083" s="31" t="inlineStr">
        <is>
          <t>B</t>
        </is>
      </c>
      <c r="G3083" s="31" t="inlineStr">
        <is>
          <t>Other / assembly</t>
        </is>
      </c>
      <c r="H3083" s="27" t="n">
        <v>1295</v>
      </c>
      <c r="I3083" s="27" t="n">
        <v>1375</v>
      </c>
      <c r="J3083" s="154">
        <f>I3083/H3083-1</f>
        <v/>
      </c>
      <c r="K3083" s="31" t="inlineStr">
        <is>
          <t>53</t>
        </is>
      </c>
      <c r="L3083" s="31" t="inlineStr">
        <is>
          <t>52</t>
        </is>
      </c>
      <c r="M3083" s="31" t="inlineStr">
        <is>
          <t>S3</t>
        </is>
      </c>
      <c r="N3083" s="31" t="inlineStr">
        <is>
          <t>S5</t>
        </is>
      </c>
      <c r="O3083" s="31" t="inlineStr">
        <is>
          <t>332A2341-2</t>
        </is>
      </c>
      <c r="P3083" s="31" t="inlineStr">
        <is>
          <t>SR Technics Switzerland</t>
        </is>
      </c>
    </row>
    <row r="3084">
      <c r="B3084" s="31" t="inlineStr">
        <is>
          <t>CFM56-7B</t>
        </is>
      </c>
      <c r="C3084" s="31" t="inlineStr">
        <is>
          <t>2025-2026</t>
        </is>
      </c>
      <c r="D3084" s="31" t="inlineStr">
        <is>
          <t>624218</t>
        </is>
      </c>
      <c r="E3084" s="31" t="inlineStr">
        <is>
          <t>36-12-07</t>
        </is>
      </c>
      <c r="F3084" s="31" t="inlineStr">
        <is>
          <t>C</t>
        </is>
      </c>
      <c r="G3084" s="31" t="inlineStr">
        <is>
          <t>Other / assembly</t>
        </is>
      </c>
      <c r="H3084" s="27" t="n">
        <v>2410</v>
      </c>
      <c r="I3084" s="27" t="n">
        <v>2555</v>
      </c>
      <c r="J3084" s="154">
        <f>I3084/H3084-1</f>
        <v/>
      </c>
      <c r="K3084" s="31" t="inlineStr">
        <is>
          <t>53</t>
        </is>
      </c>
      <c r="L3084" s="31" t="inlineStr">
        <is>
          <t>52</t>
        </is>
      </c>
      <c r="M3084" s="31" t="inlineStr">
        <is>
          <t>S3</t>
        </is>
      </c>
      <c r="N3084" s="31" t="inlineStr">
        <is>
          <t>S5</t>
        </is>
      </c>
      <c r="O3084" s="31" t="inlineStr">
        <is>
          <t>332A2341-2</t>
        </is>
      </c>
      <c r="P3084" s="31" t="inlineStr">
        <is>
          <t>SR Technics Switzerland</t>
        </is>
      </c>
    </row>
    <row r="3085">
      <c r="B3085" s="31" t="inlineStr">
        <is>
          <t>CFM56-7B</t>
        </is>
      </c>
      <c r="C3085" s="31" t="inlineStr">
        <is>
          <t>2025-2026</t>
        </is>
      </c>
      <c r="D3085" s="31" t="inlineStr">
        <is>
          <t>629938</t>
        </is>
      </c>
      <c r="E3085" s="31" t="inlineStr">
        <is>
          <t>72-32-14</t>
        </is>
      </c>
      <c r="F3085" s="31" t="inlineStr">
        <is>
          <t>A</t>
        </is>
      </c>
      <c r="G3085" s="31" t="inlineStr">
        <is>
          <t>Compressor</t>
        </is>
      </c>
      <c r="H3085" s="27" t="n">
        <v>165</v>
      </c>
      <c r="I3085" s="27" t="n">
        <v>175</v>
      </c>
      <c r="J3085" s="154">
        <f>I3085/H3085-1</f>
        <v/>
      </c>
      <c r="K3085" s="31" t="inlineStr">
        <is>
          <t>53</t>
        </is>
      </c>
      <c r="L3085" s="31" t="inlineStr">
        <is>
          <t>52</t>
        </is>
      </c>
      <c r="M3085" s="31" t="inlineStr">
        <is>
          <t>S3</t>
        </is>
      </c>
      <c r="N3085" s="31" t="inlineStr">
        <is>
          <t>S5</t>
        </is>
      </c>
      <c r="O3085" s="31" t="inlineStr">
        <is>
          <t>1318M40G02</t>
        </is>
      </c>
      <c r="P3085" s="31" t="inlineStr">
        <is>
          <t>SR Technics Switzerland</t>
        </is>
      </c>
    </row>
    <row r="3086">
      <c r="B3086" s="31" t="inlineStr">
        <is>
          <t>CFM56-7B</t>
        </is>
      </c>
      <c r="C3086" s="31" t="inlineStr">
        <is>
          <t>2025-2026</t>
        </is>
      </c>
      <c r="D3086" s="31" t="inlineStr">
        <is>
          <t>629938</t>
        </is>
      </c>
      <c r="E3086" s="31" t="inlineStr">
        <is>
          <t>72-32-14</t>
        </is>
      </c>
      <c r="F3086" s="31" t="inlineStr">
        <is>
          <t>C</t>
        </is>
      </c>
      <c r="G3086" s="31" t="inlineStr">
        <is>
          <t>Compressor</t>
        </is>
      </c>
      <c r="H3086" s="27" t="n">
        <v>560</v>
      </c>
      <c r="I3086" s="27" t="n">
        <v>595</v>
      </c>
      <c r="J3086" s="154">
        <f>I3086/H3086-1</f>
        <v/>
      </c>
      <c r="K3086" s="31" t="inlineStr">
        <is>
          <t>53</t>
        </is>
      </c>
      <c r="L3086" s="31" t="inlineStr">
        <is>
          <t>52</t>
        </is>
      </c>
      <c r="M3086" s="31" t="inlineStr">
        <is>
          <t>S3</t>
        </is>
      </c>
      <c r="N3086" s="31" t="inlineStr">
        <is>
          <t>S5</t>
        </is>
      </c>
      <c r="O3086" s="31" t="inlineStr">
        <is>
          <t>1318M40G02</t>
        </is>
      </c>
      <c r="P3086" s="31" t="inlineStr">
        <is>
          <t>SR Technics Switzerland</t>
        </is>
      </c>
    </row>
    <row r="3087">
      <c r="B3087" s="31" t="inlineStr">
        <is>
          <t>CFM56-7B</t>
        </is>
      </c>
      <c r="C3087" s="31" t="inlineStr">
        <is>
          <t>2025-2026</t>
        </is>
      </c>
      <c r="D3087" s="31" t="inlineStr">
        <is>
          <t>630864</t>
        </is>
      </c>
      <c r="E3087" s="31" t="inlineStr">
        <is>
          <t>72-42-02</t>
        </is>
      </c>
      <c r="F3087" s="31" t="inlineStr">
        <is>
          <t>A</t>
        </is>
      </c>
      <c r="G3087" s="31" t="inlineStr">
        <is>
          <t>Combustor</t>
        </is>
      </c>
      <c r="H3087" s="27" t="n">
        <v>930</v>
      </c>
      <c r="I3087" s="27" t="n">
        <v>980</v>
      </c>
      <c r="J3087" s="154">
        <f>I3087/H3087-1</f>
        <v/>
      </c>
      <c r="K3087" s="31" t="inlineStr">
        <is>
          <t>22</t>
        </is>
      </c>
      <c r="L3087" s="31" t="inlineStr">
        <is>
          <t>22</t>
        </is>
      </c>
      <c r="M3087" s="31" t="inlineStr">
        <is>
          <t>S3</t>
        </is>
      </c>
      <c r="N3087" s="31" t="inlineStr">
        <is>
          <t>S5</t>
        </is>
      </c>
      <c r="O3087" s="31" t="inlineStr">
        <is>
          <t>1561M26G01</t>
        </is>
      </c>
      <c r="P3087" s="31" t="inlineStr">
        <is>
          <t>SR Technics Switzerland</t>
        </is>
      </c>
    </row>
    <row r="3088">
      <c r="B3088" s="31" t="inlineStr">
        <is>
          <t>CFM56-7B</t>
        </is>
      </c>
      <c r="C3088" s="31" t="inlineStr">
        <is>
          <t>2025-2026</t>
        </is>
      </c>
      <c r="D3088" s="31" t="inlineStr">
        <is>
          <t>630864</t>
        </is>
      </c>
      <c r="E3088" s="31" t="inlineStr">
        <is>
          <t>72-42-02</t>
        </is>
      </c>
      <c r="F3088" s="31" t="inlineStr">
        <is>
          <t>G</t>
        </is>
      </c>
      <c r="G3088" s="31" t="inlineStr">
        <is>
          <t>Combustor</t>
        </is>
      </c>
      <c r="H3088" s="27" t="n">
        <v>5725</v>
      </c>
      <c r="I3088" s="27" t="n">
        <v>6070</v>
      </c>
      <c r="J3088" s="154">
        <f>I3088/H3088-1</f>
        <v/>
      </c>
      <c r="K3088" s="31" t="inlineStr">
        <is>
          <t>22</t>
        </is>
      </c>
      <c r="L3088" s="31" t="inlineStr">
        <is>
          <t>22</t>
        </is>
      </c>
      <c r="M3088" s="31" t="inlineStr">
        <is>
          <t>S3</t>
        </is>
      </c>
      <c r="N3088" s="31" t="inlineStr">
        <is>
          <t>S5</t>
        </is>
      </c>
      <c r="O3088" s="31" t="inlineStr">
        <is>
          <t>1561M26G01</t>
        </is>
      </c>
      <c r="P3088" s="31" t="inlineStr">
        <is>
          <t>SR Technics Switzerland</t>
        </is>
      </c>
    </row>
    <row r="3089">
      <c r="B3089" s="31" t="inlineStr">
        <is>
          <t>CFM56-7B</t>
        </is>
      </c>
      <c r="C3089" s="31" t="inlineStr">
        <is>
          <t>2025-2026</t>
        </is>
      </c>
      <c r="D3089" s="31" t="inlineStr">
        <is>
          <t>630864</t>
        </is>
      </c>
      <c r="E3089" s="31" t="inlineStr">
        <is>
          <t>72-42-02</t>
        </is>
      </c>
      <c r="F3089" s="31" t="inlineStr">
        <is>
          <t>K</t>
        </is>
      </c>
      <c r="G3089" s="31" t="inlineStr">
        <is>
          <t>Combustor</t>
        </is>
      </c>
      <c r="H3089" s="27" t="n">
        <v>5650</v>
      </c>
      <c r="I3089" s="27" t="n">
        <v>5990</v>
      </c>
      <c r="J3089" s="154">
        <f>I3089/H3089-1</f>
        <v/>
      </c>
      <c r="K3089" s="31" t="inlineStr">
        <is>
          <t>22</t>
        </is>
      </c>
      <c r="L3089" s="31" t="inlineStr">
        <is>
          <t>22</t>
        </is>
      </c>
      <c r="M3089" s="31" t="inlineStr">
        <is>
          <t>S3</t>
        </is>
      </c>
      <c r="N3089" s="31" t="inlineStr">
        <is>
          <t>S5</t>
        </is>
      </c>
      <c r="O3089" s="31" t="inlineStr">
        <is>
          <t>1561M26G01</t>
        </is>
      </c>
      <c r="P3089" s="31" t="inlineStr">
        <is>
          <t>SR Technics Switzerland</t>
        </is>
      </c>
    </row>
    <row r="3090">
      <c r="B3090" s="31" t="inlineStr">
        <is>
          <t>CFM56-7B</t>
        </is>
      </c>
      <c r="C3090" s="31" t="inlineStr">
        <is>
          <t>2025-2026</t>
        </is>
      </c>
      <c r="D3090" s="31" t="inlineStr">
        <is>
          <t>630864</t>
        </is>
      </c>
      <c r="E3090" s="31" t="inlineStr">
        <is>
          <t>72-42-02</t>
        </is>
      </c>
      <c r="F3090" s="31" t="inlineStr">
        <is>
          <t>M</t>
        </is>
      </c>
      <c r="G3090" s="31" t="inlineStr">
        <is>
          <t>Combustor</t>
        </is>
      </c>
      <c r="H3090" s="27" t="n">
        <v>6325</v>
      </c>
      <c r="I3090" s="27" t="n">
        <v>6705</v>
      </c>
      <c r="J3090" s="154">
        <f>I3090/H3090-1</f>
        <v/>
      </c>
      <c r="K3090" s="31" t="inlineStr">
        <is>
          <t>22</t>
        </is>
      </c>
      <c r="L3090" s="31" t="inlineStr">
        <is>
          <t>22</t>
        </is>
      </c>
      <c r="M3090" s="31" t="inlineStr">
        <is>
          <t>S3</t>
        </is>
      </c>
      <c r="N3090" s="31" t="inlineStr">
        <is>
          <t>S5</t>
        </is>
      </c>
      <c r="O3090" s="31" t="inlineStr">
        <is>
          <t>1561M26G01</t>
        </is>
      </c>
      <c r="P3090" s="31" t="inlineStr">
        <is>
          <t>SR Technics Switzerland</t>
        </is>
      </c>
    </row>
    <row r="3091">
      <c r="B3091" s="31" t="inlineStr">
        <is>
          <t>CFM56-7B</t>
        </is>
      </c>
      <c r="C3091" s="31" t="inlineStr">
        <is>
          <t>2025-2026</t>
        </is>
      </c>
      <c r="D3091" s="31" t="inlineStr">
        <is>
          <t>630864</t>
        </is>
      </c>
      <c r="E3091" s="31" t="inlineStr">
        <is>
          <t>72-42-02</t>
        </is>
      </c>
      <c r="F3091" s="31" t="inlineStr">
        <is>
          <t>O</t>
        </is>
      </c>
      <c r="G3091" s="31" t="inlineStr">
        <is>
          <t>Combustor</t>
        </is>
      </c>
      <c r="H3091" s="27" t="n">
        <v>7740</v>
      </c>
      <c r="I3091" s="27" t="n">
        <v>8205</v>
      </c>
      <c r="J3091" s="154">
        <f>I3091/H3091-1</f>
        <v/>
      </c>
      <c r="K3091" s="31" t="inlineStr">
        <is>
          <t>22</t>
        </is>
      </c>
      <c r="L3091" s="31" t="inlineStr">
        <is>
          <t>22</t>
        </is>
      </c>
      <c r="M3091" s="31" t="inlineStr">
        <is>
          <t>S3</t>
        </is>
      </c>
      <c r="N3091" s="31" t="inlineStr">
        <is>
          <t>S5</t>
        </is>
      </c>
      <c r="O3091" s="31" t="inlineStr">
        <is>
          <t>1561M26G01</t>
        </is>
      </c>
      <c r="P3091" s="31" t="inlineStr">
        <is>
          <t>SR Technics Switzerland</t>
        </is>
      </c>
    </row>
    <row r="3092">
      <c r="B3092" s="31" t="inlineStr">
        <is>
          <t>CFM56-7B</t>
        </is>
      </c>
      <c r="C3092" s="31" t="inlineStr">
        <is>
          <t>2025-2026</t>
        </is>
      </c>
      <c r="D3092" s="31" t="inlineStr">
        <is>
          <t>630864</t>
        </is>
      </c>
      <c r="E3092" s="31" t="inlineStr">
        <is>
          <t>72-42-02</t>
        </is>
      </c>
      <c r="F3092" s="31" t="inlineStr">
        <is>
          <t>Q</t>
        </is>
      </c>
      <c r="G3092" s="31" t="inlineStr">
        <is>
          <t>Combustor</t>
        </is>
      </c>
      <c r="H3092" s="27" t="n">
        <v>4390</v>
      </c>
      <c r="I3092" s="27" t="n">
        <v>4655</v>
      </c>
      <c r="J3092" s="154">
        <f>I3092/H3092-1</f>
        <v/>
      </c>
      <c r="K3092" s="31" t="inlineStr">
        <is>
          <t>22</t>
        </is>
      </c>
      <c r="L3092" s="31" t="inlineStr">
        <is>
          <t>22</t>
        </is>
      </c>
      <c r="M3092" s="31" t="inlineStr">
        <is>
          <t>S3</t>
        </is>
      </c>
      <c r="N3092" s="31" t="inlineStr">
        <is>
          <t>S5</t>
        </is>
      </c>
      <c r="O3092" s="31" t="inlineStr">
        <is>
          <t>1561M26G01</t>
        </is>
      </c>
      <c r="P3092" s="31" t="inlineStr">
        <is>
          <t>SR Technics Switzerland</t>
        </is>
      </c>
    </row>
    <row r="3093">
      <c r="B3093" s="31" t="inlineStr">
        <is>
          <t>CFM56-7B</t>
        </is>
      </c>
      <c r="C3093" s="31" t="inlineStr">
        <is>
          <t>2025-2026</t>
        </is>
      </c>
      <c r="D3093" s="31" t="inlineStr">
        <is>
          <t>630864</t>
        </is>
      </c>
      <c r="E3093" s="31" t="inlineStr">
        <is>
          <t>72-42-02</t>
        </is>
      </c>
      <c r="F3093" s="31" t="inlineStr">
        <is>
          <t>R</t>
        </is>
      </c>
      <c r="G3093" s="31" t="inlineStr">
        <is>
          <t>Combustor</t>
        </is>
      </c>
      <c r="H3093" s="27" t="n">
        <v>2425</v>
      </c>
      <c r="I3093" s="27" t="n">
        <v>2575</v>
      </c>
      <c r="J3093" s="154">
        <f>I3093/H3093-1</f>
        <v/>
      </c>
      <c r="K3093" s="31" t="inlineStr">
        <is>
          <t>22</t>
        </is>
      </c>
      <c r="L3093" s="31" t="inlineStr">
        <is>
          <t>22</t>
        </is>
      </c>
      <c r="M3093" s="31" t="inlineStr">
        <is>
          <t>S3</t>
        </is>
      </c>
      <c r="N3093" s="31" t="inlineStr">
        <is>
          <t>S5</t>
        </is>
      </c>
      <c r="O3093" s="31" t="inlineStr">
        <is>
          <t>1561M26G01</t>
        </is>
      </c>
      <c r="P3093" s="31" t="inlineStr">
        <is>
          <t>SR Technics Switzerland</t>
        </is>
      </c>
    </row>
    <row r="3094">
      <c r="B3094" s="31" t="inlineStr">
        <is>
          <t>CFM56-7B</t>
        </is>
      </c>
      <c r="C3094" s="31" t="inlineStr">
        <is>
          <t>2025-2026</t>
        </is>
      </c>
      <c r="D3094" s="31" t="inlineStr">
        <is>
          <t>630864</t>
        </is>
      </c>
      <c r="E3094" s="31" t="inlineStr">
        <is>
          <t>72-42-02</t>
        </is>
      </c>
      <c r="F3094" s="31" t="inlineStr">
        <is>
          <t>S</t>
        </is>
      </c>
      <c r="G3094" s="31" t="inlineStr">
        <is>
          <t>Combustor</t>
        </is>
      </c>
      <c r="H3094" s="27" t="n">
        <v>3375</v>
      </c>
      <c r="I3094" s="27" t="n">
        <v>3580</v>
      </c>
      <c r="J3094" s="154">
        <f>I3094/H3094-1</f>
        <v/>
      </c>
      <c r="K3094" s="31" t="inlineStr">
        <is>
          <t>22</t>
        </is>
      </c>
      <c r="L3094" s="31" t="inlineStr">
        <is>
          <t>22</t>
        </is>
      </c>
      <c r="M3094" s="31" t="inlineStr">
        <is>
          <t>S3</t>
        </is>
      </c>
      <c r="N3094" s="31" t="inlineStr">
        <is>
          <t>S5</t>
        </is>
      </c>
      <c r="O3094" s="31" t="inlineStr">
        <is>
          <t>1561M26G01</t>
        </is>
      </c>
      <c r="P3094" s="31" t="inlineStr">
        <is>
          <t>SR Technics Switzerland</t>
        </is>
      </c>
    </row>
    <row r="3095">
      <c r="B3095" s="31" t="inlineStr">
        <is>
          <t>CFM56-7B</t>
        </is>
      </c>
      <c r="C3095" s="31" t="inlineStr">
        <is>
          <t>2025-2026</t>
        </is>
      </c>
      <c r="D3095" s="31" t="inlineStr">
        <is>
          <t>630864</t>
        </is>
      </c>
      <c r="E3095" s="31" t="inlineStr">
        <is>
          <t>72-42-02</t>
        </is>
      </c>
      <c r="F3095" s="31" t="inlineStr">
        <is>
          <t>SB00</t>
        </is>
      </c>
      <c r="G3095" s="31" t="inlineStr">
        <is>
          <t>Combustor</t>
        </is>
      </c>
      <c r="H3095" s="27" t="n">
        <v>7740</v>
      </c>
      <c r="I3095" s="27" t="n">
        <v>8205</v>
      </c>
      <c r="J3095" s="154">
        <f>I3095/H3095-1</f>
        <v/>
      </c>
      <c r="K3095" s="31" t="inlineStr">
        <is>
          <t>22</t>
        </is>
      </c>
      <c r="L3095" s="31" t="inlineStr">
        <is>
          <t>22</t>
        </is>
      </c>
      <c r="M3095" s="31" t="inlineStr">
        <is>
          <t>S3</t>
        </is>
      </c>
      <c r="N3095" s="31" t="inlineStr">
        <is>
          <t>S5</t>
        </is>
      </c>
      <c r="O3095" s="31" t="inlineStr">
        <is>
          <t>1561M26G01</t>
        </is>
      </c>
      <c r="P3095" s="31" t="inlineStr">
        <is>
          <t>SR Technics Switzerland</t>
        </is>
      </c>
    </row>
    <row r="3096">
      <c r="B3096" s="31" t="inlineStr">
        <is>
          <t>CFM56-7B</t>
        </is>
      </c>
      <c r="C3096" s="31" t="inlineStr">
        <is>
          <t>2025-2026</t>
        </is>
      </c>
      <c r="D3096" s="31" t="inlineStr">
        <is>
          <t>630864</t>
        </is>
      </c>
      <c r="E3096" s="31" t="inlineStr">
        <is>
          <t>72-42-02</t>
        </is>
      </c>
      <c r="F3096" s="31" t="inlineStr">
        <is>
          <t>SB02</t>
        </is>
      </c>
      <c r="G3096" s="31" t="inlineStr">
        <is>
          <t>Combustor</t>
        </is>
      </c>
      <c r="H3096" s="27" t="n">
        <v>10235</v>
      </c>
      <c r="I3096" s="27" t="n">
        <v>10850</v>
      </c>
      <c r="J3096" s="154">
        <f>I3096/H3096-1</f>
        <v/>
      </c>
      <c r="K3096" s="31" t="inlineStr">
        <is>
          <t>23</t>
        </is>
      </c>
      <c r="L3096" s="31" t="inlineStr">
        <is>
          <t>22</t>
        </is>
      </c>
      <c r="M3096" s="31" t="inlineStr">
        <is>
          <t>S3</t>
        </is>
      </c>
      <c r="N3096" s="31" t="inlineStr">
        <is>
          <t>S5</t>
        </is>
      </c>
      <c r="O3096" s="31" t="inlineStr">
        <is>
          <t>1561M26G01</t>
        </is>
      </c>
      <c r="P3096" s="31" t="inlineStr">
        <is>
          <t>SR Technics Switzerland</t>
        </is>
      </c>
    </row>
    <row r="3097">
      <c r="B3097" s="31" t="inlineStr">
        <is>
          <t>CFM56-7B</t>
        </is>
      </c>
      <c r="C3097" s="31" t="inlineStr">
        <is>
          <t>2025-2026</t>
        </is>
      </c>
      <c r="D3097" s="31" t="inlineStr">
        <is>
          <t>630864</t>
        </is>
      </c>
      <c r="E3097" s="31" t="inlineStr">
        <is>
          <t>72-42-02</t>
        </is>
      </c>
      <c r="F3097" s="31" t="inlineStr">
        <is>
          <t>SB03</t>
        </is>
      </c>
      <c r="G3097" s="31" t="inlineStr">
        <is>
          <t>Combustor</t>
        </is>
      </c>
      <c r="H3097" s="27" t="n">
        <v>8285</v>
      </c>
      <c r="I3097" s="27" t="n">
        <v>8785</v>
      </c>
      <c r="J3097" s="154">
        <f>I3097/H3097-1</f>
        <v/>
      </c>
      <c r="K3097" s="31" t="inlineStr">
        <is>
          <t>23</t>
        </is>
      </c>
      <c r="L3097" s="31" t="inlineStr">
        <is>
          <t>22</t>
        </is>
      </c>
      <c r="M3097" s="31" t="inlineStr">
        <is>
          <t>S3</t>
        </is>
      </c>
      <c r="N3097" s="31" t="inlineStr">
        <is>
          <t>S5</t>
        </is>
      </c>
      <c r="O3097" s="31" t="inlineStr">
        <is>
          <t>1561M26G01</t>
        </is>
      </c>
      <c r="P3097" s="31" t="inlineStr">
        <is>
          <t>SR Technics Switzerland</t>
        </is>
      </c>
    </row>
    <row r="3098">
      <c r="B3098" s="31" t="inlineStr">
        <is>
          <t>CFM56-7B</t>
        </is>
      </c>
      <c r="C3098" s="31" t="inlineStr">
        <is>
          <t>2025-2026</t>
        </is>
      </c>
      <c r="D3098" s="31" t="inlineStr">
        <is>
          <t>630864</t>
        </is>
      </c>
      <c r="E3098" s="31" t="inlineStr">
        <is>
          <t>72-42-02</t>
        </is>
      </c>
      <c r="F3098" s="31" t="inlineStr">
        <is>
          <t>SB04</t>
        </is>
      </c>
      <c r="G3098" s="31" t="inlineStr">
        <is>
          <t>Combustor</t>
        </is>
      </c>
      <c r="H3098" s="27" t="n">
        <v>8285</v>
      </c>
      <c r="I3098" s="27" t="n">
        <v>8785</v>
      </c>
      <c r="J3098" s="154">
        <f>I3098/H3098-1</f>
        <v/>
      </c>
      <c r="K3098" s="31" t="inlineStr">
        <is>
          <t>23</t>
        </is>
      </c>
      <c r="L3098" s="31" t="inlineStr">
        <is>
          <t>22</t>
        </is>
      </c>
      <c r="M3098" s="31" t="inlineStr">
        <is>
          <t>S3</t>
        </is>
      </c>
      <c r="N3098" s="31" t="inlineStr">
        <is>
          <t>S5</t>
        </is>
      </c>
      <c r="O3098" s="31" t="inlineStr">
        <is>
          <t>1561M26G01</t>
        </is>
      </c>
      <c r="P3098" s="31" t="inlineStr">
        <is>
          <t>SR Technics Switzerland</t>
        </is>
      </c>
    </row>
    <row r="3099">
      <c r="B3099" s="31" t="inlineStr">
        <is>
          <t>CFM56-7B</t>
        </is>
      </c>
      <c r="C3099" s="31" t="inlineStr">
        <is>
          <t>2025-2026</t>
        </is>
      </c>
      <c r="D3099" s="31" t="inlineStr">
        <is>
          <t>631027</t>
        </is>
      </c>
      <c r="E3099" s="31" t="inlineStr">
        <is>
          <t>72-62-12</t>
        </is>
      </c>
      <c r="F3099" s="31" t="inlineStr">
        <is>
          <t>A</t>
        </is>
      </c>
      <c r="G3099" s="31" t="inlineStr">
        <is>
          <t>Gearbox</t>
        </is>
      </c>
      <c r="H3099" s="27" t="n">
        <v>415</v>
      </c>
      <c r="I3099" s="27" t="n">
        <v>440</v>
      </c>
      <c r="J3099" s="154">
        <f>I3099/H3099-1</f>
        <v/>
      </c>
      <c r="K3099" s="31" t="inlineStr">
        <is>
          <t>23</t>
        </is>
      </c>
      <c r="L3099" s="31" t="inlineStr">
        <is>
          <t>22</t>
        </is>
      </c>
      <c r="M3099" s="31" t="inlineStr">
        <is>
          <t>S3</t>
        </is>
      </c>
      <c r="N3099" s="31" t="inlineStr">
        <is>
          <t>S5</t>
        </is>
      </c>
      <c r="O3099" s="31" t="inlineStr">
        <is>
          <t>335-306-301-0</t>
        </is>
      </c>
      <c r="P3099" s="31" t="inlineStr">
        <is>
          <t>SR Technics Switzerland</t>
        </is>
      </c>
    </row>
    <row r="3100">
      <c r="B3100" s="31" t="inlineStr">
        <is>
          <t>CFM56-7B</t>
        </is>
      </c>
      <c r="C3100" s="31" t="inlineStr">
        <is>
          <t>2025-2026</t>
        </is>
      </c>
      <c r="D3100" s="31" t="inlineStr">
        <is>
          <t>631146</t>
        </is>
      </c>
      <c r="E3100" s="31" t="inlineStr">
        <is>
          <t>72-42-03</t>
        </is>
      </c>
      <c r="F3100" s="31" t="inlineStr">
        <is>
          <t>A</t>
        </is>
      </c>
      <c r="G3100" s="31" t="inlineStr">
        <is>
          <t>Combustor</t>
        </is>
      </c>
      <c r="H3100" s="27" t="n">
        <v>505</v>
      </c>
      <c r="I3100" s="27" t="n">
        <v>1575</v>
      </c>
      <c r="J3100" s="154">
        <f>I3100/H3100-1</f>
        <v/>
      </c>
      <c r="K3100" s="31" t="inlineStr">
        <is>
          <t>23</t>
        </is>
      </c>
      <c r="L3100" s="31" t="inlineStr">
        <is>
          <t>22</t>
        </is>
      </c>
      <c r="M3100" s="31" t="inlineStr">
        <is>
          <t>S3</t>
        </is>
      </c>
      <c r="N3100" s="31" t="inlineStr">
        <is>
          <t>S5</t>
        </is>
      </c>
      <c r="O3100" s="31" t="inlineStr">
        <is>
          <t>1317M57G02</t>
        </is>
      </c>
      <c r="P3100" s="31" t="inlineStr">
        <is>
          <t>SR Technics Switzerland</t>
        </is>
      </c>
    </row>
    <row r="3101">
      <c r="B3101" s="31" t="inlineStr">
        <is>
          <t>CFM56-7B</t>
        </is>
      </c>
      <c r="C3101" s="31" t="inlineStr">
        <is>
          <t>2025-2026</t>
        </is>
      </c>
      <c r="D3101" s="31" t="inlineStr">
        <is>
          <t>631146</t>
        </is>
      </c>
      <c r="E3101" s="31" t="inlineStr">
        <is>
          <t>72-42-03</t>
        </is>
      </c>
      <c r="F3101" s="31" t="inlineStr">
        <is>
          <t>AN</t>
        </is>
      </c>
      <c r="G3101" s="31" t="inlineStr">
        <is>
          <t>Combustor</t>
        </is>
      </c>
      <c r="H3101" s="27" t="n">
        <v>3240</v>
      </c>
      <c r="I3101" s="27" t="n">
        <v>3435</v>
      </c>
      <c r="J3101" s="154">
        <f>I3101/H3101-1</f>
        <v/>
      </c>
      <c r="K3101" s="31" t="inlineStr">
        <is>
          <t>23</t>
        </is>
      </c>
      <c r="L3101" s="31" t="inlineStr">
        <is>
          <t>22</t>
        </is>
      </c>
      <c r="M3101" s="31" t="inlineStr">
        <is>
          <t>S3</t>
        </is>
      </c>
      <c r="N3101" s="31" t="inlineStr">
        <is>
          <t>S5</t>
        </is>
      </c>
      <c r="O3101" s="31" t="inlineStr">
        <is>
          <t>1317M57G02</t>
        </is>
      </c>
      <c r="P3101" s="31" t="inlineStr">
        <is>
          <t>SR Technics Switzerland</t>
        </is>
      </c>
    </row>
    <row r="3102">
      <c r="B3102" s="31" t="inlineStr">
        <is>
          <t>CFM56-7B</t>
        </is>
      </c>
      <c r="C3102" s="31" t="inlineStr">
        <is>
          <t>2025-2026</t>
        </is>
      </c>
      <c r="D3102" s="31" t="inlineStr">
        <is>
          <t>631146</t>
        </is>
      </c>
      <c r="E3102" s="31" t="inlineStr">
        <is>
          <t>72-42-03</t>
        </is>
      </c>
      <c r="F3102" s="31" t="inlineStr">
        <is>
          <t>C</t>
        </is>
      </c>
      <c r="G3102" s="31" t="inlineStr">
        <is>
          <t>Combustor</t>
        </is>
      </c>
      <c r="H3102" s="27" t="n">
        <v>4115</v>
      </c>
      <c r="I3102" s="27" t="n">
        <v>4365</v>
      </c>
      <c r="J3102" s="154">
        <f>I3102/H3102-1</f>
        <v/>
      </c>
      <c r="K3102" s="31" t="inlineStr">
        <is>
          <t>23</t>
        </is>
      </c>
      <c r="L3102" s="31" t="inlineStr">
        <is>
          <t>22</t>
        </is>
      </c>
      <c r="M3102" s="31" t="inlineStr">
        <is>
          <t>S3</t>
        </is>
      </c>
      <c r="N3102" s="31" t="inlineStr">
        <is>
          <t>S5</t>
        </is>
      </c>
      <c r="O3102" s="31" t="inlineStr">
        <is>
          <t>1317M57G02</t>
        </is>
      </c>
      <c r="P3102" s="31" t="inlineStr">
        <is>
          <t>SR Technics Switzerland</t>
        </is>
      </c>
    </row>
    <row r="3103">
      <c r="B3103" s="31" t="inlineStr">
        <is>
          <t>CFM56-7B</t>
        </is>
      </c>
      <c r="C3103" s="31" t="inlineStr">
        <is>
          <t>2025-2026</t>
        </is>
      </c>
      <c r="D3103" s="31" t="inlineStr">
        <is>
          <t>631146</t>
        </is>
      </c>
      <c r="E3103" s="31" t="inlineStr">
        <is>
          <t>72-42-03</t>
        </is>
      </c>
      <c r="F3103" s="31" t="inlineStr">
        <is>
          <t>I</t>
        </is>
      </c>
      <c r="G3103" s="31" t="inlineStr">
        <is>
          <t>Combustor</t>
        </is>
      </c>
      <c r="H3103" s="27" t="n">
        <v>3240</v>
      </c>
      <c r="I3103" s="27" t="n">
        <v>3435</v>
      </c>
      <c r="J3103" s="154">
        <f>I3103/H3103-1</f>
        <v/>
      </c>
      <c r="K3103" s="31" t="inlineStr">
        <is>
          <t>23</t>
        </is>
      </c>
      <c r="L3103" s="31" t="inlineStr">
        <is>
          <t>22</t>
        </is>
      </c>
      <c r="M3103" s="31" t="inlineStr">
        <is>
          <t>S3</t>
        </is>
      </c>
      <c r="N3103" s="31" t="inlineStr">
        <is>
          <t>S5</t>
        </is>
      </c>
      <c r="O3103" s="31" t="inlineStr">
        <is>
          <t>1317M57G02</t>
        </is>
      </c>
      <c r="P3103" s="31" t="inlineStr">
        <is>
          <t>SR Technics Switzerland</t>
        </is>
      </c>
    </row>
    <row r="3104">
      <c r="B3104" s="31" t="inlineStr">
        <is>
          <t>CFM56-7B</t>
        </is>
      </c>
      <c r="C3104" s="31" t="inlineStr">
        <is>
          <t>2025-2026</t>
        </is>
      </c>
      <c r="D3104" s="31" t="inlineStr">
        <is>
          <t>631146</t>
        </is>
      </c>
      <c r="E3104" s="31" t="inlineStr">
        <is>
          <t>72-42-03</t>
        </is>
      </c>
      <c r="F3104" s="31" t="inlineStr">
        <is>
          <t>M</t>
        </is>
      </c>
      <c r="G3104" s="31" t="inlineStr">
        <is>
          <t>Combustor</t>
        </is>
      </c>
      <c r="H3104" s="27" t="n">
        <v>1350</v>
      </c>
      <c r="I3104" s="27" t="n">
        <v>1435</v>
      </c>
      <c r="J3104" s="154">
        <f>I3104/H3104-1</f>
        <v/>
      </c>
      <c r="K3104" s="31" t="inlineStr">
        <is>
          <t>23</t>
        </is>
      </c>
      <c r="L3104" s="31" t="inlineStr">
        <is>
          <t>22</t>
        </is>
      </c>
      <c r="M3104" s="31" t="inlineStr">
        <is>
          <t>S3</t>
        </is>
      </c>
      <c r="N3104" s="31" t="inlineStr">
        <is>
          <t>S5</t>
        </is>
      </c>
      <c r="O3104" s="31" t="inlineStr">
        <is>
          <t>1317M57G02</t>
        </is>
      </c>
      <c r="P3104" s="31" t="inlineStr">
        <is>
          <t>SR Technics Switzerland</t>
        </is>
      </c>
    </row>
    <row r="3105">
      <c r="B3105" s="31" t="inlineStr">
        <is>
          <t>CFM56-7B</t>
        </is>
      </c>
      <c r="C3105" s="31" t="inlineStr">
        <is>
          <t>2025-2026</t>
        </is>
      </c>
      <c r="D3105" s="31" t="inlineStr">
        <is>
          <t>631146</t>
        </is>
      </c>
      <c r="E3105" s="31" t="inlineStr">
        <is>
          <t>72-42-03</t>
        </is>
      </c>
      <c r="F3105" s="31" t="inlineStr">
        <is>
          <t>N</t>
        </is>
      </c>
      <c r="G3105" s="31" t="inlineStr">
        <is>
          <t>Combustor</t>
        </is>
      </c>
      <c r="H3105" s="27" t="n">
        <v>8825</v>
      </c>
      <c r="I3105" s="27" t="n">
        <v>9355</v>
      </c>
      <c r="J3105" s="154">
        <f>I3105/H3105-1</f>
        <v/>
      </c>
      <c r="K3105" s="31" t="inlineStr">
        <is>
          <t>23</t>
        </is>
      </c>
      <c r="L3105" s="31" t="inlineStr">
        <is>
          <t>23</t>
        </is>
      </c>
      <c r="M3105" s="31" t="inlineStr">
        <is>
          <t>S3</t>
        </is>
      </c>
      <c r="N3105" s="31" t="inlineStr">
        <is>
          <t>S5</t>
        </is>
      </c>
      <c r="O3105" s="31" t="inlineStr">
        <is>
          <t>1317M57G02</t>
        </is>
      </c>
      <c r="P3105" s="31" t="inlineStr">
        <is>
          <t>SR Technics Switzerland</t>
        </is>
      </c>
    </row>
    <row r="3106">
      <c r="B3106" s="31" t="inlineStr">
        <is>
          <t>CFM56-7B</t>
        </is>
      </c>
      <c r="C3106" s="31" t="inlineStr">
        <is>
          <t>2025-2026</t>
        </is>
      </c>
      <c r="D3106" s="31" t="inlineStr">
        <is>
          <t>631146</t>
        </is>
      </c>
      <c r="E3106" s="31" t="inlineStr">
        <is>
          <t>72-42-03</t>
        </is>
      </c>
      <c r="F3106" s="31" t="inlineStr">
        <is>
          <t>P</t>
        </is>
      </c>
      <c r="G3106" s="31" t="inlineStr">
        <is>
          <t>Combustor</t>
        </is>
      </c>
      <c r="H3106" s="27" t="n">
        <v>4385</v>
      </c>
      <c r="I3106" s="27" t="n">
        <v>4650</v>
      </c>
      <c r="J3106" s="154">
        <f>I3106/H3106-1</f>
        <v/>
      </c>
      <c r="K3106" s="31" t="inlineStr">
        <is>
          <t>23</t>
        </is>
      </c>
      <c r="L3106" s="31" t="inlineStr">
        <is>
          <t>23</t>
        </is>
      </c>
      <c r="M3106" s="31" t="inlineStr">
        <is>
          <t>S3</t>
        </is>
      </c>
      <c r="N3106" s="31" t="inlineStr">
        <is>
          <t>S5</t>
        </is>
      </c>
      <c r="O3106" s="31" t="inlineStr">
        <is>
          <t>1317M57G02</t>
        </is>
      </c>
      <c r="P3106" s="31" t="inlineStr">
        <is>
          <t>SR Technics Switzerland</t>
        </is>
      </c>
    </row>
    <row r="3107">
      <c r="B3107" s="31" t="inlineStr">
        <is>
          <t>CFM56-7B</t>
        </is>
      </c>
      <c r="C3107" s="31" t="inlineStr">
        <is>
          <t>2025-2026</t>
        </is>
      </c>
      <c r="D3107" s="31" t="inlineStr">
        <is>
          <t>631146</t>
        </is>
      </c>
      <c r="E3107" s="31" t="inlineStr">
        <is>
          <t>72-42-03</t>
        </is>
      </c>
      <c r="F3107" s="31" t="inlineStr">
        <is>
          <t>SB01</t>
        </is>
      </c>
      <c r="G3107" s="31" t="inlineStr">
        <is>
          <t>Combustor</t>
        </is>
      </c>
      <c r="H3107" s="27" t="n">
        <v>325</v>
      </c>
      <c r="I3107" s="27" t="n">
        <v>345</v>
      </c>
      <c r="J3107" s="154">
        <f>I3107/H3107-1</f>
        <v/>
      </c>
      <c r="K3107" s="31" t="inlineStr">
        <is>
          <t>23</t>
        </is>
      </c>
      <c r="L3107" s="31" t="inlineStr">
        <is>
          <t>23</t>
        </is>
      </c>
      <c r="M3107" s="31" t="inlineStr">
        <is>
          <t>S3</t>
        </is>
      </c>
      <c r="N3107" s="31" t="inlineStr">
        <is>
          <t>S5</t>
        </is>
      </c>
      <c r="O3107" s="31" t="inlineStr">
        <is>
          <t>1317M57G02</t>
        </is>
      </c>
      <c r="P3107" s="31" t="inlineStr">
        <is>
          <t>SR Technics Switzerland</t>
        </is>
      </c>
    </row>
    <row r="3108">
      <c r="B3108" s="31" t="inlineStr">
        <is>
          <t>CFM56-7B</t>
        </is>
      </c>
      <c r="C3108" s="31" t="inlineStr">
        <is>
          <t>2025-2026</t>
        </is>
      </c>
      <c r="D3108" s="31" t="inlineStr">
        <is>
          <t>631146</t>
        </is>
      </c>
      <c r="E3108" s="31" t="inlineStr">
        <is>
          <t>72-42-03</t>
        </is>
      </c>
      <c r="F3108" s="31" t="inlineStr">
        <is>
          <t>SB02</t>
        </is>
      </c>
      <c r="G3108" s="31" t="inlineStr">
        <is>
          <t>Combustor</t>
        </is>
      </c>
      <c r="H3108" s="27" t="n">
        <v>2505</v>
      </c>
      <c r="I3108" s="27" t="n">
        <v>2660</v>
      </c>
      <c r="J3108" s="154">
        <f>I3108/H3108-1</f>
        <v/>
      </c>
      <c r="K3108" s="31" t="inlineStr">
        <is>
          <t>23</t>
        </is>
      </c>
      <c r="L3108" s="31" t="inlineStr">
        <is>
          <t>23</t>
        </is>
      </c>
      <c r="M3108" s="31" t="inlineStr">
        <is>
          <t>S3</t>
        </is>
      </c>
      <c r="N3108" s="31" t="inlineStr">
        <is>
          <t>S5</t>
        </is>
      </c>
      <c r="O3108" s="31" t="inlineStr">
        <is>
          <t>1317M57G02</t>
        </is>
      </c>
      <c r="P3108" s="31" t="inlineStr">
        <is>
          <t>SR Technics Switzerland</t>
        </is>
      </c>
    </row>
    <row r="3109">
      <c r="B3109" s="31" t="inlineStr">
        <is>
          <t>CFM56-7B</t>
        </is>
      </c>
      <c r="C3109" s="31" t="inlineStr">
        <is>
          <t>2025-2026</t>
        </is>
      </c>
      <c r="D3109" s="31" t="inlineStr">
        <is>
          <t>631146</t>
        </is>
      </c>
      <c r="E3109" s="31" t="inlineStr">
        <is>
          <t>72-42-03</t>
        </is>
      </c>
      <c r="F3109" s="31" t="inlineStr">
        <is>
          <t>SB03</t>
        </is>
      </c>
      <c r="G3109" s="31" t="inlineStr">
        <is>
          <t>Combustor</t>
        </is>
      </c>
      <c r="H3109" s="27" t="n">
        <v>385</v>
      </c>
      <c r="I3109" s="27" t="n">
        <v>410</v>
      </c>
      <c r="J3109" s="154">
        <f>I3109/H3109-1</f>
        <v/>
      </c>
      <c r="K3109" s="31" t="inlineStr">
        <is>
          <t>23</t>
        </is>
      </c>
      <c r="L3109" s="31" t="inlineStr">
        <is>
          <t>23</t>
        </is>
      </c>
      <c r="M3109" s="31" t="inlineStr">
        <is>
          <t>S3</t>
        </is>
      </c>
      <c r="N3109" s="31" t="inlineStr">
        <is>
          <t>S5</t>
        </is>
      </c>
      <c r="O3109" s="31" t="inlineStr">
        <is>
          <t>1317M57G02</t>
        </is>
      </c>
      <c r="P3109" s="31" t="inlineStr">
        <is>
          <t>SR Technics Switzerland</t>
        </is>
      </c>
    </row>
    <row r="3110">
      <c r="B3110" s="31" t="inlineStr">
        <is>
          <t>CFM56-7B</t>
        </is>
      </c>
      <c r="C3110" s="31" t="inlineStr">
        <is>
          <t>2025-2026</t>
        </is>
      </c>
      <c r="D3110" s="31" t="inlineStr">
        <is>
          <t>631146</t>
        </is>
      </c>
      <c r="E3110" s="31" t="inlineStr">
        <is>
          <t>72-42-03</t>
        </is>
      </c>
      <c r="F3110" s="31" t="inlineStr">
        <is>
          <t>SB05</t>
        </is>
      </c>
      <c r="G3110" s="31" t="inlineStr">
        <is>
          <t>Combustor</t>
        </is>
      </c>
      <c r="H3110" s="27" t="n">
        <v>10120</v>
      </c>
      <c r="I3110" s="27" t="n">
        <v>10730</v>
      </c>
      <c r="J3110" s="154">
        <f>I3110/H3110-1</f>
        <v/>
      </c>
      <c r="K3110" s="31" t="inlineStr">
        <is>
          <t>23</t>
        </is>
      </c>
      <c r="L3110" s="31" t="inlineStr">
        <is>
          <t>23</t>
        </is>
      </c>
      <c r="M3110" s="31" t="inlineStr">
        <is>
          <t>S3</t>
        </is>
      </c>
      <c r="N3110" s="31" t="inlineStr">
        <is>
          <t>S5</t>
        </is>
      </c>
      <c r="O3110" s="31" t="inlineStr">
        <is>
          <t>1317M57G02</t>
        </is>
      </c>
      <c r="P3110" s="31" t="inlineStr">
        <is>
          <t>SR Technics Switzerland</t>
        </is>
      </c>
    </row>
    <row r="3111">
      <c r="B3111" s="31" t="inlineStr">
        <is>
          <t>CFM56-7B</t>
        </is>
      </c>
      <c r="C3111" s="31" t="inlineStr">
        <is>
          <t>2025-2026</t>
        </is>
      </c>
      <c r="D3111" s="31" t="inlineStr">
        <is>
          <t>631146</t>
        </is>
      </c>
      <c r="E3111" s="31" t="inlineStr">
        <is>
          <t>72-42-03</t>
        </is>
      </c>
      <c r="F3111" s="31" t="inlineStr">
        <is>
          <t>SB10</t>
        </is>
      </c>
      <c r="G3111" s="31" t="inlineStr">
        <is>
          <t>Combustor</t>
        </is>
      </c>
      <c r="H3111" s="27" t="n">
        <v>495</v>
      </c>
      <c r="I3111" s="27" t="n">
        <v>525</v>
      </c>
      <c r="J3111" s="154">
        <f>I3111/H3111-1</f>
        <v/>
      </c>
      <c r="K3111" s="31" t="inlineStr">
        <is>
          <t>23</t>
        </is>
      </c>
      <c r="L3111" s="31" t="inlineStr">
        <is>
          <t>23</t>
        </is>
      </c>
      <c r="M3111" s="31" t="inlineStr">
        <is>
          <t>S3</t>
        </is>
      </c>
      <c r="N3111" s="31" t="inlineStr">
        <is>
          <t>S5</t>
        </is>
      </c>
      <c r="O3111" s="31" t="inlineStr">
        <is>
          <t>1317M57G02</t>
        </is>
      </c>
      <c r="P3111" s="31" t="inlineStr">
        <is>
          <t>SR Technics Switzerland</t>
        </is>
      </c>
    </row>
    <row r="3112">
      <c r="B3112" s="31" t="inlineStr">
        <is>
          <t>CFM56-7B</t>
        </is>
      </c>
      <c r="C3112" s="31" t="inlineStr">
        <is>
          <t>2025-2026</t>
        </is>
      </c>
      <c r="D3112" s="31" t="inlineStr">
        <is>
          <t>631146</t>
        </is>
      </c>
      <c r="E3112" s="31" t="inlineStr">
        <is>
          <t>72-42-03</t>
        </is>
      </c>
      <c r="F3112" s="31" t="inlineStr">
        <is>
          <t>U</t>
        </is>
      </c>
      <c r="G3112" s="31" t="inlineStr">
        <is>
          <t>Combustor</t>
        </is>
      </c>
      <c r="H3112" s="27" t="n">
        <v>7480</v>
      </c>
      <c r="I3112" s="27" t="n">
        <v>7930</v>
      </c>
      <c r="J3112" s="154">
        <f>I3112/H3112-1</f>
        <v/>
      </c>
      <c r="K3112" s="31" t="inlineStr">
        <is>
          <t>23</t>
        </is>
      </c>
      <c r="L3112" s="31" t="inlineStr">
        <is>
          <t>23</t>
        </is>
      </c>
      <c r="M3112" s="31" t="inlineStr">
        <is>
          <t>S3</t>
        </is>
      </c>
      <c r="N3112" s="31" t="inlineStr">
        <is>
          <t>S5</t>
        </is>
      </c>
      <c r="O3112" s="31" t="inlineStr">
        <is>
          <t>1317M57G02</t>
        </is>
      </c>
      <c r="P3112" s="31" t="inlineStr">
        <is>
          <t>SR Technics Switzerland</t>
        </is>
      </c>
    </row>
    <row r="3113">
      <c r="B3113" s="31" t="inlineStr">
        <is>
          <t>CFM56-7B</t>
        </is>
      </c>
      <c r="C3113" s="31" t="inlineStr">
        <is>
          <t>2025-2026</t>
        </is>
      </c>
      <c r="D3113" s="31" t="inlineStr">
        <is>
          <t>631146</t>
        </is>
      </c>
      <c r="E3113" s="31" t="inlineStr">
        <is>
          <t>72-42-03</t>
        </is>
      </c>
      <c r="F3113" s="31" t="inlineStr">
        <is>
          <t>W</t>
        </is>
      </c>
      <c r="G3113" s="31" t="inlineStr">
        <is>
          <t>Combustor</t>
        </is>
      </c>
      <c r="H3113" s="27" t="n">
        <v>9095</v>
      </c>
      <c r="I3113" s="27" t="n">
        <v>9645</v>
      </c>
      <c r="J3113" s="154">
        <f>I3113/H3113-1</f>
        <v/>
      </c>
      <c r="K3113" s="31" t="inlineStr">
        <is>
          <t>23</t>
        </is>
      </c>
      <c r="L3113" s="31" t="inlineStr">
        <is>
          <t>23</t>
        </is>
      </c>
      <c r="M3113" s="31" t="inlineStr">
        <is>
          <t>S3</t>
        </is>
      </c>
      <c r="N3113" s="31" t="inlineStr">
        <is>
          <t>S5</t>
        </is>
      </c>
      <c r="O3113" s="31" t="inlineStr">
        <is>
          <t>1317M57G02</t>
        </is>
      </c>
      <c r="P3113" s="31" t="inlineStr">
        <is>
          <t>SR Technics Switzerland</t>
        </is>
      </c>
    </row>
    <row r="3114">
      <c r="B3114" s="31" t="inlineStr">
        <is>
          <t>CFM56-7B</t>
        </is>
      </c>
      <c r="C3114" s="31" t="inlineStr">
        <is>
          <t>2025-2026</t>
        </is>
      </c>
      <c r="D3114" s="31" t="inlineStr">
        <is>
          <t>631393</t>
        </is>
      </c>
      <c r="E3114" s="31" t="inlineStr">
        <is>
          <t>72-41-03</t>
        </is>
      </c>
      <c r="F3114" s="31" t="inlineStr">
        <is>
          <t>A</t>
        </is>
      </c>
      <c r="G3114" s="31" t="inlineStr">
        <is>
          <t>Combustor</t>
        </is>
      </c>
      <c r="H3114" s="27" t="n">
        <v>60</v>
      </c>
      <c r="I3114" s="27" t="n">
        <v>65</v>
      </c>
      <c r="J3114" s="154">
        <f>I3114/H3114-1</f>
        <v/>
      </c>
      <c r="K3114" s="31" t="inlineStr">
        <is>
          <t>23</t>
        </is>
      </c>
      <c r="L3114" s="31" t="inlineStr">
        <is>
          <t>23</t>
        </is>
      </c>
      <c r="M3114" s="31" t="inlineStr">
        <is>
          <t>S3</t>
        </is>
      </c>
      <c r="N3114" s="31" t="inlineStr">
        <is>
          <t>S5</t>
        </is>
      </c>
      <c r="O3114" s="31" t="inlineStr">
        <is>
          <t>1498M58P01</t>
        </is>
      </c>
      <c r="P3114" s="31" t="inlineStr">
        <is>
          <t>SR Technics Switzerland</t>
        </is>
      </c>
    </row>
    <row r="3115">
      <c r="B3115" s="31" t="inlineStr">
        <is>
          <t>CFM56-7B</t>
        </is>
      </c>
      <c r="C3115" s="31" t="inlineStr">
        <is>
          <t>2025-2026</t>
        </is>
      </c>
      <c r="D3115" s="31" t="inlineStr">
        <is>
          <t>631393</t>
        </is>
      </c>
      <c r="E3115" s="31" t="inlineStr">
        <is>
          <t>72-41-03</t>
        </is>
      </c>
      <c r="F3115" s="31" t="inlineStr">
        <is>
          <t>C</t>
        </is>
      </c>
      <c r="G3115" s="31" t="inlineStr">
        <is>
          <t>Combustor</t>
        </is>
      </c>
      <c r="H3115" s="27" t="n">
        <v>130</v>
      </c>
      <c r="I3115" s="27" t="n">
        <v>140</v>
      </c>
      <c r="J3115" s="154">
        <f>I3115/H3115-1</f>
        <v/>
      </c>
      <c r="K3115" s="31" t="inlineStr">
        <is>
          <t>23</t>
        </is>
      </c>
      <c r="L3115" s="31" t="inlineStr">
        <is>
          <t>23</t>
        </is>
      </c>
      <c r="M3115" s="31" t="inlineStr">
        <is>
          <t>S3</t>
        </is>
      </c>
      <c r="N3115" s="31" t="inlineStr">
        <is>
          <t>S5</t>
        </is>
      </c>
      <c r="O3115" s="31" t="inlineStr">
        <is>
          <t>1498M58P01</t>
        </is>
      </c>
      <c r="P3115" s="31" t="inlineStr">
        <is>
          <t>SR Technics Switzerland</t>
        </is>
      </c>
    </row>
    <row r="3116">
      <c r="B3116" s="31" t="inlineStr">
        <is>
          <t>CFM56-7B</t>
        </is>
      </c>
      <c r="C3116" s="31" t="inlineStr">
        <is>
          <t>2025-2026</t>
        </is>
      </c>
      <c r="D3116" s="31" t="inlineStr">
        <is>
          <t>634072</t>
        </is>
      </c>
      <c r="E3116" s="31" t="inlineStr">
        <is>
          <t>72-54-07</t>
        </is>
      </c>
      <c r="F3116" s="31" t="inlineStr">
        <is>
          <t>A</t>
        </is>
      </c>
      <c r="G3116" s="31" t="inlineStr">
        <is>
          <t>LPT</t>
        </is>
      </c>
      <c r="H3116" s="27" t="n">
        <v>1405</v>
      </c>
      <c r="I3116" s="27" t="n">
        <v>1770</v>
      </c>
      <c r="J3116" s="154">
        <f>I3116/H3116-1</f>
        <v/>
      </c>
      <c r="K3116" s="31" t="inlineStr">
        <is>
          <t>23</t>
        </is>
      </c>
      <c r="L3116" s="31" t="inlineStr">
        <is>
          <t>23</t>
        </is>
      </c>
      <c r="M3116" s="31" t="inlineStr">
        <is>
          <t>S3</t>
        </is>
      </c>
      <c r="N3116" s="31" t="inlineStr">
        <is>
          <t>S5</t>
        </is>
      </c>
      <c r="O3116" s="31" t="inlineStr">
        <is>
          <t>338-065-603-0</t>
        </is>
      </c>
      <c r="P3116" s="31" t="inlineStr">
        <is>
          <t>SR Technics Switzerland</t>
        </is>
      </c>
    </row>
    <row r="3117">
      <c r="B3117" s="31" t="inlineStr">
        <is>
          <t>CFM56-7B</t>
        </is>
      </c>
      <c r="C3117" s="31" t="inlineStr">
        <is>
          <t>2025-2026</t>
        </is>
      </c>
      <c r="D3117" s="31" t="inlineStr">
        <is>
          <t>634072</t>
        </is>
      </c>
      <c r="E3117" s="31" t="inlineStr">
        <is>
          <t>72-54-07</t>
        </is>
      </c>
      <c r="F3117" s="31" t="inlineStr">
        <is>
          <t>B</t>
        </is>
      </c>
      <c r="G3117" s="31" t="inlineStr">
        <is>
          <t>LPT</t>
        </is>
      </c>
      <c r="H3117" s="27" t="n">
        <v>2220</v>
      </c>
      <c r="I3117" s="27" t="n">
        <v>2355</v>
      </c>
      <c r="J3117" s="154">
        <f>I3117/H3117-1</f>
        <v/>
      </c>
      <c r="K3117" s="31" t="inlineStr">
        <is>
          <t>23</t>
        </is>
      </c>
      <c r="L3117" s="31" t="inlineStr">
        <is>
          <t>23</t>
        </is>
      </c>
      <c r="M3117" s="31" t="inlineStr">
        <is>
          <t>S3</t>
        </is>
      </c>
      <c r="N3117" s="31" t="inlineStr">
        <is>
          <t>S5</t>
        </is>
      </c>
      <c r="O3117" s="31" t="inlineStr">
        <is>
          <t>338-065-603-0</t>
        </is>
      </c>
      <c r="P3117" s="31" t="inlineStr">
        <is>
          <t>SR Technics Switzerland</t>
        </is>
      </c>
    </row>
    <row r="3118">
      <c r="B3118" s="31" t="inlineStr">
        <is>
          <t>CFM56-7B</t>
        </is>
      </c>
      <c r="C3118" s="31" t="inlineStr">
        <is>
          <t>2025-2026</t>
        </is>
      </c>
      <c r="D3118" s="31" t="inlineStr">
        <is>
          <t>634072</t>
        </is>
      </c>
      <c r="E3118" s="31" t="inlineStr">
        <is>
          <t>72-54-07</t>
        </is>
      </c>
      <c r="F3118" s="31" t="inlineStr">
        <is>
          <t>C</t>
        </is>
      </c>
      <c r="G3118" s="31" t="inlineStr">
        <is>
          <t>LPT</t>
        </is>
      </c>
      <c r="H3118" s="27" t="n">
        <v>4530</v>
      </c>
      <c r="I3118" s="27" t="n">
        <v>4805</v>
      </c>
      <c r="J3118" s="154">
        <f>I3118/H3118-1</f>
        <v/>
      </c>
      <c r="K3118" s="31" t="inlineStr">
        <is>
          <t>23</t>
        </is>
      </c>
      <c r="L3118" s="31" t="inlineStr">
        <is>
          <t>23</t>
        </is>
      </c>
      <c r="M3118" s="31" t="inlineStr">
        <is>
          <t>S3</t>
        </is>
      </c>
      <c r="N3118" s="31" t="inlineStr">
        <is>
          <t>S5</t>
        </is>
      </c>
      <c r="O3118" s="31" t="inlineStr">
        <is>
          <t>338-065-603-0</t>
        </is>
      </c>
      <c r="P3118" s="31" t="inlineStr">
        <is>
          <t>SR Technics Switzerland</t>
        </is>
      </c>
    </row>
    <row r="3119">
      <c r="B3119" s="31" t="inlineStr">
        <is>
          <t>CFM56-7B</t>
        </is>
      </c>
      <c r="C3119" s="31" t="inlineStr">
        <is>
          <t>2025-2026</t>
        </is>
      </c>
      <c r="D3119" s="31" t="inlineStr">
        <is>
          <t>634072</t>
        </is>
      </c>
      <c r="E3119" s="31" t="inlineStr">
        <is>
          <t>72-54-07</t>
        </is>
      </c>
      <c r="F3119" s="31" t="inlineStr">
        <is>
          <t>D</t>
        </is>
      </c>
      <c r="G3119" s="31" t="inlineStr">
        <is>
          <t>LPT</t>
        </is>
      </c>
      <c r="H3119" s="27" t="n">
        <v>1660</v>
      </c>
      <c r="I3119" s="27" t="n">
        <v>1760</v>
      </c>
      <c r="J3119" s="154">
        <f>I3119/H3119-1</f>
        <v/>
      </c>
      <c r="K3119" s="31" t="inlineStr">
        <is>
          <t>23</t>
        </is>
      </c>
      <c r="L3119" s="31" t="inlineStr">
        <is>
          <t>23</t>
        </is>
      </c>
      <c r="M3119" s="31" t="inlineStr">
        <is>
          <t>S3</t>
        </is>
      </c>
      <c r="N3119" s="31" t="inlineStr">
        <is>
          <t>S5</t>
        </is>
      </c>
      <c r="O3119" s="31" t="inlineStr">
        <is>
          <t>338-065-603-0</t>
        </is>
      </c>
      <c r="P3119" s="31" t="inlineStr">
        <is>
          <t>SR Technics Switzerland</t>
        </is>
      </c>
    </row>
    <row r="3120">
      <c r="B3120" s="31" t="inlineStr">
        <is>
          <t>CFM56-7B</t>
        </is>
      </c>
      <c r="C3120" s="31" t="inlineStr">
        <is>
          <t>2025-2026</t>
        </is>
      </c>
      <c r="D3120" s="31" t="inlineStr">
        <is>
          <t>634072</t>
        </is>
      </c>
      <c r="E3120" s="31" t="inlineStr">
        <is>
          <t>72-54-07</t>
        </is>
      </c>
      <c r="F3120" s="31" t="inlineStr">
        <is>
          <t>H</t>
        </is>
      </c>
      <c r="G3120" s="31" t="inlineStr">
        <is>
          <t>LPT</t>
        </is>
      </c>
      <c r="H3120" s="27" t="n">
        <v>6165</v>
      </c>
      <c r="I3120" s="27" t="n">
        <v>6535</v>
      </c>
      <c r="J3120" s="154">
        <f>I3120/H3120-1</f>
        <v/>
      </c>
      <c r="K3120" s="31" t="inlineStr">
        <is>
          <t>23</t>
        </is>
      </c>
      <c r="L3120" s="31" t="inlineStr">
        <is>
          <t>23</t>
        </is>
      </c>
      <c r="M3120" s="31" t="inlineStr">
        <is>
          <t>S3</t>
        </is>
      </c>
      <c r="N3120" s="31" t="inlineStr">
        <is>
          <t>S5</t>
        </is>
      </c>
      <c r="O3120" s="31" t="inlineStr">
        <is>
          <t>338-065-603-0</t>
        </is>
      </c>
      <c r="P3120" s="31" t="inlineStr">
        <is>
          <t>SR Technics Switzerland</t>
        </is>
      </c>
    </row>
    <row r="3121">
      <c r="B3121" s="31" t="inlineStr">
        <is>
          <t>CFM56-7B</t>
        </is>
      </c>
      <c r="C3121" s="31" t="inlineStr">
        <is>
          <t>2025-2026</t>
        </is>
      </c>
      <c r="D3121" s="31" t="inlineStr">
        <is>
          <t>634072</t>
        </is>
      </c>
      <c r="E3121" s="31" t="inlineStr">
        <is>
          <t>72-54-07</t>
        </is>
      </c>
      <c r="F3121" s="31" t="inlineStr">
        <is>
          <t>J</t>
        </is>
      </c>
      <c r="G3121" s="31" t="inlineStr">
        <is>
          <t>LPT</t>
        </is>
      </c>
      <c r="H3121" s="27" t="n">
        <v>6165</v>
      </c>
      <c r="I3121" s="27" t="n">
        <v>6535</v>
      </c>
      <c r="J3121" s="154">
        <f>I3121/H3121-1</f>
        <v/>
      </c>
      <c r="K3121" s="31" t="inlineStr">
        <is>
          <t>23</t>
        </is>
      </c>
      <c r="L3121" s="31" t="inlineStr">
        <is>
          <t>23</t>
        </is>
      </c>
      <c r="M3121" s="31" t="inlineStr">
        <is>
          <t>S3</t>
        </is>
      </c>
      <c r="N3121" s="31" t="inlineStr">
        <is>
          <t>S5</t>
        </is>
      </c>
      <c r="O3121" s="31" t="inlineStr">
        <is>
          <t>338-065-603-0</t>
        </is>
      </c>
      <c r="P3121" s="31" t="inlineStr">
        <is>
          <t>SR Technics Switzerland</t>
        </is>
      </c>
    </row>
    <row r="3122">
      <c r="B3122" s="31" t="inlineStr">
        <is>
          <t>CFM56-7B</t>
        </is>
      </c>
      <c r="C3122" s="31" t="inlineStr">
        <is>
          <t>2025-2026</t>
        </is>
      </c>
      <c r="D3122" s="31" t="inlineStr">
        <is>
          <t>634072</t>
        </is>
      </c>
      <c r="E3122" s="31" t="inlineStr">
        <is>
          <t>72-54-07</t>
        </is>
      </c>
      <c r="F3122" s="31" t="inlineStr">
        <is>
          <t>P</t>
        </is>
      </c>
      <c r="G3122" s="31" t="inlineStr">
        <is>
          <t>LPT</t>
        </is>
      </c>
      <c r="H3122" s="27" t="n">
        <v>450</v>
      </c>
      <c r="I3122" s="27" t="n">
        <v>480</v>
      </c>
      <c r="J3122" s="154">
        <f>I3122/H3122-1</f>
        <v/>
      </c>
      <c r="K3122" s="31" t="inlineStr">
        <is>
          <t>23</t>
        </is>
      </c>
      <c r="L3122" s="31" t="inlineStr">
        <is>
          <t>23</t>
        </is>
      </c>
      <c r="M3122" s="31" t="inlineStr">
        <is>
          <t>S3</t>
        </is>
      </c>
      <c r="N3122" s="31" t="inlineStr">
        <is>
          <t>S5</t>
        </is>
      </c>
      <c r="O3122" s="31" t="inlineStr">
        <is>
          <t>338-065-603-0</t>
        </is>
      </c>
      <c r="P3122" s="31" t="inlineStr">
        <is>
          <t>SR Technics Switzerland</t>
        </is>
      </c>
    </row>
    <row r="3123">
      <c r="B3123" s="31" t="inlineStr">
        <is>
          <t>CFM56-7B</t>
        </is>
      </c>
      <c r="C3123" s="31" t="inlineStr">
        <is>
          <t>2025-2026</t>
        </is>
      </c>
      <c r="D3123" s="31" t="inlineStr">
        <is>
          <t>634072</t>
        </is>
      </c>
      <c r="E3123" s="31" t="inlineStr">
        <is>
          <t>72-54-07</t>
        </is>
      </c>
      <c r="F3123" s="31" t="inlineStr">
        <is>
          <t>Q</t>
        </is>
      </c>
      <c r="G3123" s="31" t="inlineStr">
        <is>
          <t>LPT</t>
        </is>
      </c>
      <c r="H3123" s="27" t="n">
        <v>16575</v>
      </c>
      <c r="I3123" s="27" t="n">
        <v>17570</v>
      </c>
      <c r="J3123" s="154">
        <f>I3123/H3123-1</f>
        <v/>
      </c>
      <c r="K3123" s="31" t="inlineStr">
        <is>
          <t>23</t>
        </is>
      </c>
      <c r="L3123" s="31" t="inlineStr">
        <is>
          <t>23</t>
        </is>
      </c>
      <c r="M3123" s="31" t="inlineStr">
        <is>
          <t>S3</t>
        </is>
      </c>
      <c r="N3123" s="31" t="inlineStr">
        <is>
          <t>S5</t>
        </is>
      </c>
      <c r="O3123" s="31" t="inlineStr">
        <is>
          <t>338-065-603-0</t>
        </is>
      </c>
      <c r="P3123" s="31" t="inlineStr">
        <is>
          <t>SR Technics Switzerland</t>
        </is>
      </c>
    </row>
    <row r="3124">
      <c r="B3124" s="31" t="inlineStr">
        <is>
          <t>CFM56-7B</t>
        </is>
      </c>
      <c r="C3124" s="31" t="inlineStr">
        <is>
          <t>2025-2026</t>
        </is>
      </c>
      <c r="D3124" s="31" t="inlineStr">
        <is>
          <t>634072</t>
        </is>
      </c>
      <c r="E3124" s="31" t="inlineStr">
        <is>
          <t>72-54-07</t>
        </is>
      </c>
      <c r="F3124" s="31" t="inlineStr">
        <is>
          <t>R</t>
        </is>
      </c>
      <c r="G3124" s="31" t="inlineStr">
        <is>
          <t>LPT</t>
        </is>
      </c>
      <c r="H3124" s="27" t="n">
        <v>1790</v>
      </c>
      <c r="I3124" s="27" t="n">
        <v>1900</v>
      </c>
      <c r="J3124" s="154">
        <f>I3124/H3124-1</f>
        <v/>
      </c>
      <c r="K3124" s="31" t="inlineStr">
        <is>
          <t>23</t>
        </is>
      </c>
      <c r="L3124" s="31" t="inlineStr">
        <is>
          <t>23</t>
        </is>
      </c>
      <c r="M3124" s="31" t="inlineStr">
        <is>
          <t>S3</t>
        </is>
      </c>
      <c r="N3124" s="31" t="inlineStr">
        <is>
          <t>S5</t>
        </is>
      </c>
      <c r="O3124" s="31" t="inlineStr">
        <is>
          <t>338-065-603-0</t>
        </is>
      </c>
      <c r="P3124" s="31" t="inlineStr">
        <is>
          <t>SR Technics Switzerland</t>
        </is>
      </c>
    </row>
    <row r="3125">
      <c r="B3125" s="31" t="inlineStr">
        <is>
          <t>CFM56-7B</t>
        </is>
      </c>
      <c r="C3125" s="31" t="inlineStr">
        <is>
          <t>2025-2026</t>
        </is>
      </c>
      <c r="D3125" s="31" t="inlineStr">
        <is>
          <t>634072</t>
        </is>
      </c>
      <c r="E3125" s="31" t="inlineStr">
        <is>
          <t>72-54-07</t>
        </is>
      </c>
      <c r="F3125" s="31" t="inlineStr">
        <is>
          <t>S</t>
        </is>
      </c>
      <c r="G3125" s="31" t="inlineStr">
        <is>
          <t>LPT</t>
        </is>
      </c>
      <c r="H3125" s="27" t="n">
        <v>21945</v>
      </c>
      <c r="I3125" s="27" t="n">
        <v>23265</v>
      </c>
      <c r="J3125" s="154">
        <f>I3125/H3125-1</f>
        <v/>
      </c>
      <c r="K3125" s="31" t="inlineStr">
        <is>
          <t>23</t>
        </is>
      </c>
      <c r="L3125" s="31" t="inlineStr">
        <is>
          <t>23</t>
        </is>
      </c>
      <c r="M3125" s="31" t="inlineStr">
        <is>
          <t>S3</t>
        </is>
      </c>
      <c r="N3125" s="31" t="inlineStr">
        <is>
          <t>S5</t>
        </is>
      </c>
      <c r="O3125" s="31" t="inlineStr">
        <is>
          <t>338-065-603-0</t>
        </is>
      </c>
      <c r="P3125" s="31" t="inlineStr">
        <is>
          <t>SR Technics Switzerland</t>
        </is>
      </c>
    </row>
    <row r="3126">
      <c r="B3126" s="31" t="inlineStr">
        <is>
          <t>CFM56-7B</t>
        </is>
      </c>
      <c r="C3126" s="31" t="inlineStr">
        <is>
          <t>2025-2026</t>
        </is>
      </c>
      <c r="D3126" s="31" t="inlineStr">
        <is>
          <t>634072</t>
        </is>
      </c>
      <c r="E3126" s="31" t="inlineStr">
        <is>
          <t>72-54-07</t>
        </is>
      </c>
      <c r="F3126" s="31" t="inlineStr">
        <is>
          <t>SB00</t>
        </is>
      </c>
      <c r="G3126" s="31" t="inlineStr">
        <is>
          <t>LPT</t>
        </is>
      </c>
      <c r="H3126" s="27" t="n">
        <v>245</v>
      </c>
      <c r="I3126" s="27" t="n">
        <v>260</v>
      </c>
      <c r="J3126" s="154">
        <f>I3126/H3126-1</f>
        <v/>
      </c>
      <c r="K3126" s="31" t="inlineStr">
        <is>
          <t>23</t>
        </is>
      </c>
      <c r="L3126" s="31" t="inlineStr">
        <is>
          <t>23</t>
        </is>
      </c>
      <c r="M3126" s="31" t="inlineStr">
        <is>
          <t>S3</t>
        </is>
      </c>
      <c r="N3126" s="31" t="inlineStr">
        <is>
          <t>S5</t>
        </is>
      </c>
      <c r="O3126" s="31" t="inlineStr">
        <is>
          <t>338-065-603-0</t>
        </is>
      </c>
      <c r="P3126" s="31" t="inlineStr">
        <is>
          <t>SR Technics Switzerland</t>
        </is>
      </c>
    </row>
    <row r="3127">
      <c r="B3127" s="31" t="inlineStr">
        <is>
          <t>CFM56-7B</t>
        </is>
      </c>
      <c r="C3127" s="31" t="inlineStr">
        <is>
          <t>2025-2026</t>
        </is>
      </c>
      <c r="D3127" s="31" t="inlineStr">
        <is>
          <t>634072</t>
        </is>
      </c>
      <c r="E3127" s="31" t="inlineStr">
        <is>
          <t>72-54-07</t>
        </is>
      </c>
      <c r="F3127" s="31" t="inlineStr">
        <is>
          <t>SB02</t>
        </is>
      </c>
      <c r="G3127" s="31" t="inlineStr">
        <is>
          <t>LPT</t>
        </is>
      </c>
      <c r="H3127" s="27" t="n">
        <v>495</v>
      </c>
      <c r="I3127" s="27" t="n">
        <v>525</v>
      </c>
      <c r="J3127" s="154">
        <f>I3127/H3127-1</f>
        <v/>
      </c>
      <c r="K3127" s="31" t="inlineStr">
        <is>
          <t>23</t>
        </is>
      </c>
      <c r="L3127" s="31" t="inlineStr">
        <is>
          <t>23</t>
        </is>
      </c>
      <c r="M3127" s="31" t="inlineStr">
        <is>
          <t>S3</t>
        </is>
      </c>
      <c r="N3127" s="31" t="inlineStr">
        <is>
          <t>S5</t>
        </is>
      </c>
      <c r="O3127" s="31" t="inlineStr">
        <is>
          <t>338-065-603-0</t>
        </is>
      </c>
      <c r="P3127" s="31" t="inlineStr">
        <is>
          <t>SR Technics Switzerland</t>
        </is>
      </c>
    </row>
    <row r="3128">
      <c r="B3128" s="31" t="inlineStr">
        <is>
          <t>CFM56-7B</t>
        </is>
      </c>
      <c r="C3128" s="31" t="inlineStr">
        <is>
          <t>2025-2026</t>
        </is>
      </c>
      <c r="D3128" s="31" t="inlineStr">
        <is>
          <t>634072</t>
        </is>
      </c>
      <c r="E3128" s="31" t="inlineStr">
        <is>
          <t>72-54-07</t>
        </is>
      </c>
      <c r="F3128" s="31" t="inlineStr">
        <is>
          <t>SB03</t>
        </is>
      </c>
      <c r="G3128" s="31" t="inlineStr">
        <is>
          <t>LPT</t>
        </is>
      </c>
      <c r="H3128" s="27" t="n">
        <v>495</v>
      </c>
      <c r="I3128" s="27" t="n">
        <v>525</v>
      </c>
      <c r="J3128" s="154">
        <f>I3128/H3128-1</f>
        <v/>
      </c>
      <c r="K3128" s="31" t="inlineStr">
        <is>
          <t>23</t>
        </is>
      </c>
      <c r="L3128" s="31" t="inlineStr">
        <is>
          <t>23</t>
        </is>
      </c>
      <c r="M3128" s="31" t="inlineStr">
        <is>
          <t>S3</t>
        </is>
      </c>
      <c r="N3128" s="31" t="inlineStr">
        <is>
          <t>S5</t>
        </is>
      </c>
      <c r="O3128" s="31" t="inlineStr">
        <is>
          <t>338-065-603-0</t>
        </is>
      </c>
      <c r="P3128" s="31" t="inlineStr">
        <is>
          <t>SR Technics Switzerland</t>
        </is>
      </c>
    </row>
    <row r="3129">
      <c r="B3129" s="31" t="inlineStr">
        <is>
          <t>CFM56-7B</t>
        </is>
      </c>
      <c r="C3129" s="31" t="inlineStr">
        <is>
          <t>2025-2026</t>
        </is>
      </c>
      <c r="D3129" s="31" t="inlineStr">
        <is>
          <t>634072</t>
        </is>
      </c>
      <c r="E3129" s="31" t="inlineStr">
        <is>
          <t>72-54-07</t>
        </is>
      </c>
      <c r="F3129" s="31" t="inlineStr">
        <is>
          <t>T</t>
        </is>
      </c>
      <c r="G3129" s="31" t="inlineStr">
        <is>
          <t>LPT</t>
        </is>
      </c>
      <c r="H3129" s="27" t="n">
        <v>14645</v>
      </c>
      <c r="I3129" s="27" t="n">
        <v>15525</v>
      </c>
      <c r="J3129" s="154">
        <f>I3129/H3129-1</f>
        <v/>
      </c>
      <c r="K3129" s="31" t="inlineStr">
        <is>
          <t>24</t>
        </is>
      </c>
      <c r="L3129" s="31" t="inlineStr">
        <is>
          <t>23</t>
        </is>
      </c>
      <c r="M3129" s="31" t="inlineStr">
        <is>
          <t>S3</t>
        </is>
      </c>
      <c r="N3129" s="31" t="inlineStr">
        <is>
          <t>S5</t>
        </is>
      </c>
      <c r="O3129" s="31" t="inlineStr">
        <is>
          <t>338-065-603-0</t>
        </is>
      </c>
      <c r="P3129" s="31" t="inlineStr">
        <is>
          <t>SR Technics Switzerland</t>
        </is>
      </c>
    </row>
    <row r="3130">
      <c r="B3130" s="31" t="inlineStr">
        <is>
          <t>CFM56-7B</t>
        </is>
      </c>
      <c r="C3130" s="31" t="inlineStr">
        <is>
          <t>2025-2026</t>
        </is>
      </c>
      <c r="D3130" s="31" t="inlineStr">
        <is>
          <t>634072</t>
        </is>
      </c>
      <c r="E3130" s="31" t="inlineStr">
        <is>
          <t>72-54-07</t>
        </is>
      </c>
      <c r="F3130" s="31" t="inlineStr">
        <is>
          <t>V</t>
        </is>
      </c>
      <c r="G3130" s="31" t="inlineStr">
        <is>
          <t>LPT</t>
        </is>
      </c>
      <c r="H3130" s="27" t="n">
        <v>6605</v>
      </c>
      <c r="I3130" s="27" t="n">
        <v>7005</v>
      </c>
      <c r="J3130" s="154">
        <f>I3130/H3130-1</f>
        <v/>
      </c>
      <c r="K3130" s="31" t="inlineStr">
        <is>
          <t>24</t>
        </is>
      </c>
      <c r="L3130" s="31" t="inlineStr">
        <is>
          <t>23</t>
        </is>
      </c>
      <c r="M3130" s="31" t="inlineStr">
        <is>
          <t>S3</t>
        </is>
      </c>
      <c r="N3130" s="31" t="inlineStr">
        <is>
          <t>S5</t>
        </is>
      </c>
      <c r="O3130" s="31" t="inlineStr">
        <is>
          <t>338-065-603-0</t>
        </is>
      </c>
      <c r="P3130" s="31" t="inlineStr">
        <is>
          <t>SR Technics Switzerland</t>
        </is>
      </c>
    </row>
    <row r="3131">
      <c r="B3131" s="31" t="inlineStr">
        <is>
          <t>CFM56-7B</t>
        </is>
      </c>
      <c r="C3131" s="31" t="inlineStr">
        <is>
          <t>2025-2026</t>
        </is>
      </c>
      <c r="D3131" s="31" t="inlineStr">
        <is>
          <t>634090</t>
        </is>
      </c>
      <c r="E3131" s="31" t="inlineStr">
        <is>
          <t>72-42-04</t>
        </is>
      </c>
      <c r="F3131" s="31" t="inlineStr">
        <is>
          <t>A</t>
        </is>
      </c>
      <c r="G3131" s="31" t="inlineStr">
        <is>
          <t>Combustor</t>
        </is>
      </c>
      <c r="H3131" s="27" t="n">
        <v>980</v>
      </c>
      <c r="I3131" s="27" t="n">
        <v>1030</v>
      </c>
      <c r="J3131" s="154">
        <f>I3131/H3131-1</f>
        <v/>
      </c>
      <c r="K3131" s="31" t="inlineStr">
        <is>
          <t>53</t>
        </is>
      </c>
      <c r="L3131" s="31" t="inlineStr">
        <is>
          <t>52</t>
        </is>
      </c>
      <c r="M3131" s="31" t="inlineStr">
        <is>
          <t>S3</t>
        </is>
      </c>
      <c r="N3131" s="31" t="inlineStr">
        <is>
          <t>S5</t>
        </is>
      </c>
      <c r="O3131" s="31" t="inlineStr">
        <is>
          <t>1317M56G06</t>
        </is>
      </c>
      <c r="P3131" s="31" t="inlineStr">
        <is>
          <t>SR Technics Switzerland</t>
        </is>
      </c>
    </row>
    <row r="3132">
      <c r="B3132" s="31" t="inlineStr">
        <is>
          <t>CFM56-7B</t>
        </is>
      </c>
      <c r="C3132" s="31" t="inlineStr">
        <is>
          <t>2025-2026</t>
        </is>
      </c>
      <c r="D3132" s="31" t="inlineStr">
        <is>
          <t>634090</t>
        </is>
      </c>
      <c r="E3132" s="31" t="inlineStr">
        <is>
          <t>72-42-04</t>
        </is>
      </c>
      <c r="F3132" s="31" t="inlineStr">
        <is>
          <t>AA</t>
        </is>
      </c>
      <c r="G3132" s="31" t="inlineStr">
        <is>
          <t>Combustor</t>
        </is>
      </c>
      <c r="H3132" s="27" t="n">
        <v>3995</v>
      </c>
      <c r="I3132" s="27" t="n">
        <v>4235</v>
      </c>
      <c r="J3132" s="154">
        <f>I3132/H3132-1</f>
        <v/>
      </c>
      <c r="K3132" s="31" t="inlineStr">
        <is>
          <t>53</t>
        </is>
      </c>
      <c r="L3132" s="31" t="inlineStr">
        <is>
          <t>52</t>
        </is>
      </c>
      <c r="M3132" s="31" t="inlineStr">
        <is>
          <t>S3</t>
        </is>
      </c>
      <c r="N3132" s="31" t="inlineStr">
        <is>
          <t>S5</t>
        </is>
      </c>
      <c r="O3132" s="31" t="inlineStr">
        <is>
          <t>1317M56G06</t>
        </is>
      </c>
      <c r="P3132" s="31" t="inlineStr">
        <is>
          <t>SR Technics Switzerland</t>
        </is>
      </c>
    </row>
    <row r="3133">
      <c r="B3133" s="31" t="inlineStr">
        <is>
          <t>CFM56-7B</t>
        </is>
      </c>
      <c r="C3133" s="31" t="inlineStr">
        <is>
          <t>2025-2026</t>
        </is>
      </c>
      <c r="D3133" s="31" t="inlineStr">
        <is>
          <t>634090</t>
        </is>
      </c>
      <c r="E3133" s="31" t="inlineStr">
        <is>
          <t>72-42-04</t>
        </is>
      </c>
      <c r="F3133" s="31" t="inlineStr">
        <is>
          <t>AB</t>
        </is>
      </c>
      <c r="G3133" s="31" t="inlineStr">
        <is>
          <t>Combustor</t>
        </is>
      </c>
      <c r="H3133" s="27" t="n">
        <v>6845</v>
      </c>
      <c r="I3133" s="27" t="n">
        <v>7260</v>
      </c>
      <c r="J3133" s="154">
        <f>I3133/H3133-1</f>
        <v/>
      </c>
      <c r="K3133" s="31" t="inlineStr">
        <is>
          <t>53</t>
        </is>
      </c>
      <c r="L3133" s="31" t="inlineStr">
        <is>
          <t>52</t>
        </is>
      </c>
      <c r="M3133" s="31" t="inlineStr">
        <is>
          <t>S3</t>
        </is>
      </c>
      <c r="N3133" s="31" t="inlineStr">
        <is>
          <t>S5</t>
        </is>
      </c>
      <c r="O3133" s="31" t="inlineStr">
        <is>
          <t>1317M56G06</t>
        </is>
      </c>
      <c r="P3133" s="31" t="inlineStr">
        <is>
          <t>SR Technics Switzerland</t>
        </is>
      </c>
    </row>
    <row r="3134">
      <c r="B3134" s="31" t="inlineStr">
        <is>
          <t>CFM56-7B</t>
        </is>
      </c>
      <c r="C3134" s="31" t="inlineStr">
        <is>
          <t>2025-2026</t>
        </is>
      </c>
      <c r="D3134" s="31" t="inlineStr">
        <is>
          <t>634090</t>
        </is>
      </c>
      <c r="E3134" s="31" t="inlineStr">
        <is>
          <t>72-42-04</t>
        </is>
      </c>
      <c r="F3134" s="31" t="inlineStr">
        <is>
          <t>AE</t>
        </is>
      </c>
      <c r="G3134" s="31" t="inlineStr">
        <is>
          <t>Combustor</t>
        </is>
      </c>
      <c r="H3134" s="27" t="n">
        <v>2990</v>
      </c>
      <c r="I3134" s="27" t="n">
        <v>3170</v>
      </c>
      <c r="J3134" s="154">
        <f>I3134/H3134-1</f>
        <v/>
      </c>
      <c r="K3134" s="31" t="inlineStr">
        <is>
          <t>53</t>
        </is>
      </c>
      <c r="L3134" s="31" t="inlineStr">
        <is>
          <t>52</t>
        </is>
      </c>
      <c r="M3134" s="31" t="inlineStr">
        <is>
          <t>S3</t>
        </is>
      </c>
      <c r="N3134" s="31" t="inlineStr">
        <is>
          <t>S5</t>
        </is>
      </c>
      <c r="O3134" s="31" t="inlineStr">
        <is>
          <t>1317M56G06</t>
        </is>
      </c>
      <c r="P3134" s="31" t="inlineStr">
        <is>
          <t>SR Technics Switzerland</t>
        </is>
      </c>
    </row>
    <row r="3135">
      <c r="B3135" s="31" t="inlineStr">
        <is>
          <t>CFM56-7B</t>
        </is>
      </c>
      <c r="C3135" s="31" t="inlineStr">
        <is>
          <t>2025-2026</t>
        </is>
      </c>
      <c r="D3135" s="31" t="inlineStr">
        <is>
          <t>634090</t>
        </is>
      </c>
      <c r="E3135" s="31" t="inlineStr">
        <is>
          <t>72-42-04</t>
        </is>
      </c>
      <c r="F3135" s="31" t="inlineStr">
        <is>
          <t>F</t>
        </is>
      </c>
      <c r="G3135" s="31" t="inlineStr">
        <is>
          <t>Combustor</t>
        </is>
      </c>
      <c r="H3135" s="27" t="n">
        <v>2995</v>
      </c>
      <c r="I3135" s="27" t="n">
        <v>3175</v>
      </c>
      <c r="J3135" s="154">
        <f>I3135/H3135-1</f>
        <v/>
      </c>
      <c r="K3135" s="31" t="inlineStr">
        <is>
          <t>53</t>
        </is>
      </c>
      <c r="L3135" s="31" t="inlineStr">
        <is>
          <t>52</t>
        </is>
      </c>
      <c r="M3135" s="31" t="inlineStr">
        <is>
          <t>S3</t>
        </is>
      </c>
      <c r="N3135" s="31" t="inlineStr">
        <is>
          <t>S5</t>
        </is>
      </c>
      <c r="O3135" s="31" t="inlineStr">
        <is>
          <t>1317M56G06</t>
        </is>
      </c>
      <c r="P3135" s="31" t="inlineStr">
        <is>
          <t>SR Technics Switzerland</t>
        </is>
      </c>
    </row>
    <row r="3136">
      <c r="B3136" s="31" t="inlineStr">
        <is>
          <t>CFM56-7B</t>
        </is>
      </c>
      <c r="C3136" s="31" t="inlineStr">
        <is>
          <t>2025-2026</t>
        </is>
      </c>
      <c r="D3136" s="31" t="inlineStr">
        <is>
          <t>634090</t>
        </is>
      </c>
      <c r="E3136" s="31" t="inlineStr">
        <is>
          <t>72-42-04</t>
        </is>
      </c>
      <c r="F3136" s="31" t="inlineStr">
        <is>
          <t>G</t>
        </is>
      </c>
      <c r="G3136" s="31" t="inlineStr">
        <is>
          <t>Combustor</t>
        </is>
      </c>
      <c r="H3136" s="27" t="n">
        <v>2480</v>
      </c>
      <c r="I3136" s="27" t="n">
        <v>2630</v>
      </c>
      <c r="J3136" s="154">
        <f>I3136/H3136-1</f>
        <v/>
      </c>
      <c r="K3136" s="31" t="inlineStr">
        <is>
          <t>53</t>
        </is>
      </c>
      <c r="L3136" s="31" t="inlineStr">
        <is>
          <t>52</t>
        </is>
      </c>
      <c r="M3136" s="31" t="inlineStr">
        <is>
          <t>S3</t>
        </is>
      </c>
      <c r="N3136" s="31" t="inlineStr">
        <is>
          <t>S5</t>
        </is>
      </c>
      <c r="O3136" s="31" t="inlineStr">
        <is>
          <t>1317M56G06</t>
        </is>
      </c>
      <c r="P3136" s="31" t="inlineStr">
        <is>
          <t>SR Technics Switzerland</t>
        </is>
      </c>
    </row>
    <row r="3137">
      <c r="B3137" s="31" t="inlineStr">
        <is>
          <t>CFM56-7B</t>
        </is>
      </c>
      <c r="C3137" s="31" t="inlineStr">
        <is>
          <t>2025-2026</t>
        </is>
      </c>
      <c r="D3137" s="31" t="inlineStr">
        <is>
          <t>634090</t>
        </is>
      </c>
      <c r="E3137" s="31" t="inlineStr">
        <is>
          <t>72-42-04</t>
        </is>
      </c>
      <c r="F3137" s="31" t="inlineStr">
        <is>
          <t>I</t>
        </is>
      </c>
      <c r="G3137" s="31" t="inlineStr">
        <is>
          <t>Combustor</t>
        </is>
      </c>
      <c r="H3137" s="27" t="n">
        <v>4465</v>
      </c>
      <c r="I3137" s="27" t="n">
        <v>4735</v>
      </c>
      <c r="J3137" s="154">
        <f>I3137/H3137-1</f>
        <v/>
      </c>
      <c r="K3137" s="31" t="inlineStr">
        <is>
          <t>54</t>
        </is>
      </c>
      <c r="L3137" s="31" t="inlineStr">
        <is>
          <t>52</t>
        </is>
      </c>
      <c r="M3137" s="31" t="inlineStr">
        <is>
          <t>S3</t>
        </is>
      </c>
      <c r="N3137" s="31" t="inlineStr">
        <is>
          <t>S5</t>
        </is>
      </c>
      <c r="O3137" s="31" t="inlineStr">
        <is>
          <t>1317M56G06</t>
        </is>
      </c>
      <c r="P3137" s="31" t="inlineStr">
        <is>
          <t>SR Technics Switzerland</t>
        </is>
      </c>
    </row>
    <row r="3138">
      <c r="B3138" s="31" t="inlineStr">
        <is>
          <t>CFM56-7B</t>
        </is>
      </c>
      <c r="C3138" s="31" t="inlineStr">
        <is>
          <t>2025-2026</t>
        </is>
      </c>
      <c r="D3138" s="31" t="inlineStr">
        <is>
          <t>634090</t>
        </is>
      </c>
      <c r="E3138" s="31" t="inlineStr">
        <is>
          <t>72-42-04</t>
        </is>
      </c>
      <c r="F3138" s="31" t="inlineStr">
        <is>
          <t>S</t>
        </is>
      </c>
      <c r="G3138" s="31" t="inlineStr">
        <is>
          <t>Combustor</t>
        </is>
      </c>
      <c r="H3138" s="27" t="n">
        <v>4660</v>
      </c>
      <c r="I3138" s="27" t="n">
        <v>4940</v>
      </c>
      <c r="J3138" s="154">
        <f>I3138/H3138-1</f>
        <v/>
      </c>
      <c r="K3138" s="31" t="inlineStr">
        <is>
          <t>54</t>
        </is>
      </c>
      <c r="L3138" s="31" t="inlineStr">
        <is>
          <t>52</t>
        </is>
      </c>
      <c r="M3138" s="31" t="inlineStr">
        <is>
          <t>S3</t>
        </is>
      </c>
      <c r="N3138" s="31" t="inlineStr">
        <is>
          <t>S5</t>
        </is>
      </c>
      <c r="O3138" s="31" t="inlineStr">
        <is>
          <t>1317M56G06</t>
        </is>
      </c>
      <c r="P3138" s="31" t="inlineStr">
        <is>
          <t>SR Technics Switzerland</t>
        </is>
      </c>
    </row>
    <row r="3139">
      <c r="B3139" s="31" t="inlineStr">
        <is>
          <t>CFM56-7B</t>
        </is>
      </c>
      <c r="C3139" s="31" t="inlineStr">
        <is>
          <t>2025-2026</t>
        </is>
      </c>
      <c r="D3139" s="31" t="inlineStr">
        <is>
          <t>634090</t>
        </is>
      </c>
      <c r="E3139" s="31" t="inlineStr">
        <is>
          <t>72-42-04</t>
        </is>
      </c>
      <c r="F3139" s="31" t="inlineStr">
        <is>
          <t>SB00</t>
        </is>
      </c>
      <c r="G3139" s="31" t="inlineStr">
        <is>
          <t>Combustor</t>
        </is>
      </c>
      <c r="H3139" s="27" t="n">
        <v>385</v>
      </c>
      <c r="I3139" s="27" t="n">
        <v>410</v>
      </c>
      <c r="J3139" s="154">
        <f>I3139/H3139-1</f>
        <v/>
      </c>
      <c r="K3139" s="31" t="inlineStr">
        <is>
          <t>54</t>
        </is>
      </c>
      <c r="L3139" s="31" t="inlineStr">
        <is>
          <t>52</t>
        </is>
      </c>
      <c r="M3139" s="31" t="inlineStr">
        <is>
          <t>S3</t>
        </is>
      </c>
      <c r="N3139" s="31" t="inlineStr">
        <is>
          <t>S5</t>
        </is>
      </c>
      <c r="O3139" s="31" t="inlineStr">
        <is>
          <t>1317M56G06</t>
        </is>
      </c>
      <c r="P3139" s="31" t="inlineStr">
        <is>
          <t>SR Technics Switzerland</t>
        </is>
      </c>
    </row>
    <row r="3140">
      <c r="B3140" s="31" t="inlineStr">
        <is>
          <t>CFM56-7B</t>
        </is>
      </c>
      <c r="C3140" s="31" t="inlineStr">
        <is>
          <t>2025-2026</t>
        </is>
      </c>
      <c r="D3140" s="31" t="inlineStr">
        <is>
          <t>634090</t>
        </is>
      </c>
      <c r="E3140" s="31" t="inlineStr">
        <is>
          <t>72-42-04</t>
        </is>
      </c>
      <c r="F3140" s="31" t="inlineStr">
        <is>
          <t>SB02</t>
        </is>
      </c>
      <c r="G3140" s="31" t="inlineStr">
        <is>
          <t>Combustor</t>
        </is>
      </c>
      <c r="H3140" s="27" t="n">
        <v>2625</v>
      </c>
      <c r="I3140" s="27" t="n">
        <v>2785</v>
      </c>
      <c r="J3140" s="154">
        <f>I3140/H3140-1</f>
        <v/>
      </c>
      <c r="K3140" s="31" t="inlineStr">
        <is>
          <t>54</t>
        </is>
      </c>
      <c r="L3140" s="31" t="inlineStr">
        <is>
          <t>53</t>
        </is>
      </c>
      <c r="M3140" s="31" t="inlineStr">
        <is>
          <t>S3</t>
        </is>
      </c>
      <c r="N3140" s="31" t="inlineStr">
        <is>
          <t>S5</t>
        </is>
      </c>
      <c r="O3140" s="31" t="inlineStr">
        <is>
          <t>1317M56G06</t>
        </is>
      </c>
      <c r="P3140" s="31" t="inlineStr">
        <is>
          <t>SR Technics Switzerland</t>
        </is>
      </c>
    </row>
    <row r="3141">
      <c r="B3141" s="31" t="inlineStr">
        <is>
          <t>CFM56-7B</t>
        </is>
      </c>
      <c r="C3141" s="31" t="inlineStr">
        <is>
          <t>2025-2026</t>
        </is>
      </c>
      <c r="D3141" s="31" t="inlineStr">
        <is>
          <t>634090</t>
        </is>
      </c>
      <c r="E3141" s="31" t="inlineStr">
        <is>
          <t>72-42-04</t>
        </is>
      </c>
      <c r="F3141" s="31" t="inlineStr">
        <is>
          <t>SB04</t>
        </is>
      </c>
      <c r="G3141" s="31" t="inlineStr">
        <is>
          <t>Combustor</t>
        </is>
      </c>
      <c r="H3141" s="27" t="n">
        <v>2715</v>
      </c>
      <c r="I3141" s="27" t="n">
        <v>2880</v>
      </c>
      <c r="J3141" s="154">
        <f>I3141/H3141-1</f>
        <v/>
      </c>
      <c r="K3141" s="31" t="inlineStr">
        <is>
          <t>54</t>
        </is>
      </c>
      <c r="L3141" s="31" t="inlineStr">
        <is>
          <t>53</t>
        </is>
      </c>
      <c r="M3141" s="31" t="inlineStr">
        <is>
          <t>S3</t>
        </is>
      </c>
      <c r="N3141" s="31" t="inlineStr">
        <is>
          <t>S5</t>
        </is>
      </c>
      <c r="O3141" s="31" t="inlineStr">
        <is>
          <t>1317M56G06</t>
        </is>
      </c>
      <c r="P3141" s="31" t="inlineStr">
        <is>
          <t>SR Technics Switzerland</t>
        </is>
      </c>
    </row>
    <row r="3142">
      <c r="B3142" s="31" t="inlineStr">
        <is>
          <t>CFM56-7B</t>
        </is>
      </c>
      <c r="C3142" s="31" t="inlineStr">
        <is>
          <t>2025-2026</t>
        </is>
      </c>
      <c r="D3142" s="31" t="inlineStr">
        <is>
          <t>634090</t>
        </is>
      </c>
      <c r="E3142" s="31" t="inlineStr">
        <is>
          <t>72-42-04</t>
        </is>
      </c>
      <c r="F3142" s="31" t="inlineStr">
        <is>
          <t>SB09</t>
        </is>
      </c>
      <c r="G3142" s="31" t="inlineStr">
        <is>
          <t>Combustor</t>
        </is>
      </c>
      <c r="H3142" s="27" t="n">
        <v>495</v>
      </c>
      <c r="I3142" s="27" t="n">
        <v>525</v>
      </c>
      <c r="J3142" s="154">
        <f>I3142/H3142-1</f>
        <v/>
      </c>
      <c r="K3142" s="31" t="inlineStr">
        <is>
          <t>54</t>
        </is>
      </c>
      <c r="L3142" s="31" t="inlineStr">
        <is>
          <t>53</t>
        </is>
      </c>
      <c r="M3142" s="31" t="inlineStr">
        <is>
          <t>S3</t>
        </is>
      </c>
      <c r="N3142" s="31" t="inlineStr">
        <is>
          <t>S5</t>
        </is>
      </c>
      <c r="O3142" s="31" t="inlineStr">
        <is>
          <t>1317M56G06</t>
        </is>
      </c>
      <c r="P3142" s="31" t="inlineStr">
        <is>
          <t>SR Technics Switzerland</t>
        </is>
      </c>
    </row>
    <row r="3143">
      <c r="B3143" s="31" t="inlineStr">
        <is>
          <t>CFM56-7B</t>
        </is>
      </c>
      <c r="C3143" s="31" t="inlineStr">
        <is>
          <t>2025-2026</t>
        </is>
      </c>
      <c r="D3143" s="31" t="inlineStr">
        <is>
          <t>634090</t>
        </is>
      </c>
      <c r="E3143" s="31" t="inlineStr">
        <is>
          <t>72-42-04</t>
        </is>
      </c>
      <c r="F3143" s="31" t="inlineStr">
        <is>
          <t>V</t>
        </is>
      </c>
      <c r="G3143" s="31" t="inlineStr">
        <is>
          <t>Combustor</t>
        </is>
      </c>
      <c r="H3143" s="27" t="n">
        <v>6945</v>
      </c>
      <c r="I3143" s="27" t="n">
        <v>7365</v>
      </c>
      <c r="J3143" s="154">
        <f>I3143/H3143-1</f>
        <v/>
      </c>
      <c r="K3143" s="31" t="inlineStr">
        <is>
          <t>54</t>
        </is>
      </c>
      <c r="L3143" s="31" t="inlineStr">
        <is>
          <t>53</t>
        </is>
      </c>
      <c r="M3143" s="31" t="inlineStr">
        <is>
          <t>S3</t>
        </is>
      </c>
      <c r="N3143" s="31" t="inlineStr">
        <is>
          <t>S5</t>
        </is>
      </c>
      <c r="O3143" s="31" t="inlineStr">
        <is>
          <t>1317M56G06</t>
        </is>
      </c>
      <c r="P3143" s="31" t="inlineStr">
        <is>
          <t>SR Technics Switzerland</t>
        </is>
      </c>
    </row>
    <row r="3144">
      <c r="B3144" s="31" t="inlineStr">
        <is>
          <t>CFM56-7B</t>
        </is>
      </c>
      <c r="C3144" s="31" t="inlineStr">
        <is>
          <t>2025-2026</t>
        </is>
      </c>
      <c r="D3144" s="31" t="inlineStr">
        <is>
          <t>634090</t>
        </is>
      </c>
      <c r="E3144" s="31" t="inlineStr">
        <is>
          <t>72-42-04</t>
        </is>
      </c>
      <c r="F3144" s="31" t="inlineStr">
        <is>
          <t>X</t>
        </is>
      </c>
      <c r="G3144" s="31" t="inlineStr">
        <is>
          <t>Combustor</t>
        </is>
      </c>
      <c r="H3144" s="27" t="n">
        <v>8815</v>
      </c>
      <c r="I3144" s="27" t="n">
        <v>9345</v>
      </c>
      <c r="J3144" s="154">
        <f>I3144/H3144-1</f>
        <v/>
      </c>
      <c r="K3144" s="31" t="inlineStr">
        <is>
          <t>54</t>
        </is>
      </c>
      <c r="L3144" s="31" t="inlineStr">
        <is>
          <t>53</t>
        </is>
      </c>
      <c r="M3144" s="31" t="inlineStr">
        <is>
          <t>S3</t>
        </is>
      </c>
      <c r="N3144" s="31" t="inlineStr">
        <is>
          <t>S5</t>
        </is>
      </c>
      <c r="O3144" s="31" t="inlineStr">
        <is>
          <t>1317M56G06</t>
        </is>
      </c>
      <c r="P3144" s="31" t="inlineStr">
        <is>
          <t>SR Technics Switzerland</t>
        </is>
      </c>
    </row>
    <row r="3145">
      <c r="B3145" s="31" t="inlineStr">
        <is>
          <t>CFM56-7B</t>
        </is>
      </c>
      <c r="C3145" s="31" t="inlineStr">
        <is>
          <t>2025-2026</t>
        </is>
      </c>
      <c r="D3145" s="31" t="inlineStr">
        <is>
          <t>634090</t>
        </is>
      </c>
      <c r="E3145" s="31" t="inlineStr">
        <is>
          <t>72-42-04</t>
        </is>
      </c>
      <c r="F3145" s="31" t="inlineStr">
        <is>
          <t>Y</t>
        </is>
      </c>
      <c r="G3145" s="31" t="inlineStr">
        <is>
          <t>Combustor</t>
        </is>
      </c>
      <c r="H3145" s="27" t="n">
        <v>3135</v>
      </c>
      <c r="I3145" s="27" t="n">
        <v>3325</v>
      </c>
      <c r="J3145" s="154">
        <f>I3145/H3145-1</f>
        <v/>
      </c>
      <c r="K3145" s="31" t="inlineStr">
        <is>
          <t>54</t>
        </is>
      </c>
      <c r="L3145" s="31" t="inlineStr">
        <is>
          <t>53</t>
        </is>
      </c>
      <c r="M3145" s="31" t="inlineStr">
        <is>
          <t>S3</t>
        </is>
      </c>
      <c r="N3145" s="31" t="inlineStr">
        <is>
          <t>S5</t>
        </is>
      </c>
      <c r="O3145" s="31" t="inlineStr">
        <is>
          <t>1317M56G06</t>
        </is>
      </c>
      <c r="P3145" s="31" t="inlineStr">
        <is>
          <t>SR Technics Switzerland</t>
        </is>
      </c>
    </row>
    <row r="3146">
      <c r="B3146" s="31" t="inlineStr">
        <is>
          <t>CFM56-7B</t>
        </is>
      </c>
      <c r="C3146" s="31" t="inlineStr">
        <is>
          <t>2025-2026</t>
        </is>
      </c>
      <c r="D3146" s="31" t="inlineStr">
        <is>
          <t>634090</t>
        </is>
      </c>
      <c r="E3146" s="31" t="inlineStr">
        <is>
          <t>72-42-04</t>
        </is>
      </c>
      <c r="F3146" s="31" t="inlineStr">
        <is>
          <t>Z</t>
        </is>
      </c>
      <c r="G3146" s="31" t="inlineStr">
        <is>
          <t>Combustor</t>
        </is>
      </c>
      <c r="H3146" s="27" t="n">
        <v>3995</v>
      </c>
      <c r="I3146" s="27" t="n">
        <v>4235</v>
      </c>
      <c r="J3146" s="154">
        <f>I3146/H3146-1</f>
        <v/>
      </c>
      <c r="K3146" s="31" t="inlineStr">
        <is>
          <t>54</t>
        </is>
      </c>
      <c r="L3146" s="31" t="inlineStr">
        <is>
          <t>53</t>
        </is>
      </c>
      <c r="M3146" s="31" t="inlineStr">
        <is>
          <t>S3</t>
        </is>
      </c>
      <c r="N3146" s="31" t="inlineStr">
        <is>
          <t>S5</t>
        </is>
      </c>
      <c r="O3146" s="31" t="inlineStr">
        <is>
          <t>1317M56G06</t>
        </is>
      </c>
      <c r="P3146" s="31" t="inlineStr">
        <is>
          <t>SR Technics Switzerland</t>
        </is>
      </c>
    </row>
    <row r="3147">
      <c r="B3147" s="31" t="inlineStr">
        <is>
          <t>CFM56-7B</t>
        </is>
      </c>
      <c r="C3147" s="31" t="inlineStr">
        <is>
          <t>2025-2026</t>
        </is>
      </c>
      <c r="D3147" s="31" t="inlineStr">
        <is>
          <t>634151</t>
        </is>
      </c>
      <c r="E3147" s="31" t="inlineStr">
        <is>
          <t>72-53-02</t>
        </is>
      </c>
      <c r="F3147" s="31" t="inlineStr">
        <is>
          <t>A</t>
        </is>
      </c>
      <c r="G3147" s="31" t="inlineStr">
        <is>
          <t>HPT / nozzle</t>
        </is>
      </c>
      <c r="H3147" s="27" t="n">
        <v>1225</v>
      </c>
      <c r="I3147" s="27" t="n">
        <v>1290</v>
      </c>
      <c r="J3147" s="154">
        <f>I3147/H3147-1</f>
        <v/>
      </c>
      <c r="K3147" s="31" t="inlineStr">
        <is>
          <t>24</t>
        </is>
      </c>
      <c r="L3147" s="31" t="inlineStr">
        <is>
          <t>23</t>
        </is>
      </c>
      <c r="M3147" s="31" t="inlineStr">
        <is>
          <t>S3</t>
        </is>
      </c>
      <c r="N3147" s="31" t="inlineStr">
        <is>
          <t>S5</t>
        </is>
      </c>
      <c r="O3147" s="31" t="inlineStr">
        <is>
          <t>1523M29G04</t>
        </is>
      </c>
      <c r="P3147" s="31" t="inlineStr">
        <is>
          <t>SR Technics Switzerland</t>
        </is>
      </c>
    </row>
    <row r="3148">
      <c r="B3148" s="31" t="inlineStr">
        <is>
          <t>CFM56-7B</t>
        </is>
      </c>
      <c r="C3148" s="31" t="inlineStr">
        <is>
          <t>2025-2026</t>
        </is>
      </c>
      <c r="D3148" s="31" t="inlineStr">
        <is>
          <t>634151</t>
        </is>
      </c>
      <c r="E3148" s="31" t="inlineStr">
        <is>
          <t>72-53-02</t>
        </is>
      </c>
      <c r="F3148" s="31" t="inlineStr">
        <is>
          <t>AC</t>
        </is>
      </c>
      <c r="G3148" s="31" t="inlineStr">
        <is>
          <t>HPT / nozzle</t>
        </is>
      </c>
      <c r="H3148" s="27" t="n">
        <v>905</v>
      </c>
      <c r="I3148" s="27" t="n">
        <v>960</v>
      </c>
      <c r="J3148" s="154">
        <f>I3148/H3148-1</f>
        <v/>
      </c>
      <c r="K3148" s="31" t="inlineStr">
        <is>
          <t>24</t>
        </is>
      </c>
      <c r="L3148" s="31" t="inlineStr">
        <is>
          <t>23</t>
        </is>
      </c>
      <c r="M3148" s="31" t="inlineStr">
        <is>
          <t>S3</t>
        </is>
      </c>
      <c r="N3148" s="31" t="inlineStr">
        <is>
          <t>S5</t>
        </is>
      </c>
      <c r="O3148" s="31" t="inlineStr">
        <is>
          <t>1523M29G04</t>
        </is>
      </c>
      <c r="P3148" s="31" t="inlineStr">
        <is>
          <t>SR Technics Switzerland</t>
        </is>
      </c>
    </row>
    <row r="3149">
      <c r="B3149" s="31" t="inlineStr">
        <is>
          <t>CFM56-7B</t>
        </is>
      </c>
      <c r="C3149" s="31" t="inlineStr">
        <is>
          <t>2025-2026</t>
        </is>
      </c>
      <c r="D3149" s="31" t="inlineStr">
        <is>
          <t>634151</t>
        </is>
      </c>
      <c r="E3149" s="31" t="inlineStr">
        <is>
          <t>72-53-02</t>
        </is>
      </c>
      <c r="F3149" s="31" t="inlineStr">
        <is>
          <t>AM</t>
        </is>
      </c>
      <c r="G3149" s="31" t="inlineStr">
        <is>
          <t>HPT / nozzle</t>
        </is>
      </c>
      <c r="H3149" s="27" t="n">
        <v>605</v>
      </c>
      <c r="I3149" s="27" t="n">
        <v>645</v>
      </c>
      <c r="J3149" s="154">
        <f>I3149/H3149-1</f>
        <v/>
      </c>
      <c r="K3149" s="31" t="inlineStr">
        <is>
          <t>24</t>
        </is>
      </c>
      <c r="L3149" s="31" t="inlineStr">
        <is>
          <t>23</t>
        </is>
      </c>
      <c r="M3149" s="31" t="inlineStr">
        <is>
          <t>S3</t>
        </is>
      </c>
      <c r="N3149" s="31" t="inlineStr">
        <is>
          <t>S5</t>
        </is>
      </c>
      <c r="O3149" s="31" t="inlineStr">
        <is>
          <t>1523M29G04</t>
        </is>
      </c>
      <c r="P3149" s="31" t="inlineStr">
        <is>
          <t>SR Technics Switzerland</t>
        </is>
      </c>
    </row>
    <row r="3150">
      <c r="B3150" s="31" t="inlineStr">
        <is>
          <t>CFM56-7B</t>
        </is>
      </c>
      <c r="C3150" s="31" t="inlineStr">
        <is>
          <t>2025-2026</t>
        </is>
      </c>
      <c r="D3150" s="31" t="inlineStr">
        <is>
          <t>634151</t>
        </is>
      </c>
      <c r="E3150" s="31" t="inlineStr">
        <is>
          <t>72-53-02</t>
        </is>
      </c>
      <c r="F3150" s="31" t="inlineStr">
        <is>
          <t>AN</t>
        </is>
      </c>
      <c r="G3150" s="31" t="inlineStr">
        <is>
          <t>HPT / nozzle</t>
        </is>
      </c>
      <c r="H3150" s="27" t="n">
        <v>8080</v>
      </c>
      <c r="I3150" s="27" t="n">
        <v>8565</v>
      </c>
      <c r="J3150" s="154">
        <f>I3150/H3150-1</f>
        <v/>
      </c>
      <c r="K3150" s="31" t="inlineStr">
        <is>
          <t>24</t>
        </is>
      </c>
      <c r="L3150" s="31" t="inlineStr">
        <is>
          <t>23</t>
        </is>
      </c>
      <c r="M3150" s="31" t="inlineStr">
        <is>
          <t>S3</t>
        </is>
      </c>
      <c r="N3150" s="31" t="inlineStr">
        <is>
          <t>S5</t>
        </is>
      </c>
      <c r="O3150" s="31" t="inlineStr">
        <is>
          <t>1523M29G04</t>
        </is>
      </c>
      <c r="P3150" s="31" t="inlineStr">
        <is>
          <t>SR Technics Switzerland</t>
        </is>
      </c>
    </row>
    <row r="3151">
      <c r="B3151" s="31" t="inlineStr">
        <is>
          <t>CFM56-7B</t>
        </is>
      </c>
      <c r="C3151" s="31" t="inlineStr">
        <is>
          <t>2025-2026</t>
        </is>
      </c>
      <c r="D3151" s="31" t="inlineStr">
        <is>
          <t>634151</t>
        </is>
      </c>
      <c r="E3151" s="31" t="inlineStr">
        <is>
          <t>72-53-02</t>
        </is>
      </c>
      <c r="F3151" s="31" t="inlineStr">
        <is>
          <t>C</t>
        </is>
      </c>
      <c r="G3151" s="31" t="inlineStr">
        <is>
          <t>HPT / nozzle</t>
        </is>
      </c>
      <c r="H3151" s="27" t="n">
        <v>4485</v>
      </c>
      <c r="I3151" s="27" t="n">
        <v>4755</v>
      </c>
      <c r="J3151" s="154">
        <f>I3151/H3151-1</f>
        <v/>
      </c>
      <c r="K3151" s="31" t="inlineStr">
        <is>
          <t>24</t>
        </is>
      </c>
      <c r="L3151" s="31" t="inlineStr">
        <is>
          <t>23</t>
        </is>
      </c>
      <c r="M3151" s="31" t="inlineStr">
        <is>
          <t>S3</t>
        </is>
      </c>
      <c r="N3151" s="31" t="inlineStr">
        <is>
          <t>S5</t>
        </is>
      </c>
      <c r="O3151" s="31" t="inlineStr">
        <is>
          <t>1523M29G04</t>
        </is>
      </c>
      <c r="P3151" s="31" t="inlineStr">
        <is>
          <t>SR Technics Switzerland</t>
        </is>
      </c>
    </row>
    <row r="3152">
      <c r="B3152" s="31" t="inlineStr">
        <is>
          <t>CFM56-7B</t>
        </is>
      </c>
      <c r="C3152" s="31" t="inlineStr">
        <is>
          <t>2025-2026</t>
        </is>
      </c>
      <c r="D3152" s="31" t="inlineStr">
        <is>
          <t>634151</t>
        </is>
      </c>
      <c r="E3152" s="31" t="inlineStr">
        <is>
          <t>72-53-02</t>
        </is>
      </c>
      <c r="F3152" s="31" t="inlineStr">
        <is>
          <t>E</t>
        </is>
      </c>
      <c r="G3152" s="31" t="inlineStr">
        <is>
          <t>HPT / nozzle</t>
        </is>
      </c>
      <c r="H3152" s="27" t="n">
        <v>3410</v>
      </c>
      <c r="I3152" s="27" t="n">
        <v>3615</v>
      </c>
      <c r="J3152" s="154">
        <f>I3152/H3152-1</f>
        <v/>
      </c>
      <c r="K3152" s="31" t="inlineStr">
        <is>
          <t>24</t>
        </is>
      </c>
      <c r="L3152" s="31" t="inlineStr">
        <is>
          <t>23</t>
        </is>
      </c>
      <c r="M3152" s="31" t="inlineStr">
        <is>
          <t>S3</t>
        </is>
      </c>
      <c r="N3152" s="31" t="inlineStr">
        <is>
          <t>S5</t>
        </is>
      </c>
      <c r="O3152" s="31" t="inlineStr">
        <is>
          <t>1523M29G04</t>
        </is>
      </c>
      <c r="P3152" s="31" t="inlineStr">
        <is>
          <t>SR Technics Switzerland</t>
        </is>
      </c>
    </row>
    <row r="3153">
      <c r="B3153" s="31" t="inlineStr">
        <is>
          <t>CFM56-7B</t>
        </is>
      </c>
      <c r="C3153" s="31" t="inlineStr">
        <is>
          <t>2025-2026</t>
        </is>
      </c>
      <c r="D3153" s="31" t="inlineStr">
        <is>
          <t>634151</t>
        </is>
      </c>
      <c r="E3153" s="31" t="inlineStr">
        <is>
          <t>72-53-02</t>
        </is>
      </c>
      <c r="F3153" s="31" t="inlineStr">
        <is>
          <t>G</t>
        </is>
      </c>
      <c r="G3153" s="31" t="inlineStr">
        <is>
          <t>HPT / nozzle</t>
        </is>
      </c>
      <c r="H3153" s="27" t="n">
        <v>2805</v>
      </c>
      <c r="I3153" s="27" t="n">
        <v>2975</v>
      </c>
      <c r="J3153" s="154">
        <f>I3153/H3153-1</f>
        <v/>
      </c>
      <c r="K3153" s="31" t="inlineStr">
        <is>
          <t>24</t>
        </is>
      </c>
      <c r="L3153" s="31" t="inlineStr">
        <is>
          <t>23</t>
        </is>
      </c>
      <c r="M3153" s="31" t="inlineStr">
        <is>
          <t>S3</t>
        </is>
      </c>
      <c r="N3153" s="31" t="inlineStr">
        <is>
          <t>S5</t>
        </is>
      </c>
      <c r="O3153" s="31" t="inlineStr">
        <is>
          <t>1523M29G04</t>
        </is>
      </c>
      <c r="P3153" s="31" t="inlineStr">
        <is>
          <t>SR Technics Switzerland</t>
        </is>
      </c>
    </row>
    <row r="3154">
      <c r="B3154" s="31" t="inlineStr">
        <is>
          <t>CFM56-7B</t>
        </is>
      </c>
      <c r="C3154" s="31" t="inlineStr">
        <is>
          <t>2025-2026</t>
        </is>
      </c>
      <c r="D3154" s="31" t="inlineStr">
        <is>
          <t>634151</t>
        </is>
      </c>
      <c r="E3154" s="31" t="inlineStr">
        <is>
          <t>72-53-02</t>
        </is>
      </c>
      <c r="F3154" s="31" t="inlineStr">
        <is>
          <t>H</t>
        </is>
      </c>
      <c r="G3154" s="31" t="inlineStr">
        <is>
          <t>HPT / nozzle</t>
        </is>
      </c>
      <c r="H3154" s="27" t="n">
        <v>475</v>
      </c>
      <c r="I3154" s="27" t="n">
        <v>505</v>
      </c>
      <c r="J3154" s="154">
        <f>I3154/H3154-1</f>
        <v/>
      </c>
      <c r="K3154" s="31" t="inlineStr">
        <is>
          <t>24</t>
        </is>
      </c>
      <c r="L3154" s="31" t="inlineStr">
        <is>
          <t>23</t>
        </is>
      </c>
      <c r="M3154" s="31" t="inlineStr">
        <is>
          <t>S3</t>
        </is>
      </c>
      <c r="N3154" s="31" t="inlineStr">
        <is>
          <t>S5</t>
        </is>
      </c>
      <c r="O3154" s="31" t="inlineStr">
        <is>
          <t>1523M29G04</t>
        </is>
      </c>
      <c r="P3154" s="31" t="inlineStr">
        <is>
          <t>SR Technics Switzerland</t>
        </is>
      </c>
    </row>
    <row r="3155">
      <c r="B3155" s="31" t="inlineStr">
        <is>
          <t>CFM56-7B</t>
        </is>
      </c>
      <c r="C3155" s="31" t="inlineStr">
        <is>
          <t>2025-2026</t>
        </is>
      </c>
      <c r="D3155" s="31" t="inlineStr">
        <is>
          <t>634151</t>
        </is>
      </c>
      <c r="E3155" s="31" t="inlineStr">
        <is>
          <t>72-53-02</t>
        </is>
      </c>
      <c r="F3155" s="31" t="inlineStr">
        <is>
          <t>M</t>
        </is>
      </c>
      <c r="G3155" s="31" t="inlineStr">
        <is>
          <t>HPT / nozzle</t>
        </is>
      </c>
      <c r="H3155" s="27" t="n">
        <v>435</v>
      </c>
      <c r="I3155" s="27" t="n">
        <v>465</v>
      </c>
      <c r="J3155" s="154">
        <f>I3155/H3155-1</f>
        <v/>
      </c>
      <c r="K3155" s="31" t="inlineStr">
        <is>
          <t>24</t>
        </is>
      </c>
      <c r="L3155" s="31" t="inlineStr">
        <is>
          <t>23</t>
        </is>
      </c>
      <c r="M3155" s="31" t="inlineStr">
        <is>
          <t>S3</t>
        </is>
      </c>
      <c r="N3155" s="31" t="inlineStr">
        <is>
          <t>S5</t>
        </is>
      </c>
      <c r="O3155" s="31" t="inlineStr">
        <is>
          <t>1523M29G04</t>
        </is>
      </c>
      <c r="P3155" s="31" t="inlineStr">
        <is>
          <t>SR Technics Switzerland</t>
        </is>
      </c>
    </row>
    <row r="3156">
      <c r="B3156" s="31" t="inlineStr">
        <is>
          <t>CFM56-7B</t>
        </is>
      </c>
      <c r="C3156" s="31" t="inlineStr">
        <is>
          <t>2025-2026</t>
        </is>
      </c>
      <c r="D3156" s="31" t="inlineStr">
        <is>
          <t>634151</t>
        </is>
      </c>
      <c r="E3156" s="31" t="inlineStr">
        <is>
          <t>72-53-02</t>
        </is>
      </c>
      <c r="F3156" s="31" t="inlineStr">
        <is>
          <t>O</t>
        </is>
      </c>
      <c r="G3156" s="31" t="inlineStr">
        <is>
          <t>HPT / nozzle</t>
        </is>
      </c>
      <c r="H3156" s="27" t="n">
        <v>615</v>
      </c>
      <c r="I3156" s="27" t="n">
        <v>655</v>
      </c>
      <c r="J3156" s="154">
        <f>I3156/H3156-1</f>
        <v/>
      </c>
      <c r="K3156" s="31" t="inlineStr">
        <is>
          <t>24</t>
        </is>
      </c>
      <c r="L3156" s="31" t="inlineStr">
        <is>
          <t>23</t>
        </is>
      </c>
      <c r="M3156" s="31" t="inlineStr">
        <is>
          <t>S3</t>
        </is>
      </c>
      <c r="N3156" s="31" t="inlineStr">
        <is>
          <t>S5</t>
        </is>
      </c>
      <c r="O3156" s="31" t="inlineStr">
        <is>
          <t>1523M29G04</t>
        </is>
      </c>
      <c r="P3156" s="31" t="inlineStr">
        <is>
          <t>SR Technics Switzerland</t>
        </is>
      </c>
    </row>
    <row r="3157">
      <c r="B3157" s="31" t="inlineStr">
        <is>
          <t>CFM56-7B</t>
        </is>
      </c>
      <c r="C3157" s="31" t="inlineStr">
        <is>
          <t>2025-2026</t>
        </is>
      </c>
      <c r="D3157" s="31" t="inlineStr">
        <is>
          <t>634151</t>
        </is>
      </c>
      <c r="E3157" s="31" t="inlineStr">
        <is>
          <t>72-53-02</t>
        </is>
      </c>
      <c r="F3157" s="31" t="inlineStr">
        <is>
          <t>SB00</t>
        </is>
      </c>
      <c r="G3157" s="31" t="inlineStr">
        <is>
          <t>HPT / nozzle</t>
        </is>
      </c>
      <c r="H3157" s="27" t="n">
        <v>465</v>
      </c>
      <c r="I3157" s="27" t="n">
        <v>495</v>
      </c>
      <c r="J3157" s="154">
        <f>I3157/H3157-1</f>
        <v/>
      </c>
      <c r="K3157" s="31" t="inlineStr">
        <is>
          <t>24</t>
        </is>
      </c>
      <c r="L3157" s="31" t="inlineStr">
        <is>
          <t>23</t>
        </is>
      </c>
      <c r="M3157" s="31" t="inlineStr">
        <is>
          <t>S3</t>
        </is>
      </c>
      <c r="N3157" s="31" t="inlineStr">
        <is>
          <t>S5</t>
        </is>
      </c>
      <c r="O3157" s="31" t="inlineStr">
        <is>
          <t>1523M29G04</t>
        </is>
      </c>
      <c r="P3157" s="31" t="inlineStr">
        <is>
          <t>SR Technics Switzerland</t>
        </is>
      </c>
    </row>
    <row r="3158">
      <c r="B3158" s="31" t="inlineStr">
        <is>
          <t>CFM56-7B</t>
        </is>
      </c>
      <c r="C3158" s="31" t="inlineStr">
        <is>
          <t>2025-2026</t>
        </is>
      </c>
      <c r="D3158" s="31" t="inlineStr">
        <is>
          <t>634151</t>
        </is>
      </c>
      <c r="E3158" s="31" t="inlineStr">
        <is>
          <t>72-53-02</t>
        </is>
      </c>
      <c r="F3158" s="31" t="inlineStr">
        <is>
          <t>SB01</t>
        </is>
      </c>
      <c r="G3158" s="31" t="inlineStr">
        <is>
          <t>HPT / nozzle</t>
        </is>
      </c>
      <c r="H3158" s="27" t="n">
        <v>4695</v>
      </c>
      <c r="I3158" s="27" t="n">
        <v>4980</v>
      </c>
      <c r="J3158" s="154">
        <f>I3158/H3158-1</f>
        <v/>
      </c>
      <c r="K3158" s="31" t="inlineStr">
        <is>
          <t>24</t>
        </is>
      </c>
      <c r="L3158" s="31" t="inlineStr">
        <is>
          <t>24</t>
        </is>
      </c>
      <c r="M3158" s="31" t="inlineStr">
        <is>
          <t>S3</t>
        </is>
      </c>
      <c r="N3158" s="31" t="inlineStr">
        <is>
          <t>S5</t>
        </is>
      </c>
      <c r="O3158" s="31" t="inlineStr">
        <is>
          <t>1523M29G04</t>
        </is>
      </c>
      <c r="P3158" s="31" t="inlineStr">
        <is>
          <t>SR Technics Switzerland</t>
        </is>
      </c>
    </row>
    <row r="3159">
      <c r="B3159" s="31" t="inlineStr">
        <is>
          <t>CFM56-7B</t>
        </is>
      </c>
      <c r="C3159" s="31" t="inlineStr">
        <is>
          <t>2025-2026</t>
        </is>
      </c>
      <c r="D3159" s="31" t="inlineStr">
        <is>
          <t>634151</t>
        </is>
      </c>
      <c r="E3159" s="31" t="inlineStr">
        <is>
          <t>72-53-02</t>
        </is>
      </c>
      <c r="F3159" s="31" t="inlineStr">
        <is>
          <t>SB03</t>
        </is>
      </c>
      <c r="G3159" s="31" t="inlineStr">
        <is>
          <t>HPT / nozzle</t>
        </is>
      </c>
      <c r="H3159" s="27" t="n">
        <v>4695</v>
      </c>
      <c r="I3159" s="27" t="n">
        <v>4980</v>
      </c>
      <c r="J3159" s="154">
        <f>I3159/H3159-1</f>
        <v/>
      </c>
      <c r="K3159" s="31" t="inlineStr">
        <is>
          <t>24</t>
        </is>
      </c>
      <c r="L3159" s="31" t="inlineStr">
        <is>
          <t>24</t>
        </is>
      </c>
      <c r="M3159" s="31" t="inlineStr">
        <is>
          <t>S3</t>
        </is>
      </c>
      <c r="N3159" s="31" t="inlineStr">
        <is>
          <t>S5</t>
        </is>
      </c>
      <c r="O3159" s="31" t="inlineStr">
        <is>
          <t>1523M29G04</t>
        </is>
      </c>
      <c r="P3159" s="31" t="inlineStr">
        <is>
          <t>SR Technics Switzerland</t>
        </is>
      </c>
    </row>
    <row r="3160">
      <c r="B3160" s="31" t="inlineStr">
        <is>
          <t>CFM56-7B</t>
        </is>
      </c>
      <c r="C3160" s="31" t="inlineStr">
        <is>
          <t>2025-2026</t>
        </is>
      </c>
      <c r="D3160" s="31" t="inlineStr">
        <is>
          <t>634151</t>
        </is>
      </c>
      <c r="E3160" s="31" t="inlineStr">
        <is>
          <t>72-53-02</t>
        </is>
      </c>
      <c r="F3160" s="31" t="inlineStr">
        <is>
          <t>T</t>
        </is>
      </c>
      <c r="G3160" s="31" t="inlineStr">
        <is>
          <t>HPT / nozzle</t>
        </is>
      </c>
      <c r="H3160" s="27" t="n">
        <v>6255</v>
      </c>
      <c r="I3160" s="27" t="n">
        <v>6635</v>
      </c>
      <c r="J3160" s="154">
        <f>I3160/H3160-1</f>
        <v/>
      </c>
      <c r="K3160" s="31" t="inlineStr">
        <is>
          <t>24</t>
        </is>
      </c>
      <c r="L3160" s="31" t="inlineStr">
        <is>
          <t>24</t>
        </is>
      </c>
      <c r="M3160" s="31" t="inlineStr">
        <is>
          <t>S3</t>
        </is>
      </c>
      <c r="N3160" s="31" t="inlineStr">
        <is>
          <t>S5</t>
        </is>
      </c>
      <c r="O3160" s="31" t="inlineStr">
        <is>
          <t>1523M29G04</t>
        </is>
      </c>
      <c r="P3160" s="31" t="inlineStr">
        <is>
          <t>SR Technics Switzerland</t>
        </is>
      </c>
    </row>
    <row r="3161">
      <c r="B3161" s="31" t="inlineStr">
        <is>
          <t>CFM56-7B</t>
        </is>
      </c>
      <c r="C3161" s="31" t="inlineStr">
        <is>
          <t>2025-2026</t>
        </is>
      </c>
      <c r="D3161" s="31" t="inlineStr">
        <is>
          <t>634151</t>
        </is>
      </c>
      <c r="E3161" s="31" t="inlineStr">
        <is>
          <t>72-53-02</t>
        </is>
      </c>
      <c r="F3161" s="31" t="inlineStr">
        <is>
          <t>V</t>
        </is>
      </c>
      <c r="G3161" s="31" t="inlineStr">
        <is>
          <t>HPT / nozzle</t>
        </is>
      </c>
      <c r="H3161" s="27" t="n">
        <v>2635</v>
      </c>
      <c r="I3161" s="27" t="n">
        <v>2795</v>
      </c>
      <c r="J3161" s="154">
        <f>I3161/H3161-1</f>
        <v/>
      </c>
      <c r="K3161" s="31" t="inlineStr">
        <is>
          <t>24</t>
        </is>
      </c>
      <c r="L3161" s="31" t="inlineStr">
        <is>
          <t>24</t>
        </is>
      </c>
      <c r="M3161" s="31" t="inlineStr">
        <is>
          <t>S3</t>
        </is>
      </c>
      <c r="N3161" s="31" t="inlineStr">
        <is>
          <t>S5</t>
        </is>
      </c>
      <c r="O3161" s="31" t="inlineStr">
        <is>
          <t>1523M29G04</t>
        </is>
      </c>
      <c r="P3161" s="31" t="inlineStr">
        <is>
          <t>SR Technics Switzerland</t>
        </is>
      </c>
    </row>
    <row r="3162">
      <c r="B3162" s="31" t="inlineStr">
        <is>
          <t>CFM56-7B</t>
        </is>
      </c>
      <c r="C3162" s="31" t="inlineStr">
        <is>
          <t>2025-2026</t>
        </is>
      </c>
      <c r="D3162" s="31" t="inlineStr">
        <is>
          <t>634151</t>
        </is>
      </c>
      <c r="E3162" s="31" t="inlineStr">
        <is>
          <t>72-53-02</t>
        </is>
      </c>
      <c r="F3162" s="31" t="inlineStr">
        <is>
          <t>W</t>
        </is>
      </c>
      <c r="G3162" s="31" t="inlineStr">
        <is>
          <t>HPT / nozzle</t>
        </is>
      </c>
      <c r="H3162" s="27" t="n">
        <v>2635</v>
      </c>
      <c r="I3162" s="27" t="n">
        <v>2795</v>
      </c>
      <c r="J3162" s="154">
        <f>I3162/H3162-1</f>
        <v/>
      </c>
      <c r="K3162" s="31" t="inlineStr">
        <is>
          <t>24</t>
        </is>
      </c>
      <c r="L3162" s="31" t="inlineStr">
        <is>
          <t>24</t>
        </is>
      </c>
      <c r="M3162" s="31" t="inlineStr">
        <is>
          <t>S3</t>
        </is>
      </c>
      <c r="N3162" s="31" t="inlineStr">
        <is>
          <t>S5</t>
        </is>
      </c>
      <c r="O3162" s="31" t="inlineStr">
        <is>
          <t>1523M29G04</t>
        </is>
      </c>
      <c r="P3162" s="31" t="inlineStr">
        <is>
          <t>SR Technics Switzerland</t>
        </is>
      </c>
    </row>
    <row r="3163">
      <c r="B3163" s="31" t="inlineStr">
        <is>
          <t>CFM56-7B</t>
        </is>
      </c>
      <c r="C3163" s="31" t="inlineStr">
        <is>
          <t>2025-2026</t>
        </is>
      </c>
      <c r="D3163" s="31" t="inlineStr">
        <is>
          <t>634151</t>
        </is>
      </c>
      <c r="E3163" s="31" t="inlineStr">
        <is>
          <t>72-53-02</t>
        </is>
      </c>
      <c r="F3163" s="31" t="inlineStr">
        <is>
          <t>X</t>
        </is>
      </c>
      <c r="G3163" s="31" t="inlineStr">
        <is>
          <t>HPT / nozzle</t>
        </is>
      </c>
      <c r="H3163" s="27" t="n">
        <v>8035</v>
      </c>
      <c r="I3163" s="27" t="n">
        <v>8520</v>
      </c>
      <c r="J3163" s="154">
        <f>I3163/H3163-1</f>
        <v/>
      </c>
      <c r="K3163" s="31" t="inlineStr">
        <is>
          <t>24</t>
        </is>
      </c>
      <c r="L3163" s="31" t="inlineStr">
        <is>
          <t>24</t>
        </is>
      </c>
      <c r="M3163" s="31" t="inlineStr">
        <is>
          <t>S3</t>
        </is>
      </c>
      <c r="N3163" s="31" t="inlineStr">
        <is>
          <t>S5</t>
        </is>
      </c>
      <c r="O3163" s="31" t="inlineStr">
        <is>
          <t>1523M29G04</t>
        </is>
      </c>
      <c r="P3163" s="31" t="inlineStr">
        <is>
          <t>SR Technics Switzerland</t>
        </is>
      </c>
    </row>
    <row r="3164">
      <c r="B3164" s="31" t="inlineStr">
        <is>
          <t>CFM56-7B</t>
        </is>
      </c>
      <c r="C3164" s="31" t="inlineStr">
        <is>
          <t>2025-2026</t>
        </is>
      </c>
      <c r="D3164" s="31" t="inlineStr">
        <is>
          <t>635513</t>
        </is>
      </c>
      <c r="E3164" s="31" t="inlineStr">
        <is>
          <t>72-00-56</t>
        </is>
      </c>
      <c r="F3164" s="31" t="inlineStr">
        <is>
          <t>A</t>
        </is>
      </c>
      <c r="G3164" s="31" t="inlineStr">
        <is>
          <t>Other / assembly</t>
        </is>
      </c>
      <c r="H3164" s="27" t="n">
        <v>255</v>
      </c>
      <c r="I3164" s="27" t="n">
        <v>270</v>
      </c>
      <c r="J3164" s="154">
        <f>I3164/H3164-1</f>
        <v/>
      </c>
      <c r="K3164" s="31" t="inlineStr">
        <is>
          <t>54</t>
        </is>
      </c>
      <c r="L3164" s="31" t="inlineStr">
        <is>
          <t>53</t>
        </is>
      </c>
      <c r="M3164" s="31" t="inlineStr">
        <is>
          <t>S3</t>
        </is>
      </c>
      <c r="N3164" s="31" t="inlineStr">
        <is>
          <t>S5</t>
        </is>
      </c>
      <c r="O3164" s="31" t="inlineStr">
        <is>
          <t>336-092-208-0</t>
        </is>
      </c>
      <c r="P3164" s="31" t="inlineStr">
        <is>
          <t>SR Technics Switzerland</t>
        </is>
      </c>
    </row>
    <row r="3165">
      <c r="B3165" s="31" t="inlineStr">
        <is>
          <t>CFM56-7B</t>
        </is>
      </c>
      <c r="C3165" s="31" t="inlineStr">
        <is>
          <t>2025-2026</t>
        </is>
      </c>
      <c r="D3165" s="31" t="inlineStr">
        <is>
          <t>635513</t>
        </is>
      </c>
      <c r="E3165" s="31" t="inlineStr">
        <is>
          <t>72-00-56</t>
        </is>
      </c>
      <c r="F3165" s="31" t="inlineStr">
        <is>
          <t>C</t>
        </is>
      </c>
      <c r="G3165" s="31" t="inlineStr">
        <is>
          <t>Other / assembly</t>
        </is>
      </c>
      <c r="H3165" s="27" t="n">
        <v>2160</v>
      </c>
      <c r="I3165" s="27" t="n">
        <v>2290</v>
      </c>
      <c r="J3165" s="154">
        <f>I3165/H3165-1</f>
        <v/>
      </c>
      <c r="K3165" s="31" t="inlineStr">
        <is>
          <t>54</t>
        </is>
      </c>
      <c r="L3165" s="31" t="inlineStr">
        <is>
          <t>53</t>
        </is>
      </c>
      <c r="M3165" s="31" t="inlineStr">
        <is>
          <t>S3</t>
        </is>
      </c>
      <c r="N3165" s="31" t="inlineStr">
        <is>
          <t>S5</t>
        </is>
      </c>
      <c r="O3165" s="31" t="inlineStr">
        <is>
          <t>336-092-208-0</t>
        </is>
      </c>
      <c r="P3165" s="31" t="inlineStr">
        <is>
          <t>SR Technics Switzerland</t>
        </is>
      </c>
    </row>
    <row r="3166">
      <c r="B3166" s="31" t="inlineStr">
        <is>
          <t>CFM56-7B</t>
        </is>
      </c>
      <c r="C3166" s="31" t="inlineStr">
        <is>
          <t>2025-2026</t>
        </is>
      </c>
      <c r="D3166" s="31" t="inlineStr">
        <is>
          <t>635513</t>
        </is>
      </c>
      <c r="E3166" s="31" t="inlineStr">
        <is>
          <t>72-00-56</t>
        </is>
      </c>
      <c r="F3166" s="31" t="inlineStr">
        <is>
          <t>D</t>
        </is>
      </c>
      <c r="G3166" s="31" t="inlineStr">
        <is>
          <t>Other / assembly</t>
        </is>
      </c>
      <c r="H3166" s="27" t="n">
        <v>175</v>
      </c>
      <c r="I3166" s="27" t="n">
        <v>190</v>
      </c>
      <c r="J3166" s="154">
        <f>I3166/H3166-1</f>
        <v/>
      </c>
      <c r="K3166" s="31" t="inlineStr">
        <is>
          <t>54</t>
        </is>
      </c>
      <c r="L3166" s="31" t="inlineStr">
        <is>
          <t>53</t>
        </is>
      </c>
      <c r="M3166" s="31" t="inlineStr">
        <is>
          <t>S3</t>
        </is>
      </c>
      <c r="N3166" s="31" t="inlineStr">
        <is>
          <t>S5</t>
        </is>
      </c>
      <c r="O3166" s="31" t="inlineStr">
        <is>
          <t>336-092-208-0</t>
        </is>
      </c>
      <c r="P3166" s="31" t="inlineStr">
        <is>
          <t>SR Technics Switzerland</t>
        </is>
      </c>
    </row>
    <row r="3167">
      <c r="B3167" s="31" t="inlineStr">
        <is>
          <t>CFM56-7B</t>
        </is>
      </c>
      <c r="C3167" s="31" t="inlineStr">
        <is>
          <t>2025-2026</t>
        </is>
      </c>
      <c r="D3167" s="31" t="inlineStr">
        <is>
          <t>635513</t>
        </is>
      </c>
      <c r="E3167" s="31" t="inlineStr">
        <is>
          <t>72-00-56</t>
        </is>
      </c>
      <c r="F3167" s="31" t="inlineStr">
        <is>
          <t>SB00</t>
        </is>
      </c>
      <c r="G3167" s="31" t="inlineStr">
        <is>
          <t>Other / assembly</t>
        </is>
      </c>
      <c r="H3167" s="27" t="n">
        <v>870</v>
      </c>
      <c r="I3167" s="27" t="n">
        <v>925</v>
      </c>
      <c r="J3167" s="154">
        <f>I3167/H3167-1</f>
        <v/>
      </c>
      <c r="K3167" s="31" t="inlineStr">
        <is>
          <t>54</t>
        </is>
      </c>
      <c r="L3167" s="31" t="inlineStr">
        <is>
          <t>53</t>
        </is>
      </c>
      <c r="M3167" s="31" t="inlineStr">
        <is>
          <t>S3</t>
        </is>
      </c>
      <c r="N3167" s="31" t="inlineStr">
        <is>
          <t>S5</t>
        </is>
      </c>
      <c r="O3167" s="31" t="inlineStr">
        <is>
          <t>336-092-208-0</t>
        </is>
      </c>
      <c r="P3167" s="31" t="inlineStr">
        <is>
          <t>SR Technics Switzerland</t>
        </is>
      </c>
    </row>
    <row r="3168">
      <c r="B3168" s="31" t="inlineStr">
        <is>
          <t>CFM56-7B</t>
        </is>
      </c>
      <c r="C3168" s="31" t="inlineStr">
        <is>
          <t>2025-2026</t>
        </is>
      </c>
      <c r="D3168" s="31" t="inlineStr">
        <is>
          <t>635513</t>
        </is>
      </c>
      <c r="E3168" s="31" t="inlineStr">
        <is>
          <t>72-00-56</t>
        </is>
      </c>
      <c r="F3168" s="31" t="inlineStr">
        <is>
          <t>SB01</t>
        </is>
      </c>
      <c r="G3168" s="31" t="inlineStr">
        <is>
          <t>Other / assembly</t>
        </is>
      </c>
      <c r="H3168" s="27" t="n">
        <v>275</v>
      </c>
      <c r="I3168" s="27" t="n">
        <v>295</v>
      </c>
      <c r="J3168" s="154">
        <f>I3168/H3168-1</f>
        <v/>
      </c>
      <c r="K3168" s="31" t="inlineStr">
        <is>
          <t>54</t>
        </is>
      </c>
      <c r="L3168" s="31" t="inlineStr">
        <is>
          <t>53</t>
        </is>
      </c>
      <c r="M3168" s="31" t="inlineStr">
        <is>
          <t>S3</t>
        </is>
      </c>
      <c r="N3168" s="31" t="inlineStr">
        <is>
          <t>S5</t>
        </is>
      </c>
      <c r="O3168" s="31" t="inlineStr">
        <is>
          <t>336-092-208-0</t>
        </is>
      </c>
      <c r="P3168" s="31" t="inlineStr">
        <is>
          <t>SR Technics Switzerland</t>
        </is>
      </c>
    </row>
    <row r="3169">
      <c r="B3169" s="31" t="inlineStr">
        <is>
          <t>CFM56-7B</t>
        </is>
      </c>
      <c r="C3169" s="31" t="inlineStr">
        <is>
          <t>2025-2026</t>
        </is>
      </c>
      <c r="D3169" s="31" t="inlineStr">
        <is>
          <t>635520</t>
        </is>
      </c>
      <c r="E3169" s="31" t="inlineStr">
        <is>
          <t>72-00-32</t>
        </is>
      </c>
      <c r="F3169" s="31" t="inlineStr">
        <is>
          <t>A</t>
        </is>
      </c>
      <c r="G3169" s="31" t="inlineStr">
        <is>
          <t>Other / assembly</t>
        </is>
      </c>
      <c r="H3169" s="27" t="n">
        <v>485</v>
      </c>
      <c r="I3169" s="27" t="n">
        <v>510</v>
      </c>
      <c r="J3169" s="154">
        <f>I3169/H3169-1</f>
        <v/>
      </c>
      <c r="K3169" s="31" t="inlineStr">
        <is>
          <t>54</t>
        </is>
      </c>
      <c r="L3169" s="31" t="inlineStr">
        <is>
          <t>53</t>
        </is>
      </c>
      <c r="M3169" s="31" t="inlineStr">
        <is>
          <t>S3</t>
        </is>
      </c>
      <c r="N3169" s="31" t="inlineStr">
        <is>
          <t>S5</t>
        </is>
      </c>
      <c r="O3169" s="31" t="inlineStr">
        <is>
          <t>1887M16G01</t>
        </is>
      </c>
      <c r="P3169" s="31" t="inlineStr">
        <is>
          <t>SR Technics Switzerland</t>
        </is>
      </c>
    </row>
    <row r="3170">
      <c r="B3170" s="31" t="inlineStr">
        <is>
          <t>CFM56-7B</t>
        </is>
      </c>
      <c r="C3170" s="31" t="inlineStr">
        <is>
          <t>2025-2026</t>
        </is>
      </c>
      <c r="D3170" s="31" t="inlineStr">
        <is>
          <t>635520</t>
        </is>
      </c>
      <c r="E3170" s="31" t="inlineStr">
        <is>
          <t>72-00-32</t>
        </is>
      </c>
      <c r="F3170" s="31" t="inlineStr">
        <is>
          <t>B</t>
        </is>
      </c>
      <c r="G3170" s="31" t="inlineStr">
        <is>
          <t>Other / assembly</t>
        </is>
      </c>
      <c r="H3170" s="27" t="n">
        <v>865</v>
      </c>
      <c r="I3170" s="27" t="n">
        <v>920</v>
      </c>
      <c r="J3170" s="154">
        <f>I3170/H3170-1</f>
        <v/>
      </c>
      <c r="K3170" s="31" t="inlineStr">
        <is>
          <t>54</t>
        </is>
      </c>
      <c r="L3170" s="31" t="inlineStr">
        <is>
          <t>53</t>
        </is>
      </c>
      <c r="M3170" s="31" t="inlineStr">
        <is>
          <t>S3</t>
        </is>
      </c>
      <c r="N3170" s="31" t="inlineStr">
        <is>
          <t>S5</t>
        </is>
      </c>
      <c r="O3170" s="31" t="inlineStr">
        <is>
          <t>1887M16G01</t>
        </is>
      </c>
      <c r="P3170" s="31" t="inlineStr">
        <is>
          <t>SR Technics Switzerland</t>
        </is>
      </c>
    </row>
    <row r="3171">
      <c r="B3171" s="31" t="inlineStr">
        <is>
          <t>CFM56-7B</t>
        </is>
      </c>
      <c r="C3171" s="31" t="inlineStr">
        <is>
          <t>2025-2026</t>
        </is>
      </c>
      <c r="D3171" s="31" t="inlineStr">
        <is>
          <t>635520</t>
        </is>
      </c>
      <c r="E3171" s="31" t="inlineStr">
        <is>
          <t>72-00-32</t>
        </is>
      </c>
      <c r="F3171" s="31" t="inlineStr">
        <is>
          <t>M</t>
        </is>
      </c>
      <c r="G3171" s="31" t="inlineStr">
        <is>
          <t>Other / assembly</t>
        </is>
      </c>
      <c r="H3171" s="27" t="n">
        <v>4845</v>
      </c>
      <c r="I3171" s="27" t="n">
        <v>5140</v>
      </c>
      <c r="J3171" s="154">
        <f>I3171/H3171-1</f>
        <v/>
      </c>
      <c r="K3171" s="31" t="inlineStr">
        <is>
          <t>54</t>
        </is>
      </c>
      <c r="L3171" s="31" t="inlineStr">
        <is>
          <t>53</t>
        </is>
      </c>
      <c r="M3171" s="31" t="inlineStr">
        <is>
          <t>S3</t>
        </is>
      </c>
      <c r="N3171" s="31" t="inlineStr">
        <is>
          <t>S5</t>
        </is>
      </c>
      <c r="O3171" s="31" t="inlineStr">
        <is>
          <t>1887M16G01</t>
        </is>
      </c>
      <c r="P3171" s="31" t="inlineStr">
        <is>
          <t>SR Technics Switzerland</t>
        </is>
      </c>
    </row>
    <row r="3172">
      <c r="B3172" s="31" t="inlineStr">
        <is>
          <t>CFM56-7B</t>
        </is>
      </c>
      <c r="C3172" s="31" t="inlineStr">
        <is>
          <t>2025-2026</t>
        </is>
      </c>
      <c r="D3172" s="31" t="inlineStr">
        <is>
          <t>635521</t>
        </is>
      </c>
      <c r="E3172" s="31" t="inlineStr">
        <is>
          <t>72-00-53</t>
        </is>
      </c>
      <c r="F3172" s="31" t="inlineStr">
        <is>
          <t>A</t>
        </is>
      </c>
      <c r="G3172" s="31" t="inlineStr">
        <is>
          <t>Other / assembly</t>
        </is>
      </c>
      <c r="H3172" s="27" t="n">
        <v>485</v>
      </c>
      <c r="I3172" s="27" t="n">
        <v>510</v>
      </c>
      <c r="J3172" s="154">
        <f>I3172/H3172-1</f>
        <v/>
      </c>
      <c r="K3172" s="31" t="inlineStr">
        <is>
          <t>24</t>
        </is>
      </c>
      <c r="L3172" s="31" t="inlineStr">
        <is>
          <t>24</t>
        </is>
      </c>
      <c r="M3172" s="31" t="inlineStr">
        <is>
          <t>S3</t>
        </is>
      </c>
      <c r="N3172" s="31" t="inlineStr">
        <is>
          <t>S5</t>
        </is>
      </c>
      <c r="O3172" s="31" t="inlineStr">
        <is>
          <t>9324M22G01</t>
        </is>
      </c>
      <c r="P3172" s="31" t="inlineStr">
        <is>
          <t>SR Technics Switzerland</t>
        </is>
      </c>
    </row>
    <row r="3173">
      <c r="B3173" s="31" t="inlineStr">
        <is>
          <t>CFM56-7B</t>
        </is>
      </c>
      <c r="C3173" s="31" t="inlineStr">
        <is>
          <t>2025-2026</t>
        </is>
      </c>
      <c r="D3173" s="31" t="inlineStr">
        <is>
          <t>635521</t>
        </is>
      </c>
      <c r="E3173" s="31" t="inlineStr">
        <is>
          <t>72-00-53</t>
        </is>
      </c>
      <c r="F3173" s="31" t="inlineStr">
        <is>
          <t>B</t>
        </is>
      </c>
      <c r="G3173" s="31" t="inlineStr">
        <is>
          <t>Other / assembly</t>
        </is>
      </c>
      <c r="H3173" s="27" t="n">
        <v>865</v>
      </c>
      <c r="I3173" s="27" t="n">
        <v>920</v>
      </c>
      <c r="J3173" s="154">
        <f>I3173/H3173-1</f>
        <v/>
      </c>
      <c r="K3173" s="31" t="inlineStr">
        <is>
          <t>24</t>
        </is>
      </c>
      <c r="L3173" s="31" t="inlineStr">
        <is>
          <t>24</t>
        </is>
      </c>
      <c r="M3173" s="31" t="inlineStr">
        <is>
          <t>S3</t>
        </is>
      </c>
      <c r="N3173" s="31" t="inlineStr">
        <is>
          <t>S5</t>
        </is>
      </c>
      <c r="O3173" s="31" t="inlineStr">
        <is>
          <t>9324M22G01</t>
        </is>
      </c>
      <c r="P3173" s="31" t="inlineStr">
        <is>
          <t>SR Technics Switzerland</t>
        </is>
      </c>
    </row>
    <row r="3174">
      <c r="B3174" s="31" t="inlineStr">
        <is>
          <t>CFM56-7B</t>
        </is>
      </c>
      <c r="C3174" s="31" t="inlineStr">
        <is>
          <t>2025-2026</t>
        </is>
      </c>
      <c r="D3174" s="31" t="inlineStr">
        <is>
          <t>636114</t>
        </is>
      </c>
      <c r="E3174" s="31" t="inlineStr">
        <is>
          <t>72-23-03</t>
        </is>
      </c>
      <c r="F3174" s="31" t="inlineStr">
        <is>
          <t>A</t>
        </is>
      </c>
      <c r="G3174" s="31" t="inlineStr">
        <is>
          <t>Fan / booster</t>
        </is>
      </c>
      <c r="H3174" s="27" t="n">
        <v>100</v>
      </c>
      <c r="I3174" s="27" t="n">
        <v>120</v>
      </c>
      <c r="J3174" s="154">
        <f>I3174/H3174-1</f>
        <v/>
      </c>
      <c r="K3174" s="31" t="inlineStr">
        <is>
          <t>24</t>
        </is>
      </c>
      <c r="L3174" s="31" t="inlineStr">
        <is>
          <t>24</t>
        </is>
      </c>
      <c r="M3174" s="31" t="inlineStr">
        <is>
          <t>S3</t>
        </is>
      </c>
      <c r="N3174" s="31" t="inlineStr">
        <is>
          <t>S5</t>
        </is>
      </c>
      <c r="O3174" s="31" t="inlineStr">
        <is>
          <t>337-006-168-0</t>
        </is>
      </c>
      <c r="P3174" s="31" t="inlineStr">
        <is>
          <t>SRTAS</t>
        </is>
      </c>
    </row>
    <row r="3175">
      <c r="B3175" s="31" t="inlineStr">
        <is>
          <t>CFM56-7B</t>
        </is>
      </c>
      <c r="C3175" s="31" t="inlineStr">
        <is>
          <t>2025-2026</t>
        </is>
      </c>
      <c r="D3175" s="31" t="inlineStr">
        <is>
          <t>636114</t>
        </is>
      </c>
      <c r="E3175" s="31" t="inlineStr">
        <is>
          <t>72-23-03</t>
        </is>
      </c>
      <c r="F3175" s="31" t="inlineStr">
        <is>
          <t>B</t>
        </is>
      </c>
      <c r="G3175" s="31" t="inlineStr">
        <is>
          <t>Fan / booster</t>
        </is>
      </c>
      <c r="H3175" s="27" t="n">
        <v>600</v>
      </c>
      <c r="I3175" s="27" t="n">
        <v>645</v>
      </c>
      <c r="J3175" s="154">
        <f>I3175/H3175-1</f>
        <v/>
      </c>
      <c r="K3175" s="31" t="inlineStr">
        <is>
          <t>24</t>
        </is>
      </c>
      <c r="L3175" s="31" t="inlineStr">
        <is>
          <t>24</t>
        </is>
      </c>
      <c r="M3175" s="31" t="inlineStr">
        <is>
          <t>S3</t>
        </is>
      </c>
      <c r="N3175" s="31" t="inlineStr">
        <is>
          <t>S5</t>
        </is>
      </c>
      <c r="O3175" s="31" t="inlineStr">
        <is>
          <t>337-006-168-0</t>
        </is>
      </c>
      <c r="P3175" s="31" t="inlineStr">
        <is>
          <t>SRTAS</t>
        </is>
      </c>
    </row>
    <row r="3176">
      <c r="B3176" s="31" t="inlineStr">
        <is>
          <t>CFM56-7B</t>
        </is>
      </c>
      <c r="C3176" s="31" t="inlineStr">
        <is>
          <t>2025-2026</t>
        </is>
      </c>
      <c r="D3176" s="31" t="inlineStr">
        <is>
          <t>636114</t>
        </is>
      </c>
      <c r="E3176" s="31" t="inlineStr">
        <is>
          <t>72-23-03</t>
        </is>
      </c>
      <c r="F3176" s="31" t="inlineStr">
        <is>
          <t>C</t>
        </is>
      </c>
      <c r="G3176" s="31" t="inlineStr">
        <is>
          <t>Fan / booster</t>
        </is>
      </c>
      <c r="H3176" s="27" t="n">
        <v>135</v>
      </c>
      <c r="I3176" s="27" t="n">
        <v>145</v>
      </c>
      <c r="J3176" s="154">
        <f>I3176/H3176-1</f>
        <v/>
      </c>
      <c r="K3176" s="31" t="inlineStr">
        <is>
          <t>24</t>
        </is>
      </c>
      <c r="L3176" s="31" t="inlineStr">
        <is>
          <t>24</t>
        </is>
      </c>
      <c r="M3176" s="31" t="inlineStr">
        <is>
          <t>S3</t>
        </is>
      </c>
      <c r="N3176" s="31" t="inlineStr">
        <is>
          <t>S5</t>
        </is>
      </c>
      <c r="O3176" s="31" t="inlineStr">
        <is>
          <t>337-006-168-0</t>
        </is>
      </c>
      <c r="P3176" s="31" t="inlineStr">
        <is>
          <t>SRTAS</t>
        </is>
      </c>
    </row>
    <row r="3177">
      <c r="B3177" s="31" t="inlineStr">
        <is>
          <t>CFM56-7B</t>
        </is>
      </c>
      <c r="C3177" s="31" t="inlineStr">
        <is>
          <t>2025-2026</t>
        </is>
      </c>
      <c r="D3177" s="31" t="inlineStr">
        <is>
          <t>636114</t>
        </is>
      </c>
      <c r="E3177" s="31" t="inlineStr">
        <is>
          <t>72-23-03</t>
        </is>
      </c>
      <c r="F3177" s="31" t="inlineStr">
        <is>
          <t>E</t>
        </is>
      </c>
      <c r="G3177" s="31" t="inlineStr">
        <is>
          <t>Fan / booster</t>
        </is>
      </c>
      <c r="H3177" s="27" t="n">
        <v>280</v>
      </c>
      <c r="I3177" s="27" t="n">
        <v>300</v>
      </c>
      <c r="J3177" s="154">
        <f>I3177/H3177-1</f>
        <v/>
      </c>
      <c r="K3177" s="31" t="inlineStr">
        <is>
          <t>24</t>
        </is>
      </c>
      <c r="L3177" s="31" t="inlineStr">
        <is>
          <t>24</t>
        </is>
      </c>
      <c r="M3177" s="31" t="inlineStr">
        <is>
          <t>S3</t>
        </is>
      </c>
      <c r="N3177" s="31" t="inlineStr">
        <is>
          <t>S5</t>
        </is>
      </c>
      <c r="O3177" s="31" t="inlineStr">
        <is>
          <t>337-006-168-0</t>
        </is>
      </c>
      <c r="P3177" s="31" t="inlineStr">
        <is>
          <t>SRTAS</t>
        </is>
      </c>
    </row>
    <row r="3178">
      <c r="B3178" s="31" t="inlineStr">
        <is>
          <t>CFM56-7B</t>
        </is>
      </c>
      <c r="C3178" s="31" t="inlineStr">
        <is>
          <t>2025-2026</t>
        </is>
      </c>
      <c r="D3178" s="31" t="inlineStr">
        <is>
          <t>636114</t>
        </is>
      </c>
      <c r="E3178" s="31" t="inlineStr">
        <is>
          <t>72-23-03</t>
        </is>
      </c>
      <c r="F3178" s="31" t="inlineStr">
        <is>
          <t>F</t>
        </is>
      </c>
      <c r="G3178" s="31" t="inlineStr">
        <is>
          <t>Fan / booster</t>
        </is>
      </c>
      <c r="H3178" s="27" t="n">
        <v>390</v>
      </c>
      <c r="I3178" s="27" t="n">
        <v>420</v>
      </c>
      <c r="J3178" s="154">
        <f>I3178/H3178-1</f>
        <v/>
      </c>
      <c r="K3178" s="31" t="inlineStr">
        <is>
          <t>24</t>
        </is>
      </c>
      <c r="L3178" s="31" t="inlineStr">
        <is>
          <t>24</t>
        </is>
      </c>
      <c r="M3178" s="31" t="inlineStr">
        <is>
          <t>S3</t>
        </is>
      </c>
      <c r="N3178" s="31" t="inlineStr">
        <is>
          <t>S5</t>
        </is>
      </c>
      <c r="O3178" s="31" t="inlineStr">
        <is>
          <t>337-006-168-0</t>
        </is>
      </c>
      <c r="P3178" s="31" t="inlineStr">
        <is>
          <t>SRTAS</t>
        </is>
      </c>
    </row>
    <row r="3179">
      <c r="B3179" s="31" t="inlineStr">
        <is>
          <t>CFM56-7B</t>
        </is>
      </c>
      <c r="C3179" s="31" t="inlineStr">
        <is>
          <t>2025-2026</t>
        </is>
      </c>
      <c r="D3179" s="31" t="inlineStr">
        <is>
          <t>636431</t>
        </is>
      </c>
      <c r="E3179" s="31" t="inlineStr">
        <is>
          <t>72-00-54</t>
        </is>
      </c>
      <c r="F3179" s="31" t="inlineStr">
        <is>
          <t>A</t>
        </is>
      </c>
      <c r="G3179" s="31" t="inlineStr">
        <is>
          <t>Other / assembly</t>
        </is>
      </c>
      <c r="H3179" s="27" t="n">
        <v>485</v>
      </c>
      <c r="I3179" s="27" t="n">
        <v>510</v>
      </c>
      <c r="J3179" s="154">
        <f>I3179/H3179-1</f>
        <v/>
      </c>
      <c r="K3179" s="31" t="inlineStr">
        <is>
          <t>54</t>
        </is>
      </c>
      <c r="L3179" s="31" t="inlineStr">
        <is>
          <t>53</t>
        </is>
      </c>
      <c r="M3179" s="31" t="inlineStr">
        <is>
          <t>S3</t>
        </is>
      </c>
      <c r="N3179" s="31" t="inlineStr">
        <is>
          <t>S5</t>
        </is>
      </c>
      <c r="O3179" s="31" t="inlineStr">
        <is>
          <t>338-071-201-0</t>
        </is>
      </c>
      <c r="P3179" s="31" t="inlineStr">
        <is>
          <t>SR Technics Switzerland</t>
        </is>
      </c>
    </row>
    <row r="3180">
      <c r="B3180" s="31" t="inlineStr">
        <is>
          <t>CFM56-7B</t>
        </is>
      </c>
      <c r="C3180" s="31" t="inlineStr">
        <is>
          <t>2025-2026</t>
        </is>
      </c>
      <c r="D3180" s="31" t="inlineStr">
        <is>
          <t>636431</t>
        </is>
      </c>
      <c r="E3180" s="31" t="inlineStr">
        <is>
          <t>72-00-54</t>
        </is>
      </c>
      <c r="F3180" s="31" t="inlineStr">
        <is>
          <t>B</t>
        </is>
      </c>
      <c r="G3180" s="31" t="inlineStr">
        <is>
          <t>Other / assembly</t>
        </is>
      </c>
      <c r="H3180" s="27" t="n">
        <v>165</v>
      </c>
      <c r="I3180" s="27" t="n">
        <v>175</v>
      </c>
      <c r="J3180" s="154">
        <f>I3180/H3180-1</f>
        <v/>
      </c>
      <c r="K3180" s="31" t="inlineStr">
        <is>
          <t>54</t>
        </is>
      </c>
      <c r="L3180" s="31" t="inlineStr">
        <is>
          <t>53</t>
        </is>
      </c>
      <c r="M3180" s="31" t="inlineStr">
        <is>
          <t>S3</t>
        </is>
      </c>
      <c r="N3180" s="31" t="inlineStr">
        <is>
          <t>S5</t>
        </is>
      </c>
      <c r="O3180" s="31" t="inlineStr">
        <is>
          <t>338-071-201-0</t>
        </is>
      </c>
      <c r="P3180" s="31" t="inlineStr">
        <is>
          <t>SR Technics Switzerland</t>
        </is>
      </c>
    </row>
    <row r="3181">
      <c r="B3181" s="31" t="inlineStr">
        <is>
          <t>CFM56-7B</t>
        </is>
      </c>
      <c r="C3181" s="31" t="inlineStr">
        <is>
          <t>2025-2026</t>
        </is>
      </c>
      <c r="D3181" s="31" t="inlineStr">
        <is>
          <t>636432</t>
        </is>
      </c>
      <c r="E3181" s="31" t="inlineStr">
        <is>
          <t>72-00-55</t>
        </is>
      </c>
      <c r="F3181" s="31" t="inlineStr">
        <is>
          <t>A</t>
        </is>
      </c>
      <c r="G3181" s="31" t="inlineStr">
        <is>
          <t>Other / assembly</t>
        </is>
      </c>
      <c r="H3181" s="27" t="n">
        <v>410</v>
      </c>
      <c r="I3181" s="27" t="n">
        <v>435</v>
      </c>
      <c r="J3181" s="154">
        <f>I3181/H3181-1</f>
        <v/>
      </c>
      <c r="K3181" s="31" t="inlineStr">
        <is>
          <t>54</t>
        </is>
      </c>
      <c r="L3181" s="31" t="inlineStr">
        <is>
          <t>53</t>
        </is>
      </c>
      <c r="M3181" s="31" t="inlineStr">
        <is>
          <t>S3</t>
        </is>
      </c>
      <c r="N3181" s="31" t="inlineStr">
        <is>
          <t>S5</t>
        </is>
      </c>
      <c r="O3181" s="31" t="inlineStr">
        <is>
          <t>338-071-301-0</t>
        </is>
      </c>
      <c r="P3181" s="31" t="inlineStr">
        <is>
          <t>SR Technics Switzerland</t>
        </is>
      </c>
    </row>
    <row r="3182">
      <c r="B3182" s="31" t="inlineStr">
        <is>
          <t>CFM56-7B</t>
        </is>
      </c>
      <c r="C3182" s="31" t="inlineStr">
        <is>
          <t>2025-2026</t>
        </is>
      </c>
      <c r="D3182" s="31" t="inlineStr">
        <is>
          <t>636432</t>
        </is>
      </c>
      <c r="E3182" s="31" t="inlineStr">
        <is>
          <t>72-00-55</t>
        </is>
      </c>
      <c r="F3182" s="31" t="inlineStr">
        <is>
          <t>B</t>
        </is>
      </c>
      <c r="G3182" s="31" t="inlineStr">
        <is>
          <t>Other / assembly</t>
        </is>
      </c>
      <c r="H3182" s="27" t="n">
        <v>495</v>
      </c>
      <c r="I3182" s="27" t="n">
        <v>525</v>
      </c>
      <c r="J3182" s="154">
        <f>I3182/H3182-1</f>
        <v/>
      </c>
      <c r="K3182" s="31" t="inlineStr">
        <is>
          <t>54</t>
        </is>
      </c>
      <c r="L3182" s="31" t="inlineStr">
        <is>
          <t>53</t>
        </is>
      </c>
      <c r="M3182" s="31" t="inlineStr">
        <is>
          <t>S3</t>
        </is>
      </c>
      <c r="N3182" s="31" t="inlineStr">
        <is>
          <t>S5</t>
        </is>
      </c>
      <c r="O3182" s="31" t="inlineStr">
        <is>
          <t>338-071-301-0</t>
        </is>
      </c>
      <c r="P3182" s="31" t="inlineStr">
        <is>
          <t>SR Technics Switzerland</t>
        </is>
      </c>
    </row>
    <row r="3183">
      <c r="B3183" s="31" t="inlineStr">
        <is>
          <t>CFM56-7B</t>
        </is>
      </c>
      <c r="C3183" s="31" t="inlineStr">
        <is>
          <t>2025-2026</t>
        </is>
      </c>
      <c r="D3183" s="31" t="inlineStr">
        <is>
          <t>636432</t>
        </is>
      </c>
      <c r="E3183" s="31" t="inlineStr">
        <is>
          <t>72-00-55</t>
        </is>
      </c>
      <c r="F3183" s="31" t="inlineStr">
        <is>
          <t>K</t>
        </is>
      </c>
      <c r="G3183" s="31" t="inlineStr">
        <is>
          <t>Other / assembly</t>
        </is>
      </c>
      <c r="H3183" s="27" t="n">
        <v>325</v>
      </c>
      <c r="I3183" s="27" t="n">
        <v>345</v>
      </c>
      <c r="J3183" s="154">
        <f>I3183/H3183-1</f>
        <v/>
      </c>
      <c r="K3183" s="31" t="inlineStr">
        <is>
          <t>54</t>
        </is>
      </c>
      <c r="L3183" s="31" t="inlineStr">
        <is>
          <t>53</t>
        </is>
      </c>
      <c r="M3183" s="31" t="inlineStr">
        <is>
          <t>S3</t>
        </is>
      </c>
      <c r="N3183" s="31" t="inlineStr">
        <is>
          <t>S5</t>
        </is>
      </c>
      <c r="O3183" s="31" t="inlineStr">
        <is>
          <t>338-071-301-0</t>
        </is>
      </c>
      <c r="P3183" s="31" t="inlineStr">
        <is>
          <t>SR Technics Switzerland</t>
        </is>
      </c>
    </row>
    <row r="3184">
      <c r="B3184" s="31" t="inlineStr">
        <is>
          <t>CFM56-7B</t>
        </is>
      </c>
      <c r="C3184" s="31" t="inlineStr">
        <is>
          <t>2025-2026</t>
        </is>
      </c>
      <c r="D3184" s="31" t="inlineStr">
        <is>
          <t>636432</t>
        </is>
      </c>
      <c r="E3184" s="31" t="inlineStr">
        <is>
          <t>72-00-55</t>
        </is>
      </c>
      <c r="F3184" s="31" t="inlineStr">
        <is>
          <t>O</t>
        </is>
      </c>
      <c r="G3184" s="31" t="inlineStr">
        <is>
          <t>Other / assembly</t>
        </is>
      </c>
      <c r="H3184" s="27" t="n">
        <v>510</v>
      </c>
      <c r="I3184" s="27" t="n">
        <v>545</v>
      </c>
      <c r="J3184" s="154">
        <f>I3184/H3184-1</f>
        <v/>
      </c>
      <c r="K3184" s="31" t="inlineStr">
        <is>
          <t>54</t>
        </is>
      </c>
      <c r="L3184" s="31" t="inlineStr">
        <is>
          <t>53</t>
        </is>
      </c>
      <c r="M3184" s="31" t="inlineStr">
        <is>
          <t>S3</t>
        </is>
      </c>
      <c r="N3184" s="31" t="inlineStr">
        <is>
          <t>S5</t>
        </is>
      </c>
      <c r="O3184" s="31" t="inlineStr">
        <is>
          <t>338-071-301-0</t>
        </is>
      </c>
      <c r="P3184" s="31" t="inlineStr">
        <is>
          <t>SR Technics Switzerland</t>
        </is>
      </c>
    </row>
    <row r="3185">
      <c r="B3185" s="31" t="inlineStr">
        <is>
          <t>CFM56-7B</t>
        </is>
      </c>
      <c r="C3185" s="31" t="inlineStr">
        <is>
          <t>2025-2026</t>
        </is>
      </c>
      <c r="D3185" s="31" t="inlineStr">
        <is>
          <t>636616</t>
        </is>
      </c>
      <c r="E3185" s="31" t="inlineStr">
        <is>
          <t>72-54-07</t>
        </is>
      </c>
      <c r="F3185" s="31" t="inlineStr">
        <is>
          <t>A</t>
        </is>
      </c>
      <c r="G3185" s="31" t="inlineStr">
        <is>
          <t>LPT</t>
        </is>
      </c>
      <c r="H3185" s="27" t="n">
        <v>415</v>
      </c>
      <c r="I3185" s="27" t="n">
        <v>440</v>
      </c>
      <c r="J3185" s="154">
        <f>I3185/H3185-1</f>
        <v/>
      </c>
      <c r="K3185" s="31" t="inlineStr">
        <is>
          <t>54</t>
        </is>
      </c>
      <c r="L3185" s="31" t="inlineStr">
        <is>
          <t>54</t>
        </is>
      </c>
      <c r="M3185" s="31" t="inlineStr">
        <is>
          <t>S3</t>
        </is>
      </c>
      <c r="N3185" s="31" t="inlineStr">
        <is>
          <t>S5</t>
        </is>
      </c>
      <c r="O3185" s="31" t="inlineStr">
        <is>
          <t>338-118-004-0</t>
        </is>
      </c>
      <c r="P3185" s="31" t="inlineStr">
        <is>
          <t>SR Technics Switzerland</t>
        </is>
      </c>
    </row>
    <row r="3186">
      <c r="B3186" s="31" t="inlineStr">
        <is>
          <t>CFM56-7B</t>
        </is>
      </c>
      <c r="C3186" s="31" t="inlineStr">
        <is>
          <t>2025-2026</t>
        </is>
      </c>
      <c r="D3186" s="31" t="inlineStr">
        <is>
          <t>636616</t>
        </is>
      </c>
      <c r="E3186" s="31" t="inlineStr">
        <is>
          <t>72-54-07</t>
        </is>
      </c>
      <c r="F3186" s="31" t="inlineStr">
        <is>
          <t>B</t>
        </is>
      </c>
      <c r="G3186" s="31" t="inlineStr">
        <is>
          <t>LPT</t>
        </is>
      </c>
      <c r="H3186" s="27" t="n">
        <v>1080</v>
      </c>
      <c r="I3186" s="27" t="n">
        <v>1145</v>
      </c>
      <c r="J3186" s="154">
        <f>I3186/H3186-1</f>
        <v/>
      </c>
      <c r="K3186" s="31" t="inlineStr">
        <is>
          <t>55</t>
        </is>
      </c>
      <c r="L3186" s="31" t="inlineStr">
        <is>
          <t>54</t>
        </is>
      </c>
      <c r="M3186" s="31" t="inlineStr">
        <is>
          <t>S3</t>
        </is>
      </c>
      <c r="N3186" s="31" t="inlineStr">
        <is>
          <t>S5</t>
        </is>
      </c>
      <c r="O3186" s="31" t="inlineStr">
        <is>
          <t>338-118-004-0</t>
        </is>
      </c>
      <c r="P3186" s="31" t="inlineStr">
        <is>
          <t>SR Technics Switzerland</t>
        </is>
      </c>
    </row>
    <row r="3187">
      <c r="B3187" s="31" t="inlineStr">
        <is>
          <t>CFM56-7B</t>
        </is>
      </c>
      <c r="C3187" s="31" t="inlineStr">
        <is>
          <t>2025-2026</t>
        </is>
      </c>
      <c r="D3187" s="31" t="inlineStr">
        <is>
          <t>640894</t>
        </is>
      </c>
      <c r="E3187" s="31" t="inlineStr">
        <is>
          <t>72-09-03</t>
        </is>
      </c>
      <c r="F3187" s="31" t="inlineStr">
        <is>
          <t>B</t>
        </is>
      </c>
      <c r="G3187" s="31" t="inlineStr">
        <is>
          <t>Other / assembly</t>
        </is>
      </c>
      <c r="H3187" s="27" t="n">
        <v>240</v>
      </c>
      <c r="I3187" s="27" t="n">
        <v>255</v>
      </c>
      <c r="J3187" s="154">
        <f>I3187/H3187-1</f>
        <v/>
      </c>
      <c r="K3187" s="31" t="inlineStr">
        <is>
          <t>55</t>
        </is>
      </c>
      <c r="L3187" s="31" t="inlineStr">
        <is>
          <t>54</t>
        </is>
      </c>
      <c r="M3187" s="31" t="inlineStr">
        <is>
          <t>S3</t>
        </is>
      </c>
      <c r="N3187" s="31" t="inlineStr">
        <is>
          <t>S5</t>
        </is>
      </c>
      <c r="O3187" s="31" t="inlineStr">
        <is>
          <t>1444M33G02</t>
        </is>
      </c>
      <c r="P3187" s="31" t="inlineStr">
        <is>
          <t>SR Technics Switzerland</t>
        </is>
      </c>
    </row>
    <row r="3188">
      <c r="B3188" s="31" t="inlineStr">
        <is>
          <t>CFM56-7B</t>
        </is>
      </c>
      <c r="C3188" s="31" t="inlineStr">
        <is>
          <t>2025-2026</t>
        </is>
      </c>
      <c r="D3188" s="31" t="inlineStr">
        <is>
          <t>640894</t>
        </is>
      </c>
      <c r="E3188" s="31" t="inlineStr">
        <is>
          <t>72-09-03</t>
        </is>
      </c>
      <c r="F3188" s="31" t="inlineStr">
        <is>
          <t>G</t>
        </is>
      </c>
      <c r="G3188" s="31" t="inlineStr">
        <is>
          <t>Other / assembly</t>
        </is>
      </c>
      <c r="H3188" s="27" t="n">
        <v>405</v>
      </c>
      <c r="I3188" s="27" t="n">
        <v>430</v>
      </c>
      <c r="J3188" s="154">
        <f>I3188/H3188-1</f>
        <v/>
      </c>
      <c r="K3188" s="31" t="inlineStr">
        <is>
          <t>55</t>
        </is>
      </c>
      <c r="L3188" s="31" t="inlineStr">
        <is>
          <t>54</t>
        </is>
      </c>
      <c r="M3188" s="31" t="inlineStr">
        <is>
          <t>S3</t>
        </is>
      </c>
      <c r="N3188" s="31" t="inlineStr">
        <is>
          <t>S5</t>
        </is>
      </c>
      <c r="O3188" s="31" t="inlineStr">
        <is>
          <t>1444M33G02</t>
        </is>
      </c>
      <c r="P3188" s="31" t="inlineStr">
        <is>
          <t>SR Technics Switzerland</t>
        </is>
      </c>
    </row>
    <row r="3189">
      <c r="B3189" s="31" t="inlineStr">
        <is>
          <t>CFM56-7B</t>
        </is>
      </c>
      <c r="C3189" s="31" t="inlineStr">
        <is>
          <t>2025-2026</t>
        </is>
      </c>
      <c r="D3189" s="31" t="inlineStr">
        <is>
          <t>640894</t>
        </is>
      </c>
      <c r="E3189" s="31" t="inlineStr">
        <is>
          <t>72-09-03</t>
        </is>
      </c>
      <c r="F3189" s="31" t="inlineStr">
        <is>
          <t>H</t>
        </is>
      </c>
      <c r="G3189" s="31" t="inlineStr">
        <is>
          <t>Other / assembly</t>
        </is>
      </c>
      <c r="H3189" s="27" t="n">
        <v>405</v>
      </c>
      <c r="I3189" s="27" t="n">
        <v>430</v>
      </c>
      <c r="J3189" s="154">
        <f>I3189/H3189-1</f>
        <v/>
      </c>
      <c r="K3189" s="31" t="inlineStr">
        <is>
          <t>55</t>
        </is>
      </c>
      <c r="L3189" s="31" t="inlineStr">
        <is>
          <t>54</t>
        </is>
      </c>
      <c r="M3189" s="31" t="inlineStr">
        <is>
          <t>S3</t>
        </is>
      </c>
      <c r="N3189" s="31" t="inlineStr">
        <is>
          <t>S5</t>
        </is>
      </c>
      <c r="O3189" s="31" t="inlineStr">
        <is>
          <t>1444M33G02</t>
        </is>
      </c>
      <c r="P3189" s="31" t="inlineStr">
        <is>
          <t>SR Technics Switzerland</t>
        </is>
      </c>
    </row>
    <row r="3190">
      <c r="B3190" s="31" t="inlineStr">
        <is>
          <t>CFM56-7B</t>
        </is>
      </c>
      <c r="C3190" s="31" t="inlineStr">
        <is>
          <t>2025-2026</t>
        </is>
      </c>
      <c r="D3190" s="31" t="inlineStr">
        <is>
          <t>640894</t>
        </is>
      </c>
      <c r="E3190" s="31" t="inlineStr">
        <is>
          <t>72-09-03</t>
        </is>
      </c>
      <c r="F3190" s="31" t="inlineStr">
        <is>
          <t>SB00</t>
        </is>
      </c>
      <c r="G3190" s="31" t="inlineStr">
        <is>
          <t>Other / assembly</t>
        </is>
      </c>
      <c r="H3190" s="27" t="n">
        <v>145</v>
      </c>
      <c r="I3190" s="27" t="n">
        <v>155</v>
      </c>
      <c r="J3190" s="154">
        <f>I3190/H3190-1</f>
        <v/>
      </c>
      <c r="K3190" s="31" t="inlineStr">
        <is>
          <t>55</t>
        </is>
      </c>
      <c r="L3190" s="31" t="inlineStr">
        <is>
          <t>54</t>
        </is>
      </c>
      <c r="M3190" s="31" t="inlineStr">
        <is>
          <t>S3</t>
        </is>
      </c>
      <c r="N3190" s="31" t="inlineStr">
        <is>
          <t>S5</t>
        </is>
      </c>
      <c r="O3190" s="31" t="inlineStr">
        <is>
          <t>1444M33G02</t>
        </is>
      </c>
      <c r="P3190" s="31" t="inlineStr">
        <is>
          <t>SR Technics Switzerland</t>
        </is>
      </c>
    </row>
    <row r="3191">
      <c r="B3191" s="31" t="inlineStr">
        <is>
          <t>CFM56-7B</t>
        </is>
      </c>
      <c r="C3191" s="31" t="inlineStr">
        <is>
          <t>2025-2026</t>
        </is>
      </c>
      <c r="D3191" s="31" t="inlineStr">
        <is>
          <t>640895</t>
        </is>
      </c>
      <c r="E3191" s="31" t="inlineStr">
        <is>
          <t>72-09-03</t>
        </is>
      </c>
      <c r="F3191" s="31" t="inlineStr">
        <is>
          <t>G</t>
        </is>
      </c>
      <c r="G3191" s="31" t="inlineStr">
        <is>
          <t>Other / assembly</t>
        </is>
      </c>
      <c r="H3191" s="27" t="n">
        <v>1205</v>
      </c>
      <c r="I3191" s="27" t="n">
        <v>1280</v>
      </c>
      <c r="J3191" s="154">
        <f>I3191/H3191-1</f>
        <v/>
      </c>
      <c r="K3191" s="31" t="inlineStr">
        <is>
          <t>56</t>
        </is>
      </c>
      <c r="L3191" s="31" t="inlineStr">
        <is>
          <t>55</t>
        </is>
      </c>
      <c r="M3191" s="31" t="inlineStr">
        <is>
          <t>S3</t>
        </is>
      </c>
      <c r="N3191" s="31" t="inlineStr">
        <is>
          <t>S5</t>
        </is>
      </c>
      <c r="O3191" s="31" t="inlineStr">
        <is>
          <t>1324M91G01</t>
        </is>
      </c>
      <c r="P3191" s="31" t="inlineStr">
        <is>
          <t>SR Technics Switzerland</t>
        </is>
      </c>
    </row>
    <row r="3192">
      <c r="B3192" s="31" t="inlineStr">
        <is>
          <t>CFM56-7B</t>
        </is>
      </c>
      <c r="C3192" s="31" t="inlineStr">
        <is>
          <t>2025-2026</t>
        </is>
      </c>
      <c r="D3192" s="31" t="inlineStr">
        <is>
          <t>640895</t>
        </is>
      </c>
      <c r="E3192" s="31" t="inlineStr">
        <is>
          <t>72-09-03</t>
        </is>
      </c>
      <c r="F3192" s="31" t="inlineStr">
        <is>
          <t>SB01</t>
        </is>
      </c>
      <c r="G3192" s="31" t="inlineStr">
        <is>
          <t>Other / assembly</t>
        </is>
      </c>
      <c r="H3192" s="27" t="n">
        <v>510</v>
      </c>
      <c r="I3192" s="27" t="n">
        <v>545</v>
      </c>
      <c r="J3192" s="154">
        <f>I3192/H3192-1</f>
        <v/>
      </c>
      <c r="K3192" s="31" t="inlineStr">
        <is>
          <t>56</t>
        </is>
      </c>
      <c r="L3192" s="31" t="inlineStr">
        <is>
          <t>55</t>
        </is>
      </c>
      <c r="M3192" s="31" t="inlineStr">
        <is>
          <t>S3</t>
        </is>
      </c>
      <c r="N3192" s="31" t="inlineStr">
        <is>
          <t>S5</t>
        </is>
      </c>
      <c r="O3192" s="31" t="inlineStr">
        <is>
          <t>1324M91G01</t>
        </is>
      </c>
      <c r="P3192" s="31" t="inlineStr">
        <is>
          <t>SR Technics Switzerland</t>
        </is>
      </c>
    </row>
    <row r="3193">
      <c r="B3193" s="31" t="inlineStr">
        <is>
          <t>CFM56-7B</t>
        </is>
      </c>
      <c r="C3193" s="31" t="inlineStr">
        <is>
          <t>2025-2026</t>
        </is>
      </c>
      <c r="D3193" s="31" t="inlineStr">
        <is>
          <t>640896</t>
        </is>
      </c>
      <c r="E3193" s="31" t="inlineStr">
        <is>
          <t>72-09-03</t>
        </is>
      </c>
      <c r="F3193" s="31" t="inlineStr">
        <is>
          <t>G</t>
        </is>
      </c>
      <c r="G3193" s="31" t="inlineStr">
        <is>
          <t>Other / assembly</t>
        </is>
      </c>
      <c r="H3193" s="27" t="n">
        <v>2225</v>
      </c>
      <c r="I3193" s="27" t="n">
        <v>2360</v>
      </c>
      <c r="J3193" s="154">
        <f>I3193/H3193-1</f>
        <v/>
      </c>
      <c r="K3193" s="31" t="inlineStr">
        <is>
          <t>60</t>
        </is>
      </c>
      <c r="L3193" s="31" t="inlineStr">
        <is>
          <t>59</t>
        </is>
      </c>
      <c r="M3193" s="31" t="inlineStr">
        <is>
          <t>S3</t>
        </is>
      </c>
      <c r="N3193" s="31" t="inlineStr">
        <is>
          <t>S5</t>
        </is>
      </c>
      <c r="O3193" s="31" t="inlineStr">
        <is>
          <t>1605M10G02</t>
        </is>
      </c>
      <c r="P3193" s="31" t="inlineStr">
        <is>
          <t>SR Technics Switzerland</t>
        </is>
      </c>
    </row>
    <row r="3194">
      <c r="B3194" s="31" t="inlineStr">
        <is>
          <t>CFM56-7B</t>
        </is>
      </c>
      <c r="C3194" s="31" t="inlineStr">
        <is>
          <t>2025-2026</t>
        </is>
      </c>
      <c r="D3194" s="31" t="inlineStr">
        <is>
          <t>640897</t>
        </is>
      </c>
      <c r="E3194" s="31" t="inlineStr">
        <is>
          <t>72-09-03</t>
        </is>
      </c>
      <c r="F3194" s="31" t="inlineStr">
        <is>
          <t>G</t>
        </is>
      </c>
      <c r="G3194" s="31" t="inlineStr">
        <is>
          <t>Other / assembly</t>
        </is>
      </c>
      <c r="H3194" s="27" t="n">
        <v>5050</v>
      </c>
      <c r="I3194" s="27" t="n">
        <v>5355</v>
      </c>
      <c r="J3194" s="154">
        <f>I3194/H3194-1</f>
        <v/>
      </c>
      <c r="K3194" s="31" t="inlineStr">
        <is>
          <t>62</t>
        </is>
      </c>
      <c r="L3194" s="31" t="inlineStr">
        <is>
          <t>61</t>
        </is>
      </c>
      <c r="M3194" s="31" t="inlineStr">
        <is>
          <t>S3</t>
        </is>
      </c>
      <c r="N3194" s="31" t="inlineStr">
        <is>
          <t>S5</t>
        </is>
      </c>
      <c r="O3194" s="31" t="inlineStr">
        <is>
          <t>1645M25G03</t>
        </is>
      </c>
      <c r="P3194" s="31" t="inlineStr">
        <is>
          <t>SR Technics Switzerland</t>
        </is>
      </c>
    </row>
    <row r="3195">
      <c r="B3195" s="31" t="inlineStr">
        <is>
          <t>CFM56-7B</t>
        </is>
      </c>
      <c r="C3195" s="31" t="inlineStr">
        <is>
          <t>2025-2026</t>
        </is>
      </c>
      <c r="D3195" s="31" t="inlineStr">
        <is>
          <t>640897</t>
        </is>
      </c>
      <c r="E3195" s="31" t="inlineStr">
        <is>
          <t>72-09-03</t>
        </is>
      </c>
      <c r="F3195" s="31" t="inlineStr">
        <is>
          <t>SB00</t>
        </is>
      </c>
      <c r="G3195" s="31" t="inlineStr">
        <is>
          <t>Other / assembly</t>
        </is>
      </c>
      <c r="H3195" s="27" t="n">
        <v>495</v>
      </c>
      <c r="I3195" s="27" t="n">
        <v>525</v>
      </c>
      <c r="J3195" s="154">
        <f>I3195/H3195-1</f>
        <v/>
      </c>
      <c r="K3195" s="31" t="inlineStr">
        <is>
          <t>62</t>
        </is>
      </c>
      <c r="L3195" s="31" t="inlineStr">
        <is>
          <t>61</t>
        </is>
      </c>
      <c r="M3195" s="31" t="inlineStr">
        <is>
          <t>S3</t>
        </is>
      </c>
      <c r="N3195" s="31" t="inlineStr">
        <is>
          <t>S5</t>
        </is>
      </c>
      <c r="O3195" s="31" t="inlineStr">
        <is>
          <t>1645M25G03</t>
        </is>
      </c>
      <c r="P3195" s="31" t="inlineStr">
        <is>
          <t>SR Technics Switzerland</t>
        </is>
      </c>
    </row>
    <row r="3196">
      <c r="B3196" s="31" t="inlineStr">
        <is>
          <t>CFM56-7B</t>
        </is>
      </c>
      <c r="C3196" s="31" t="inlineStr">
        <is>
          <t>2025-2026</t>
        </is>
      </c>
      <c r="D3196" s="31" t="inlineStr">
        <is>
          <t>640897</t>
        </is>
      </c>
      <c r="E3196" s="31" t="inlineStr">
        <is>
          <t>72-09-03</t>
        </is>
      </c>
      <c r="F3196" s="31" t="inlineStr">
        <is>
          <t>U</t>
        </is>
      </c>
      <c r="G3196" s="31" t="inlineStr">
        <is>
          <t>Other / assembly</t>
        </is>
      </c>
      <c r="H3196" s="27" t="n">
        <v>145</v>
      </c>
      <c r="I3196" s="27" t="n">
        <v>155</v>
      </c>
      <c r="J3196" s="154">
        <f>I3196/H3196-1</f>
        <v/>
      </c>
      <c r="K3196" s="31" t="inlineStr">
        <is>
          <t>62</t>
        </is>
      </c>
      <c r="L3196" s="31" t="inlineStr">
        <is>
          <t>61</t>
        </is>
      </c>
      <c r="M3196" s="31" t="inlineStr">
        <is>
          <t>S3</t>
        </is>
      </c>
      <c r="N3196" s="31" t="inlineStr">
        <is>
          <t>S5</t>
        </is>
      </c>
      <c r="O3196" s="31" t="inlineStr">
        <is>
          <t>1645M25G03</t>
        </is>
      </c>
      <c r="P3196" s="31" t="inlineStr">
        <is>
          <t>SR Technics Switzerland</t>
        </is>
      </c>
    </row>
    <row r="3197">
      <c r="B3197" s="31" t="inlineStr">
        <is>
          <t>CFM56-7B</t>
        </is>
      </c>
      <c r="C3197" s="31" t="inlineStr">
        <is>
          <t>2025-2026</t>
        </is>
      </c>
      <c r="D3197" s="31" t="inlineStr">
        <is>
          <t>640950</t>
        </is>
      </c>
      <c r="E3197" s="31" t="inlineStr">
        <is>
          <t>72-09-01</t>
        </is>
      </c>
      <c r="F3197" s="31" t="inlineStr">
        <is>
          <t>A</t>
        </is>
      </c>
      <c r="G3197" s="31" t="inlineStr">
        <is>
          <t>Other / assembly</t>
        </is>
      </c>
      <c r="H3197" s="27" t="n">
        <v>1055</v>
      </c>
      <c r="I3197" s="27" t="n">
        <v>1110</v>
      </c>
      <c r="J3197" s="154">
        <f>I3197/H3197-1</f>
        <v/>
      </c>
      <c r="K3197" s="31" t="inlineStr">
        <is>
          <t>63</t>
        </is>
      </c>
      <c r="L3197" s="31" t="inlineStr">
        <is>
          <t>62</t>
        </is>
      </c>
      <c r="M3197" s="31" t="inlineStr">
        <is>
          <t>S3</t>
        </is>
      </c>
      <c r="N3197" s="31" t="inlineStr">
        <is>
          <t>S5</t>
        </is>
      </c>
      <c r="O3197" s="31" t="inlineStr">
        <is>
          <t>305-364-002-0</t>
        </is>
      </c>
      <c r="P3197" s="31" t="inlineStr">
        <is>
          <t>SR Technics Switzerland</t>
        </is>
      </c>
    </row>
    <row r="3198">
      <c r="B3198" s="31" t="inlineStr">
        <is>
          <t>CFM56-7B</t>
        </is>
      </c>
      <c r="C3198" s="31" t="inlineStr">
        <is>
          <t>2025-2026</t>
        </is>
      </c>
      <c r="D3198" s="31" t="inlineStr">
        <is>
          <t>640951</t>
        </is>
      </c>
      <c r="E3198" s="31" t="inlineStr">
        <is>
          <t>72-09-01</t>
        </is>
      </c>
      <c r="F3198" s="31" t="inlineStr">
        <is>
          <t>A</t>
        </is>
      </c>
      <c r="G3198" s="31" t="inlineStr">
        <is>
          <t>Other / assembly</t>
        </is>
      </c>
      <c r="H3198" s="27" t="n">
        <v>1055</v>
      </c>
      <c r="I3198" s="27" t="n">
        <v>1110</v>
      </c>
      <c r="J3198" s="154">
        <f>I3198/H3198-1</f>
        <v/>
      </c>
      <c r="K3198" s="31" t="inlineStr">
        <is>
          <t>63</t>
        </is>
      </c>
      <c r="L3198" s="31" t="inlineStr">
        <is>
          <t>62</t>
        </is>
      </c>
      <c r="M3198" s="31" t="inlineStr">
        <is>
          <t>S3</t>
        </is>
      </c>
      <c r="N3198" s="31" t="inlineStr">
        <is>
          <t>S5</t>
        </is>
      </c>
      <c r="O3198" s="31" t="inlineStr">
        <is>
          <t>305-365-702-0</t>
        </is>
      </c>
      <c r="P3198" s="31" t="inlineStr">
        <is>
          <t>SR Technics Switzerland</t>
        </is>
      </c>
    </row>
    <row r="3199">
      <c r="B3199" s="31" t="inlineStr">
        <is>
          <t>CFM56-7B</t>
        </is>
      </c>
      <c r="C3199" s="31" t="inlineStr">
        <is>
          <t>2025-2026</t>
        </is>
      </c>
      <c r="D3199" s="31" t="inlineStr">
        <is>
          <t>640952</t>
        </is>
      </c>
      <c r="E3199" s="31" t="inlineStr">
        <is>
          <t>72-09-01</t>
        </is>
      </c>
      <c r="F3199" s="31" t="inlineStr">
        <is>
          <t>SB02</t>
        </is>
      </c>
      <c r="G3199" s="31" t="inlineStr">
        <is>
          <t>Other / assembly</t>
        </is>
      </c>
      <c r="H3199" s="27" t="n">
        <v>510</v>
      </c>
      <c r="I3199" s="27" t="n">
        <v>545</v>
      </c>
      <c r="J3199" s="154">
        <f>I3199/H3199-1</f>
        <v/>
      </c>
      <c r="K3199" s="31" t="inlineStr">
        <is>
          <t>63</t>
        </is>
      </c>
      <c r="L3199" s="31" t="inlineStr">
        <is>
          <t>62</t>
        </is>
      </c>
      <c r="M3199" s="31" t="inlineStr">
        <is>
          <t>S3</t>
        </is>
      </c>
      <c r="N3199" s="31" t="inlineStr">
        <is>
          <t>S5</t>
        </is>
      </c>
      <c r="O3199" s="31" t="inlineStr">
        <is>
          <t>1361M71P02</t>
        </is>
      </c>
      <c r="P3199" s="31" t="inlineStr">
        <is>
          <t>SR Technics Switzerland</t>
        </is>
      </c>
    </row>
    <row r="3200">
      <c r="B3200" s="31" t="inlineStr">
        <is>
          <t>CFM56-7B</t>
        </is>
      </c>
      <c r="C3200" s="31" t="inlineStr">
        <is>
          <t>2025-2026</t>
        </is>
      </c>
      <c r="D3200" s="31" t="inlineStr">
        <is>
          <t>640953</t>
        </is>
      </c>
      <c r="E3200" s="31" t="inlineStr">
        <is>
          <t>72-09-01</t>
        </is>
      </c>
      <c r="F3200" s="31" t="inlineStr">
        <is>
          <t>SB00</t>
        </is>
      </c>
      <c r="G3200" s="31" t="inlineStr">
        <is>
          <t>Other / assembly</t>
        </is>
      </c>
      <c r="H3200" s="27" t="n">
        <v>495</v>
      </c>
      <c r="I3200" s="27" t="n">
        <v>525</v>
      </c>
      <c r="J3200" s="154">
        <f>I3200/H3200-1</f>
        <v/>
      </c>
      <c r="K3200" s="31" t="inlineStr">
        <is>
          <t>63</t>
        </is>
      </c>
      <c r="L3200" s="31" t="inlineStr">
        <is>
          <t>63</t>
        </is>
      </c>
      <c r="M3200" s="31" t="inlineStr">
        <is>
          <t>S3</t>
        </is>
      </c>
      <c r="N3200" s="31" t="inlineStr">
        <is>
          <t>S5</t>
        </is>
      </c>
      <c r="O3200" s="31" t="inlineStr">
        <is>
          <t>305-351-905-0</t>
        </is>
      </c>
      <c r="P3200" s="31" t="inlineStr">
        <is>
          <t>SR Technics Switzerland</t>
        </is>
      </c>
    </row>
    <row r="3201">
      <c r="B3201" s="31" t="inlineStr">
        <is>
          <t>CFM56-7B</t>
        </is>
      </c>
      <c r="C3201" s="31" t="inlineStr">
        <is>
          <t>2025-2026</t>
        </is>
      </c>
      <c r="D3201" s="31" t="inlineStr">
        <is>
          <t>640954</t>
        </is>
      </c>
      <c r="E3201" s="31" t="inlineStr">
        <is>
          <t>72-09-01</t>
        </is>
      </c>
      <c r="F3201" s="31" t="inlineStr">
        <is>
          <t>A</t>
        </is>
      </c>
      <c r="G3201" s="31" t="inlineStr">
        <is>
          <t>Other / assembly</t>
        </is>
      </c>
      <c r="H3201" s="27" t="n">
        <v>1195</v>
      </c>
      <c r="I3201" s="27" t="n">
        <v>1255</v>
      </c>
      <c r="J3201" s="154">
        <f>I3201/H3201-1</f>
        <v/>
      </c>
      <c r="K3201" s="31" t="inlineStr">
        <is>
          <t>64</t>
        </is>
      </c>
      <c r="L3201" s="31" t="inlineStr">
        <is>
          <t>63</t>
        </is>
      </c>
      <c r="M3201" s="31" t="inlineStr">
        <is>
          <t>S3</t>
        </is>
      </c>
      <c r="N3201" s="31" t="inlineStr">
        <is>
          <t>S5</t>
        </is>
      </c>
      <c r="O3201" s="31" t="inlineStr">
        <is>
          <t>305-355-717-0</t>
        </is>
      </c>
      <c r="P3201" s="31" t="inlineStr">
        <is>
          <t>SR Technics Switzerland</t>
        </is>
      </c>
    </row>
    <row r="3202">
      <c r="B3202" s="31" t="inlineStr">
        <is>
          <t>CFM56-7B</t>
        </is>
      </c>
      <c r="C3202" s="31" t="inlineStr">
        <is>
          <t>2025-2026</t>
        </is>
      </c>
      <c r="D3202" s="31" t="inlineStr">
        <is>
          <t>640954</t>
        </is>
      </c>
      <c r="E3202" s="31" t="inlineStr">
        <is>
          <t>72-09-01</t>
        </is>
      </c>
      <c r="F3202" s="31" t="inlineStr">
        <is>
          <t>SB01</t>
        </is>
      </c>
      <c r="G3202" s="31" t="inlineStr">
        <is>
          <t>Other / assembly</t>
        </is>
      </c>
      <c r="H3202" s="27" t="n">
        <v>275</v>
      </c>
      <c r="I3202" s="27" t="n">
        <v>295</v>
      </c>
      <c r="J3202" s="154">
        <f>I3202/H3202-1</f>
        <v/>
      </c>
      <c r="K3202" s="31" t="inlineStr">
        <is>
          <t>64</t>
        </is>
      </c>
      <c r="L3202" s="31" t="inlineStr">
        <is>
          <t>63</t>
        </is>
      </c>
      <c r="M3202" s="31" t="inlineStr">
        <is>
          <t>S3</t>
        </is>
      </c>
      <c r="N3202" s="31" t="inlineStr">
        <is>
          <t>S5</t>
        </is>
      </c>
      <c r="O3202" s="31" t="inlineStr">
        <is>
          <t>305-355-717-0</t>
        </is>
      </c>
      <c r="P3202" s="31" t="inlineStr">
        <is>
          <t>SR Technics Switzerland</t>
        </is>
      </c>
    </row>
    <row r="3203">
      <c r="B3203" s="31" t="inlineStr">
        <is>
          <t>CFM56-7B</t>
        </is>
      </c>
      <c r="C3203" s="31" t="inlineStr">
        <is>
          <t>2025-2026</t>
        </is>
      </c>
      <c r="D3203" s="31" t="inlineStr">
        <is>
          <t>640954</t>
        </is>
      </c>
      <c r="E3203" s="31" t="inlineStr">
        <is>
          <t>72-09-01</t>
        </is>
      </c>
      <c r="F3203" s="31" t="inlineStr">
        <is>
          <t>SB02</t>
        </is>
      </c>
      <c r="G3203" s="31" t="inlineStr">
        <is>
          <t>Other / assembly</t>
        </is>
      </c>
      <c r="H3203" s="27" t="n">
        <v>275</v>
      </c>
      <c r="I3203" s="27" t="n">
        <v>295</v>
      </c>
      <c r="J3203" s="154">
        <f>I3203/H3203-1</f>
        <v/>
      </c>
      <c r="K3203" s="31" t="inlineStr">
        <is>
          <t>64</t>
        </is>
      </c>
      <c r="L3203" s="31" t="inlineStr">
        <is>
          <t>63</t>
        </is>
      </c>
      <c r="M3203" s="31" t="inlineStr">
        <is>
          <t>S3</t>
        </is>
      </c>
      <c r="N3203" s="31" t="inlineStr">
        <is>
          <t>S5</t>
        </is>
      </c>
      <c r="O3203" s="31" t="inlineStr">
        <is>
          <t>305-355-717-0</t>
        </is>
      </c>
      <c r="P3203" s="31" t="inlineStr">
        <is>
          <t>SR Technics Switzerland</t>
        </is>
      </c>
    </row>
    <row r="3204">
      <c r="B3204" s="31" t="inlineStr">
        <is>
          <t>CFM56-7B</t>
        </is>
      </c>
      <c r="C3204" s="31" t="inlineStr">
        <is>
          <t>2025-2026</t>
        </is>
      </c>
      <c r="D3204" s="31" t="inlineStr">
        <is>
          <t>640954</t>
        </is>
      </c>
      <c r="E3204" s="31" t="inlineStr">
        <is>
          <t>72-09-01</t>
        </is>
      </c>
      <c r="F3204" s="31" t="inlineStr">
        <is>
          <t>SB07</t>
        </is>
      </c>
      <c r="G3204" s="31" t="inlineStr">
        <is>
          <t>Other / assembly</t>
        </is>
      </c>
      <c r="H3204" s="27" t="n">
        <v>275</v>
      </c>
      <c r="I3204" s="27" t="n">
        <v>295</v>
      </c>
      <c r="J3204" s="154">
        <f>I3204/H3204-1</f>
        <v/>
      </c>
      <c r="K3204" s="31" t="inlineStr">
        <is>
          <t>64</t>
        </is>
      </c>
      <c r="L3204" s="31" t="inlineStr">
        <is>
          <t>63</t>
        </is>
      </c>
      <c r="M3204" s="31" t="inlineStr">
        <is>
          <t>S3</t>
        </is>
      </c>
      <c r="N3204" s="31" t="inlineStr">
        <is>
          <t>S5</t>
        </is>
      </c>
      <c r="O3204" s="31" t="inlineStr">
        <is>
          <t>305-355-717-0</t>
        </is>
      </c>
      <c r="P3204" s="31" t="inlineStr">
        <is>
          <t>SR Technics Switzerland</t>
        </is>
      </c>
    </row>
    <row r="3205">
      <c r="B3205" s="31" t="inlineStr">
        <is>
          <t>CFM56-7B</t>
        </is>
      </c>
      <c r="C3205" s="31" t="inlineStr">
        <is>
          <t>2025-2026</t>
        </is>
      </c>
      <c r="D3205" s="31" t="inlineStr">
        <is>
          <t>640954</t>
        </is>
      </c>
      <c r="E3205" s="31" t="inlineStr">
        <is>
          <t>72-09-01</t>
        </is>
      </c>
      <c r="F3205" s="31" t="inlineStr">
        <is>
          <t>SB08</t>
        </is>
      </c>
      <c r="G3205" s="31" t="inlineStr">
        <is>
          <t>Other / assembly</t>
        </is>
      </c>
      <c r="H3205" s="27" t="n">
        <v>275</v>
      </c>
      <c r="I3205" s="27" t="n">
        <v>295</v>
      </c>
      <c r="J3205" s="154">
        <f>I3205/H3205-1</f>
        <v/>
      </c>
      <c r="K3205" s="31" t="inlineStr">
        <is>
          <t>64</t>
        </is>
      </c>
      <c r="L3205" s="31" t="inlineStr">
        <is>
          <t>63</t>
        </is>
      </c>
      <c r="M3205" s="31" t="inlineStr">
        <is>
          <t>S3</t>
        </is>
      </c>
      <c r="N3205" s="31" t="inlineStr">
        <is>
          <t>S5</t>
        </is>
      </c>
      <c r="O3205" s="31" t="inlineStr">
        <is>
          <t>305-355-717-0</t>
        </is>
      </c>
      <c r="P3205" s="31" t="inlineStr">
        <is>
          <t>SR Technics Switzerland</t>
        </is>
      </c>
    </row>
    <row r="3206">
      <c r="B3206" s="31" t="inlineStr">
        <is>
          <t>CFM56-7B</t>
        </is>
      </c>
      <c r="C3206" s="31" t="inlineStr">
        <is>
          <t>2025-2026</t>
        </is>
      </c>
      <c r="D3206" s="31" t="inlineStr">
        <is>
          <t>640954</t>
        </is>
      </c>
      <c r="E3206" s="31" t="inlineStr">
        <is>
          <t>72-09-01</t>
        </is>
      </c>
      <c r="F3206" s="31" t="inlineStr">
        <is>
          <t>SB09</t>
        </is>
      </c>
      <c r="G3206" s="31" t="inlineStr">
        <is>
          <t>Other / assembly</t>
        </is>
      </c>
      <c r="H3206" s="27" t="n">
        <v>275</v>
      </c>
      <c r="I3206" s="27" t="n">
        <v>295</v>
      </c>
      <c r="J3206" s="154">
        <f>I3206/H3206-1</f>
        <v/>
      </c>
      <c r="K3206" s="31" t="inlineStr">
        <is>
          <t>64</t>
        </is>
      </c>
      <c r="L3206" s="31" t="inlineStr">
        <is>
          <t>63</t>
        </is>
      </c>
      <c r="M3206" s="31" t="inlineStr">
        <is>
          <t>S3</t>
        </is>
      </c>
      <c r="N3206" s="31" t="inlineStr">
        <is>
          <t>S5</t>
        </is>
      </c>
      <c r="O3206" s="31" t="inlineStr">
        <is>
          <t>305-355-717-0</t>
        </is>
      </c>
      <c r="P3206" s="31" t="inlineStr">
        <is>
          <t>SR Technics Switzerland</t>
        </is>
      </c>
    </row>
    <row r="3207">
      <c r="B3207" s="31" t="inlineStr">
        <is>
          <t>CFM56-7B</t>
        </is>
      </c>
      <c r="C3207" s="31" t="inlineStr">
        <is>
          <t>2025-2026</t>
        </is>
      </c>
      <c r="D3207" s="31" t="inlineStr">
        <is>
          <t>640954</t>
        </is>
      </c>
      <c r="E3207" s="31" t="inlineStr">
        <is>
          <t>72-09-01</t>
        </is>
      </c>
      <c r="F3207" s="31" t="inlineStr">
        <is>
          <t>SB11</t>
        </is>
      </c>
      <c r="G3207" s="31" t="inlineStr">
        <is>
          <t>Other / assembly</t>
        </is>
      </c>
      <c r="H3207" s="27" t="n">
        <v>275</v>
      </c>
      <c r="I3207" s="27" t="n">
        <v>295</v>
      </c>
      <c r="J3207" s="154">
        <f>I3207/H3207-1</f>
        <v/>
      </c>
      <c r="K3207" s="31" t="inlineStr">
        <is>
          <t>64</t>
        </is>
      </c>
      <c r="L3207" s="31" t="inlineStr">
        <is>
          <t>63</t>
        </is>
      </c>
      <c r="M3207" s="31" t="inlineStr">
        <is>
          <t>S3</t>
        </is>
      </c>
      <c r="N3207" s="31" t="inlineStr">
        <is>
          <t>S5</t>
        </is>
      </c>
      <c r="O3207" s="31" t="inlineStr">
        <is>
          <t>305-355-717-0</t>
        </is>
      </c>
      <c r="P3207" s="31" t="inlineStr">
        <is>
          <t>SR Technics Switzerland</t>
        </is>
      </c>
    </row>
    <row r="3208">
      <c r="B3208" s="31" t="inlineStr">
        <is>
          <t>CFM56-7B</t>
        </is>
      </c>
      <c r="C3208" s="31" t="inlineStr">
        <is>
          <t>2025-2026</t>
        </is>
      </c>
      <c r="D3208" s="31" t="inlineStr">
        <is>
          <t>641535</t>
        </is>
      </c>
      <c r="E3208" s="31" t="inlineStr">
        <is>
          <t>72-51-07</t>
        </is>
      </c>
      <c r="F3208" s="31" t="inlineStr">
        <is>
          <t>A</t>
        </is>
      </c>
      <c r="G3208" s="31" t="inlineStr">
        <is>
          <t>HPT / nozzle</t>
        </is>
      </c>
      <c r="H3208" s="27" t="n">
        <v>1800</v>
      </c>
      <c r="I3208" s="27" t="n">
        <v>1890</v>
      </c>
      <c r="J3208" s="154">
        <f>I3208/H3208-1</f>
        <v/>
      </c>
      <c r="K3208" s="31" t="inlineStr">
        <is>
          <t>64</t>
        </is>
      </c>
      <c r="L3208" s="31" t="inlineStr">
        <is>
          <t>63</t>
        </is>
      </c>
      <c r="M3208" s="31" t="inlineStr">
        <is>
          <t>S3</t>
        </is>
      </c>
      <c r="N3208" s="31" t="inlineStr">
        <is>
          <t>S5</t>
        </is>
      </c>
      <c r="O3208" s="31" t="inlineStr">
        <is>
          <t>1523M41G02</t>
        </is>
      </c>
      <c r="P3208" s="31" t="inlineStr">
        <is>
          <t>SR Technics Switzerland</t>
        </is>
      </c>
    </row>
    <row r="3209">
      <c r="B3209" s="31" t="inlineStr">
        <is>
          <t>CFM56-7B</t>
        </is>
      </c>
      <c r="C3209" s="31" t="inlineStr">
        <is>
          <t>2025-2026</t>
        </is>
      </c>
      <c r="D3209" s="31" t="inlineStr">
        <is>
          <t>641535</t>
        </is>
      </c>
      <c r="E3209" s="31" t="inlineStr">
        <is>
          <t>72-51-07</t>
        </is>
      </c>
      <c r="F3209" s="31" t="inlineStr">
        <is>
          <t>C</t>
        </is>
      </c>
      <c r="G3209" s="31" t="inlineStr">
        <is>
          <t>HPT / nozzle</t>
        </is>
      </c>
      <c r="H3209" s="27" t="n">
        <v>10040</v>
      </c>
      <c r="I3209" s="27" t="n">
        <v>10645</v>
      </c>
      <c r="J3209" s="154">
        <f>I3209/H3209-1</f>
        <v/>
      </c>
      <c r="K3209" s="31" t="inlineStr">
        <is>
          <t>64</t>
        </is>
      </c>
      <c r="L3209" s="31" t="inlineStr">
        <is>
          <t>63</t>
        </is>
      </c>
      <c r="M3209" s="31" t="inlineStr">
        <is>
          <t>S3</t>
        </is>
      </c>
      <c r="N3209" s="31" t="inlineStr">
        <is>
          <t>S5</t>
        </is>
      </c>
      <c r="O3209" s="31" t="inlineStr">
        <is>
          <t>1523M41G02</t>
        </is>
      </c>
      <c r="P3209" s="31" t="inlineStr">
        <is>
          <t>SR Technics Switzerland</t>
        </is>
      </c>
    </row>
    <row r="3210">
      <c r="B3210" s="31" t="inlineStr">
        <is>
          <t>CFM56-7B</t>
        </is>
      </c>
      <c r="C3210" s="31" t="inlineStr">
        <is>
          <t>2025-2026</t>
        </is>
      </c>
      <c r="D3210" s="31" t="inlineStr">
        <is>
          <t>641535</t>
        </is>
      </c>
      <c r="E3210" s="31" t="inlineStr">
        <is>
          <t>72-51-07</t>
        </is>
      </c>
      <c r="F3210" s="31" t="inlineStr">
        <is>
          <t>H</t>
        </is>
      </c>
      <c r="G3210" s="31" t="inlineStr">
        <is>
          <t>HPT / nozzle</t>
        </is>
      </c>
      <c r="H3210" s="27" t="n">
        <v>2660</v>
      </c>
      <c r="I3210" s="27" t="n">
        <v>2820</v>
      </c>
      <c r="J3210" s="154">
        <f>I3210/H3210-1</f>
        <v/>
      </c>
      <c r="K3210" s="31" t="inlineStr">
        <is>
          <t>64</t>
        </is>
      </c>
      <c r="L3210" s="31" t="inlineStr">
        <is>
          <t>63</t>
        </is>
      </c>
      <c r="M3210" s="31" t="inlineStr">
        <is>
          <t>S3</t>
        </is>
      </c>
      <c r="N3210" s="31" t="inlineStr">
        <is>
          <t>S5</t>
        </is>
      </c>
      <c r="O3210" s="31" t="inlineStr">
        <is>
          <t>1523M41G02</t>
        </is>
      </c>
      <c r="P3210" s="31" t="inlineStr">
        <is>
          <t>SR Technics Switzerland</t>
        </is>
      </c>
    </row>
    <row r="3211">
      <c r="B3211" s="31" t="inlineStr">
        <is>
          <t>CFM56-7B</t>
        </is>
      </c>
      <c r="C3211" s="31" t="inlineStr">
        <is>
          <t>2025-2026</t>
        </is>
      </c>
      <c r="D3211" s="31" t="inlineStr">
        <is>
          <t>641535</t>
        </is>
      </c>
      <c r="E3211" s="31" t="inlineStr">
        <is>
          <t>72-51-07</t>
        </is>
      </c>
      <c r="F3211" s="31" t="inlineStr">
        <is>
          <t>M</t>
        </is>
      </c>
      <c r="G3211" s="31" t="inlineStr">
        <is>
          <t>HPT / nozzle</t>
        </is>
      </c>
      <c r="H3211" s="27" t="n">
        <v>2660</v>
      </c>
      <c r="I3211" s="27" t="n">
        <v>2820</v>
      </c>
      <c r="J3211" s="154">
        <f>I3211/H3211-1</f>
        <v/>
      </c>
      <c r="K3211" s="31" t="inlineStr">
        <is>
          <t>64</t>
        </is>
      </c>
      <c r="L3211" s="31" t="inlineStr">
        <is>
          <t>63</t>
        </is>
      </c>
      <c r="M3211" s="31" t="inlineStr">
        <is>
          <t>S3</t>
        </is>
      </c>
      <c r="N3211" s="31" t="inlineStr">
        <is>
          <t>S5</t>
        </is>
      </c>
      <c r="O3211" s="31" t="inlineStr">
        <is>
          <t>1523M41G02</t>
        </is>
      </c>
      <c r="P3211" s="31" t="inlineStr">
        <is>
          <t>SR Technics Switzerland</t>
        </is>
      </c>
    </row>
    <row r="3212">
      <c r="B3212" s="31" t="inlineStr">
        <is>
          <t>CFM56-7B</t>
        </is>
      </c>
      <c r="C3212" s="31" t="inlineStr">
        <is>
          <t>2025-2026</t>
        </is>
      </c>
      <c r="D3212" s="31" t="inlineStr">
        <is>
          <t>641535</t>
        </is>
      </c>
      <c r="E3212" s="31" t="inlineStr">
        <is>
          <t>72-51-07</t>
        </is>
      </c>
      <c r="F3212" s="31" t="inlineStr">
        <is>
          <t>O</t>
        </is>
      </c>
      <c r="G3212" s="31" t="inlineStr">
        <is>
          <t>HPT / nozzle</t>
        </is>
      </c>
      <c r="H3212" s="27" t="n">
        <v>1085</v>
      </c>
      <c r="I3212" s="27" t="n">
        <v>1155</v>
      </c>
      <c r="J3212" s="154">
        <f>I3212/H3212-1</f>
        <v/>
      </c>
      <c r="K3212" s="31" t="inlineStr">
        <is>
          <t>64</t>
        </is>
      </c>
      <c r="L3212" s="31" t="inlineStr">
        <is>
          <t>63</t>
        </is>
      </c>
      <c r="M3212" s="31" t="inlineStr">
        <is>
          <t>S3</t>
        </is>
      </c>
      <c r="N3212" s="31" t="inlineStr">
        <is>
          <t>S5</t>
        </is>
      </c>
      <c r="O3212" s="31" t="inlineStr">
        <is>
          <t>1523M41G02</t>
        </is>
      </c>
      <c r="P3212" s="31" t="inlineStr">
        <is>
          <t>SR Technics Switzerland</t>
        </is>
      </c>
    </row>
    <row r="3213">
      <c r="B3213" s="31" t="inlineStr">
        <is>
          <t>CFM56-7B</t>
        </is>
      </c>
      <c r="C3213" s="31" t="inlineStr">
        <is>
          <t>2025-2026</t>
        </is>
      </c>
      <c r="D3213" s="31" t="inlineStr">
        <is>
          <t>641535</t>
        </is>
      </c>
      <c r="E3213" s="31" t="inlineStr">
        <is>
          <t>72-51-07</t>
        </is>
      </c>
      <c r="F3213" s="31" t="inlineStr">
        <is>
          <t>R</t>
        </is>
      </c>
      <c r="G3213" s="31" t="inlineStr">
        <is>
          <t>HPT / nozzle</t>
        </is>
      </c>
      <c r="H3213" s="27" t="n">
        <v>3040</v>
      </c>
      <c r="I3213" s="27" t="n">
        <v>3225</v>
      </c>
      <c r="J3213" s="154">
        <f>I3213/H3213-1</f>
        <v/>
      </c>
      <c r="K3213" s="31" t="inlineStr">
        <is>
          <t>64</t>
        </is>
      </c>
      <c r="L3213" s="31" t="inlineStr">
        <is>
          <t>63</t>
        </is>
      </c>
      <c r="M3213" s="31" t="inlineStr">
        <is>
          <t>S3</t>
        </is>
      </c>
      <c r="N3213" s="31" t="inlineStr">
        <is>
          <t>S5</t>
        </is>
      </c>
      <c r="O3213" s="31" t="inlineStr">
        <is>
          <t>1523M41G02</t>
        </is>
      </c>
      <c r="P3213" s="31" t="inlineStr">
        <is>
          <t>SR Technics Switzerland</t>
        </is>
      </c>
    </row>
    <row r="3214">
      <c r="B3214" s="31" t="inlineStr">
        <is>
          <t>CFM56-7B</t>
        </is>
      </c>
      <c r="C3214" s="31" t="inlineStr">
        <is>
          <t>2025-2026</t>
        </is>
      </c>
      <c r="D3214" s="31" t="inlineStr">
        <is>
          <t>641535</t>
        </is>
      </c>
      <c r="E3214" s="31" t="inlineStr">
        <is>
          <t>72-51-07</t>
        </is>
      </c>
      <c r="F3214" s="31" t="inlineStr">
        <is>
          <t>SB01</t>
        </is>
      </c>
      <c r="G3214" s="31" t="inlineStr">
        <is>
          <t>HPT / nozzle</t>
        </is>
      </c>
      <c r="H3214" s="27" t="n">
        <v>2550</v>
      </c>
      <c r="I3214" s="27" t="n">
        <v>2705</v>
      </c>
      <c r="J3214" s="154">
        <f>I3214/H3214-1</f>
        <v/>
      </c>
      <c r="K3214" s="31" t="inlineStr">
        <is>
          <t>64</t>
        </is>
      </c>
      <c r="L3214" s="31" t="inlineStr">
        <is>
          <t>63</t>
        </is>
      </c>
      <c r="M3214" s="31" t="inlineStr">
        <is>
          <t>S3</t>
        </is>
      </c>
      <c r="N3214" s="31" t="inlineStr">
        <is>
          <t>S5</t>
        </is>
      </c>
      <c r="O3214" s="31" t="inlineStr">
        <is>
          <t>1523M41G02</t>
        </is>
      </c>
      <c r="P3214" s="31" t="inlineStr">
        <is>
          <t>SR Technics Switzerland</t>
        </is>
      </c>
    </row>
    <row r="3215">
      <c r="B3215" s="31" t="inlineStr">
        <is>
          <t>CFM56-7B</t>
        </is>
      </c>
      <c r="C3215" s="31" t="inlineStr">
        <is>
          <t>2025-2026</t>
        </is>
      </c>
      <c r="D3215" s="31" t="inlineStr">
        <is>
          <t>641535</t>
        </is>
      </c>
      <c r="E3215" s="31" t="inlineStr">
        <is>
          <t>72-51-07</t>
        </is>
      </c>
      <c r="F3215" s="31" t="inlineStr">
        <is>
          <t>SB03</t>
        </is>
      </c>
      <c r="G3215" s="31" t="inlineStr">
        <is>
          <t>HPT / nozzle</t>
        </is>
      </c>
      <c r="H3215" s="27" t="n">
        <v>10040</v>
      </c>
      <c r="I3215" s="27" t="n">
        <v>10645</v>
      </c>
      <c r="J3215" s="154">
        <f>I3215/H3215-1</f>
        <v/>
      </c>
      <c r="K3215" s="31" t="inlineStr">
        <is>
          <t>64</t>
        </is>
      </c>
      <c r="L3215" s="31" t="inlineStr">
        <is>
          <t>63</t>
        </is>
      </c>
      <c r="M3215" s="31" t="inlineStr">
        <is>
          <t>S3</t>
        </is>
      </c>
      <c r="N3215" s="31" t="inlineStr">
        <is>
          <t>S5</t>
        </is>
      </c>
      <c r="O3215" s="31" t="inlineStr">
        <is>
          <t>1523M41G02</t>
        </is>
      </c>
      <c r="P3215" s="31" t="inlineStr">
        <is>
          <t>SR Technics Switzerland</t>
        </is>
      </c>
    </row>
    <row r="3216">
      <c r="B3216" s="31" t="inlineStr">
        <is>
          <t>CFM56-7B</t>
        </is>
      </c>
      <c r="C3216" s="31" t="inlineStr">
        <is>
          <t>2025-2026</t>
        </is>
      </c>
      <c r="D3216" s="31" t="inlineStr">
        <is>
          <t>642808</t>
        </is>
      </c>
      <c r="E3216" s="31" t="inlineStr">
        <is>
          <t>72-42-04</t>
        </is>
      </c>
      <c r="F3216" s="31" t="inlineStr">
        <is>
          <t>A</t>
        </is>
      </c>
      <c r="G3216" s="31" t="inlineStr">
        <is>
          <t>Combustor</t>
        </is>
      </c>
      <c r="H3216" s="27" t="n">
        <v>105</v>
      </c>
      <c r="I3216" s="27" t="n">
        <v>115</v>
      </c>
      <c r="J3216" s="154">
        <f>I3216/H3216-1</f>
        <v/>
      </c>
      <c r="K3216" s="31" t="inlineStr">
        <is>
          <t>24</t>
        </is>
      </c>
      <c r="L3216" s="31" t="inlineStr">
        <is>
          <t>24</t>
        </is>
      </c>
      <c r="M3216" s="31" t="inlineStr">
        <is>
          <t>S3</t>
        </is>
      </c>
      <c r="N3216" s="31" t="inlineStr">
        <is>
          <t>S5</t>
        </is>
      </c>
      <c r="O3216" s="31" t="inlineStr">
        <is>
          <t>9968M26P02</t>
        </is>
      </c>
      <c r="P3216" s="31" t="inlineStr">
        <is>
          <t>SR Technics Switzerland</t>
        </is>
      </c>
    </row>
    <row r="3217">
      <c r="B3217" s="31" t="inlineStr">
        <is>
          <t>CFM56-7B</t>
        </is>
      </c>
      <c r="C3217" s="31" t="inlineStr">
        <is>
          <t>2025-2026</t>
        </is>
      </c>
      <c r="D3217" s="31" t="inlineStr">
        <is>
          <t>642808</t>
        </is>
      </c>
      <c r="E3217" s="31" t="inlineStr">
        <is>
          <t>72-42-04</t>
        </is>
      </c>
      <c r="F3217" s="31" t="inlineStr">
        <is>
          <t>W</t>
        </is>
      </c>
      <c r="G3217" s="31" t="inlineStr">
        <is>
          <t>Combustor</t>
        </is>
      </c>
      <c r="H3217" s="27" t="n">
        <v>420</v>
      </c>
      <c r="I3217" s="27" t="n">
        <v>450</v>
      </c>
      <c r="J3217" s="154">
        <f>I3217/H3217-1</f>
        <v/>
      </c>
      <c r="K3217" s="31" t="inlineStr">
        <is>
          <t>24</t>
        </is>
      </c>
      <c r="L3217" s="31" t="inlineStr">
        <is>
          <t>24</t>
        </is>
      </c>
      <c r="M3217" s="31" t="inlineStr">
        <is>
          <t>S3</t>
        </is>
      </c>
      <c r="N3217" s="31" t="inlineStr">
        <is>
          <t>S5</t>
        </is>
      </c>
      <c r="O3217" s="31" t="inlineStr">
        <is>
          <t>9968M26P02</t>
        </is>
      </c>
      <c r="P3217" s="31" t="inlineStr">
        <is>
          <t>SR Technics Switzerland</t>
        </is>
      </c>
    </row>
    <row r="3218">
      <c r="B3218" s="31" t="inlineStr">
        <is>
          <t>CFM56-7B</t>
        </is>
      </c>
      <c r="C3218" s="31" t="inlineStr">
        <is>
          <t>2025-2026</t>
        </is>
      </c>
      <c r="D3218" s="31" t="inlineStr">
        <is>
          <t>642820</t>
        </is>
      </c>
      <c r="E3218" s="31" t="inlineStr">
        <is>
          <t>72-41-01</t>
        </is>
      </c>
      <c r="F3218" s="31" t="inlineStr">
        <is>
          <t>AA</t>
        </is>
      </c>
      <c r="G3218" s="31" t="inlineStr">
        <is>
          <t>Combustor</t>
        </is>
      </c>
      <c r="H3218" s="27" t="n">
        <v>4150</v>
      </c>
      <c r="I3218" s="27" t="n">
        <v>4400</v>
      </c>
      <c r="J3218" s="154">
        <f>I3218/H3218-1</f>
        <v/>
      </c>
      <c r="K3218" s="31" t="inlineStr">
        <is>
          <t>64</t>
        </is>
      </c>
      <c r="L3218" s="31" t="inlineStr">
        <is>
          <t>64</t>
        </is>
      </c>
      <c r="M3218" s="31" t="inlineStr">
        <is>
          <t>S3</t>
        </is>
      </c>
      <c r="N3218" s="31" t="inlineStr">
        <is>
          <t>S5</t>
        </is>
      </c>
      <c r="O3218" s="31" t="inlineStr">
        <is>
          <t>1498M52G03</t>
        </is>
      </c>
      <c r="P3218" s="31" t="inlineStr">
        <is>
          <t>SR Technics Switzerland</t>
        </is>
      </c>
    </row>
    <row r="3219">
      <c r="B3219" s="31" t="inlineStr">
        <is>
          <t>CFM56-7B</t>
        </is>
      </c>
      <c r="C3219" s="31" t="inlineStr">
        <is>
          <t>2025-2026</t>
        </is>
      </c>
      <c r="D3219" s="31" t="inlineStr">
        <is>
          <t>642820</t>
        </is>
      </c>
      <c r="E3219" s="31" t="inlineStr">
        <is>
          <t>72-41-01</t>
        </is>
      </c>
      <c r="F3219" s="31" t="inlineStr">
        <is>
          <t>AB</t>
        </is>
      </c>
      <c r="G3219" s="31" t="inlineStr">
        <is>
          <t>Combustor</t>
        </is>
      </c>
      <c r="H3219" s="27" t="n">
        <v>1060</v>
      </c>
      <c r="I3219" s="27" t="n">
        <v>1125</v>
      </c>
      <c r="J3219" s="154">
        <f>I3219/H3219-1</f>
        <v/>
      </c>
      <c r="K3219" s="31" t="inlineStr">
        <is>
          <t>64</t>
        </is>
      </c>
      <c r="L3219" s="31" t="inlineStr">
        <is>
          <t>64</t>
        </is>
      </c>
      <c r="M3219" s="31" t="inlineStr">
        <is>
          <t>S3</t>
        </is>
      </c>
      <c r="N3219" s="31" t="inlineStr">
        <is>
          <t>S5</t>
        </is>
      </c>
      <c r="O3219" s="31" t="inlineStr">
        <is>
          <t>1498M52G03</t>
        </is>
      </c>
      <c r="P3219" s="31" t="inlineStr">
        <is>
          <t>SR Technics Switzerland</t>
        </is>
      </c>
    </row>
    <row r="3220">
      <c r="B3220" s="31" t="inlineStr">
        <is>
          <t>CFM56-7B</t>
        </is>
      </c>
      <c r="C3220" s="31" t="inlineStr">
        <is>
          <t>2025-2026</t>
        </is>
      </c>
      <c r="D3220" s="31" t="inlineStr">
        <is>
          <t>642820</t>
        </is>
      </c>
      <c r="E3220" s="31" t="inlineStr">
        <is>
          <t>72-41-01</t>
        </is>
      </c>
      <c r="F3220" s="31" t="inlineStr">
        <is>
          <t>B</t>
        </is>
      </c>
      <c r="G3220" s="31" t="inlineStr">
        <is>
          <t>Combustor</t>
        </is>
      </c>
      <c r="H3220" s="27" t="n">
        <v>2770</v>
      </c>
      <c r="I3220" s="27" t="n">
        <v>2940</v>
      </c>
      <c r="J3220" s="154">
        <f>I3220/H3220-1</f>
        <v/>
      </c>
      <c r="K3220" s="31" t="inlineStr">
        <is>
          <t>64</t>
        </is>
      </c>
      <c r="L3220" s="31" t="inlineStr">
        <is>
          <t>64</t>
        </is>
      </c>
      <c r="M3220" s="31" t="inlineStr">
        <is>
          <t>S3</t>
        </is>
      </c>
      <c r="N3220" s="31" t="inlineStr">
        <is>
          <t>S5</t>
        </is>
      </c>
      <c r="O3220" s="31" t="inlineStr">
        <is>
          <t>1498M52G03</t>
        </is>
      </c>
      <c r="P3220" s="31" t="inlineStr">
        <is>
          <t>SR Technics Switzerland</t>
        </is>
      </c>
    </row>
    <row r="3221">
      <c r="B3221" s="31" t="inlineStr">
        <is>
          <t>CFM56-7B</t>
        </is>
      </c>
      <c r="C3221" s="31" t="inlineStr">
        <is>
          <t>2025-2026</t>
        </is>
      </c>
      <c r="D3221" s="31" t="inlineStr">
        <is>
          <t>642820</t>
        </is>
      </c>
      <c r="E3221" s="31" t="inlineStr">
        <is>
          <t>72-41-01</t>
        </is>
      </c>
      <c r="F3221" s="31" t="inlineStr">
        <is>
          <t>C</t>
        </is>
      </c>
      <c r="G3221" s="31" t="inlineStr">
        <is>
          <t>Combustor</t>
        </is>
      </c>
      <c r="H3221" s="27" t="n">
        <v>4475</v>
      </c>
      <c r="I3221" s="27" t="n">
        <v>4745</v>
      </c>
      <c r="J3221" s="154">
        <f>I3221/H3221-1</f>
        <v/>
      </c>
      <c r="K3221" s="31" t="inlineStr">
        <is>
          <t>64</t>
        </is>
      </c>
      <c r="L3221" s="31" t="inlineStr">
        <is>
          <t>64</t>
        </is>
      </c>
      <c r="M3221" s="31" t="inlineStr">
        <is>
          <t>S3</t>
        </is>
      </c>
      <c r="N3221" s="31" t="inlineStr">
        <is>
          <t>S5</t>
        </is>
      </c>
      <c r="O3221" s="31" t="inlineStr">
        <is>
          <t>1498M52G03</t>
        </is>
      </c>
      <c r="P3221" s="31" t="inlineStr">
        <is>
          <t>SR Technics Switzerland</t>
        </is>
      </c>
    </row>
    <row r="3222">
      <c r="B3222" s="31" t="inlineStr">
        <is>
          <t>CFM56-7B</t>
        </is>
      </c>
      <c r="C3222" s="31" t="inlineStr">
        <is>
          <t>2025-2026</t>
        </is>
      </c>
      <c r="D3222" s="31" t="inlineStr">
        <is>
          <t>642820</t>
        </is>
      </c>
      <c r="E3222" s="31" t="inlineStr">
        <is>
          <t>72-41-01</t>
        </is>
      </c>
      <c r="F3222" s="31" t="inlineStr">
        <is>
          <t>D</t>
        </is>
      </c>
      <c r="G3222" s="31" t="inlineStr">
        <is>
          <t>Combustor</t>
        </is>
      </c>
      <c r="H3222" s="27" t="n">
        <v>1730</v>
      </c>
      <c r="I3222" s="27" t="n">
        <v>1835</v>
      </c>
      <c r="J3222" s="154">
        <f>I3222/H3222-1</f>
        <v/>
      </c>
      <c r="K3222" s="31" t="inlineStr">
        <is>
          <t>64</t>
        </is>
      </c>
      <c r="L3222" s="31" t="inlineStr">
        <is>
          <t>64</t>
        </is>
      </c>
      <c r="M3222" s="31" t="inlineStr">
        <is>
          <t>S3</t>
        </is>
      </c>
      <c r="N3222" s="31" t="inlineStr">
        <is>
          <t>S5</t>
        </is>
      </c>
      <c r="O3222" s="31" t="inlineStr">
        <is>
          <t>1498M52G03</t>
        </is>
      </c>
      <c r="P3222" s="31" t="inlineStr">
        <is>
          <t>SR Technics Switzerland</t>
        </is>
      </c>
    </row>
    <row r="3223">
      <c r="B3223" s="31" t="inlineStr">
        <is>
          <t>CFM56-7B</t>
        </is>
      </c>
      <c r="C3223" s="31" t="inlineStr">
        <is>
          <t>2025-2026</t>
        </is>
      </c>
      <c r="D3223" s="31" t="inlineStr">
        <is>
          <t>642820</t>
        </is>
      </c>
      <c r="E3223" s="31" t="inlineStr">
        <is>
          <t>72-41-01</t>
        </is>
      </c>
      <c r="F3223" s="31" t="inlineStr">
        <is>
          <t>E</t>
        </is>
      </c>
      <c r="G3223" s="31" t="inlineStr">
        <is>
          <t>Combustor</t>
        </is>
      </c>
      <c r="H3223" s="27" t="n">
        <v>5950</v>
      </c>
      <c r="I3223" s="27" t="n">
        <v>6310</v>
      </c>
      <c r="J3223" s="154">
        <f>I3223/H3223-1</f>
        <v/>
      </c>
      <c r="K3223" s="31" t="inlineStr">
        <is>
          <t>64</t>
        </is>
      </c>
      <c r="L3223" s="31" t="inlineStr">
        <is>
          <t>64</t>
        </is>
      </c>
      <c r="M3223" s="31" t="inlineStr">
        <is>
          <t>S3</t>
        </is>
      </c>
      <c r="N3223" s="31" t="inlineStr">
        <is>
          <t>S5</t>
        </is>
      </c>
      <c r="O3223" s="31" t="inlineStr">
        <is>
          <t>1498M52G03</t>
        </is>
      </c>
      <c r="P3223" s="31" t="inlineStr">
        <is>
          <t>SR Technics Switzerland</t>
        </is>
      </c>
    </row>
    <row r="3224">
      <c r="B3224" s="31" t="inlineStr">
        <is>
          <t>CFM56-7B</t>
        </is>
      </c>
      <c r="C3224" s="31" t="inlineStr">
        <is>
          <t>2025-2026</t>
        </is>
      </c>
      <c r="D3224" s="31" t="inlineStr">
        <is>
          <t>642820</t>
        </is>
      </c>
      <c r="E3224" s="31" t="inlineStr">
        <is>
          <t>72-41-01</t>
        </is>
      </c>
      <c r="F3224" s="31" t="inlineStr">
        <is>
          <t>F</t>
        </is>
      </c>
      <c r="G3224" s="31" t="inlineStr">
        <is>
          <t>Combustor</t>
        </is>
      </c>
      <c r="H3224" s="27" t="n">
        <v>3190</v>
      </c>
      <c r="I3224" s="27" t="n">
        <v>3385</v>
      </c>
      <c r="J3224" s="154">
        <f>I3224/H3224-1</f>
        <v/>
      </c>
      <c r="K3224" s="31" t="inlineStr">
        <is>
          <t>65</t>
        </is>
      </c>
      <c r="L3224" s="31" t="inlineStr">
        <is>
          <t>64</t>
        </is>
      </c>
      <c r="M3224" s="31" t="inlineStr">
        <is>
          <t>S3</t>
        </is>
      </c>
      <c r="N3224" s="31" t="inlineStr">
        <is>
          <t>S5</t>
        </is>
      </c>
      <c r="O3224" s="31" t="inlineStr">
        <is>
          <t>1498M52G03</t>
        </is>
      </c>
      <c r="P3224" s="31" t="inlineStr">
        <is>
          <t>SR Technics Switzerland</t>
        </is>
      </c>
    </row>
    <row r="3225">
      <c r="B3225" s="31" t="inlineStr">
        <is>
          <t>CFM56-7B</t>
        </is>
      </c>
      <c r="C3225" s="31" t="inlineStr">
        <is>
          <t>2025-2026</t>
        </is>
      </c>
      <c r="D3225" s="31" t="inlineStr">
        <is>
          <t>642820</t>
        </is>
      </c>
      <c r="E3225" s="31" t="inlineStr">
        <is>
          <t>72-41-01</t>
        </is>
      </c>
      <c r="F3225" s="31" t="inlineStr">
        <is>
          <t>I</t>
        </is>
      </c>
      <c r="G3225" s="31" t="inlineStr">
        <is>
          <t>Combustor</t>
        </is>
      </c>
      <c r="H3225" s="27" t="n">
        <v>9245</v>
      </c>
      <c r="I3225" s="27" t="n">
        <v>9800</v>
      </c>
      <c r="J3225" s="154">
        <f>I3225/H3225-1</f>
        <v/>
      </c>
      <c r="K3225" s="31" t="inlineStr">
        <is>
          <t>65</t>
        </is>
      </c>
      <c r="L3225" s="31" t="inlineStr">
        <is>
          <t>64</t>
        </is>
      </c>
      <c r="M3225" s="31" t="inlineStr">
        <is>
          <t>S3</t>
        </is>
      </c>
      <c r="N3225" s="31" t="inlineStr">
        <is>
          <t>S5</t>
        </is>
      </c>
      <c r="O3225" s="31" t="inlineStr">
        <is>
          <t>1498M52G03</t>
        </is>
      </c>
      <c r="P3225" s="31" t="inlineStr">
        <is>
          <t>SR Technics Switzerland</t>
        </is>
      </c>
    </row>
    <row r="3226">
      <c r="B3226" s="31" t="inlineStr">
        <is>
          <t>CFM56-7B</t>
        </is>
      </c>
      <c r="C3226" s="31" t="inlineStr">
        <is>
          <t>2025-2026</t>
        </is>
      </c>
      <c r="D3226" s="31" t="inlineStr">
        <is>
          <t>642820</t>
        </is>
      </c>
      <c r="E3226" s="31" t="inlineStr">
        <is>
          <t>72-41-01</t>
        </is>
      </c>
      <c r="F3226" s="31" t="inlineStr">
        <is>
          <t>P</t>
        </is>
      </c>
      <c r="G3226" s="31" t="inlineStr">
        <is>
          <t>Combustor</t>
        </is>
      </c>
      <c r="H3226" s="27" t="n">
        <v>7925</v>
      </c>
      <c r="I3226" s="27" t="n">
        <v>8405</v>
      </c>
      <c r="J3226" s="154">
        <f>I3226/H3226-1</f>
        <v/>
      </c>
      <c r="K3226" s="31" t="inlineStr">
        <is>
          <t>65</t>
        </is>
      </c>
      <c r="L3226" s="31" t="inlineStr">
        <is>
          <t>64</t>
        </is>
      </c>
      <c r="M3226" s="31" t="inlineStr">
        <is>
          <t>S3</t>
        </is>
      </c>
      <c r="N3226" s="31" t="inlineStr">
        <is>
          <t>S5</t>
        </is>
      </c>
      <c r="O3226" s="31" t="inlineStr">
        <is>
          <t>1498M52G03</t>
        </is>
      </c>
      <c r="P3226" s="31" t="inlineStr">
        <is>
          <t>SR Technics Switzerland</t>
        </is>
      </c>
    </row>
    <row r="3227">
      <c r="B3227" s="31" t="inlineStr">
        <is>
          <t>CFM56-7B</t>
        </is>
      </c>
      <c r="C3227" s="31" t="inlineStr">
        <is>
          <t>2025-2026</t>
        </is>
      </c>
      <c r="D3227" s="31" t="inlineStr">
        <is>
          <t>642820</t>
        </is>
      </c>
      <c r="E3227" s="31" t="inlineStr">
        <is>
          <t>72-41-01</t>
        </is>
      </c>
      <c r="F3227" s="31" t="inlineStr">
        <is>
          <t>Q</t>
        </is>
      </c>
      <c r="G3227" s="31" t="inlineStr">
        <is>
          <t>Combustor</t>
        </is>
      </c>
      <c r="H3227" s="27" t="n">
        <v>7925</v>
      </c>
      <c r="I3227" s="27" t="n">
        <v>8405</v>
      </c>
      <c r="J3227" s="154">
        <f>I3227/H3227-1</f>
        <v/>
      </c>
      <c r="K3227" s="31" t="inlineStr">
        <is>
          <t>65</t>
        </is>
      </c>
      <c r="L3227" s="31" t="inlineStr">
        <is>
          <t>64</t>
        </is>
      </c>
      <c r="M3227" s="31" t="inlineStr">
        <is>
          <t>S3</t>
        </is>
      </c>
      <c r="N3227" s="31" t="inlineStr">
        <is>
          <t>S5</t>
        </is>
      </c>
      <c r="O3227" s="31" t="inlineStr">
        <is>
          <t>1498M52G03</t>
        </is>
      </c>
      <c r="P3227" s="31" t="inlineStr">
        <is>
          <t>SR Technics Switzerland</t>
        </is>
      </c>
    </row>
    <row r="3228">
      <c r="B3228" s="31" t="inlineStr">
        <is>
          <t>CFM56-7B</t>
        </is>
      </c>
      <c r="C3228" s="31" t="inlineStr">
        <is>
          <t>2025-2026</t>
        </is>
      </c>
      <c r="D3228" s="31" t="inlineStr">
        <is>
          <t>64526</t>
        </is>
      </c>
      <c r="E3228" s="31" t="inlineStr">
        <is>
          <t>72-21-09</t>
        </is>
      </c>
      <c r="F3228" s="31" t="inlineStr">
        <is>
          <t>A</t>
        </is>
      </c>
      <c r="G3228" s="31" t="inlineStr">
        <is>
          <t>Fan / booster</t>
        </is>
      </c>
      <c r="H3228" s="27" t="n">
        <v>860</v>
      </c>
      <c r="I3228" s="27" t="n">
        <v>905</v>
      </c>
      <c r="J3228" s="154">
        <f>I3228/H3228-1</f>
        <v/>
      </c>
      <c r="K3228" s="31" t="inlineStr">
        <is>
          <t>8</t>
        </is>
      </c>
      <c r="L3228" s="31" t="inlineStr">
        <is>
          <t>8</t>
        </is>
      </c>
      <c r="M3228" s="31" t="inlineStr">
        <is>
          <t>S3</t>
        </is>
      </c>
      <c r="N3228" s="31" t="inlineStr">
        <is>
          <t>S5</t>
        </is>
      </c>
      <c r="O3228" s="31" t="inlineStr">
        <is>
          <t>335-192-202-0</t>
        </is>
      </c>
      <c r="P3228" s="31" t="inlineStr">
        <is>
          <t>SR Technics Switzerland</t>
        </is>
      </c>
    </row>
    <row r="3229">
      <c r="B3229" s="31" t="inlineStr">
        <is>
          <t>CFM56-7B</t>
        </is>
      </c>
      <c r="C3229" s="31" t="inlineStr">
        <is>
          <t>2025-2026</t>
        </is>
      </c>
      <c r="D3229" s="31" t="inlineStr">
        <is>
          <t>64526</t>
        </is>
      </c>
      <c r="E3229" s="31" t="inlineStr">
        <is>
          <t>72-21-09</t>
        </is>
      </c>
      <c r="F3229" s="31" t="inlineStr">
        <is>
          <t>B</t>
        </is>
      </c>
      <c r="G3229" s="31" t="inlineStr">
        <is>
          <t>Fan / booster</t>
        </is>
      </c>
      <c r="H3229" s="27" t="n">
        <v>1420</v>
      </c>
      <c r="I3229" s="27" t="n">
        <v>1510</v>
      </c>
      <c r="J3229" s="154">
        <f>I3229/H3229-1</f>
        <v/>
      </c>
      <c r="K3229" s="31" t="inlineStr">
        <is>
          <t>8</t>
        </is>
      </c>
      <c r="L3229" s="31" t="inlineStr">
        <is>
          <t>8</t>
        </is>
      </c>
      <c r="M3229" s="31" t="inlineStr">
        <is>
          <t>S3</t>
        </is>
      </c>
      <c r="N3229" s="31" t="inlineStr">
        <is>
          <t>S5</t>
        </is>
      </c>
      <c r="O3229" s="31" t="inlineStr">
        <is>
          <t>335-192-202-0</t>
        </is>
      </c>
      <c r="P3229" s="31" t="inlineStr">
        <is>
          <t>SR Technics Switzerland</t>
        </is>
      </c>
    </row>
    <row r="3230">
      <c r="B3230" s="31" t="inlineStr">
        <is>
          <t>CFM56-7B</t>
        </is>
      </c>
      <c r="C3230" s="31" t="inlineStr">
        <is>
          <t>2025-2026</t>
        </is>
      </c>
      <c r="D3230" s="31" t="inlineStr">
        <is>
          <t>64526</t>
        </is>
      </c>
      <c r="E3230" s="31" t="inlineStr">
        <is>
          <t>72-21-09</t>
        </is>
      </c>
      <c r="F3230" s="31" t="inlineStr">
        <is>
          <t>SB00</t>
        </is>
      </c>
      <c r="G3230" s="31" t="inlineStr">
        <is>
          <t>Fan / booster</t>
        </is>
      </c>
      <c r="H3230" s="27" t="n">
        <v>5175</v>
      </c>
      <c r="I3230" s="27" t="n">
        <v>5490</v>
      </c>
      <c r="J3230" s="154">
        <f>I3230/H3230-1</f>
        <v/>
      </c>
      <c r="K3230" s="31" t="inlineStr">
        <is>
          <t>8</t>
        </is>
      </c>
      <c r="L3230" s="31" t="inlineStr">
        <is>
          <t>8</t>
        </is>
      </c>
      <c r="M3230" s="31" t="inlineStr">
        <is>
          <t>S3</t>
        </is>
      </c>
      <c r="N3230" s="31" t="inlineStr">
        <is>
          <t>S5</t>
        </is>
      </c>
      <c r="O3230" s="31" t="inlineStr">
        <is>
          <t>335-192-202-0</t>
        </is>
      </c>
      <c r="P3230" s="31" t="inlineStr">
        <is>
          <t>SR Technics Switzerland</t>
        </is>
      </c>
    </row>
    <row r="3231">
      <c r="B3231" s="31" t="inlineStr">
        <is>
          <t>CFM56-7B</t>
        </is>
      </c>
      <c r="C3231" s="31" t="inlineStr">
        <is>
          <t>2025-2026</t>
        </is>
      </c>
      <c r="D3231" s="31" t="inlineStr">
        <is>
          <t>647987</t>
        </is>
      </c>
      <c r="E3231" s="31" t="inlineStr">
        <is>
          <t>72-53-05</t>
        </is>
      </c>
      <c r="F3231" s="31" t="inlineStr">
        <is>
          <t>C</t>
        </is>
      </c>
      <c r="G3231" s="31" t="inlineStr">
        <is>
          <t>HPT / nozzle</t>
        </is>
      </c>
      <c r="H3231" s="27" t="n">
        <v>2890</v>
      </c>
      <c r="I3231" s="27" t="n">
        <v>3065</v>
      </c>
      <c r="J3231" s="154">
        <f>I3231/H3231-1</f>
        <v/>
      </c>
      <c r="K3231" s="31" t="inlineStr">
        <is>
          <t>25</t>
        </is>
      </c>
      <c r="L3231" s="31" t="inlineStr">
        <is>
          <t>24</t>
        </is>
      </c>
      <c r="M3231" s="31" t="inlineStr">
        <is>
          <t>S3</t>
        </is>
      </c>
      <c r="N3231" s="31" t="inlineStr">
        <is>
          <t>S5</t>
        </is>
      </c>
      <c r="O3231" s="31" t="inlineStr">
        <is>
          <t>1522M10G01</t>
        </is>
      </c>
      <c r="P3231" s="31" t="inlineStr">
        <is>
          <t>SR Technics Switzerland</t>
        </is>
      </c>
    </row>
    <row r="3232">
      <c r="B3232" s="31" t="inlineStr">
        <is>
          <t>CFM56-7B</t>
        </is>
      </c>
      <c r="C3232" s="31" t="inlineStr">
        <is>
          <t>2025-2026</t>
        </is>
      </c>
      <c r="D3232" s="31" t="inlineStr">
        <is>
          <t>647987</t>
        </is>
      </c>
      <c r="E3232" s="31" t="inlineStr">
        <is>
          <t>72-53-05</t>
        </is>
      </c>
      <c r="F3232" s="31" t="inlineStr">
        <is>
          <t>F</t>
        </is>
      </c>
      <c r="G3232" s="31" t="inlineStr">
        <is>
          <t>HPT / nozzle</t>
        </is>
      </c>
      <c r="H3232" s="27" t="n">
        <v>760</v>
      </c>
      <c r="I3232" s="27" t="n">
        <v>810</v>
      </c>
      <c r="J3232" s="154">
        <f>I3232/H3232-1</f>
        <v/>
      </c>
      <c r="K3232" s="31" t="inlineStr">
        <is>
          <t>25</t>
        </is>
      </c>
      <c r="L3232" s="31" t="inlineStr">
        <is>
          <t>24</t>
        </is>
      </c>
      <c r="M3232" s="31" t="inlineStr">
        <is>
          <t>S3</t>
        </is>
      </c>
      <c r="N3232" s="31" t="inlineStr">
        <is>
          <t>S5</t>
        </is>
      </c>
      <c r="O3232" s="31" t="inlineStr">
        <is>
          <t>1522M10G01</t>
        </is>
      </c>
      <c r="P3232" s="31" t="inlineStr">
        <is>
          <t>SR Technics Switzerland</t>
        </is>
      </c>
    </row>
    <row r="3233">
      <c r="B3233" s="31" t="inlineStr">
        <is>
          <t>CFM56-7B</t>
        </is>
      </c>
      <c r="C3233" s="31" t="inlineStr">
        <is>
          <t>2025-2026</t>
        </is>
      </c>
      <c r="D3233" s="31" t="inlineStr">
        <is>
          <t>647987</t>
        </is>
      </c>
      <c r="E3233" s="31" t="inlineStr">
        <is>
          <t>72-53-05</t>
        </is>
      </c>
      <c r="F3233" s="31" t="inlineStr">
        <is>
          <t>G</t>
        </is>
      </c>
      <c r="G3233" s="31" t="inlineStr">
        <is>
          <t>HPT / nozzle</t>
        </is>
      </c>
      <c r="H3233" s="27" t="n">
        <v>760</v>
      </c>
      <c r="I3233" s="27" t="n">
        <v>810</v>
      </c>
      <c r="J3233" s="154">
        <f>I3233/H3233-1</f>
        <v/>
      </c>
      <c r="K3233" s="31" t="inlineStr">
        <is>
          <t>25</t>
        </is>
      </c>
      <c r="L3233" s="31" t="inlineStr">
        <is>
          <t>24</t>
        </is>
      </c>
      <c r="M3233" s="31" t="inlineStr">
        <is>
          <t>S3</t>
        </is>
      </c>
      <c r="N3233" s="31" t="inlineStr">
        <is>
          <t>S5</t>
        </is>
      </c>
      <c r="O3233" s="31" t="inlineStr">
        <is>
          <t>1522M10G01</t>
        </is>
      </c>
      <c r="P3233" s="31" t="inlineStr">
        <is>
          <t>SR Technics Switzerland</t>
        </is>
      </c>
    </row>
    <row r="3234">
      <c r="B3234" s="31" t="inlineStr">
        <is>
          <t>CFM56-7B</t>
        </is>
      </c>
      <c r="C3234" s="31" t="inlineStr">
        <is>
          <t>2025-2026</t>
        </is>
      </c>
      <c r="D3234" s="31" t="inlineStr">
        <is>
          <t>647987</t>
        </is>
      </c>
      <c r="E3234" s="31" t="inlineStr">
        <is>
          <t>72-53-05</t>
        </is>
      </c>
      <c r="F3234" s="31" t="inlineStr">
        <is>
          <t>I</t>
        </is>
      </c>
      <c r="G3234" s="31" t="inlineStr">
        <is>
          <t>HPT / nozzle</t>
        </is>
      </c>
      <c r="H3234" s="27" t="n">
        <v>2915</v>
      </c>
      <c r="I3234" s="27" t="n">
        <v>3090</v>
      </c>
      <c r="J3234" s="154">
        <f>I3234/H3234-1</f>
        <v/>
      </c>
      <c r="K3234" s="31" t="inlineStr">
        <is>
          <t>25</t>
        </is>
      </c>
      <c r="L3234" s="31" t="inlineStr">
        <is>
          <t>24</t>
        </is>
      </c>
      <c r="M3234" s="31" t="inlineStr">
        <is>
          <t>S3</t>
        </is>
      </c>
      <c r="N3234" s="31" t="inlineStr">
        <is>
          <t>S5</t>
        </is>
      </c>
      <c r="O3234" s="31" t="inlineStr">
        <is>
          <t>1522M10G01</t>
        </is>
      </c>
      <c r="P3234" s="31" t="inlineStr">
        <is>
          <t>SR Technics Switzerland</t>
        </is>
      </c>
    </row>
    <row r="3235">
      <c r="B3235" s="31" t="inlineStr">
        <is>
          <t>CFM56-7B</t>
        </is>
      </c>
      <c r="C3235" s="31" t="inlineStr">
        <is>
          <t>2025-2026</t>
        </is>
      </c>
      <c r="D3235" s="31" t="inlineStr">
        <is>
          <t>647987</t>
        </is>
      </c>
      <c r="E3235" s="31" t="inlineStr">
        <is>
          <t>72-53-05</t>
        </is>
      </c>
      <c r="F3235" s="31" t="inlineStr">
        <is>
          <t>J</t>
        </is>
      </c>
      <c r="G3235" s="31" t="inlineStr">
        <is>
          <t>HPT / nozzle</t>
        </is>
      </c>
      <c r="H3235" s="27" t="n">
        <v>865</v>
      </c>
      <c r="I3235" s="27" t="n">
        <v>920</v>
      </c>
      <c r="J3235" s="154">
        <f>I3235/H3235-1</f>
        <v/>
      </c>
      <c r="K3235" s="31" t="inlineStr">
        <is>
          <t>25</t>
        </is>
      </c>
      <c r="L3235" s="31" t="inlineStr">
        <is>
          <t>24</t>
        </is>
      </c>
      <c r="M3235" s="31" t="inlineStr">
        <is>
          <t>S3</t>
        </is>
      </c>
      <c r="N3235" s="31" t="inlineStr">
        <is>
          <t>S5</t>
        </is>
      </c>
      <c r="O3235" s="31" t="inlineStr">
        <is>
          <t>1522M10G01</t>
        </is>
      </c>
      <c r="P3235" s="31" t="inlineStr">
        <is>
          <t>SR Technics Switzerland</t>
        </is>
      </c>
    </row>
    <row r="3236">
      <c r="B3236" s="31" t="inlineStr">
        <is>
          <t>CFM56-7B</t>
        </is>
      </c>
      <c r="C3236" s="31" t="inlineStr">
        <is>
          <t>2025-2026</t>
        </is>
      </c>
      <c r="D3236" s="31" t="inlineStr">
        <is>
          <t>647987</t>
        </is>
      </c>
      <c r="E3236" s="31" t="inlineStr">
        <is>
          <t>72-53-05</t>
        </is>
      </c>
      <c r="F3236" s="31" t="inlineStr">
        <is>
          <t>M</t>
        </is>
      </c>
      <c r="G3236" s="31" t="inlineStr">
        <is>
          <t>HPT / nozzle</t>
        </is>
      </c>
      <c r="H3236" s="27" t="n">
        <v>1530</v>
      </c>
      <c r="I3236" s="27" t="n">
        <v>1625</v>
      </c>
      <c r="J3236" s="154">
        <f>I3236/H3236-1</f>
        <v/>
      </c>
      <c r="K3236" s="31" t="inlineStr">
        <is>
          <t>25</t>
        </is>
      </c>
      <c r="L3236" s="31" t="inlineStr">
        <is>
          <t>24</t>
        </is>
      </c>
      <c r="M3236" s="31" t="inlineStr">
        <is>
          <t>S3</t>
        </is>
      </c>
      <c r="N3236" s="31" t="inlineStr">
        <is>
          <t>S5</t>
        </is>
      </c>
      <c r="O3236" s="31" t="inlineStr">
        <is>
          <t>1522M10G01</t>
        </is>
      </c>
      <c r="P3236" s="31" t="inlineStr">
        <is>
          <t>SR Technics Switzerland</t>
        </is>
      </c>
    </row>
    <row r="3237">
      <c r="B3237" s="31" t="inlineStr">
        <is>
          <t>CFM56-7B</t>
        </is>
      </c>
      <c r="C3237" s="31" t="inlineStr">
        <is>
          <t>2025-2026</t>
        </is>
      </c>
      <c r="D3237" s="31" t="inlineStr">
        <is>
          <t>647987</t>
        </is>
      </c>
      <c r="E3237" s="31" t="inlineStr">
        <is>
          <t>72-53-05</t>
        </is>
      </c>
      <c r="F3237" s="31" t="inlineStr">
        <is>
          <t>N</t>
        </is>
      </c>
      <c r="G3237" s="31" t="inlineStr">
        <is>
          <t>HPT / nozzle</t>
        </is>
      </c>
      <c r="H3237" s="27" t="n">
        <v>2055</v>
      </c>
      <c r="I3237" s="27" t="n">
        <v>2180</v>
      </c>
      <c r="J3237" s="154">
        <f>I3237/H3237-1</f>
        <v/>
      </c>
      <c r="K3237" s="31" t="inlineStr">
        <is>
          <t>25</t>
        </is>
      </c>
      <c r="L3237" s="31" t="inlineStr">
        <is>
          <t>24</t>
        </is>
      </c>
      <c r="M3237" s="31" t="inlineStr">
        <is>
          <t>S3</t>
        </is>
      </c>
      <c r="N3237" s="31" t="inlineStr">
        <is>
          <t>S5</t>
        </is>
      </c>
      <c r="O3237" s="31" t="inlineStr">
        <is>
          <t>1522M10G01</t>
        </is>
      </c>
      <c r="P3237" s="31" t="inlineStr">
        <is>
          <t>SR Technics Switzerland</t>
        </is>
      </c>
    </row>
    <row r="3238">
      <c r="B3238" s="31" t="inlineStr">
        <is>
          <t>CFM56-7B</t>
        </is>
      </c>
      <c r="C3238" s="31" t="inlineStr">
        <is>
          <t>2025-2026</t>
        </is>
      </c>
      <c r="D3238" s="31" t="inlineStr">
        <is>
          <t>647987</t>
        </is>
      </c>
      <c r="E3238" s="31" t="inlineStr">
        <is>
          <t>72-53-05</t>
        </is>
      </c>
      <c r="F3238" s="31" t="inlineStr">
        <is>
          <t>Q</t>
        </is>
      </c>
      <c r="G3238" s="31" t="inlineStr">
        <is>
          <t>HPT / nozzle</t>
        </is>
      </c>
      <c r="H3238" s="27" t="n">
        <v>2080</v>
      </c>
      <c r="I3238" s="27" t="n">
        <v>2205</v>
      </c>
      <c r="J3238" s="154">
        <f>I3238/H3238-1</f>
        <v/>
      </c>
      <c r="K3238" s="31" t="inlineStr">
        <is>
          <t>25</t>
        </is>
      </c>
      <c r="L3238" s="31" t="inlineStr">
        <is>
          <t>24</t>
        </is>
      </c>
      <c r="M3238" s="31" t="inlineStr">
        <is>
          <t>S3</t>
        </is>
      </c>
      <c r="N3238" s="31" t="inlineStr">
        <is>
          <t>S5</t>
        </is>
      </c>
      <c r="O3238" s="31" t="inlineStr">
        <is>
          <t>1522M10G01</t>
        </is>
      </c>
      <c r="P3238" s="31" t="inlineStr">
        <is>
          <t>SR Technics Switzerland</t>
        </is>
      </c>
    </row>
    <row r="3239">
      <c r="B3239" s="31" t="inlineStr">
        <is>
          <t>CFM56-7B</t>
        </is>
      </c>
      <c r="C3239" s="31" t="inlineStr">
        <is>
          <t>2025-2026</t>
        </is>
      </c>
      <c r="D3239" s="31" t="inlineStr">
        <is>
          <t>647987</t>
        </is>
      </c>
      <c r="E3239" s="31" t="inlineStr">
        <is>
          <t>72-53-05</t>
        </is>
      </c>
      <c r="F3239" s="31" t="inlineStr">
        <is>
          <t>SB04</t>
        </is>
      </c>
      <c r="G3239" s="31" t="inlineStr">
        <is>
          <t>HPT / nozzle</t>
        </is>
      </c>
      <c r="H3239" s="27" t="n">
        <v>3710</v>
      </c>
      <c r="I3239" s="27" t="n">
        <v>3935</v>
      </c>
      <c r="J3239" s="154">
        <f>I3239/H3239-1</f>
        <v/>
      </c>
      <c r="K3239" s="31" t="inlineStr">
        <is>
          <t>25</t>
        </is>
      </c>
      <c r="L3239" s="31" t="inlineStr">
        <is>
          <t>24</t>
        </is>
      </c>
      <c r="M3239" s="31" t="inlineStr">
        <is>
          <t>S3</t>
        </is>
      </c>
      <c r="N3239" s="31" t="inlineStr">
        <is>
          <t>S5</t>
        </is>
      </c>
      <c r="O3239" s="31" t="inlineStr">
        <is>
          <t>1522M10G01</t>
        </is>
      </c>
      <c r="P3239" s="31" t="inlineStr">
        <is>
          <t>SR Technics Switzerland</t>
        </is>
      </c>
    </row>
    <row r="3240">
      <c r="B3240" s="31" t="inlineStr">
        <is>
          <t>CFM56-7B</t>
        </is>
      </c>
      <c r="C3240" s="31" t="inlineStr">
        <is>
          <t>2025-2026</t>
        </is>
      </c>
      <c r="D3240" s="31" t="inlineStr">
        <is>
          <t>648090</t>
        </is>
      </c>
      <c r="E3240" s="31" t="inlineStr">
        <is>
          <t>72-09-04</t>
        </is>
      </c>
      <c r="F3240" s="31" t="inlineStr">
        <is>
          <t>SB00</t>
        </is>
      </c>
      <c r="G3240" s="31" t="inlineStr">
        <is>
          <t>Other / assembly</t>
        </is>
      </c>
      <c r="H3240" s="27" t="n">
        <v>375</v>
      </c>
      <c r="I3240" s="27" t="n">
        <v>400</v>
      </c>
      <c r="J3240" s="154">
        <f>I3240/H3240-1</f>
        <v/>
      </c>
      <c r="K3240" s="31" t="inlineStr">
        <is>
          <t>65</t>
        </is>
      </c>
      <c r="L3240" s="31" t="inlineStr">
        <is>
          <t>64</t>
        </is>
      </c>
      <c r="M3240" s="31" t="inlineStr">
        <is>
          <t>S3</t>
        </is>
      </c>
      <c r="N3240" s="31" t="inlineStr">
        <is>
          <t>S5</t>
        </is>
      </c>
      <c r="O3240" s="31" t="inlineStr">
        <is>
          <t>332A2920-108</t>
        </is>
      </c>
      <c r="P3240" s="31" t="inlineStr">
        <is>
          <t>SR Technics Switzerland</t>
        </is>
      </c>
    </row>
    <row r="3241">
      <c r="B3241" s="31" t="inlineStr">
        <is>
          <t>CFM56-7B</t>
        </is>
      </c>
      <c r="C3241" s="31" t="inlineStr">
        <is>
          <t>2025-2026</t>
        </is>
      </c>
      <c r="D3241" s="31" t="inlineStr">
        <is>
          <t>648440</t>
        </is>
      </c>
      <c r="E3241" s="31" t="inlineStr">
        <is>
          <t>72-22-07</t>
        </is>
      </c>
      <c r="F3241" s="31" t="inlineStr">
        <is>
          <t>B</t>
        </is>
      </c>
      <c r="G3241" s="31" t="inlineStr">
        <is>
          <t>Fan / booster</t>
        </is>
      </c>
      <c r="H3241" s="27" t="n">
        <v>310</v>
      </c>
      <c r="I3241" s="27" t="n">
        <v>330</v>
      </c>
      <c r="J3241" s="154">
        <f>I3241/H3241-1</f>
        <v/>
      </c>
      <c r="K3241" s="31" t="inlineStr">
        <is>
          <t>65</t>
        </is>
      </c>
      <c r="L3241" s="31" t="inlineStr">
        <is>
          <t>65</t>
        </is>
      </c>
      <c r="M3241" s="31" t="inlineStr">
        <is>
          <t>S3</t>
        </is>
      </c>
      <c r="N3241" s="31" t="inlineStr">
        <is>
          <t>S5</t>
        </is>
      </c>
      <c r="O3241" s="31" t="inlineStr">
        <is>
          <t>301-544-407-0</t>
        </is>
      </c>
      <c r="P3241" s="31" t="inlineStr">
        <is>
          <t>SR Technics Switzerland</t>
        </is>
      </c>
    </row>
    <row r="3242">
      <c r="B3242" s="31" t="inlineStr">
        <is>
          <t>CFM56-7B</t>
        </is>
      </c>
      <c r="C3242" s="31" t="inlineStr">
        <is>
          <t>2025-2026</t>
        </is>
      </c>
      <c r="D3242" s="31" t="inlineStr">
        <is>
          <t>648461</t>
        </is>
      </c>
      <c r="E3242" s="31" t="inlineStr">
        <is>
          <t>72-22-20</t>
        </is>
      </c>
      <c r="F3242" s="31" t="inlineStr">
        <is>
          <t>A</t>
        </is>
      </c>
      <c r="G3242" s="31" t="inlineStr">
        <is>
          <t>Fan / booster</t>
        </is>
      </c>
      <c r="H3242" s="27" t="n">
        <v>145</v>
      </c>
      <c r="I3242" s="27" t="n">
        <v>155</v>
      </c>
      <c r="J3242" s="154">
        <f>I3242/H3242-1</f>
        <v/>
      </c>
      <c r="K3242" s="31" t="inlineStr">
        <is>
          <t>66</t>
        </is>
      </c>
      <c r="L3242" s="31" t="inlineStr">
        <is>
          <t>65</t>
        </is>
      </c>
      <c r="M3242" s="31" t="inlineStr">
        <is>
          <t>S3</t>
        </is>
      </c>
      <c r="N3242" s="31" t="inlineStr">
        <is>
          <t>S5</t>
        </is>
      </c>
      <c r="O3242" s="31" t="inlineStr">
        <is>
          <t>305-047-401-0</t>
        </is>
      </c>
      <c r="P3242" s="31" t="inlineStr">
        <is>
          <t>SR Technics Switzerland</t>
        </is>
      </c>
    </row>
    <row r="3243">
      <c r="B3243" s="31" t="inlineStr">
        <is>
          <t>CFM56-7B</t>
        </is>
      </c>
      <c r="C3243" s="31" t="inlineStr">
        <is>
          <t>2025-2026</t>
        </is>
      </c>
      <c r="D3243" s="31" t="inlineStr">
        <is>
          <t>648693</t>
        </is>
      </c>
      <c r="E3243" s="31" t="inlineStr">
        <is>
          <t>72-56-09</t>
        </is>
      </c>
      <c r="F3243" s="31" t="inlineStr">
        <is>
          <t>A</t>
        </is>
      </c>
      <c r="G3243" s="31" t="inlineStr">
        <is>
          <t>LPT</t>
        </is>
      </c>
      <c r="H3243" s="27" t="n">
        <v>315</v>
      </c>
      <c r="I3243" s="27" t="n">
        <v>335</v>
      </c>
      <c r="J3243" s="154">
        <f>I3243/H3243-1</f>
        <v/>
      </c>
      <c r="K3243" s="31" t="inlineStr">
        <is>
          <t>25</t>
        </is>
      </c>
      <c r="L3243" s="31" t="inlineStr">
        <is>
          <t>24</t>
        </is>
      </c>
      <c r="M3243" s="31" t="inlineStr">
        <is>
          <t>S3</t>
        </is>
      </c>
      <c r="N3243" s="31" t="inlineStr">
        <is>
          <t>S5</t>
        </is>
      </c>
      <c r="O3243" s="31" t="inlineStr">
        <is>
          <t>336-031-802-0</t>
        </is>
      </c>
      <c r="P3243" s="31" t="inlineStr">
        <is>
          <t>SR Technics Switzerland</t>
        </is>
      </c>
    </row>
    <row r="3244">
      <c r="B3244" s="31" t="inlineStr">
        <is>
          <t>CFM56-7B</t>
        </is>
      </c>
      <c r="C3244" s="31" t="inlineStr">
        <is>
          <t>2025-2026</t>
        </is>
      </c>
      <c r="D3244" s="31" t="inlineStr">
        <is>
          <t>648706</t>
        </is>
      </c>
      <c r="E3244" s="31" t="inlineStr">
        <is>
          <t>72-53-10</t>
        </is>
      </c>
      <c r="F3244" s="31" t="inlineStr">
        <is>
          <t>A</t>
        </is>
      </c>
      <c r="G3244" s="31" t="inlineStr">
        <is>
          <t>HPT / nozzle</t>
        </is>
      </c>
      <c r="H3244" s="27" t="n">
        <v>40</v>
      </c>
      <c r="I3244" s="27" t="n">
        <v>45</v>
      </c>
      <c r="J3244" s="154">
        <f>I3244/H3244-1</f>
        <v/>
      </c>
      <c r="K3244" s="31" t="inlineStr">
        <is>
          <t>66</t>
        </is>
      </c>
      <c r="L3244" s="31" t="inlineStr">
        <is>
          <t>65</t>
        </is>
      </c>
      <c r="M3244" s="31" t="inlineStr">
        <is>
          <t>S3</t>
        </is>
      </c>
      <c r="N3244" s="31" t="inlineStr">
        <is>
          <t>S5</t>
        </is>
      </c>
      <c r="O3244" s="31" t="inlineStr">
        <is>
          <t>336-022-402-0</t>
        </is>
      </c>
      <c r="P3244" s="31" t="inlineStr">
        <is>
          <t>SR Technics Switzerland</t>
        </is>
      </c>
    </row>
    <row r="3245">
      <c r="B3245" s="31" t="inlineStr">
        <is>
          <t>CFM56-7B</t>
        </is>
      </c>
      <c r="C3245" s="31" t="inlineStr">
        <is>
          <t>2025-2026</t>
        </is>
      </c>
      <c r="D3245" s="31" t="inlineStr">
        <is>
          <t>648714</t>
        </is>
      </c>
      <c r="E3245" s="31" t="inlineStr">
        <is>
          <t>72-51-10</t>
        </is>
      </c>
      <c r="F3245" s="31" t="inlineStr">
        <is>
          <t>A</t>
        </is>
      </c>
      <c r="G3245" s="31" t="inlineStr">
        <is>
          <t>HPT / nozzle</t>
        </is>
      </c>
      <c r="H3245" s="27" t="n">
        <v>530</v>
      </c>
      <c r="I3245" s="27" t="n">
        <v>560</v>
      </c>
      <c r="J3245" s="154">
        <f>I3245/H3245-1</f>
        <v/>
      </c>
      <c r="K3245" s="31" t="inlineStr">
        <is>
          <t>66</t>
        </is>
      </c>
      <c r="L3245" s="31" t="inlineStr">
        <is>
          <t>65</t>
        </is>
      </c>
      <c r="M3245" s="31" t="inlineStr">
        <is>
          <t>S3</t>
        </is>
      </c>
      <c r="N3245" s="31" t="inlineStr">
        <is>
          <t>S5</t>
        </is>
      </c>
      <c r="O3245" s="31" t="inlineStr">
        <is>
          <t>1359M84P06</t>
        </is>
      </c>
      <c r="P3245" s="31" t="inlineStr">
        <is>
          <t>SR Technics Switzerland</t>
        </is>
      </c>
    </row>
    <row r="3246">
      <c r="B3246" s="31" t="inlineStr">
        <is>
          <t>CFM56-7B</t>
        </is>
      </c>
      <c r="C3246" s="31" t="inlineStr">
        <is>
          <t>2025-2026</t>
        </is>
      </c>
      <c r="D3246" s="31" t="inlineStr">
        <is>
          <t>648717</t>
        </is>
      </c>
      <c r="E3246" s="31" t="inlineStr">
        <is>
          <t>72-52-11</t>
        </is>
      </c>
      <c r="F3246" s="31" t="inlineStr">
        <is>
          <t>A</t>
        </is>
      </c>
      <c r="G3246" s="31" t="inlineStr">
        <is>
          <t>HPT / nozzle</t>
        </is>
      </c>
      <c r="H3246" s="27" t="n">
        <v>220</v>
      </c>
      <c r="I3246" s="27" t="n">
        <v>235</v>
      </c>
      <c r="J3246" s="154">
        <f>I3246/H3246-1</f>
        <v/>
      </c>
      <c r="K3246" s="31" t="inlineStr">
        <is>
          <t>25</t>
        </is>
      </c>
      <c r="L3246" s="31" t="inlineStr">
        <is>
          <t>24</t>
        </is>
      </c>
      <c r="M3246" s="31" t="inlineStr">
        <is>
          <t>S3</t>
        </is>
      </c>
      <c r="N3246" s="31" t="inlineStr">
        <is>
          <t>S5</t>
        </is>
      </c>
      <c r="O3246" s="31" t="inlineStr">
        <is>
          <t>1864M97P01</t>
        </is>
      </c>
      <c r="P3246" s="31" t="inlineStr">
        <is>
          <t>SR Technics Switzerland</t>
        </is>
      </c>
    </row>
    <row r="3247">
      <c r="B3247" s="31" t="inlineStr">
        <is>
          <t>CFM56-7B</t>
        </is>
      </c>
      <c r="C3247" s="31" t="inlineStr">
        <is>
          <t>2025-2026</t>
        </is>
      </c>
      <c r="D3247" s="31" t="inlineStr">
        <is>
          <t>648731</t>
        </is>
      </c>
      <c r="E3247" s="31" t="inlineStr">
        <is>
          <t>72-32-13</t>
        </is>
      </c>
      <c r="F3247" s="31" t="inlineStr">
        <is>
          <t>A</t>
        </is>
      </c>
      <c r="G3247" s="31" t="inlineStr">
        <is>
          <t>Compressor</t>
        </is>
      </c>
      <c r="H3247" s="27" t="n">
        <v>60</v>
      </c>
      <c r="I3247" s="27" t="n">
        <v>65</v>
      </c>
      <c r="J3247" s="154">
        <f>I3247/H3247-1</f>
        <v/>
      </c>
      <c r="K3247" s="31" t="inlineStr">
        <is>
          <t>67</t>
        </is>
      </c>
      <c r="L3247" s="31" t="inlineStr">
        <is>
          <t>66</t>
        </is>
      </c>
      <c r="M3247" s="31" t="inlineStr">
        <is>
          <t>S3</t>
        </is>
      </c>
      <c r="N3247" s="31" t="inlineStr">
        <is>
          <t>S5</t>
        </is>
      </c>
      <c r="O3247" s="31" t="inlineStr">
        <is>
          <t>1476M52P01</t>
        </is>
      </c>
      <c r="P3247" s="31" t="inlineStr">
        <is>
          <t>SR Technics Switzerland</t>
        </is>
      </c>
    </row>
    <row r="3248">
      <c r="B3248" s="31" t="inlineStr">
        <is>
          <t>CFM56-7B</t>
        </is>
      </c>
      <c r="C3248" s="31" t="inlineStr">
        <is>
          <t>2025-2026</t>
        </is>
      </c>
      <c r="D3248" s="31" t="inlineStr">
        <is>
          <t>652060</t>
        </is>
      </c>
      <c r="E3248" s="31" t="inlineStr">
        <is>
          <t>72-32-09</t>
        </is>
      </c>
      <c r="F3248" s="31" t="inlineStr">
        <is>
          <t>A</t>
        </is>
      </c>
      <c r="G3248" s="31" t="inlineStr">
        <is>
          <t>Compressor</t>
        </is>
      </c>
      <c r="H3248" s="27" t="n">
        <v>35</v>
      </c>
      <c r="I3248" s="27" t="n">
        <v>40</v>
      </c>
      <c r="J3248" s="154">
        <f>I3248/H3248-1</f>
        <v/>
      </c>
      <c r="K3248" s="31" t="inlineStr">
        <is>
          <t>67</t>
        </is>
      </c>
      <c r="L3248" s="31" t="inlineStr">
        <is>
          <t>66</t>
        </is>
      </c>
      <c r="M3248" s="31" t="inlineStr">
        <is>
          <t>S3</t>
        </is>
      </c>
      <c r="N3248" s="31" t="inlineStr">
        <is>
          <t>S5</t>
        </is>
      </c>
      <c r="O3248" s="31" t="inlineStr">
        <is>
          <t>2050M55P01</t>
        </is>
      </c>
      <c r="P3248" s="31" t="inlineStr">
        <is>
          <t>SR Technics Switzerland</t>
        </is>
      </c>
    </row>
    <row r="3249">
      <c r="B3249" s="31" t="inlineStr">
        <is>
          <t>CFM56-7B</t>
        </is>
      </c>
      <c r="C3249" s="31" t="inlineStr">
        <is>
          <t>2025-2026</t>
        </is>
      </c>
      <c r="D3249" s="31" t="inlineStr">
        <is>
          <t>653329</t>
        </is>
      </c>
      <c r="E3249" s="31" t="inlineStr">
        <is>
          <t>26-11-03</t>
        </is>
      </c>
      <c r="F3249" s="31" t="inlineStr">
        <is>
          <t>B</t>
        </is>
      </c>
      <c r="G3249" s="31" t="inlineStr">
        <is>
          <t>Other / assembly</t>
        </is>
      </c>
      <c r="H3249" s="27" t="n">
        <v>565</v>
      </c>
      <c r="I3249" s="27" t="n">
        <v>600</v>
      </c>
      <c r="J3249" s="154">
        <f>I3249/H3249-1</f>
        <v/>
      </c>
      <c r="K3249" s="31" t="inlineStr">
        <is>
          <t>67</t>
        </is>
      </c>
      <c r="L3249" s="31" t="inlineStr">
        <is>
          <t>66</t>
        </is>
      </c>
      <c r="M3249" s="31" t="inlineStr">
        <is>
          <t>S3</t>
        </is>
      </c>
      <c r="N3249" s="31" t="inlineStr">
        <is>
          <t>S5</t>
        </is>
      </c>
      <c r="O3249" s="31" t="inlineStr">
        <is>
          <t>340-406-801-0</t>
        </is>
      </c>
      <c r="P3249" s="31" t="inlineStr">
        <is>
          <t>SR Technics Switzerland</t>
        </is>
      </c>
    </row>
    <row r="3250">
      <c r="B3250" s="31" t="inlineStr">
        <is>
          <t>CFM56-7B</t>
        </is>
      </c>
      <c r="C3250" s="31" t="inlineStr">
        <is>
          <t>2025-2026</t>
        </is>
      </c>
      <c r="D3250" s="31" t="inlineStr">
        <is>
          <t>653329</t>
        </is>
      </c>
      <c r="E3250" s="31" t="inlineStr">
        <is>
          <t>26-11-03</t>
        </is>
      </c>
      <c r="F3250" s="31" t="inlineStr">
        <is>
          <t>C</t>
        </is>
      </c>
      <c r="G3250" s="31" t="inlineStr">
        <is>
          <t>Other / assembly</t>
        </is>
      </c>
      <c r="H3250" s="27" t="n">
        <v>940</v>
      </c>
      <c r="I3250" s="27" t="n">
        <v>1000</v>
      </c>
      <c r="J3250" s="154">
        <f>I3250/H3250-1</f>
        <v/>
      </c>
      <c r="K3250" s="31" t="inlineStr">
        <is>
          <t>67</t>
        </is>
      </c>
      <c r="L3250" s="31" t="inlineStr">
        <is>
          <t>66</t>
        </is>
      </c>
      <c r="M3250" s="31" t="inlineStr">
        <is>
          <t>S3</t>
        </is>
      </c>
      <c r="N3250" s="31" t="inlineStr">
        <is>
          <t>S5</t>
        </is>
      </c>
      <c r="O3250" s="31" t="inlineStr">
        <is>
          <t>340-406-801-0</t>
        </is>
      </c>
      <c r="P3250" s="31" t="inlineStr">
        <is>
          <t>SR Technics Switzerland</t>
        </is>
      </c>
    </row>
    <row r="3251">
      <c r="B3251" s="31" t="inlineStr">
        <is>
          <t>CFM56-7B</t>
        </is>
      </c>
      <c r="C3251" s="31" t="inlineStr">
        <is>
          <t>2025-2026</t>
        </is>
      </c>
      <c r="D3251" s="31" t="inlineStr">
        <is>
          <t>653329</t>
        </is>
      </c>
      <c r="E3251" s="31" t="inlineStr">
        <is>
          <t>26-11-03</t>
        </is>
      </c>
      <c r="F3251" s="31" t="inlineStr">
        <is>
          <t>E</t>
        </is>
      </c>
      <c r="G3251" s="31" t="inlineStr">
        <is>
          <t>Other / assembly</t>
        </is>
      </c>
      <c r="H3251" s="27" t="n">
        <v>1300</v>
      </c>
      <c r="I3251" s="27" t="n">
        <v>1380</v>
      </c>
      <c r="J3251" s="154">
        <f>I3251/H3251-1</f>
        <v/>
      </c>
      <c r="K3251" s="31" t="inlineStr">
        <is>
          <t>67</t>
        </is>
      </c>
      <c r="L3251" s="31" t="inlineStr">
        <is>
          <t>66</t>
        </is>
      </c>
      <c r="M3251" s="31" t="inlineStr">
        <is>
          <t>S3</t>
        </is>
      </c>
      <c r="N3251" s="31" t="inlineStr">
        <is>
          <t>S5</t>
        </is>
      </c>
      <c r="O3251" s="31" t="inlineStr">
        <is>
          <t>340-406-801-0</t>
        </is>
      </c>
      <c r="P3251" s="31" t="inlineStr">
        <is>
          <t>SR Technics Switzerland</t>
        </is>
      </c>
    </row>
    <row r="3252">
      <c r="B3252" s="31" t="inlineStr">
        <is>
          <t>CFM56-7B</t>
        </is>
      </c>
      <c r="C3252" s="31" t="inlineStr">
        <is>
          <t>2025-2026</t>
        </is>
      </c>
      <c r="D3252" s="31" t="inlineStr">
        <is>
          <t>653329</t>
        </is>
      </c>
      <c r="E3252" s="31" t="inlineStr">
        <is>
          <t>26-11-03</t>
        </is>
      </c>
      <c r="F3252" s="31" t="inlineStr">
        <is>
          <t>G</t>
        </is>
      </c>
      <c r="G3252" s="31" t="inlineStr">
        <is>
          <t>Other / assembly</t>
        </is>
      </c>
      <c r="H3252" s="27" t="n">
        <v>1585</v>
      </c>
      <c r="I3252" s="27" t="n">
        <v>1685</v>
      </c>
      <c r="J3252" s="154">
        <f>I3252/H3252-1</f>
        <v/>
      </c>
      <c r="K3252" s="31" t="inlineStr">
        <is>
          <t>67</t>
        </is>
      </c>
      <c r="L3252" s="31" t="inlineStr">
        <is>
          <t>66</t>
        </is>
      </c>
      <c r="M3252" s="31" t="inlineStr">
        <is>
          <t>S3</t>
        </is>
      </c>
      <c r="N3252" s="31" t="inlineStr">
        <is>
          <t>S5</t>
        </is>
      </c>
      <c r="O3252" s="31" t="inlineStr">
        <is>
          <t>340-406-801-0</t>
        </is>
      </c>
      <c r="P3252" s="31" t="inlineStr">
        <is>
          <t>SR Technics Switzerland</t>
        </is>
      </c>
    </row>
    <row r="3253">
      <c r="B3253" s="31" t="inlineStr">
        <is>
          <t>CFM56-7B</t>
        </is>
      </c>
      <c r="C3253" s="31" t="inlineStr">
        <is>
          <t>2025-2026</t>
        </is>
      </c>
      <c r="D3253" s="31" t="inlineStr">
        <is>
          <t>653347</t>
        </is>
      </c>
      <c r="E3253" s="31" t="inlineStr">
        <is>
          <t>72-23-17</t>
        </is>
      </c>
      <c r="F3253" s="31" t="inlineStr">
        <is>
          <t>A</t>
        </is>
      </c>
      <c r="G3253" s="31" t="inlineStr">
        <is>
          <t>Fan / booster</t>
        </is>
      </c>
      <c r="H3253" s="27" t="n">
        <v>115</v>
      </c>
      <c r="I3253" s="27" t="n">
        <v>125</v>
      </c>
      <c r="J3253" s="154">
        <f>I3253/H3253-1</f>
        <v/>
      </c>
      <c r="K3253" s="31" t="inlineStr">
        <is>
          <t>67</t>
        </is>
      </c>
      <c r="L3253" s="31" t="inlineStr">
        <is>
          <t>66</t>
        </is>
      </c>
      <c r="M3253" s="31" t="inlineStr">
        <is>
          <t>S3</t>
        </is>
      </c>
      <c r="N3253" s="31" t="inlineStr">
        <is>
          <t>S5</t>
        </is>
      </c>
      <c r="O3253" s="31" t="inlineStr">
        <is>
          <t>336-472-901-0</t>
        </is>
      </c>
      <c r="P3253" s="31" t="inlineStr">
        <is>
          <t>SR Technics Switzerland</t>
        </is>
      </c>
    </row>
    <row r="3254">
      <c r="B3254" s="31" t="inlineStr">
        <is>
          <t>CFM56-7B</t>
        </is>
      </c>
      <c r="C3254" s="31" t="inlineStr">
        <is>
          <t>2025-2026</t>
        </is>
      </c>
      <c r="D3254" s="31" t="inlineStr">
        <is>
          <t>654796</t>
        </is>
      </c>
      <c r="E3254" s="31" t="inlineStr">
        <is>
          <t>72-33-20</t>
        </is>
      </c>
      <c r="F3254" s="31" t="inlineStr">
        <is>
          <t>A</t>
        </is>
      </c>
      <c r="G3254" s="31" t="inlineStr">
        <is>
          <t>Compressor</t>
        </is>
      </c>
      <c r="H3254" s="27" t="n">
        <v>100</v>
      </c>
      <c r="I3254" s="27" t="n">
        <v>105</v>
      </c>
      <c r="J3254" s="154">
        <f>I3254/H3254-1</f>
        <v/>
      </c>
      <c r="K3254" s="31" t="inlineStr">
        <is>
          <t>25</t>
        </is>
      </c>
      <c r="L3254" s="31" t="inlineStr">
        <is>
          <t>24</t>
        </is>
      </c>
      <c r="M3254" s="31" t="inlineStr">
        <is>
          <t>S3</t>
        </is>
      </c>
      <c r="N3254" s="31" t="inlineStr">
        <is>
          <t>S5</t>
        </is>
      </c>
      <c r="O3254" s="31" t="inlineStr">
        <is>
          <t>9321M97P02</t>
        </is>
      </c>
      <c r="P3254" s="31" t="inlineStr">
        <is>
          <t>SR Technics Switzerland</t>
        </is>
      </c>
    </row>
    <row r="3255">
      <c r="B3255" s="31" t="inlineStr">
        <is>
          <t>CFM56-7B</t>
        </is>
      </c>
      <c r="C3255" s="31" t="inlineStr">
        <is>
          <t>2025-2026</t>
        </is>
      </c>
      <c r="D3255" s="31" t="inlineStr">
        <is>
          <t>655179</t>
        </is>
      </c>
      <c r="E3255" s="31" t="inlineStr">
        <is>
          <t>72-22-13</t>
        </is>
      </c>
      <c r="F3255" s="31" t="inlineStr">
        <is>
          <t>A</t>
        </is>
      </c>
      <c r="G3255" s="31" t="inlineStr">
        <is>
          <t>Fan / booster</t>
        </is>
      </c>
      <c r="H3255" s="27" t="n">
        <v>750</v>
      </c>
      <c r="I3255" s="27" t="n">
        <v>790</v>
      </c>
      <c r="J3255" s="154">
        <f>I3255/H3255-1</f>
        <v/>
      </c>
      <c r="K3255" s="31" t="inlineStr">
        <is>
          <t>25</t>
        </is>
      </c>
      <c r="L3255" s="31" t="inlineStr">
        <is>
          <t>24</t>
        </is>
      </c>
      <c r="M3255" s="31" t="inlineStr">
        <is>
          <t>S3</t>
        </is>
      </c>
      <c r="N3255" s="31" t="inlineStr">
        <is>
          <t>S5</t>
        </is>
      </c>
      <c r="O3255" s="31" t="inlineStr">
        <is>
          <t>301-298-006-0</t>
        </is>
      </c>
      <c r="P3255" s="31" t="inlineStr">
        <is>
          <t>SR Technics Switzerland</t>
        </is>
      </c>
    </row>
    <row r="3256">
      <c r="B3256" s="31" t="inlineStr">
        <is>
          <t>CFM56-7B</t>
        </is>
      </c>
      <c r="C3256" s="31" t="inlineStr">
        <is>
          <t>2025-2026</t>
        </is>
      </c>
      <c r="D3256" s="31" t="inlineStr">
        <is>
          <t>655179</t>
        </is>
      </c>
      <c r="E3256" s="31" t="inlineStr">
        <is>
          <t>72-22-13</t>
        </is>
      </c>
      <c r="F3256" s="31" t="inlineStr">
        <is>
          <t>C</t>
        </is>
      </c>
      <c r="G3256" s="31" t="inlineStr">
        <is>
          <t>Fan / booster</t>
        </is>
      </c>
      <c r="H3256" s="27" t="n">
        <v>760</v>
      </c>
      <c r="I3256" s="27" t="n">
        <v>810</v>
      </c>
      <c r="J3256" s="154">
        <f>I3256/H3256-1</f>
        <v/>
      </c>
      <c r="K3256" s="31" t="inlineStr">
        <is>
          <t>25</t>
        </is>
      </c>
      <c r="L3256" s="31" t="inlineStr">
        <is>
          <t>24</t>
        </is>
      </c>
      <c r="M3256" s="31" t="inlineStr">
        <is>
          <t>S3</t>
        </is>
      </c>
      <c r="N3256" s="31" t="inlineStr">
        <is>
          <t>S5</t>
        </is>
      </c>
      <c r="O3256" s="31" t="inlineStr">
        <is>
          <t>301-298-006-0</t>
        </is>
      </c>
      <c r="P3256" s="31" t="inlineStr">
        <is>
          <t>SR Technics Switzerland</t>
        </is>
      </c>
    </row>
    <row r="3257">
      <c r="B3257" s="31" t="inlineStr">
        <is>
          <t>CFM56-7B</t>
        </is>
      </c>
      <c r="C3257" s="31" t="inlineStr">
        <is>
          <t>2025-2026</t>
        </is>
      </c>
      <c r="D3257" s="31" t="inlineStr">
        <is>
          <t>656214</t>
        </is>
      </c>
      <c r="E3257" s="31" t="inlineStr">
        <is>
          <t>72-22-13</t>
        </is>
      </c>
      <c r="F3257" s="31" t="inlineStr">
        <is>
          <t>D</t>
        </is>
      </c>
      <c r="G3257" s="31" t="inlineStr">
        <is>
          <t>Fan / booster</t>
        </is>
      </c>
      <c r="H3257" s="27" t="n">
        <v>555</v>
      </c>
      <c r="I3257" s="27" t="n">
        <v>590</v>
      </c>
      <c r="J3257" s="154">
        <f>I3257/H3257-1</f>
        <v/>
      </c>
      <c r="K3257" s="31" t="inlineStr">
        <is>
          <t>25</t>
        </is>
      </c>
      <c r="L3257" s="31" t="inlineStr">
        <is>
          <t>25</t>
        </is>
      </c>
      <c r="M3257" s="31" t="inlineStr">
        <is>
          <t>S3</t>
        </is>
      </c>
      <c r="N3257" s="31" t="inlineStr">
        <is>
          <t>S5</t>
        </is>
      </c>
      <c r="O3257" s="31" t="inlineStr">
        <is>
          <t>301-436-804-0</t>
        </is>
      </c>
      <c r="P3257" s="31" t="inlineStr">
        <is>
          <t>SR Technics Switzerland</t>
        </is>
      </c>
    </row>
    <row r="3258">
      <c r="B3258" s="31" t="inlineStr">
        <is>
          <t>CFM56-7B</t>
        </is>
      </c>
      <c r="C3258" s="31" t="inlineStr">
        <is>
          <t>2025-2026</t>
        </is>
      </c>
      <c r="D3258" s="31" t="inlineStr">
        <is>
          <t>656317</t>
        </is>
      </c>
      <c r="E3258" s="31" t="inlineStr">
        <is>
          <t>72-52-09</t>
        </is>
      </c>
      <c r="F3258" s="31" t="inlineStr">
        <is>
          <t>A</t>
        </is>
      </c>
      <c r="G3258" s="31" t="inlineStr">
        <is>
          <t>HPT / nozzle</t>
        </is>
      </c>
      <c r="H3258" s="27" t="n">
        <v>165</v>
      </c>
      <c r="I3258" s="27" t="n">
        <v>175</v>
      </c>
      <c r="J3258" s="154">
        <f>I3258/H3258-1</f>
        <v/>
      </c>
      <c r="K3258" s="31" t="inlineStr">
        <is>
          <t>67</t>
        </is>
      </c>
      <c r="L3258" s="31" t="inlineStr">
        <is>
          <t>66</t>
        </is>
      </c>
      <c r="M3258" s="31" t="inlineStr">
        <is>
          <t>S3</t>
        </is>
      </c>
      <c r="N3258" s="31" t="inlineStr">
        <is>
          <t>S5</t>
        </is>
      </c>
      <c r="O3258" s="31" t="inlineStr">
        <is>
          <t>9513M60P02</t>
        </is>
      </c>
      <c r="P3258" s="31" t="inlineStr">
        <is>
          <t>SR Technics Switzerland</t>
        </is>
      </c>
    </row>
    <row r="3259">
      <c r="B3259" s="31" t="inlineStr">
        <is>
          <t>CFM56-7B</t>
        </is>
      </c>
      <c r="C3259" s="31" t="inlineStr">
        <is>
          <t>2025-2026</t>
        </is>
      </c>
      <c r="D3259" s="31" t="inlineStr">
        <is>
          <t>656380</t>
        </is>
      </c>
      <c r="E3259" s="31" t="inlineStr">
        <is>
          <t>72-63-12</t>
        </is>
      </c>
      <c r="F3259" s="31" t="inlineStr">
        <is>
          <t>A</t>
        </is>
      </c>
      <c r="G3259" s="31" t="inlineStr">
        <is>
          <t>Gearbox</t>
        </is>
      </c>
      <c r="H3259" s="27" t="n">
        <v>415</v>
      </c>
      <c r="I3259" s="27" t="n">
        <v>440</v>
      </c>
      <c r="J3259" s="154">
        <f>I3259/H3259-1</f>
        <v/>
      </c>
      <c r="K3259" s="31" t="inlineStr">
        <is>
          <t>67</t>
        </is>
      </c>
      <c r="L3259" s="31" t="inlineStr">
        <is>
          <t>67</t>
        </is>
      </c>
      <c r="M3259" s="31" t="inlineStr">
        <is>
          <t>S3</t>
        </is>
      </c>
      <c r="N3259" s="31" t="inlineStr">
        <is>
          <t>S5</t>
        </is>
      </c>
      <c r="O3259" s="31" t="inlineStr">
        <is>
          <t>340-049-001-0</t>
        </is>
      </c>
      <c r="P3259" s="31" t="inlineStr">
        <is>
          <t>SR Technics Switzerland</t>
        </is>
      </c>
    </row>
    <row r="3260">
      <c r="B3260" s="31" t="inlineStr">
        <is>
          <t>CFM56-7B</t>
        </is>
      </c>
      <c r="C3260" s="31" t="inlineStr">
        <is>
          <t>2025-2026</t>
        </is>
      </c>
      <c r="D3260" s="31" t="inlineStr">
        <is>
          <t>657874</t>
        </is>
      </c>
      <c r="E3260" s="31" t="inlineStr">
        <is>
          <t>72-09-04</t>
        </is>
      </c>
      <c r="F3260" s="31" t="inlineStr">
        <is>
          <t>B</t>
        </is>
      </c>
      <c r="G3260" s="31" t="inlineStr">
        <is>
          <t>Other / assembly</t>
        </is>
      </c>
      <c r="H3260" s="27" t="n">
        <v>120</v>
      </c>
      <c r="I3260" s="27" t="n">
        <v>130</v>
      </c>
      <c r="J3260" s="154">
        <f>I3260/H3260-1</f>
        <v/>
      </c>
      <c r="K3260" s="31" t="inlineStr">
        <is>
          <t>68</t>
        </is>
      </c>
      <c r="L3260" s="31" t="inlineStr">
        <is>
          <t>67</t>
        </is>
      </c>
      <c r="M3260" s="31" t="inlineStr">
        <is>
          <t>S3</t>
        </is>
      </c>
      <c r="N3260" s="31" t="inlineStr">
        <is>
          <t>S5</t>
        </is>
      </c>
      <c r="O3260" s="31" t="inlineStr">
        <is>
          <t>1621M35G01</t>
        </is>
      </c>
      <c r="P3260" s="31" t="inlineStr">
        <is>
          <t>SR Technics Switzerland</t>
        </is>
      </c>
    </row>
    <row r="3261">
      <c r="B3261" s="31" t="inlineStr">
        <is>
          <t>CFM56-7B</t>
        </is>
      </c>
      <c r="C3261" s="31" t="inlineStr">
        <is>
          <t>2025-2026</t>
        </is>
      </c>
      <c r="D3261" s="31" t="inlineStr">
        <is>
          <t>657875</t>
        </is>
      </c>
      <c r="E3261" s="31" t="inlineStr">
        <is>
          <t>72-09-04</t>
        </is>
      </c>
      <c r="F3261" s="31" t="inlineStr">
        <is>
          <t>B</t>
        </is>
      </c>
      <c r="G3261" s="31" t="inlineStr">
        <is>
          <t>Other / assembly</t>
        </is>
      </c>
      <c r="H3261" s="27" t="n">
        <v>155</v>
      </c>
      <c r="I3261" s="27" t="n">
        <v>165</v>
      </c>
      <c r="J3261" s="154">
        <f>I3261/H3261-1</f>
        <v/>
      </c>
      <c r="K3261" s="31" t="inlineStr">
        <is>
          <t>70</t>
        </is>
      </c>
      <c r="L3261" s="31" t="inlineStr">
        <is>
          <t>69</t>
        </is>
      </c>
      <c r="M3261" s="31" t="inlineStr">
        <is>
          <t>S3</t>
        </is>
      </c>
      <c r="N3261" s="31" t="inlineStr">
        <is>
          <t>S5</t>
        </is>
      </c>
      <c r="O3261" s="31" t="inlineStr">
        <is>
          <t>1444M20G03</t>
        </is>
      </c>
      <c r="P3261" s="31" t="inlineStr">
        <is>
          <t>SR Technics Switzerland</t>
        </is>
      </c>
    </row>
    <row r="3262">
      <c r="B3262" s="31" t="inlineStr">
        <is>
          <t>CFM56-7B</t>
        </is>
      </c>
      <c r="C3262" s="31" t="inlineStr">
        <is>
          <t>2025-2026</t>
        </is>
      </c>
      <c r="D3262" s="31" t="inlineStr">
        <is>
          <t>657875</t>
        </is>
      </c>
      <c r="E3262" s="31" t="inlineStr">
        <is>
          <t>72-09-04</t>
        </is>
      </c>
      <c r="F3262" s="31" t="inlineStr">
        <is>
          <t>C</t>
        </is>
      </c>
      <c r="G3262" s="31" t="inlineStr">
        <is>
          <t>Other / assembly</t>
        </is>
      </c>
      <c r="H3262" s="27" t="n">
        <v>55</v>
      </c>
      <c r="I3262" s="27" t="n">
        <v>60</v>
      </c>
      <c r="J3262" s="154">
        <f>I3262/H3262-1</f>
        <v/>
      </c>
      <c r="K3262" s="31" t="inlineStr">
        <is>
          <t>70</t>
        </is>
      </c>
      <c r="L3262" s="31" t="inlineStr">
        <is>
          <t>69</t>
        </is>
      </c>
      <c r="M3262" s="31" t="inlineStr">
        <is>
          <t>S3</t>
        </is>
      </c>
      <c r="N3262" s="31" t="inlineStr">
        <is>
          <t>S5</t>
        </is>
      </c>
      <c r="O3262" s="31" t="inlineStr">
        <is>
          <t>1444M20G03</t>
        </is>
      </c>
      <c r="P3262" s="31" t="inlineStr">
        <is>
          <t>SR Technics Switzerland</t>
        </is>
      </c>
    </row>
    <row r="3263">
      <c r="B3263" s="31" t="inlineStr">
        <is>
          <t>CFM56-7B</t>
        </is>
      </c>
      <c r="C3263" s="31" t="inlineStr">
        <is>
          <t>2025-2026</t>
        </is>
      </c>
      <c r="D3263" s="31" t="inlineStr">
        <is>
          <t>657876</t>
        </is>
      </c>
      <c r="E3263" s="31" t="inlineStr">
        <is>
          <t>72-09-04</t>
        </is>
      </c>
      <c r="F3263" s="31" t="inlineStr">
        <is>
          <t>C</t>
        </is>
      </c>
      <c r="G3263" s="31" t="inlineStr">
        <is>
          <t>Other / assembly</t>
        </is>
      </c>
      <c r="H3263" s="27" t="n">
        <v>165</v>
      </c>
      <c r="I3263" s="27" t="n">
        <v>175</v>
      </c>
      <c r="J3263" s="154">
        <f>I3263/H3263-1</f>
        <v/>
      </c>
      <c r="K3263" s="31" t="inlineStr">
        <is>
          <t>74</t>
        </is>
      </c>
      <c r="L3263" s="31" t="inlineStr">
        <is>
          <t>73</t>
        </is>
      </c>
      <c r="M3263" s="31" t="inlineStr">
        <is>
          <t>S3</t>
        </is>
      </c>
      <c r="N3263" s="31" t="inlineStr">
        <is>
          <t>S5</t>
        </is>
      </c>
      <c r="O3263" s="31" t="inlineStr">
        <is>
          <t>1677M58G01</t>
        </is>
      </c>
      <c r="P3263" s="31" t="inlineStr">
        <is>
          <t>SR Technics Switzerland</t>
        </is>
      </c>
    </row>
    <row r="3264">
      <c r="B3264" s="31" t="inlineStr">
        <is>
          <t>CFM56-7B</t>
        </is>
      </c>
      <c r="C3264" s="31" t="inlineStr">
        <is>
          <t>2025-2026</t>
        </is>
      </c>
      <c r="D3264" s="31" t="inlineStr">
        <is>
          <t>658151</t>
        </is>
      </c>
      <c r="E3264" s="31" t="inlineStr">
        <is>
          <t>26-10-87</t>
        </is>
      </c>
      <c r="F3264" s="31" t="inlineStr">
        <is>
          <t>A</t>
        </is>
      </c>
      <c r="G3264" s="31" t="inlineStr">
        <is>
          <t>Other / assembly</t>
        </is>
      </c>
      <c r="H3264" s="27" t="n">
        <v>1210</v>
      </c>
      <c r="I3264" s="27" t="n">
        <v>1275</v>
      </c>
      <c r="J3264" s="154">
        <f>I3264/H3264-1</f>
        <v/>
      </c>
      <c r="K3264" s="31" t="inlineStr">
        <is>
          <t>77</t>
        </is>
      </c>
      <c r="L3264" s="31" t="inlineStr">
        <is>
          <t>76</t>
        </is>
      </c>
      <c r="M3264" s="31" t="inlineStr">
        <is>
          <t>S3</t>
        </is>
      </c>
      <c r="N3264" s="31" t="inlineStr">
        <is>
          <t>S5</t>
        </is>
      </c>
      <c r="O3264" s="31" t="inlineStr">
        <is>
          <t>902015-01</t>
        </is>
      </c>
      <c r="P3264" s="31" t="inlineStr">
        <is>
          <t>SR Technics Switzerland</t>
        </is>
      </c>
    </row>
    <row r="3265">
      <c r="B3265" s="31" t="inlineStr">
        <is>
          <t>CFM56-7B</t>
        </is>
      </c>
      <c r="C3265" s="31" t="inlineStr">
        <is>
          <t>2025-2026</t>
        </is>
      </c>
      <c r="D3265" s="31" t="inlineStr">
        <is>
          <t>658151</t>
        </is>
      </c>
      <c r="E3265" s="31" t="inlineStr">
        <is>
          <t>26-10-87</t>
        </is>
      </c>
      <c r="F3265" s="31" t="inlineStr">
        <is>
          <t>E</t>
        </is>
      </c>
      <c r="G3265" s="31" t="inlineStr">
        <is>
          <t>Other / assembly</t>
        </is>
      </c>
      <c r="H3265" s="27" t="n">
        <v>1875</v>
      </c>
      <c r="I3265" s="27" t="n">
        <v>1990</v>
      </c>
      <c r="J3265" s="154">
        <f>I3265/H3265-1</f>
        <v/>
      </c>
      <c r="K3265" s="31" t="inlineStr">
        <is>
          <t>77</t>
        </is>
      </c>
      <c r="L3265" s="31" t="inlineStr">
        <is>
          <t>76</t>
        </is>
      </c>
      <c r="M3265" s="31" t="inlineStr">
        <is>
          <t>S3</t>
        </is>
      </c>
      <c r="N3265" s="31" t="inlineStr">
        <is>
          <t>S5</t>
        </is>
      </c>
      <c r="O3265" s="31" t="inlineStr">
        <is>
          <t>902015-01</t>
        </is>
      </c>
      <c r="P3265" s="31" t="inlineStr">
        <is>
          <t>SR Technics Switzerland</t>
        </is>
      </c>
    </row>
    <row r="3266">
      <c r="B3266" s="31" t="inlineStr">
        <is>
          <t>CFM56-7B</t>
        </is>
      </c>
      <c r="C3266" s="31" t="inlineStr">
        <is>
          <t>2025-2026</t>
        </is>
      </c>
      <c r="D3266" s="31" t="inlineStr">
        <is>
          <t>663264</t>
        </is>
      </c>
      <c r="E3266" s="31" t="inlineStr">
        <is>
          <t>73-21-79</t>
        </is>
      </c>
      <c r="F3266" s="31" t="inlineStr">
        <is>
          <t>B</t>
        </is>
      </c>
      <c r="G3266" s="31" t="inlineStr">
        <is>
          <t>Fuel system</t>
        </is>
      </c>
      <c r="H3266" s="27" t="n">
        <v>3635</v>
      </c>
      <c r="I3266" s="27" t="n">
        <v>3855</v>
      </c>
      <c r="J3266" s="154">
        <f>I3266/H3266-1</f>
        <v/>
      </c>
      <c r="K3266" s="31" t="inlineStr">
        <is>
          <t>25</t>
        </is>
      </c>
      <c r="L3266" s="31" t="inlineStr">
        <is>
          <t>25</t>
        </is>
      </c>
      <c r="M3266" s="31" t="inlineStr">
        <is>
          <t>S3</t>
        </is>
      </c>
      <c r="N3266" s="31" t="inlineStr">
        <is>
          <t>S5</t>
        </is>
      </c>
      <c r="O3266" s="31" t="inlineStr">
        <is>
          <t>1853M56P07</t>
        </is>
      </c>
      <c r="P3266" s="31" t="inlineStr">
        <is>
          <t>SR Technics Switzerland</t>
        </is>
      </c>
    </row>
    <row r="3267">
      <c r="B3267" s="31" t="inlineStr">
        <is>
          <t>CFM56-7B</t>
        </is>
      </c>
      <c r="C3267" s="31" t="inlineStr">
        <is>
          <t>2025-2026</t>
        </is>
      </c>
      <c r="D3267" s="31" t="inlineStr">
        <is>
          <t>663264</t>
        </is>
      </c>
      <c r="E3267" s="31" t="inlineStr">
        <is>
          <t>73-21-79</t>
        </is>
      </c>
      <c r="F3267" s="31" t="inlineStr">
        <is>
          <t>SB05</t>
        </is>
      </c>
      <c r="G3267" s="31" t="inlineStr">
        <is>
          <t>Fuel system</t>
        </is>
      </c>
      <c r="H3267" s="27" t="n">
        <v>2540</v>
      </c>
      <c r="I3267" s="27" t="n">
        <v>2695</v>
      </c>
      <c r="J3267" s="154">
        <f>I3267/H3267-1</f>
        <v/>
      </c>
      <c r="K3267" s="31" t="inlineStr">
        <is>
          <t>26</t>
        </is>
      </c>
      <c r="L3267" s="31" t="inlineStr">
        <is>
          <t>25</t>
        </is>
      </c>
      <c r="M3267" s="31" t="inlineStr">
        <is>
          <t>S3</t>
        </is>
      </c>
      <c r="N3267" s="31" t="inlineStr">
        <is>
          <t>S5</t>
        </is>
      </c>
      <c r="O3267" s="31" t="inlineStr">
        <is>
          <t>1853M56P07</t>
        </is>
      </c>
      <c r="P3267" s="31" t="inlineStr">
        <is>
          <t>SR Technics Switzerland</t>
        </is>
      </c>
    </row>
    <row r="3268">
      <c r="B3268" s="31" t="inlineStr">
        <is>
          <t>CFM56-7B</t>
        </is>
      </c>
      <c r="C3268" s="31" t="inlineStr">
        <is>
          <t>2025-2026</t>
        </is>
      </c>
      <c r="D3268" s="31" t="inlineStr">
        <is>
          <t>663891</t>
        </is>
      </c>
      <c r="E3268" s="31" t="inlineStr">
        <is>
          <t>72-09-04</t>
        </is>
      </c>
      <c r="F3268" s="31" t="inlineStr">
        <is>
          <t>A</t>
        </is>
      </c>
      <c r="G3268" s="31" t="inlineStr">
        <is>
          <t>Other / assembly</t>
        </is>
      </c>
      <c r="H3268" s="27" t="n">
        <v>140</v>
      </c>
      <c r="I3268" s="27" t="n">
        <v>150</v>
      </c>
      <c r="J3268" s="154">
        <f>I3268/H3268-1</f>
        <v/>
      </c>
      <c r="K3268" s="31" t="inlineStr">
        <is>
          <t>77</t>
        </is>
      </c>
      <c r="L3268" s="31" t="inlineStr">
        <is>
          <t>76</t>
        </is>
      </c>
      <c r="M3268" s="31" t="inlineStr">
        <is>
          <t>S3</t>
        </is>
      </c>
      <c r="N3268" s="31" t="inlineStr">
        <is>
          <t>S5</t>
        </is>
      </c>
      <c r="O3268" s="31" t="inlineStr">
        <is>
          <t>J905P08A</t>
        </is>
      </c>
      <c r="P3268" s="31" t="inlineStr">
        <is>
          <t>SR Technics Switzerland</t>
        </is>
      </c>
    </row>
    <row r="3269">
      <c r="B3269" s="31" t="inlineStr">
        <is>
          <t>CFM56-7B</t>
        </is>
      </c>
      <c r="C3269" s="31" t="inlineStr">
        <is>
          <t>2025-2026</t>
        </is>
      </c>
      <c r="D3269" s="31" t="inlineStr">
        <is>
          <t>664893</t>
        </is>
      </c>
      <c r="E3269" s="31" t="inlineStr">
        <is>
          <t>72-09-04</t>
        </is>
      </c>
      <c r="F3269" s="31" t="inlineStr">
        <is>
          <t>A</t>
        </is>
      </c>
      <c r="G3269" s="31" t="inlineStr">
        <is>
          <t>Other / assembly</t>
        </is>
      </c>
      <c r="H3269" s="27" t="n">
        <v>115</v>
      </c>
      <c r="I3269" s="27" t="n">
        <v>125</v>
      </c>
      <c r="J3269" s="154">
        <f>I3269/H3269-1</f>
        <v/>
      </c>
      <c r="K3269" s="31" t="inlineStr">
        <is>
          <t>26</t>
        </is>
      </c>
      <c r="L3269" s="31" t="inlineStr">
        <is>
          <t>25</t>
        </is>
      </c>
      <c r="M3269" s="31" t="inlineStr">
        <is>
          <t>S3</t>
        </is>
      </c>
      <c r="N3269" s="31" t="inlineStr">
        <is>
          <t>S5</t>
        </is>
      </c>
      <c r="O3269" s="31" t="inlineStr">
        <is>
          <t>340-091-109-0</t>
        </is>
      </c>
      <c r="P3269" s="31" t="inlineStr">
        <is>
          <t>SR Technics Switzerland</t>
        </is>
      </c>
    </row>
    <row r="3270">
      <c r="B3270" s="31" t="inlineStr">
        <is>
          <t>CFM56-7B</t>
        </is>
      </c>
      <c r="C3270" s="31" t="inlineStr">
        <is>
          <t>2025-2026</t>
        </is>
      </c>
      <c r="D3270" s="31" t="inlineStr">
        <is>
          <t>667723</t>
        </is>
      </c>
      <c r="E3270" s="31" t="inlineStr">
        <is>
          <t>72-31-20</t>
        </is>
      </c>
      <c r="F3270" s="31" t="inlineStr">
        <is>
          <t>A</t>
        </is>
      </c>
      <c r="G3270" s="31" t="inlineStr">
        <is>
          <t>Compressor</t>
        </is>
      </c>
      <c r="H3270" s="27" t="n">
        <v>70</v>
      </c>
      <c r="I3270" s="27" t="n">
        <v>75</v>
      </c>
      <c r="J3270" s="154">
        <f>I3270/H3270-1</f>
        <v/>
      </c>
      <c r="K3270" s="31" t="inlineStr">
        <is>
          <t>77</t>
        </is>
      </c>
      <c r="L3270" s="31" t="inlineStr">
        <is>
          <t>76</t>
        </is>
      </c>
      <c r="M3270" s="31" t="inlineStr">
        <is>
          <t>S3</t>
        </is>
      </c>
      <c r="N3270" s="31" t="inlineStr">
        <is>
          <t>S5</t>
        </is>
      </c>
      <c r="O3270" s="31" t="inlineStr">
        <is>
          <t>1834M53P01</t>
        </is>
      </c>
      <c r="P3270" s="31" t="inlineStr">
        <is>
          <t>SR Technics Switzerland</t>
        </is>
      </c>
    </row>
    <row r="3271">
      <c r="B3271" s="31" t="inlineStr">
        <is>
          <t>CFM56-7B</t>
        </is>
      </c>
      <c r="C3271" s="31" t="inlineStr">
        <is>
          <t>2025-2026</t>
        </is>
      </c>
      <c r="D3271" s="31" t="inlineStr">
        <is>
          <t>667972</t>
        </is>
      </c>
      <c r="E3271" s="31" t="inlineStr">
        <is>
          <t>72-56-01</t>
        </is>
      </c>
      <c r="F3271" s="31" t="inlineStr">
        <is>
          <t>A</t>
        </is>
      </c>
      <c r="G3271" s="31" t="inlineStr">
        <is>
          <t>LPT</t>
        </is>
      </c>
      <c r="H3271" s="27" t="n">
        <v>1805</v>
      </c>
      <c r="I3271" s="27" t="n">
        <v>2365</v>
      </c>
      <c r="J3271" s="154">
        <f>I3271/H3271-1</f>
        <v/>
      </c>
      <c r="K3271" s="31" t="inlineStr">
        <is>
          <t>26</t>
        </is>
      </c>
      <c r="L3271" s="31" t="inlineStr">
        <is>
          <t>25</t>
        </is>
      </c>
      <c r="M3271" s="31" t="inlineStr">
        <is>
          <t>S3</t>
        </is>
      </c>
      <c r="N3271" s="31" t="inlineStr">
        <is>
          <t>S5</t>
        </is>
      </c>
      <c r="O3271" s="31" t="inlineStr">
        <is>
          <t>340-027-110-0</t>
        </is>
      </c>
      <c r="P3271" s="31" t="inlineStr">
        <is>
          <t>SR Technics Switzerland</t>
        </is>
      </c>
    </row>
    <row r="3272">
      <c r="B3272" s="31" t="inlineStr">
        <is>
          <t>CFM56-7B</t>
        </is>
      </c>
      <c r="C3272" s="31" t="inlineStr">
        <is>
          <t>2025-2026</t>
        </is>
      </c>
      <c r="D3272" s="31" t="inlineStr">
        <is>
          <t>667972</t>
        </is>
      </c>
      <c r="E3272" s="31" t="inlineStr">
        <is>
          <t>72-56-01</t>
        </is>
      </c>
      <c r="F3272" s="31" t="inlineStr">
        <is>
          <t>AC</t>
        </is>
      </c>
      <c r="G3272" s="31" t="inlineStr">
        <is>
          <t>LPT</t>
        </is>
      </c>
      <c r="H3272" s="27" t="n">
        <v>1610</v>
      </c>
      <c r="I3272" s="27" t="n">
        <v>1710</v>
      </c>
      <c r="J3272" s="154">
        <f>I3272/H3272-1</f>
        <v/>
      </c>
      <c r="K3272" s="31" t="inlineStr">
        <is>
          <t>26</t>
        </is>
      </c>
      <c r="L3272" s="31" t="inlineStr">
        <is>
          <t>25, 26</t>
        </is>
      </c>
      <c r="M3272" s="31" t="inlineStr">
        <is>
          <t>S3</t>
        </is>
      </c>
      <c r="N3272" s="31" t="inlineStr">
        <is>
          <t>S5</t>
        </is>
      </c>
      <c r="O3272" s="31" t="inlineStr">
        <is>
          <t>340-027-110-0</t>
        </is>
      </c>
      <c r="P3272" s="31" t="inlineStr">
        <is>
          <t>SR Technics Switzerland</t>
        </is>
      </c>
    </row>
    <row r="3273">
      <c r="B3273" s="31" t="inlineStr">
        <is>
          <t>CFM56-7B</t>
        </is>
      </c>
      <c r="C3273" s="31" t="inlineStr">
        <is>
          <t>2025-2026</t>
        </is>
      </c>
      <c r="D3273" s="31" t="inlineStr">
        <is>
          <t>667972</t>
        </is>
      </c>
      <c r="E3273" s="31" t="inlineStr">
        <is>
          <t>72-56-01</t>
        </is>
      </c>
      <c r="F3273" s="31" t="inlineStr">
        <is>
          <t>G</t>
        </is>
      </c>
      <c r="G3273" s="31" t="inlineStr">
        <is>
          <t>LPT</t>
        </is>
      </c>
      <c r="H3273" s="27" t="n">
        <v>1325</v>
      </c>
      <c r="I3273" s="27" t="n">
        <v>1405</v>
      </c>
      <c r="J3273" s="154">
        <f>I3273/H3273-1</f>
        <v/>
      </c>
      <c r="K3273" s="31" t="inlineStr">
        <is>
          <t>27</t>
        </is>
      </c>
      <c r="L3273" s="31" t="inlineStr">
        <is>
          <t>26</t>
        </is>
      </c>
      <c r="M3273" s="31" t="inlineStr">
        <is>
          <t>S3</t>
        </is>
      </c>
      <c r="N3273" s="31" t="inlineStr">
        <is>
          <t>S5</t>
        </is>
      </c>
      <c r="O3273" s="31" t="inlineStr">
        <is>
          <t>340-027-110-0</t>
        </is>
      </c>
      <c r="P3273" s="31" t="inlineStr">
        <is>
          <t>SR Technics Switzerland</t>
        </is>
      </c>
    </row>
    <row r="3274">
      <c r="B3274" s="31" t="inlineStr">
        <is>
          <t>CFM56-7B</t>
        </is>
      </c>
      <c r="C3274" s="31" t="inlineStr">
        <is>
          <t>2025-2026</t>
        </is>
      </c>
      <c r="D3274" s="31" t="inlineStr">
        <is>
          <t>667972</t>
        </is>
      </c>
      <c r="E3274" s="31" t="inlineStr">
        <is>
          <t>72-56-01</t>
        </is>
      </c>
      <c r="F3274" s="31" t="inlineStr">
        <is>
          <t>H</t>
        </is>
      </c>
      <c r="G3274" s="31" t="inlineStr">
        <is>
          <t>LPT</t>
        </is>
      </c>
      <c r="H3274" s="27" t="n">
        <v>4005</v>
      </c>
      <c r="I3274" s="27" t="n">
        <v>4005</v>
      </c>
      <c r="J3274" s="154">
        <f>I3274/H3274-1</f>
        <v/>
      </c>
      <c r="K3274" s="31" t="inlineStr">
        <is>
          <t>27</t>
        </is>
      </c>
      <c r="L3274" s="31" t="inlineStr">
        <is>
          <t>26</t>
        </is>
      </c>
      <c r="M3274" s="31" t="inlineStr">
        <is>
          <t>S3</t>
        </is>
      </c>
      <c r="N3274" s="31" t="inlineStr">
        <is>
          <t>S5</t>
        </is>
      </c>
      <c r="O3274" s="31" t="inlineStr">
        <is>
          <t>340-027-110-0</t>
        </is>
      </c>
      <c r="P3274" s="31" t="inlineStr">
        <is>
          <t>SR Technics Switzerland</t>
        </is>
      </c>
    </row>
    <row r="3275">
      <c r="B3275" s="31" t="inlineStr">
        <is>
          <t>CFM56-7B</t>
        </is>
      </c>
      <c r="C3275" s="31" t="inlineStr">
        <is>
          <t>2025-2026</t>
        </is>
      </c>
      <c r="D3275" s="31" t="inlineStr">
        <is>
          <t>667972</t>
        </is>
      </c>
      <c r="E3275" s="31" t="inlineStr">
        <is>
          <t>72-56-01</t>
        </is>
      </c>
      <c r="F3275" s="31" t="inlineStr">
        <is>
          <t>SB03</t>
        </is>
      </c>
      <c r="G3275" s="31" t="inlineStr">
        <is>
          <t>LPT</t>
        </is>
      </c>
      <c r="H3275" s="27" t="n">
        <v>1795</v>
      </c>
      <c r="I3275" s="27" t="n">
        <v>1905</v>
      </c>
      <c r="J3275" s="154">
        <f>I3275/H3275-1</f>
        <v/>
      </c>
      <c r="K3275" s="31" t="inlineStr">
        <is>
          <t>27</t>
        </is>
      </c>
      <c r="L3275" s="31" t="inlineStr">
        <is>
          <t>26</t>
        </is>
      </c>
      <c r="M3275" s="31" t="inlineStr">
        <is>
          <t>S3</t>
        </is>
      </c>
      <c r="N3275" s="31" t="inlineStr">
        <is>
          <t>S5</t>
        </is>
      </c>
      <c r="O3275" s="31" t="inlineStr">
        <is>
          <t>340-027-110-0</t>
        </is>
      </c>
      <c r="P3275" s="31" t="inlineStr">
        <is>
          <t>SR Technics Switzerland</t>
        </is>
      </c>
    </row>
    <row r="3276">
      <c r="B3276" s="31" t="inlineStr">
        <is>
          <t>CFM56-7B</t>
        </is>
      </c>
      <c r="C3276" s="31" t="inlineStr">
        <is>
          <t>2025-2026</t>
        </is>
      </c>
      <c r="D3276" s="31" t="inlineStr">
        <is>
          <t>667972</t>
        </is>
      </c>
      <c r="E3276" s="31" t="inlineStr">
        <is>
          <t>72-56-01</t>
        </is>
      </c>
      <c r="F3276" s="31" t="inlineStr">
        <is>
          <t>SB06</t>
        </is>
      </c>
      <c r="G3276" s="31" t="inlineStr">
        <is>
          <t>LPT</t>
        </is>
      </c>
      <c r="H3276" s="27" t="n">
        <v>1795</v>
      </c>
      <c r="I3276" s="27" t="n">
        <v>1905</v>
      </c>
      <c r="J3276" s="154">
        <f>I3276/H3276-1</f>
        <v/>
      </c>
      <c r="K3276" s="31" t="inlineStr">
        <is>
          <t>27</t>
        </is>
      </c>
      <c r="L3276" s="31" t="inlineStr">
        <is>
          <t>26</t>
        </is>
      </c>
      <c r="M3276" s="31" t="inlineStr">
        <is>
          <t>S3</t>
        </is>
      </c>
      <c r="N3276" s="31" t="inlineStr">
        <is>
          <t>S5</t>
        </is>
      </c>
      <c r="O3276" s="31" t="inlineStr">
        <is>
          <t>340-027-110-0</t>
        </is>
      </c>
      <c r="P3276" s="31" t="inlineStr">
        <is>
          <t>SR Technics Switzerland</t>
        </is>
      </c>
    </row>
    <row r="3277">
      <c r="B3277" s="31" t="inlineStr">
        <is>
          <t>CFM56-7B</t>
        </is>
      </c>
      <c r="C3277" s="31" t="inlineStr">
        <is>
          <t>2025-2026</t>
        </is>
      </c>
      <c r="D3277" s="31" t="inlineStr">
        <is>
          <t>667972</t>
        </is>
      </c>
      <c r="E3277" s="31" t="inlineStr">
        <is>
          <t>72-56-01</t>
        </is>
      </c>
      <c r="F3277" s="31" t="inlineStr">
        <is>
          <t>SB13</t>
        </is>
      </c>
      <c r="G3277" s="31" t="inlineStr">
        <is>
          <t>LPT</t>
        </is>
      </c>
      <c r="H3277" s="27" t="n">
        <v>5850</v>
      </c>
      <c r="I3277" s="27" t="n">
        <v>6205</v>
      </c>
      <c r="J3277" s="154">
        <f>I3277/H3277-1</f>
        <v/>
      </c>
      <c r="K3277" s="31" t="inlineStr">
        <is>
          <t>27</t>
        </is>
      </c>
      <c r="L3277" s="31" t="inlineStr">
        <is>
          <t>26</t>
        </is>
      </c>
      <c r="M3277" s="31" t="inlineStr">
        <is>
          <t>S3</t>
        </is>
      </c>
      <c r="N3277" s="31" t="inlineStr">
        <is>
          <t>S5</t>
        </is>
      </c>
      <c r="O3277" s="31" t="inlineStr">
        <is>
          <t>340-027-110-0</t>
        </is>
      </c>
      <c r="P3277" s="31" t="inlineStr">
        <is>
          <t>SR Technics Switzerland</t>
        </is>
      </c>
    </row>
    <row r="3278">
      <c r="B3278" s="31" t="inlineStr">
        <is>
          <t>CFM56-7B</t>
        </is>
      </c>
      <c r="C3278" s="31" t="inlineStr">
        <is>
          <t>2025-2026</t>
        </is>
      </c>
      <c r="D3278" s="31" t="inlineStr">
        <is>
          <t>667972</t>
        </is>
      </c>
      <c r="E3278" s="31" t="inlineStr">
        <is>
          <t>72-56-01</t>
        </is>
      </c>
      <c r="F3278" s="31" t="inlineStr">
        <is>
          <t>SB14</t>
        </is>
      </c>
      <c r="G3278" s="31" t="inlineStr">
        <is>
          <t>LPT</t>
        </is>
      </c>
      <c r="H3278" s="27" t="n">
        <v>585</v>
      </c>
      <c r="I3278" s="27" t="n">
        <v>625</v>
      </c>
      <c r="J3278" s="154">
        <f>I3278/H3278-1</f>
        <v/>
      </c>
      <c r="K3278" s="31" t="inlineStr">
        <is>
          <t>27</t>
        </is>
      </c>
      <c r="L3278" s="31" t="inlineStr">
        <is>
          <t>26</t>
        </is>
      </c>
      <c r="M3278" s="31" t="inlineStr">
        <is>
          <t>S3</t>
        </is>
      </c>
      <c r="N3278" s="31" t="inlineStr">
        <is>
          <t>S5</t>
        </is>
      </c>
      <c r="O3278" s="31" t="inlineStr">
        <is>
          <t>340-027-110-0</t>
        </is>
      </c>
      <c r="P3278" s="31" t="inlineStr">
        <is>
          <t>SR Technics Switzerland</t>
        </is>
      </c>
    </row>
    <row r="3279">
      <c r="B3279" s="31" t="inlineStr">
        <is>
          <t>CFM56-7B</t>
        </is>
      </c>
      <c r="C3279" s="31" t="inlineStr">
        <is>
          <t>2025-2026</t>
        </is>
      </c>
      <c r="D3279" s="31" t="inlineStr">
        <is>
          <t>668014</t>
        </is>
      </c>
      <c r="E3279" s="31" t="inlineStr">
        <is>
          <t>26-11-04</t>
        </is>
      </c>
      <c r="F3279" s="31" t="inlineStr">
        <is>
          <t>B</t>
        </is>
      </c>
      <c r="G3279" s="31" t="inlineStr">
        <is>
          <t>Other / assembly</t>
        </is>
      </c>
      <c r="H3279" s="27" t="n">
        <v>565</v>
      </c>
      <c r="I3279" s="27" t="n">
        <v>600</v>
      </c>
      <c r="J3279" s="154">
        <f>I3279/H3279-1</f>
        <v/>
      </c>
      <c r="K3279" s="31" t="inlineStr">
        <is>
          <t>27</t>
        </is>
      </c>
      <c r="L3279" s="31" t="inlineStr">
        <is>
          <t>26</t>
        </is>
      </c>
      <c r="M3279" s="31" t="inlineStr">
        <is>
          <t>S3</t>
        </is>
      </c>
      <c r="N3279" s="31" t="inlineStr">
        <is>
          <t>S5</t>
        </is>
      </c>
      <c r="O3279" s="31" t="inlineStr">
        <is>
          <t>8960-01-002</t>
        </is>
      </c>
      <c r="P3279" s="31" t="inlineStr">
        <is>
          <t>SR Technics Switzerland</t>
        </is>
      </c>
    </row>
    <row r="3280">
      <c r="B3280" s="31" t="inlineStr">
        <is>
          <t>CFM56-7B</t>
        </is>
      </c>
      <c r="C3280" s="31" t="inlineStr">
        <is>
          <t>2025-2026</t>
        </is>
      </c>
      <c r="D3280" s="31" t="inlineStr">
        <is>
          <t>668014</t>
        </is>
      </c>
      <c r="E3280" s="31" t="inlineStr">
        <is>
          <t>26-11-04</t>
        </is>
      </c>
      <c r="F3280" s="31" t="inlineStr">
        <is>
          <t>C</t>
        </is>
      </c>
      <c r="G3280" s="31" t="inlineStr">
        <is>
          <t>Other / assembly</t>
        </is>
      </c>
      <c r="H3280" s="27" t="n">
        <v>940</v>
      </c>
      <c r="I3280" s="27" t="n">
        <v>1000</v>
      </c>
      <c r="J3280" s="154">
        <f>I3280/H3280-1</f>
        <v/>
      </c>
      <c r="K3280" s="31" t="inlineStr">
        <is>
          <t>27</t>
        </is>
      </c>
      <c r="L3280" s="31" t="inlineStr">
        <is>
          <t>26</t>
        </is>
      </c>
      <c r="M3280" s="31" t="inlineStr">
        <is>
          <t>S3</t>
        </is>
      </c>
      <c r="N3280" s="31" t="inlineStr">
        <is>
          <t>S5</t>
        </is>
      </c>
      <c r="O3280" s="31" t="inlineStr">
        <is>
          <t>8960-01-002</t>
        </is>
      </c>
      <c r="P3280" s="31" t="inlineStr">
        <is>
          <t>SR Technics Switzerland</t>
        </is>
      </c>
    </row>
    <row r="3281">
      <c r="B3281" s="31" t="inlineStr">
        <is>
          <t>CFM56-7B</t>
        </is>
      </c>
      <c r="C3281" s="31" t="inlineStr">
        <is>
          <t>2025-2026</t>
        </is>
      </c>
      <c r="D3281" s="31" t="inlineStr">
        <is>
          <t>668014</t>
        </is>
      </c>
      <c r="E3281" s="31" t="inlineStr">
        <is>
          <t>26-11-04</t>
        </is>
      </c>
      <c r="F3281" s="31" t="inlineStr">
        <is>
          <t>E</t>
        </is>
      </c>
      <c r="G3281" s="31" t="inlineStr">
        <is>
          <t>Other / assembly</t>
        </is>
      </c>
      <c r="H3281" s="27" t="n">
        <v>1300</v>
      </c>
      <c r="I3281" s="27" t="n">
        <v>1380</v>
      </c>
      <c r="J3281" s="154">
        <f>I3281/H3281-1</f>
        <v/>
      </c>
      <c r="K3281" s="31" t="inlineStr">
        <is>
          <t>27</t>
        </is>
      </c>
      <c r="L3281" s="31" t="inlineStr">
        <is>
          <t>26</t>
        </is>
      </c>
      <c r="M3281" s="31" t="inlineStr">
        <is>
          <t>S3</t>
        </is>
      </c>
      <c r="N3281" s="31" t="inlineStr">
        <is>
          <t>S5</t>
        </is>
      </c>
      <c r="O3281" s="31" t="inlineStr">
        <is>
          <t>8960-01-002</t>
        </is>
      </c>
      <c r="P3281" s="31" t="inlineStr">
        <is>
          <t>SR Technics Switzerland</t>
        </is>
      </c>
    </row>
    <row r="3282">
      <c r="B3282" s="31" t="inlineStr">
        <is>
          <t>CFM56-7B</t>
        </is>
      </c>
      <c r="C3282" s="31" t="inlineStr">
        <is>
          <t>2025-2026</t>
        </is>
      </c>
      <c r="D3282" s="31" t="inlineStr">
        <is>
          <t>668014</t>
        </is>
      </c>
      <c r="E3282" s="31" t="inlineStr">
        <is>
          <t>26-11-04</t>
        </is>
      </c>
      <c r="F3282" s="31" t="inlineStr">
        <is>
          <t>G</t>
        </is>
      </c>
      <c r="G3282" s="31" t="inlineStr">
        <is>
          <t>Other / assembly</t>
        </is>
      </c>
      <c r="H3282" s="27" t="n">
        <v>1585</v>
      </c>
      <c r="I3282" s="27" t="n">
        <v>1685</v>
      </c>
      <c r="J3282" s="154">
        <f>I3282/H3282-1</f>
        <v/>
      </c>
      <c r="K3282" s="31" t="inlineStr">
        <is>
          <t>27</t>
        </is>
      </c>
      <c r="L3282" s="31" t="inlineStr">
        <is>
          <t>26</t>
        </is>
      </c>
      <c r="M3282" s="31" t="inlineStr">
        <is>
          <t>S3</t>
        </is>
      </c>
      <c r="N3282" s="31" t="inlineStr">
        <is>
          <t>S5</t>
        </is>
      </c>
      <c r="O3282" s="31" t="inlineStr">
        <is>
          <t>8960-01-002</t>
        </is>
      </c>
      <c r="P3282" s="31" t="inlineStr">
        <is>
          <t>SR Technics Switzerland</t>
        </is>
      </c>
    </row>
    <row r="3283">
      <c r="B3283" s="31" t="inlineStr">
        <is>
          <t>CFM56-7B</t>
        </is>
      </c>
      <c r="C3283" s="31" t="inlineStr">
        <is>
          <t>2025-2026</t>
        </is>
      </c>
      <c r="D3283" s="31" t="inlineStr">
        <is>
          <t>668143</t>
        </is>
      </c>
      <c r="E3283" s="31" t="inlineStr">
        <is>
          <t>72-21-09</t>
        </is>
      </c>
      <c r="F3283" s="31" t="inlineStr">
        <is>
          <t>A</t>
        </is>
      </c>
      <c r="G3283" s="31" t="inlineStr">
        <is>
          <t>Fan / booster</t>
        </is>
      </c>
      <c r="H3283" s="27" t="n">
        <v>780</v>
      </c>
      <c r="I3283" s="27" t="n">
        <v>820</v>
      </c>
      <c r="J3283" s="154">
        <f>I3283/H3283-1</f>
        <v/>
      </c>
      <c r="K3283" s="31" t="inlineStr">
        <is>
          <t>27</t>
        </is>
      </c>
      <c r="L3283" s="31" t="inlineStr">
        <is>
          <t>26</t>
        </is>
      </c>
      <c r="M3283" s="31" t="inlineStr">
        <is>
          <t>S3</t>
        </is>
      </c>
      <c r="N3283" s="31" t="inlineStr">
        <is>
          <t>S5</t>
        </is>
      </c>
      <c r="O3283" s="31" t="inlineStr">
        <is>
          <t>335-192-203-0</t>
        </is>
      </c>
      <c r="P3283" s="31" t="inlineStr">
        <is>
          <t>SR Technics Switzerland</t>
        </is>
      </c>
    </row>
    <row r="3284">
      <c r="B3284" s="31" t="inlineStr">
        <is>
          <t>CFM56-7B</t>
        </is>
      </c>
      <c r="C3284" s="31" t="inlineStr">
        <is>
          <t>2025-2026</t>
        </is>
      </c>
      <c r="D3284" s="31" t="inlineStr">
        <is>
          <t>668143</t>
        </is>
      </c>
      <c r="E3284" s="31" t="inlineStr">
        <is>
          <t>72-21-09</t>
        </is>
      </c>
      <c r="F3284" s="31" t="inlineStr">
        <is>
          <t>B</t>
        </is>
      </c>
      <c r="G3284" s="31" t="inlineStr">
        <is>
          <t>Fan / booster</t>
        </is>
      </c>
      <c r="H3284" s="27" t="n">
        <v>1440</v>
      </c>
      <c r="I3284" s="27" t="n">
        <v>1530</v>
      </c>
      <c r="J3284" s="154">
        <f>I3284/H3284-1</f>
        <v/>
      </c>
      <c r="K3284" s="31" t="inlineStr">
        <is>
          <t>27</t>
        </is>
      </c>
      <c r="L3284" s="31" t="inlineStr">
        <is>
          <t>26</t>
        </is>
      </c>
      <c r="M3284" s="31" t="inlineStr">
        <is>
          <t>S3</t>
        </is>
      </c>
      <c r="N3284" s="31" t="inlineStr">
        <is>
          <t>S5</t>
        </is>
      </c>
      <c r="O3284" s="31" t="inlineStr">
        <is>
          <t>335-192-203-0</t>
        </is>
      </c>
      <c r="P3284" s="31" t="inlineStr">
        <is>
          <t>SR Technics Switzerland</t>
        </is>
      </c>
    </row>
    <row r="3285">
      <c r="B3285" s="31" t="inlineStr">
        <is>
          <t>CFM56-7B</t>
        </is>
      </c>
      <c r="C3285" s="31" t="inlineStr">
        <is>
          <t>2025-2026</t>
        </is>
      </c>
      <c r="D3285" s="31" t="inlineStr">
        <is>
          <t>668143</t>
        </is>
      </c>
      <c r="E3285" s="31" t="inlineStr">
        <is>
          <t>72-21-09</t>
        </is>
      </c>
      <c r="F3285" s="31" t="inlineStr">
        <is>
          <t>E</t>
        </is>
      </c>
      <c r="G3285" s="31" t="inlineStr">
        <is>
          <t>Fan / booster</t>
        </is>
      </c>
      <c r="H3285" s="27" t="n">
        <v>725</v>
      </c>
      <c r="I3285" s="27" t="n">
        <v>770</v>
      </c>
      <c r="J3285" s="154">
        <f>I3285/H3285-1</f>
        <v/>
      </c>
      <c r="K3285" s="31" t="inlineStr">
        <is>
          <t>27</t>
        </is>
      </c>
      <c r="L3285" s="31" t="inlineStr">
        <is>
          <t>27</t>
        </is>
      </c>
      <c r="M3285" s="31" t="inlineStr">
        <is>
          <t>S3</t>
        </is>
      </c>
      <c r="N3285" s="31" t="inlineStr">
        <is>
          <t>S5</t>
        </is>
      </c>
      <c r="O3285" s="31" t="inlineStr">
        <is>
          <t>335-192-203-0</t>
        </is>
      </c>
      <c r="P3285" s="31" t="inlineStr">
        <is>
          <t>SR Technics Switzerland</t>
        </is>
      </c>
    </row>
    <row r="3286">
      <c r="B3286" s="31" t="inlineStr">
        <is>
          <t>CFM56-7B</t>
        </is>
      </c>
      <c r="C3286" s="31" t="inlineStr">
        <is>
          <t>2025-2026</t>
        </is>
      </c>
      <c r="D3286" s="31" t="inlineStr">
        <is>
          <t>668262</t>
        </is>
      </c>
      <c r="E3286" s="31" t="inlineStr">
        <is>
          <t>72-00-23</t>
        </is>
      </c>
      <c r="F3286" s="31" t="inlineStr">
        <is>
          <t>AA</t>
        </is>
      </c>
      <c r="G3286" s="31" t="inlineStr">
        <is>
          <t>Other / assembly</t>
        </is>
      </c>
      <c r="H3286" s="27" t="n">
        <v>5220</v>
      </c>
      <c r="I3286" s="27" t="n">
        <v>5535</v>
      </c>
      <c r="J3286" s="154">
        <f>I3286/H3286-1</f>
        <v/>
      </c>
      <c r="K3286" s="31" t="inlineStr">
        <is>
          <t>84</t>
        </is>
      </c>
      <c r="L3286" s="31" t="inlineStr">
        <is>
          <t>84</t>
        </is>
      </c>
      <c r="M3286" s="31" t="inlineStr">
        <is>
          <t>S3</t>
        </is>
      </c>
      <c r="N3286" s="31" t="inlineStr">
        <is>
          <t>S5</t>
        </is>
      </c>
      <c r="O3286" s="31" t="inlineStr">
        <is>
          <t>FAN</t>
        </is>
      </c>
      <c r="P3286" s="31" t="inlineStr">
        <is>
          <t>SR Technics Switzerland</t>
        </is>
      </c>
    </row>
    <row r="3287">
      <c r="B3287" s="31" t="inlineStr">
        <is>
          <t>CFM56-7B</t>
        </is>
      </c>
      <c r="C3287" s="31" t="inlineStr">
        <is>
          <t>2025-2026</t>
        </is>
      </c>
      <c r="D3287" s="31" t="inlineStr">
        <is>
          <t>668262</t>
        </is>
      </c>
      <c r="E3287" s="31" t="inlineStr">
        <is>
          <t>72-00-23</t>
        </is>
      </c>
      <c r="F3287" s="31" t="inlineStr">
        <is>
          <t>AB</t>
        </is>
      </c>
      <c r="G3287" s="31" t="inlineStr">
        <is>
          <t>Other / assembly</t>
        </is>
      </c>
      <c r="H3287" s="27" t="n">
        <v>23780</v>
      </c>
      <c r="I3287" s="27" t="n">
        <v>25210</v>
      </c>
      <c r="J3287" s="154">
        <f>I3287/H3287-1</f>
        <v/>
      </c>
      <c r="K3287" s="31" t="inlineStr">
        <is>
          <t>84</t>
        </is>
      </c>
      <c r="L3287" s="31" t="inlineStr">
        <is>
          <t>84</t>
        </is>
      </c>
      <c r="M3287" s="31" t="inlineStr">
        <is>
          <t>S3</t>
        </is>
      </c>
      <c r="N3287" s="31" t="inlineStr">
        <is>
          <t>S5</t>
        </is>
      </c>
      <c r="O3287" s="31" t="inlineStr">
        <is>
          <t>FAN</t>
        </is>
      </c>
      <c r="P3287" s="31" t="inlineStr">
        <is>
          <t>SR Technics Switzerland</t>
        </is>
      </c>
    </row>
    <row r="3288">
      <c r="B3288" s="31" t="inlineStr">
        <is>
          <t>CFM56-7B</t>
        </is>
      </c>
      <c r="C3288" s="31" t="inlineStr">
        <is>
          <t>2025-2026</t>
        </is>
      </c>
      <c r="D3288" s="31" t="inlineStr">
        <is>
          <t>668262</t>
        </is>
      </c>
      <c r="E3288" s="31" t="inlineStr">
        <is>
          <t>72-00-23</t>
        </is>
      </c>
      <c r="F3288" s="31" t="inlineStr">
        <is>
          <t>AC</t>
        </is>
      </c>
      <c r="G3288" s="31" t="inlineStr">
        <is>
          <t>Other / assembly</t>
        </is>
      </c>
      <c r="H3288" s="27" t="n">
        <v>23780</v>
      </c>
      <c r="I3288" s="27" t="n">
        <v>25210</v>
      </c>
      <c r="J3288" s="154">
        <f>I3288/H3288-1</f>
        <v/>
      </c>
      <c r="K3288" s="31" t="inlineStr">
        <is>
          <t>84</t>
        </is>
      </c>
      <c r="L3288" s="31" t="inlineStr">
        <is>
          <t>84</t>
        </is>
      </c>
      <c r="M3288" s="31" t="inlineStr">
        <is>
          <t>S3</t>
        </is>
      </c>
      <c r="N3288" s="31" t="inlineStr">
        <is>
          <t>S5</t>
        </is>
      </c>
      <c r="O3288" s="31" t="inlineStr">
        <is>
          <t>FAN</t>
        </is>
      </c>
      <c r="P3288" s="31" t="inlineStr">
        <is>
          <t>SR Technics Switzerland</t>
        </is>
      </c>
    </row>
    <row r="3289">
      <c r="B3289" s="31" t="inlineStr">
        <is>
          <t>CFM56-7B</t>
        </is>
      </c>
      <c r="C3289" s="31" t="inlineStr">
        <is>
          <t>2025-2026</t>
        </is>
      </c>
      <c r="D3289" s="31" t="inlineStr">
        <is>
          <t>668262</t>
        </is>
      </c>
      <c r="E3289" s="31" t="inlineStr">
        <is>
          <t>72-00-23</t>
        </is>
      </c>
      <c r="F3289" s="31" t="inlineStr">
        <is>
          <t>AE</t>
        </is>
      </c>
      <c r="G3289" s="31" t="inlineStr">
        <is>
          <t>Other / assembly</t>
        </is>
      </c>
      <c r="H3289" s="27" t="n">
        <v>3335</v>
      </c>
      <c r="I3289" s="27" t="n">
        <v>3540</v>
      </c>
      <c r="J3289" s="154">
        <f>I3289/H3289-1</f>
        <v/>
      </c>
      <c r="K3289" s="31" t="inlineStr">
        <is>
          <t>84</t>
        </is>
      </c>
      <c r="L3289" s="31" t="inlineStr">
        <is>
          <t>84</t>
        </is>
      </c>
      <c r="M3289" s="31" t="inlineStr">
        <is>
          <t>S3</t>
        </is>
      </c>
      <c r="N3289" s="31" t="inlineStr">
        <is>
          <t>S5</t>
        </is>
      </c>
      <c r="O3289" s="31" t="inlineStr">
        <is>
          <t>FAN</t>
        </is>
      </c>
      <c r="P3289" s="31" t="inlineStr">
        <is>
          <t>SR Technics Switzerland</t>
        </is>
      </c>
    </row>
    <row r="3290">
      <c r="B3290" s="31" t="inlineStr">
        <is>
          <t>CFM56-7B</t>
        </is>
      </c>
      <c r="C3290" s="31" t="inlineStr">
        <is>
          <t>2025-2026</t>
        </is>
      </c>
      <c r="D3290" s="31" t="inlineStr">
        <is>
          <t>668262</t>
        </is>
      </c>
      <c r="E3290" s="31" t="inlineStr">
        <is>
          <t>72-00-23</t>
        </is>
      </c>
      <c r="F3290" s="31" t="inlineStr">
        <is>
          <t>AF</t>
        </is>
      </c>
      <c r="G3290" s="31" t="inlineStr">
        <is>
          <t>Other / assembly</t>
        </is>
      </c>
      <c r="H3290" s="27" t="n">
        <v>5525</v>
      </c>
      <c r="I3290" s="27" t="n">
        <v>5860</v>
      </c>
      <c r="J3290" s="154">
        <f>I3290/H3290-1</f>
        <v/>
      </c>
      <c r="K3290" s="31" t="inlineStr">
        <is>
          <t>84</t>
        </is>
      </c>
      <c r="L3290" s="31" t="inlineStr">
        <is>
          <t>84</t>
        </is>
      </c>
      <c r="M3290" s="31" t="inlineStr">
        <is>
          <t>S3</t>
        </is>
      </c>
      <c r="N3290" s="31" t="inlineStr">
        <is>
          <t>S5</t>
        </is>
      </c>
      <c r="O3290" s="31" t="inlineStr">
        <is>
          <t>FAN</t>
        </is>
      </c>
      <c r="P3290" s="31" t="inlineStr">
        <is>
          <t>SR Technics Switzerland</t>
        </is>
      </c>
    </row>
    <row r="3291">
      <c r="B3291" s="31" t="inlineStr">
        <is>
          <t>CFM56-7B</t>
        </is>
      </c>
      <c r="C3291" s="31" t="inlineStr">
        <is>
          <t>2025-2026</t>
        </is>
      </c>
      <c r="D3291" s="31" t="inlineStr">
        <is>
          <t>668262</t>
        </is>
      </c>
      <c r="E3291" s="31" t="inlineStr">
        <is>
          <t>72-00-23</t>
        </is>
      </c>
      <c r="F3291" s="31" t="inlineStr">
        <is>
          <t>AG</t>
        </is>
      </c>
      <c r="G3291" s="31" t="inlineStr">
        <is>
          <t>Other / assembly</t>
        </is>
      </c>
      <c r="H3291" s="27" t="n">
        <v>520</v>
      </c>
      <c r="I3291" s="27" t="n">
        <v>555</v>
      </c>
      <c r="J3291" s="154">
        <f>I3291/H3291-1</f>
        <v/>
      </c>
      <c r="K3291" s="31" t="inlineStr">
        <is>
          <t>84</t>
        </is>
      </c>
      <c r="L3291" s="31" t="inlineStr">
        <is>
          <t>84</t>
        </is>
      </c>
      <c r="M3291" s="31" t="inlineStr">
        <is>
          <t>S3</t>
        </is>
      </c>
      <c r="N3291" s="31" t="inlineStr">
        <is>
          <t>S5</t>
        </is>
      </c>
      <c r="O3291" s="31" t="inlineStr">
        <is>
          <t>FAN</t>
        </is>
      </c>
      <c r="P3291" s="31" t="inlineStr">
        <is>
          <t>SR Technics Switzerland</t>
        </is>
      </c>
    </row>
    <row r="3292">
      <c r="B3292" s="31" t="inlineStr">
        <is>
          <t>CFM56-7B</t>
        </is>
      </c>
      <c r="C3292" s="31" t="inlineStr">
        <is>
          <t>2025-2026</t>
        </is>
      </c>
      <c r="D3292" s="31" t="inlineStr">
        <is>
          <t>668262</t>
        </is>
      </c>
      <c r="E3292" s="31" t="inlineStr">
        <is>
          <t>72-00-23</t>
        </is>
      </c>
      <c r="F3292" s="31" t="inlineStr">
        <is>
          <t>AH</t>
        </is>
      </c>
      <c r="G3292" s="31" t="inlineStr">
        <is>
          <t>Other / assembly</t>
        </is>
      </c>
      <c r="H3292" s="27" t="n">
        <v>5860</v>
      </c>
      <c r="I3292" s="27" t="n">
        <v>6215</v>
      </c>
      <c r="J3292" s="154">
        <f>I3292/H3292-1</f>
        <v/>
      </c>
      <c r="K3292" s="31" t="inlineStr">
        <is>
          <t>84</t>
        </is>
      </c>
      <c r="L3292" s="31" t="inlineStr">
        <is>
          <t>84</t>
        </is>
      </c>
      <c r="M3292" s="31" t="inlineStr">
        <is>
          <t>S3</t>
        </is>
      </c>
      <c r="N3292" s="31" t="inlineStr">
        <is>
          <t>S5</t>
        </is>
      </c>
      <c r="O3292" s="31" t="inlineStr">
        <is>
          <t>FAN</t>
        </is>
      </c>
      <c r="P3292" s="31" t="inlineStr">
        <is>
          <t>SR Technics Switzerland</t>
        </is>
      </c>
    </row>
    <row r="3293">
      <c r="B3293" s="31" t="inlineStr">
        <is>
          <t>CFM56-7B</t>
        </is>
      </c>
      <c r="C3293" s="31" t="inlineStr">
        <is>
          <t>2025-2026</t>
        </is>
      </c>
      <c r="D3293" s="31" t="inlineStr">
        <is>
          <t>668262</t>
        </is>
      </c>
      <c r="E3293" s="31" t="inlineStr">
        <is>
          <t>72-00-23</t>
        </is>
      </c>
      <c r="F3293" s="31" t="inlineStr">
        <is>
          <t>AI</t>
        </is>
      </c>
      <c r="G3293" s="31" t="inlineStr">
        <is>
          <t>Other / assembly</t>
        </is>
      </c>
      <c r="H3293" s="27" t="n">
        <v>2935</v>
      </c>
      <c r="I3293" s="27" t="n">
        <v>3115</v>
      </c>
      <c r="J3293" s="154">
        <f>I3293/H3293-1</f>
        <v/>
      </c>
      <c r="K3293" s="31" t="inlineStr">
        <is>
          <t>84</t>
        </is>
      </c>
      <c r="L3293" s="31" t="inlineStr">
        <is>
          <t>84</t>
        </is>
      </c>
      <c r="M3293" s="31" t="inlineStr">
        <is>
          <t>S3</t>
        </is>
      </c>
      <c r="N3293" s="31" t="inlineStr">
        <is>
          <t>S5</t>
        </is>
      </c>
      <c r="O3293" s="31" t="inlineStr">
        <is>
          <t>FAN</t>
        </is>
      </c>
      <c r="P3293" s="31" t="inlineStr">
        <is>
          <t>SR Technics Switzerland</t>
        </is>
      </c>
    </row>
    <row r="3294">
      <c r="B3294" s="31" t="inlineStr">
        <is>
          <t>CFM56-7B</t>
        </is>
      </c>
      <c r="C3294" s="31" t="inlineStr">
        <is>
          <t>2025-2026</t>
        </is>
      </c>
      <c r="D3294" s="31" t="inlineStr">
        <is>
          <t>668262</t>
        </is>
      </c>
      <c r="E3294" s="31" t="inlineStr">
        <is>
          <t>72-00-23</t>
        </is>
      </c>
      <c r="F3294" s="31" t="inlineStr">
        <is>
          <t>AJ</t>
        </is>
      </c>
      <c r="G3294" s="31" t="inlineStr">
        <is>
          <t>Other / assembly</t>
        </is>
      </c>
      <c r="H3294" s="27" t="n">
        <v>1145</v>
      </c>
      <c r="I3294" s="27" t="n">
        <v>1215</v>
      </c>
      <c r="J3294" s="154">
        <f>I3294/H3294-1</f>
        <v/>
      </c>
      <c r="K3294" s="31" t="inlineStr">
        <is>
          <t>84</t>
        </is>
      </c>
      <c r="L3294" s="31" t="inlineStr">
        <is>
          <t>84</t>
        </is>
      </c>
      <c r="M3294" s="31" t="inlineStr">
        <is>
          <t>S3</t>
        </is>
      </c>
      <c r="N3294" s="31" t="inlineStr">
        <is>
          <t>S5</t>
        </is>
      </c>
      <c r="O3294" s="31" t="inlineStr">
        <is>
          <t>FAN</t>
        </is>
      </c>
      <c r="P3294" s="31" t="inlineStr">
        <is>
          <t>SR Technics Switzerland</t>
        </is>
      </c>
    </row>
    <row r="3295">
      <c r="B3295" s="31" t="inlineStr">
        <is>
          <t>CFM56-7B</t>
        </is>
      </c>
      <c r="C3295" s="31" t="inlineStr">
        <is>
          <t>2025-2026</t>
        </is>
      </c>
      <c r="D3295" s="31" t="inlineStr">
        <is>
          <t>668262</t>
        </is>
      </c>
      <c r="E3295" s="31" t="inlineStr">
        <is>
          <t>72-00-23</t>
        </is>
      </c>
      <c r="F3295" s="31" t="inlineStr">
        <is>
          <t>AK</t>
        </is>
      </c>
      <c r="G3295" s="31" t="inlineStr">
        <is>
          <t>Other / assembly</t>
        </is>
      </c>
      <c r="H3295" s="27" t="n">
        <v>1300</v>
      </c>
      <c r="I3295" s="27" t="n">
        <v>1380</v>
      </c>
      <c r="J3295" s="154">
        <f>I3295/H3295-1</f>
        <v/>
      </c>
      <c r="K3295" s="31" t="inlineStr">
        <is>
          <t>84</t>
        </is>
      </c>
      <c r="L3295" s="31" t="inlineStr">
        <is>
          <t>84</t>
        </is>
      </c>
      <c r="M3295" s="31" t="inlineStr">
        <is>
          <t>S3</t>
        </is>
      </c>
      <c r="N3295" s="31" t="inlineStr">
        <is>
          <t>S5</t>
        </is>
      </c>
      <c r="O3295" s="31" t="inlineStr">
        <is>
          <t>FAN</t>
        </is>
      </c>
      <c r="P3295" s="31" t="inlineStr">
        <is>
          <t>SR Technics Switzerland</t>
        </is>
      </c>
    </row>
    <row r="3296">
      <c r="B3296" s="31" t="inlineStr">
        <is>
          <t>CFM56-7B</t>
        </is>
      </c>
      <c r="C3296" s="31" t="inlineStr">
        <is>
          <t>2025-2026</t>
        </is>
      </c>
      <c r="D3296" s="31" t="inlineStr">
        <is>
          <t>668262</t>
        </is>
      </c>
      <c r="E3296" s="31" t="inlineStr">
        <is>
          <t>72-00-23</t>
        </is>
      </c>
      <c r="F3296" s="31" t="inlineStr">
        <is>
          <t>AL</t>
        </is>
      </c>
      <c r="G3296" s="31" t="inlineStr">
        <is>
          <t>Other / assembly</t>
        </is>
      </c>
      <c r="H3296" s="27" t="n">
        <v>870</v>
      </c>
      <c r="I3296" s="27" t="n">
        <v>925</v>
      </c>
      <c r="J3296" s="154">
        <f>I3296/H3296-1</f>
        <v/>
      </c>
      <c r="K3296" s="31" t="inlineStr">
        <is>
          <t>84</t>
        </is>
      </c>
      <c r="L3296" s="31" t="inlineStr">
        <is>
          <t>84</t>
        </is>
      </c>
      <c r="M3296" s="31" t="inlineStr">
        <is>
          <t>S3</t>
        </is>
      </c>
      <c r="N3296" s="31" t="inlineStr">
        <is>
          <t>S5</t>
        </is>
      </c>
      <c r="O3296" s="31" t="inlineStr">
        <is>
          <t>FAN</t>
        </is>
      </c>
      <c r="P3296" s="31" t="inlineStr">
        <is>
          <t>SR Technics Switzerland</t>
        </is>
      </c>
    </row>
    <row r="3297">
      <c r="B3297" s="31" t="inlineStr">
        <is>
          <t>CFM56-7B</t>
        </is>
      </c>
      <c r="C3297" s="31" t="inlineStr">
        <is>
          <t>2025-2026</t>
        </is>
      </c>
      <c r="D3297" s="31" t="inlineStr">
        <is>
          <t>668262</t>
        </is>
      </c>
      <c r="E3297" s="31" t="inlineStr">
        <is>
          <t>72-00-23</t>
        </is>
      </c>
      <c r="F3297" s="31" t="inlineStr">
        <is>
          <t>AM</t>
        </is>
      </c>
      <c r="G3297" s="31" t="inlineStr">
        <is>
          <t>Other / assembly</t>
        </is>
      </c>
      <c r="H3297" s="27" t="n">
        <v>860</v>
      </c>
      <c r="I3297" s="27" t="n">
        <v>915</v>
      </c>
      <c r="J3297" s="154">
        <f>I3297/H3297-1</f>
        <v/>
      </c>
      <c r="K3297" s="31" t="inlineStr">
        <is>
          <t>84</t>
        </is>
      </c>
      <c r="L3297" s="31" t="inlineStr">
        <is>
          <t>84</t>
        </is>
      </c>
      <c r="M3297" s="31" t="inlineStr">
        <is>
          <t>S3</t>
        </is>
      </c>
      <c r="N3297" s="31" t="inlineStr">
        <is>
          <t>S5</t>
        </is>
      </c>
      <c r="O3297" s="31" t="inlineStr">
        <is>
          <t>FAN</t>
        </is>
      </c>
      <c r="P3297" s="31" t="inlineStr">
        <is>
          <t>SR Technics Switzerland</t>
        </is>
      </c>
    </row>
    <row r="3298">
      <c r="B3298" s="31" t="inlineStr">
        <is>
          <t>CFM56-7B</t>
        </is>
      </c>
      <c r="C3298" s="31" t="inlineStr">
        <is>
          <t>2025-2026</t>
        </is>
      </c>
      <c r="D3298" s="31" t="inlineStr">
        <is>
          <t>668262</t>
        </is>
      </c>
      <c r="E3298" s="31" t="inlineStr">
        <is>
          <t>72-00-23</t>
        </is>
      </c>
      <c r="F3298" s="31" t="inlineStr">
        <is>
          <t>AN</t>
        </is>
      </c>
      <c r="G3298" s="31" t="inlineStr">
        <is>
          <t>Other / assembly</t>
        </is>
      </c>
      <c r="H3298" s="27" t="n">
        <v>655</v>
      </c>
      <c r="I3298" s="27" t="n">
        <v>695</v>
      </c>
      <c r="J3298" s="154">
        <f>I3298/H3298-1</f>
        <v/>
      </c>
      <c r="K3298" s="31" t="inlineStr">
        <is>
          <t>84</t>
        </is>
      </c>
      <c r="L3298" s="31" t="inlineStr">
        <is>
          <t>84</t>
        </is>
      </c>
      <c r="M3298" s="31" t="inlineStr">
        <is>
          <t>S3</t>
        </is>
      </c>
      <c r="N3298" s="31" t="inlineStr">
        <is>
          <t>S5</t>
        </is>
      </c>
      <c r="O3298" s="31" t="inlineStr">
        <is>
          <t>FAN</t>
        </is>
      </c>
      <c r="P3298" s="31" t="inlineStr">
        <is>
          <t>SR Technics Switzerland</t>
        </is>
      </c>
    </row>
    <row r="3299">
      <c r="B3299" s="31" t="inlineStr">
        <is>
          <t>CFM56-7B</t>
        </is>
      </c>
      <c r="C3299" s="31" t="inlineStr">
        <is>
          <t>2025-2026</t>
        </is>
      </c>
      <c r="D3299" s="31" t="inlineStr">
        <is>
          <t>668262</t>
        </is>
      </c>
      <c r="E3299" s="31" t="inlineStr">
        <is>
          <t>72-00-23</t>
        </is>
      </c>
      <c r="F3299" s="31" t="inlineStr">
        <is>
          <t>AO</t>
        </is>
      </c>
      <c r="G3299" s="31" t="inlineStr">
        <is>
          <t>Other / assembly</t>
        </is>
      </c>
      <c r="H3299" s="27" t="n">
        <v>5330</v>
      </c>
      <c r="I3299" s="27" t="n">
        <v>5650</v>
      </c>
      <c r="J3299" s="154">
        <f>I3299/H3299-1</f>
        <v/>
      </c>
      <c r="K3299" s="31" t="inlineStr">
        <is>
          <t>84</t>
        </is>
      </c>
      <c r="L3299" s="31" t="inlineStr">
        <is>
          <t>84</t>
        </is>
      </c>
      <c r="M3299" s="31" t="inlineStr">
        <is>
          <t>S3</t>
        </is>
      </c>
      <c r="N3299" s="31" t="inlineStr">
        <is>
          <t>S5</t>
        </is>
      </c>
      <c r="O3299" s="31" t="inlineStr">
        <is>
          <t>FAN</t>
        </is>
      </c>
      <c r="P3299" s="31" t="inlineStr">
        <is>
          <t>SR Technics Switzerland</t>
        </is>
      </c>
    </row>
    <row r="3300">
      <c r="B3300" s="31" t="inlineStr">
        <is>
          <t>CFM56-7B</t>
        </is>
      </c>
      <c r="C3300" s="31" t="inlineStr">
        <is>
          <t>2025-2026</t>
        </is>
      </c>
      <c r="D3300" s="31" t="inlineStr">
        <is>
          <t>668262</t>
        </is>
      </c>
      <c r="E3300" s="31" t="inlineStr">
        <is>
          <t>72-00-23</t>
        </is>
      </c>
      <c r="F3300" s="31" t="inlineStr">
        <is>
          <t>AQ</t>
        </is>
      </c>
      <c r="G3300" s="31" t="inlineStr">
        <is>
          <t>Other / assembly</t>
        </is>
      </c>
      <c r="H3300" s="27" t="n">
        <v>1275</v>
      </c>
      <c r="I3300" s="27" t="n">
        <v>1355</v>
      </c>
      <c r="J3300" s="154">
        <f>I3300/H3300-1</f>
        <v/>
      </c>
      <c r="K3300" s="31" t="inlineStr">
        <is>
          <t>84</t>
        </is>
      </c>
      <c r="L3300" s="31" t="inlineStr">
        <is>
          <t>84</t>
        </is>
      </c>
      <c r="M3300" s="31" t="inlineStr">
        <is>
          <t>S3</t>
        </is>
      </c>
      <c r="N3300" s="31" t="inlineStr">
        <is>
          <t>S5</t>
        </is>
      </c>
      <c r="O3300" s="31" t="inlineStr">
        <is>
          <t>FAN</t>
        </is>
      </c>
      <c r="P3300" s="31" t="inlineStr">
        <is>
          <t>SR Technics Switzerland</t>
        </is>
      </c>
    </row>
    <row r="3301">
      <c r="B3301" s="31" t="inlineStr">
        <is>
          <t>CFM56-7B</t>
        </is>
      </c>
      <c r="C3301" s="31" t="inlineStr">
        <is>
          <t>2025-2026</t>
        </is>
      </c>
      <c r="D3301" s="31" t="inlineStr">
        <is>
          <t>668262</t>
        </is>
      </c>
      <c r="E3301" s="31" t="inlineStr">
        <is>
          <t>72-00-23</t>
        </is>
      </c>
      <c r="F3301" s="31" t="inlineStr">
        <is>
          <t>AR</t>
        </is>
      </c>
      <c r="G3301" s="31" t="inlineStr">
        <is>
          <t>Other / assembly</t>
        </is>
      </c>
      <c r="H3301" s="27" t="n">
        <v>905</v>
      </c>
      <c r="I3301" s="27" t="n">
        <v>960</v>
      </c>
      <c r="J3301" s="154">
        <f>I3301/H3301-1</f>
        <v/>
      </c>
      <c r="K3301" s="31" t="inlineStr">
        <is>
          <t>84</t>
        </is>
      </c>
      <c r="L3301" s="31" t="inlineStr">
        <is>
          <t>84</t>
        </is>
      </c>
      <c r="M3301" s="31" t="inlineStr">
        <is>
          <t>S3</t>
        </is>
      </c>
      <c r="N3301" s="31" t="inlineStr">
        <is>
          <t>S5</t>
        </is>
      </c>
      <c r="O3301" s="31" t="inlineStr">
        <is>
          <t>FAN</t>
        </is>
      </c>
      <c r="P3301" s="31" t="inlineStr">
        <is>
          <t>SR Technics Switzerland</t>
        </is>
      </c>
    </row>
    <row r="3302">
      <c r="B3302" s="31" t="inlineStr">
        <is>
          <t>CFM56-7B</t>
        </is>
      </c>
      <c r="C3302" s="31" t="inlineStr">
        <is>
          <t>2025-2026</t>
        </is>
      </c>
      <c r="D3302" s="31" t="inlineStr">
        <is>
          <t>668262</t>
        </is>
      </c>
      <c r="E3302" s="31" t="inlineStr">
        <is>
          <t>72-00-23</t>
        </is>
      </c>
      <c r="F3302" s="31" t="inlineStr">
        <is>
          <t>AT</t>
        </is>
      </c>
      <c r="G3302" s="31" t="inlineStr">
        <is>
          <t>Other / assembly</t>
        </is>
      </c>
      <c r="H3302" s="27" t="n">
        <v>5005</v>
      </c>
      <c r="I3302" s="27" t="n">
        <v>5310</v>
      </c>
      <c r="J3302" s="154">
        <f>I3302/H3302-1</f>
        <v/>
      </c>
      <c r="K3302" s="31" t="inlineStr">
        <is>
          <t>84</t>
        </is>
      </c>
      <c r="L3302" s="31" t="inlineStr">
        <is>
          <t>84</t>
        </is>
      </c>
      <c r="M3302" s="31" t="inlineStr">
        <is>
          <t>S3</t>
        </is>
      </c>
      <c r="N3302" s="31" t="inlineStr">
        <is>
          <t>S5</t>
        </is>
      </c>
      <c r="O3302" s="31" t="inlineStr">
        <is>
          <t>FAN</t>
        </is>
      </c>
      <c r="P3302" s="31" t="inlineStr">
        <is>
          <t>SR Technics Switzerland</t>
        </is>
      </c>
    </row>
    <row r="3303">
      <c r="B3303" s="31" t="inlineStr">
        <is>
          <t>CFM56-7B</t>
        </is>
      </c>
      <c r="C3303" s="31" t="inlineStr">
        <is>
          <t>2025-2026</t>
        </is>
      </c>
      <c r="D3303" s="31" t="inlineStr">
        <is>
          <t>668262</t>
        </is>
      </c>
      <c r="E3303" s="31" t="inlineStr">
        <is>
          <t>72-00-23</t>
        </is>
      </c>
      <c r="F3303" s="31" t="inlineStr">
        <is>
          <t>B</t>
        </is>
      </c>
      <c r="G3303" s="31" t="inlineStr">
        <is>
          <t>Other / assembly</t>
        </is>
      </c>
      <c r="H3303" s="27" t="n">
        <v>1980</v>
      </c>
      <c r="I3303" s="27" t="n">
        <v>2100</v>
      </c>
      <c r="J3303" s="154">
        <f>I3303/H3303-1</f>
        <v/>
      </c>
      <c r="K3303" s="31" t="inlineStr">
        <is>
          <t>84</t>
        </is>
      </c>
      <c r="L3303" s="31" t="inlineStr">
        <is>
          <t>84</t>
        </is>
      </c>
      <c r="M3303" s="31" t="inlineStr">
        <is>
          <t>S3</t>
        </is>
      </c>
      <c r="N3303" s="31" t="inlineStr">
        <is>
          <t>S5</t>
        </is>
      </c>
      <c r="O3303" s="31" t="inlineStr">
        <is>
          <t>FAN</t>
        </is>
      </c>
      <c r="P3303" s="31" t="inlineStr">
        <is>
          <t>SR Technics Switzerland</t>
        </is>
      </c>
    </row>
    <row r="3304">
      <c r="B3304" s="31" t="inlineStr">
        <is>
          <t>CFM56-7B</t>
        </is>
      </c>
      <c r="C3304" s="31" t="inlineStr">
        <is>
          <t>2025-2026</t>
        </is>
      </c>
      <c r="D3304" s="31" t="inlineStr">
        <is>
          <t>668262</t>
        </is>
      </c>
      <c r="E3304" s="31" t="inlineStr">
        <is>
          <t>72-00-23</t>
        </is>
      </c>
      <c r="F3304" s="31" t="inlineStr">
        <is>
          <t>D</t>
        </is>
      </c>
      <c r="G3304" s="31" t="inlineStr">
        <is>
          <t>Other / assembly</t>
        </is>
      </c>
      <c r="H3304" s="27" t="n">
        <v>460</v>
      </c>
      <c r="I3304" s="27" t="n">
        <v>490</v>
      </c>
      <c r="J3304" s="154">
        <f>I3304/H3304-1</f>
        <v/>
      </c>
      <c r="K3304" s="31" t="inlineStr">
        <is>
          <t>84</t>
        </is>
      </c>
      <c r="L3304" s="31" t="inlineStr">
        <is>
          <t>84</t>
        </is>
      </c>
      <c r="M3304" s="31" t="inlineStr">
        <is>
          <t>S3</t>
        </is>
      </c>
      <c r="N3304" s="31" t="inlineStr">
        <is>
          <t>S5</t>
        </is>
      </c>
      <c r="O3304" s="31" t="inlineStr">
        <is>
          <t>FAN</t>
        </is>
      </c>
      <c r="P3304" s="31" t="inlineStr">
        <is>
          <t>SR Technics Switzerland</t>
        </is>
      </c>
    </row>
    <row r="3305">
      <c r="B3305" s="31" t="inlineStr">
        <is>
          <t>CFM56-7B</t>
        </is>
      </c>
      <c r="C3305" s="31" t="inlineStr">
        <is>
          <t>2025-2026</t>
        </is>
      </c>
      <c r="D3305" s="31" t="inlineStr">
        <is>
          <t>668262</t>
        </is>
      </c>
      <c r="E3305" s="31" t="inlineStr">
        <is>
          <t>72-00-23</t>
        </is>
      </c>
      <c r="F3305" s="31" t="inlineStr">
        <is>
          <t>E</t>
        </is>
      </c>
      <c r="G3305" s="31" t="inlineStr">
        <is>
          <t>Other / assembly</t>
        </is>
      </c>
      <c r="H3305" s="27" t="n">
        <v>1130</v>
      </c>
      <c r="I3305" s="27" t="n">
        <v>1200</v>
      </c>
      <c r="J3305" s="154">
        <f>I3305/H3305-1</f>
        <v/>
      </c>
      <c r="K3305" s="31" t="inlineStr">
        <is>
          <t>84</t>
        </is>
      </c>
      <c r="L3305" s="31" t="inlineStr">
        <is>
          <t>84</t>
        </is>
      </c>
      <c r="M3305" s="31" t="inlineStr">
        <is>
          <t>S3</t>
        </is>
      </c>
      <c r="N3305" s="31" t="inlineStr">
        <is>
          <t>S5</t>
        </is>
      </c>
      <c r="O3305" s="31" t="inlineStr">
        <is>
          <t>FAN</t>
        </is>
      </c>
      <c r="P3305" s="31" t="inlineStr">
        <is>
          <t>SR Technics Switzerland</t>
        </is>
      </c>
    </row>
    <row r="3306">
      <c r="B3306" s="31" t="inlineStr">
        <is>
          <t>CFM56-7B</t>
        </is>
      </c>
      <c r="C3306" s="31" t="inlineStr">
        <is>
          <t>2025-2026</t>
        </is>
      </c>
      <c r="D3306" s="31" t="inlineStr">
        <is>
          <t>668262</t>
        </is>
      </c>
      <c r="E3306" s="31" t="inlineStr">
        <is>
          <t>72-00-23</t>
        </is>
      </c>
      <c r="F3306" s="31" t="inlineStr">
        <is>
          <t>F</t>
        </is>
      </c>
      <c r="G3306" s="31" t="inlineStr">
        <is>
          <t>Other / assembly</t>
        </is>
      </c>
      <c r="H3306" s="27" t="n">
        <v>390</v>
      </c>
      <c r="I3306" s="27" t="n">
        <v>415</v>
      </c>
      <c r="J3306" s="154">
        <f>I3306/H3306-1</f>
        <v/>
      </c>
      <c r="K3306" s="31" t="inlineStr">
        <is>
          <t>84</t>
        </is>
      </c>
      <c r="L3306" s="31" t="inlineStr">
        <is>
          <t>84</t>
        </is>
      </c>
      <c r="M3306" s="31" t="inlineStr">
        <is>
          <t>S3</t>
        </is>
      </c>
      <c r="N3306" s="31" t="inlineStr">
        <is>
          <t>S5</t>
        </is>
      </c>
      <c r="O3306" s="31" t="inlineStr">
        <is>
          <t>FAN</t>
        </is>
      </c>
      <c r="P3306" s="31" t="inlineStr">
        <is>
          <t>SR Technics Switzerland</t>
        </is>
      </c>
    </row>
    <row r="3307">
      <c r="B3307" s="31" t="inlineStr">
        <is>
          <t>CFM56-7B</t>
        </is>
      </c>
      <c r="C3307" s="31" t="inlineStr">
        <is>
          <t>2025-2026</t>
        </is>
      </c>
      <c r="D3307" s="31" t="inlineStr">
        <is>
          <t>668262</t>
        </is>
      </c>
      <c r="E3307" s="31" t="inlineStr">
        <is>
          <t>72-00-23</t>
        </is>
      </c>
      <c r="F3307" s="31" t="inlineStr">
        <is>
          <t>G</t>
        </is>
      </c>
      <c r="G3307" s="31" t="inlineStr">
        <is>
          <t>Other / assembly</t>
        </is>
      </c>
      <c r="H3307" s="27" t="n">
        <v>2675</v>
      </c>
      <c r="I3307" s="27" t="n">
        <v>2840</v>
      </c>
      <c r="J3307" s="154">
        <f>I3307/H3307-1</f>
        <v/>
      </c>
      <c r="K3307" s="31" t="inlineStr">
        <is>
          <t>84</t>
        </is>
      </c>
      <c r="L3307" s="31" t="inlineStr">
        <is>
          <t>84</t>
        </is>
      </c>
      <c r="M3307" s="31" t="inlineStr">
        <is>
          <t>S3</t>
        </is>
      </c>
      <c r="N3307" s="31" t="inlineStr">
        <is>
          <t>S5</t>
        </is>
      </c>
      <c r="O3307" s="31" t="inlineStr">
        <is>
          <t>FAN</t>
        </is>
      </c>
      <c r="P3307" s="31" t="inlineStr">
        <is>
          <t>SR Technics Switzerland</t>
        </is>
      </c>
    </row>
    <row r="3308">
      <c r="B3308" s="31" t="inlineStr">
        <is>
          <t>CFM56-7B</t>
        </is>
      </c>
      <c r="C3308" s="31" t="inlineStr">
        <is>
          <t>2025-2026</t>
        </is>
      </c>
      <c r="D3308" s="31" t="inlineStr">
        <is>
          <t>668262</t>
        </is>
      </c>
      <c r="E3308" s="31" t="inlineStr">
        <is>
          <t>72-00-23</t>
        </is>
      </c>
      <c r="F3308" s="31" t="inlineStr">
        <is>
          <t>H</t>
        </is>
      </c>
      <c r="G3308" s="31" t="inlineStr">
        <is>
          <t>Other / assembly</t>
        </is>
      </c>
      <c r="H3308" s="27" t="n">
        <v>860</v>
      </c>
      <c r="I3308" s="27" t="n">
        <v>915</v>
      </c>
      <c r="J3308" s="154">
        <f>I3308/H3308-1</f>
        <v/>
      </c>
      <c r="K3308" s="31" t="inlineStr">
        <is>
          <t>84</t>
        </is>
      </c>
      <c r="L3308" s="31" t="inlineStr">
        <is>
          <t>84</t>
        </is>
      </c>
      <c r="M3308" s="31" t="inlineStr">
        <is>
          <t>S3</t>
        </is>
      </c>
      <c r="N3308" s="31" t="inlineStr">
        <is>
          <t>S5</t>
        </is>
      </c>
      <c r="O3308" s="31" t="inlineStr">
        <is>
          <t>FAN</t>
        </is>
      </c>
      <c r="P3308" s="31" t="inlineStr">
        <is>
          <t>SR Technics Switzerland</t>
        </is>
      </c>
    </row>
    <row r="3309">
      <c r="B3309" s="31" t="inlineStr">
        <is>
          <t>CFM56-7B</t>
        </is>
      </c>
      <c r="C3309" s="31" t="inlineStr">
        <is>
          <t>2025-2026</t>
        </is>
      </c>
      <c r="D3309" s="31" t="inlineStr">
        <is>
          <t>668262</t>
        </is>
      </c>
      <c r="E3309" s="31" t="inlineStr">
        <is>
          <t>72-00-23</t>
        </is>
      </c>
      <c r="F3309" s="31" t="inlineStr">
        <is>
          <t>I</t>
        </is>
      </c>
      <c r="G3309" s="31" t="inlineStr">
        <is>
          <t>Other / assembly</t>
        </is>
      </c>
      <c r="H3309" s="27" t="n">
        <v>740</v>
      </c>
      <c r="I3309" s="27" t="n">
        <v>785</v>
      </c>
      <c r="J3309" s="154">
        <f>I3309/H3309-1</f>
        <v/>
      </c>
      <c r="K3309" s="31" t="inlineStr">
        <is>
          <t>84</t>
        </is>
      </c>
      <c r="L3309" s="31" t="inlineStr">
        <is>
          <t>84</t>
        </is>
      </c>
      <c r="M3309" s="31" t="inlineStr">
        <is>
          <t>S3</t>
        </is>
      </c>
      <c r="N3309" s="31" t="inlineStr">
        <is>
          <t>S5</t>
        </is>
      </c>
      <c r="O3309" s="31" t="inlineStr">
        <is>
          <t>FAN</t>
        </is>
      </c>
      <c r="P3309" s="31" t="inlineStr">
        <is>
          <t>SR Technics Switzerland</t>
        </is>
      </c>
    </row>
    <row r="3310">
      <c r="B3310" s="31" t="inlineStr">
        <is>
          <t>CFM56-7B</t>
        </is>
      </c>
      <c r="C3310" s="31" t="inlineStr">
        <is>
          <t>2025-2026</t>
        </is>
      </c>
      <c r="D3310" s="31" t="inlineStr">
        <is>
          <t>668262</t>
        </is>
      </c>
      <c r="E3310" s="31" t="inlineStr">
        <is>
          <t>72-00-23</t>
        </is>
      </c>
      <c r="F3310" s="31" t="inlineStr">
        <is>
          <t>J</t>
        </is>
      </c>
      <c r="G3310" s="31" t="inlineStr">
        <is>
          <t>Other / assembly</t>
        </is>
      </c>
      <c r="H3310" s="27" t="n">
        <v>575</v>
      </c>
      <c r="I3310" s="27" t="n">
        <v>610</v>
      </c>
      <c r="J3310" s="154">
        <f>I3310/H3310-1</f>
        <v/>
      </c>
      <c r="K3310" s="31" t="inlineStr">
        <is>
          <t>84</t>
        </is>
      </c>
      <c r="L3310" s="31" t="inlineStr">
        <is>
          <t>84</t>
        </is>
      </c>
      <c r="M3310" s="31" t="inlineStr">
        <is>
          <t>S3</t>
        </is>
      </c>
      <c r="N3310" s="31" t="inlineStr">
        <is>
          <t>S5</t>
        </is>
      </c>
      <c r="O3310" s="31" t="inlineStr">
        <is>
          <t>FAN</t>
        </is>
      </c>
      <c r="P3310" s="31" t="inlineStr">
        <is>
          <t>SR Technics Switzerland</t>
        </is>
      </c>
    </row>
    <row r="3311">
      <c r="B3311" s="31" t="inlineStr">
        <is>
          <t>CFM56-7B</t>
        </is>
      </c>
      <c r="C3311" s="31" t="inlineStr">
        <is>
          <t>2025-2026</t>
        </is>
      </c>
      <c r="D3311" s="31" t="inlineStr">
        <is>
          <t>668262</t>
        </is>
      </c>
      <c r="E3311" s="31" t="inlineStr">
        <is>
          <t>72-00-23</t>
        </is>
      </c>
      <c r="F3311" s="31" t="inlineStr">
        <is>
          <t>K</t>
        </is>
      </c>
      <c r="G3311" s="31" t="inlineStr">
        <is>
          <t>Other / assembly</t>
        </is>
      </c>
      <c r="H3311" s="27" t="n">
        <v>1470</v>
      </c>
      <c r="I3311" s="27" t="n">
        <v>1560</v>
      </c>
      <c r="J3311" s="154">
        <f>I3311/H3311-1</f>
        <v/>
      </c>
      <c r="K3311" s="31" t="inlineStr">
        <is>
          <t>84</t>
        </is>
      </c>
      <c r="L3311" s="31" t="inlineStr">
        <is>
          <t>84</t>
        </is>
      </c>
      <c r="M3311" s="31" t="inlineStr">
        <is>
          <t>S3</t>
        </is>
      </c>
      <c r="N3311" s="31" t="inlineStr">
        <is>
          <t>S5</t>
        </is>
      </c>
      <c r="O3311" s="31" t="inlineStr">
        <is>
          <t>FAN</t>
        </is>
      </c>
      <c r="P3311" s="31" t="inlineStr">
        <is>
          <t>SR Technics Switzerland</t>
        </is>
      </c>
    </row>
    <row r="3312">
      <c r="B3312" s="31" t="inlineStr">
        <is>
          <t>CFM56-7B</t>
        </is>
      </c>
      <c r="C3312" s="31" t="inlineStr">
        <is>
          <t>2025-2026</t>
        </is>
      </c>
      <c r="D3312" s="31" t="inlineStr">
        <is>
          <t>668262</t>
        </is>
      </c>
      <c r="E3312" s="31" t="inlineStr">
        <is>
          <t>72-00-23</t>
        </is>
      </c>
      <c r="F3312" s="31" t="inlineStr">
        <is>
          <t>L</t>
        </is>
      </c>
      <c r="G3312" s="31" t="inlineStr">
        <is>
          <t>Other / assembly</t>
        </is>
      </c>
      <c r="H3312" s="27" t="n">
        <v>1610</v>
      </c>
      <c r="I3312" s="27" t="n">
        <v>1710</v>
      </c>
      <c r="J3312" s="154">
        <f>I3312/H3312-1</f>
        <v/>
      </c>
      <c r="K3312" s="31" t="inlineStr">
        <is>
          <t>84</t>
        </is>
      </c>
      <c r="L3312" s="31" t="inlineStr">
        <is>
          <t>84</t>
        </is>
      </c>
      <c r="M3312" s="31" t="inlineStr">
        <is>
          <t>S3</t>
        </is>
      </c>
      <c r="N3312" s="31" t="inlineStr">
        <is>
          <t>S5</t>
        </is>
      </c>
      <c r="O3312" s="31" t="inlineStr">
        <is>
          <t>FAN</t>
        </is>
      </c>
      <c r="P3312" s="31" t="inlineStr">
        <is>
          <t>SR Technics Switzerland</t>
        </is>
      </c>
    </row>
    <row r="3313">
      <c r="B3313" s="31" t="inlineStr">
        <is>
          <t>CFM56-7B</t>
        </is>
      </c>
      <c r="C3313" s="31" t="inlineStr">
        <is>
          <t>2025-2026</t>
        </is>
      </c>
      <c r="D3313" s="31" t="inlineStr">
        <is>
          <t>668262</t>
        </is>
      </c>
      <c r="E3313" s="31" t="inlineStr">
        <is>
          <t>72-00-23</t>
        </is>
      </c>
      <c r="F3313" s="31" t="inlineStr">
        <is>
          <t>M</t>
        </is>
      </c>
      <c r="G3313" s="31" t="inlineStr">
        <is>
          <t>Other / assembly</t>
        </is>
      </c>
      <c r="H3313" s="27" t="n">
        <v>940</v>
      </c>
      <c r="I3313" s="27" t="n">
        <v>1000</v>
      </c>
      <c r="J3313" s="154">
        <f>I3313/H3313-1</f>
        <v/>
      </c>
      <c r="K3313" s="31" t="inlineStr">
        <is>
          <t>84</t>
        </is>
      </c>
      <c r="L3313" s="31" t="inlineStr">
        <is>
          <t>84</t>
        </is>
      </c>
      <c r="M3313" s="31" t="inlineStr">
        <is>
          <t>S3</t>
        </is>
      </c>
      <c r="N3313" s="31" t="inlineStr">
        <is>
          <t>S5</t>
        </is>
      </c>
      <c r="O3313" s="31" t="inlineStr">
        <is>
          <t>FAN</t>
        </is>
      </c>
      <c r="P3313" s="31" t="inlineStr">
        <is>
          <t>SR Technics Switzerland</t>
        </is>
      </c>
    </row>
    <row r="3314">
      <c r="B3314" s="31" t="inlineStr">
        <is>
          <t>CFM56-7B</t>
        </is>
      </c>
      <c r="C3314" s="31" t="inlineStr">
        <is>
          <t>2025-2026</t>
        </is>
      </c>
      <c r="D3314" s="31" t="inlineStr">
        <is>
          <t>668262</t>
        </is>
      </c>
      <c r="E3314" s="31" t="inlineStr">
        <is>
          <t>72-00-23</t>
        </is>
      </c>
      <c r="F3314" s="31" t="inlineStr">
        <is>
          <t>N</t>
        </is>
      </c>
      <c r="G3314" s="31" t="inlineStr">
        <is>
          <t>Other / assembly</t>
        </is>
      </c>
      <c r="H3314" s="27" t="n">
        <v>920</v>
      </c>
      <c r="I3314" s="27" t="n">
        <v>980</v>
      </c>
      <c r="J3314" s="154">
        <f>I3314/H3314-1</f>
        <v/>
      </c>
      <c r="K3314" s="31" t="inlineStr">
        <is>
          <t>85</t>
        </is>
      </c>
      <c r="L3314" s="31" t="inlineStr">
        <is>
          <t>84</t>
        </is>
      </c>
      <c r="M3314" s="31" t="inlineStr">
        <is>
          <t>S3</t>
        </is>
      </c>
      <c r="N3314" s="31" t="inlineStr">
        <is>
          <t>S5</t>
        </is>
      </c>
      <c r="O3314" s="31" t="inlineStr">
        <is>
          <t>FAN</t>
        </is>
      </c>
      <c r="P3314" s="31" t="inlineStr">
        <is>
          <t>SR Technics Switzerland</t>
        </is>
      </c>
    </row>
    <row r="3315">
      <c r="B3315" s="31" t="inlineStr">
        <is>
          <t>CFM56-7B</t>
        </is>
      </c>
      <c r="C3315" s="31" t="inlineStr">
        <is>
          <t>2025-2026</t>
        </is>
      </c>
      <c r="D3315" s="31" t="inlineStr">
        <is>
          <t>668262</t>
        </is>
      </c>
      <c r="E3315" s="31" t="inlineStr">
        <is>
          <t>72-00-23</t>
        </is>
      </c>
      <c r="F3315" s="31" t="inlineStr">
        <is>
          <t>P</t>
        </is>
      </c>
      <c r="G3315" s="31" t="inlineStr">
        <is>
          <t>Other / assembly</t>
        </is>
      </c>
      <c r="H3315" s="27" t="n">
        <v>2070</v>
      </c>
      <c r="I3315" s="27" t="n">
        <v>2195</v>
      </c>
      <c r="J3315" s="154">
        <f>I3315/H3315-1</f>
        <v/>
      </c>
      <c r="K3315" s="31" t="inlineStr">
        <is>
          <t>85</t>
        </is>
      </c>
      <c r="L3315" s="31" t="inlineStr">
        <is>
          <t>84</t>
        </is>
      </c>
      <c r="M3315" s="31" t="inlineStr">
        <is>
          <t>S3</t>
        </is>
      </c>
      <c r="N3315" s="31" t="inlineStr">
        <is>
          <t>S5</t>
        </is>
      </c>
      <c r="O3315" s="31" t="inlineStr">
        <is>
          <t>FAN</t>
        </is>
      </c>
      <c r="P3315" s="31" t="inlineStr">
        <is>
          <t>SR Technics Switzerland</t>
        </is>
      </c>
    </row>
    <row r="3316">
      <c r="B3316" s="31" t="inlineStr">
        <is>
          <t>CFM56-7B</t>
        </is>
      </c>
      <c r="C3316" s="31" t="inlineStr">
        <is>
          <t>2025-2026</t>
        </is>
      </c>
      <c r="D3316" s="31" t="inlineStr">
        <is>
          <t>668262</t>
        </is>
      </c>
      <c r="E3316" s="31" t="inlineStr">
        <is>
          <t>72-00-23</t>
        </is>
      </c>
      <c r="F3316" s="31" t="inlineStr">
        <is>
          <t>Q</t>
        </is>
      </c>
      <c r="G3316" s="31" t="inlineStr">
        <is>
          <t>Other / assembly</t>
        </is>
      </c>
      <c r="H3316" s="27" t="n">
        <v>1200</v>
      </c>
      <c r="I3316" s="27" t="n">
        <v>1275</v>
      </c>
      <c r="J3316" s="154">
        <f>I3316/H3316-1</f>
        <v/>
      </c>
      <c r="K3316" s="31" t="inlineStr">
        <is>
          <t>85</t>
        </is>
      </c>
      <c r="L3316" s="31" t="inlineStr">
        <is>
          <t>84</t>
        </is>
      </c>
      <c r="M3316" s="31" t="inlineStr">
        <is>
          <t>S3</t>
        </is>
      </c>
      <c r="N3316" s="31" t="inlineStr">
        <is>
          <t>S5</t>
        </is>
      </c>
      <c r="O3316" s="31" t="inlineStr">
        <is>
          <t>FAN</t>
        </is>
      </c>
      <c r="P3316" s="31" t="inlineStr">
        <is>
          <t>SR Technics Switzerland</t>
        </is>
      </c>
    </row>
    <row r="3317">
      <c r="B3317" s="31" t="inlineStr">
        <is>
          <t>CFM56-7B</t>
        </is>
      </c>
      <c r="C3317" s="31" t="inlineStr">
        <is>
          <t>2025-2026</t>
        </is>
      </c>
      <c r="D3317" s="31" t="inlineStr">
        <is>
          <t>668262</t>
        </is>
      </c>
      <c r="E3317" s="31" t="inlineStr">
        <is>
          <t>72-00-23</t>
        </is>
      </c>
      <c r="F3317" s="31" t="inlineStr">
        <is>
          <t>R</t>
        </is>
      </c>
      <c r="G3317" s="31" t="inlineStr">
        <is>
          <t>Other / assembly</t>
        </is>
      </c>
      <c r="H3317" s="27" t="n">
        <v>1470</v>
      </c>
      <c r="I3317" s="27" t="n">
        <v>1560</v>
      </c>
      <c r="J3317" s="154">
        <f>I3317/H3317-1</f>
        <v/>
      </c>
      <c r="K3317" s="31" t="inlineStr">
        <is>
          <t>85</t>
        </is>
      </c>
      <c r="L3317" s="31" t="inlineStr">
        <is>
          <t>84</t>
        </is>
      </c>
      <c r="M3317" s="31" t="inlineStr">
        <is>
          <t>S3</t>
        </is>
      </c>
      <c r="N3317" s="31" t="inlineStr">
        <is>
          <t>S5</t>
        </is>
      </c>
      <c r="O3317" s="31" t="inlineStr">
        <is>
          <t>FAN</t>
        </is>
      </c>
      <c r="P3317" s="31" t="inlineStr">
        <is>
          <t>SR Technics Switzerland</t>
        </is>
      </c>
    </row>
    <row r="3318">
      <c r="B3318" s="31" t="inlineStr">
        <is>
          <t>CFM56-7B</t>
        </is>
      </c>
      <c r="C3318" s="31" t="inlineStr">
        <is>
          <t>2025-2026</t>
        </is>
      </c>
      <c r="D3318" s="31" t="inlineStr">
        <is>
          <t>668262</t>
        </is>
      </c>
      <c r="E3318" s="31" t="inlineStr">
        <is>
          <t>72-00-23</t>
        </is>
      </c>
      <c r="F3318" s="31" t="inlineStr">
        <is>
          <t>S</t>
        </is>
      </c>
      <c r="G3318" s="31" t="inlineStr">
        <is>
          <t>Other / assembly</t>
        </is>
      </c>
      <c r="H3318" s="27" t="n">
        <v>1120</v>
      </c>
      <c r="I3318" s="27" t="n">
        <v>1190</v>
      </c>
      <c r="J3318" s="154">
        <f>I3318/H3318-1</f>
        <v/>
      </c>
      <c r="K3318" s="31" t="inlineStr">
        <is>
          <t>85</t>
        </is>
      </c>
      <c r="L3318" s="31" t="inlineStr">
        <is>
          <t>84</t>
        </is>
      </c>
      <c r="M3318" s="31" t="inlineStr">
        <is>
          <t>S3</t>
        </is>
      </c>
      <c r="N3318" s="31" t="inlineStr">
        <is>
          <t>S5</t>
        </is>
      </c>
      <c r="O3318" s="31" t="inlineStr">
        <is>
          <t>FAN</t>
        </is>
      </c>
      <c r="P3318" s="31" t="inlineStr">
        <is>
          <t>SR Technics Switzerland</t>
        </is>
      </c>
    </row>
    <row r="3319">
      <c r="B3319" s="31" t="inlineStr">
        <is>
          <t>CFM56-7B</t>
        </is>
      </c>
      <c r="C3319" s="31" t="inlineStr">
        <is>
          <t>2025-2026</t>
        </is>
      </c>
      <c r="D3319" s="31" t="inlineStr">
        <is>
          <t>668262</t>
        </is>
      </c>
      <c r="E3319" s="31" t="inlineStr">
        <is>
          <t>72-00-23</t>
        </is>
      </c>
      <c r="F3319" s="31" t="inlineStr">
        <is>
          <t>SB14</t>
        </is>
      </c>
      <c r="G3319" s="31" t="inlineStr">
        <is>
          <t>Other / assembly</t>
        </is>
      </c>
      <c r="H3319" s="27" t="n">
        <v>8650</v>
      </c>
      <c r="I3319" s="27" t="n">
        <v>9170</v>
      </c>
      <c r="J3319" s="154">
        <f>I3319/H3319-1</f>
        <v/>
      </c>
      <c r="K3319" s="31" t="inlineStr">
        <is>
          <t>85</t>
        </is>
      </c>
      <c r="L3319" s="31" t="inlineStr">
        <is>
          <t>85</t>
        </is>
      </c>
      <c r="M3319" s="31" t="inlineStr">
        <is>
          <t>S3</t>
        </is>
      </c>
      <c r="N3319" s="31" t="inlineStr">
        <is>
          <t>S5</t>
        </is>
      </c>
      <c r="O3319" s="31" t="inlineStr">
        <is>
          <t>FAN</t>
        </is>
      </c>
      <c r="P3319" s="31" t="inlineStr">
        <is>
          <t>SR Technics Switzerland</t>
        </is>
      </c>
    </row>
    <row r="3320">
      <c r="B3320" s="31" t="inlineStr">
        <is>
          <t>CFM56-7B</t>
        </is>
      </c>
      <c r="C3320" s="31" t="inlineStr">
        <is>
          <t>2025-2026</t>
        </is>
      </c>
      <c r="D3320" s="31" t="inlineStr">
        <is>
          <t>668262</t>
        </is>
      </c>
      <c r="E3320" s="31" t="inlineStr">
        <is>
          <t>72-00-23</t>
        </is>
      </c>
      <c r="F3320" s="31" t="inlineStr">
        <is>
          <t>T</t>
        </is>
      </c>
      <c r="G3320" s="31" t="inlineStr">
        <is>
          <t>Other / assembly</t>
        </is>
      </c>
      <c r="H3320" s="27" t="n">
        <v>17275</v>
      </c>
      <c r="I3320" s="27" t="n">
        <v>31800</v>
      </c>
      <c r="J3320" s="154">
        <f>I3320/H3320-1</f>
        <v/>
      </c>
      <c r="K3320" s="31" t="inlineStr">
        <is>
          <t>85</t>
        </is>
      </c>
      <c r="L3320" s="31" t="inlineStr">
        <is>
          <t>85</t>
        </is>
      </c>
      <c r="M3320" s="31" t="inlineStr">
        <is>
          <t>S3</t>
        </is>
      </c>
      <c r="N3320" s="31" t="inlineStr">
        <is>
          <t>S5</t>
        </is>
      </c>
      <c r="O3320" s="31" t="inlineStr">
        <is>
          <t>FAN</t>
        </is>
      </c>
      <c r="P3320" s="31" t="inlineStr">
        <is>
          <t>SR Technics Switzerland</t>
        </is>
      </c>
    </row>
    <row r="3321">
      <c r="B3321" s="31" t="inlineStr">
        <is>
          <t>CFM56-7B</t>
        </is>
      </c>
      <c r="C3321" s="31" t="inlineStr">
        <is>
          <t>2025-2026</t>
        </is>
      </c>
      <c r="D3321" s="31" t="inlineStr">
        <is>
          <t>668262</t>
        </is>
      </c>
      <c r="E3321" s="31" t="inlineStr">
        <is>
          <t>72-00-23</t>
        </is>
      </c>
      <c r="F3321" s="31" t="inlineStr">
        <is>
          <t>U</t>
        </is>
      </c>
      <c r="G3321" s="31" t="inlineStr">
        <is>
          <t>Other / assembly</t>
        </is>
      </c>
      <c r="H3321" s="27" t="n">
        <v>635</v>
      </c>
      <c r="I3321" s="27" t="n">
        <v>675</v>
      </c>
      <c r="J3321" s="154">
        <f>I3321/H3321-1</f>
        <v/>
      </c>
      <c r="K3321" s="31" t="inlineStr">
        <is>
          <t>85</t>
        </is>
      </c>
      <c r="L3321" s="31" t="inlineStr">
        <is>
          <t>85</t>
        </is>
      </c>
      <c r="M3321" s="31" t="inlineStr">
        <is>
          <t>S3</t>
        </is>
      </c>
      <c r="N3321" s="31" t="inlineStr">
        <is>
          <t>S5</t>
        </is>
      </c>
      <c r="O3321" s="31" t="inlineStr">
        <is>
          <t>FAN</t>
        </is>
      </c>
      <c r="P3321" s="31" t="inlineStr">
        <is>
          <t>SR Technics Switzerland</t>
        </is>
      </c>
    </row>
    <row r="3322">
      <c r="B3322" s="31" t="inlineStr">
        <is>
          <t>CFM56-7B</t>
        </is>
      </c>
      <c r="C3322" s="31" t="inlineStr">
        <is>
          <t>2025-2026</t>
        </is>
      </c>
      <c r="D3322" s="31" t="inlineStr">
        <is>
          <t>668262</t>
        </is>
      </c>
      <c r="E3322" s="31" t="inlineStr">
        <is>
          <t>72-00-23</t>
        </is>
      </c>
      <c r="F3322" s="31" t="inlineStr">
        <is>
          <t>V</t>
        </is>
      </c>
      <c r="G3322" s="31" t="inlineStr">
        <is>
          <t>Other / assembly</t>
        </is>
      </c>
      <c r="H3322" s="27" t="n">
        <v>2670</v>
      </c>
      <c r="I3322" s="27" t="n">
        <v>2835</v>
      </c>
      <c r="J3322" s="154">
        <f>I3322/H3322-1</f>
        <v/>
      </c>
      <c r="K3322" s="31" t="inlineStr">
        <is>
          <t>85</t>
        </is>
      </c>
      <c r="L3322" s="31" t="inlineStr">
        <is>
          <t>85</t>
        </is>
      </c>
      <c r="M3322" s="31" t="inlineStr">
        <is>
          <t>S3</t>
        </is>
      </c>
      <c r="N3322" s="31" t="inlineStr">
        <is>
          <t>S5</t>
        </is>
      </c>
      <c r="O3322" s="31" t="inlineStr">
        <is>
          <t>FAN</t>
        </is>
      </c>
      <c r="P3322" s="31" t="inlineStr">
        <is>
          <t>SR Technics Switzerland</t>
        </is>
      </c>
    </row>
    <row r="3323">
      <c r="B3323" s="31" t="inlineStr">
        <is>
          <t>CFM56-7B</t>
        </is>
      </c>
      <c r="C3323" s="31" t="inlineStr">
        <is>
          <t>2025-2026</t>
        </is>
      </c>
      <c r="D3323" s="31" t="inlineStr">
        <is>
          <t>668262</t>
        </is>
      </c>
      <c r="E3323" s="31" t="inlineStr">
        <is>
          <t>72-00-23</t>
        </is>
      </c>
      <c r="F3323" s="31" t="inlineStr">
        <is>
          <t>W</t>
        </is>
      </c>
      <c r="G3323" s="31" t="inlineStr">
        <is>
          <t>Other / assembly</t>
        </is>
      </c>
      <c r="H3323" s="27" t="n">
        <v>3785</v>
      </c>
      <c r="I3323" s="27" t="n">
        <v>4015</v>
      </c>
      <c r="J3323" s="154">
        <f>I3323/H3323-1</f>
        <v/>
      </c>
      <c r="K3323" s="31" t="inlineStr">
        <is>
          <t>85</t>
        </is>
      </c>
      <c r="L3323" s="31" t="inlineStr">
        <is>
          <t>85</t>
        </is>
      </c>
      <c r="M3323" s="31" t="inlineStr">
        <is>
          <t>S3</t>
        </is>
      </c>
      <c r="N3323" s="31" t="inlineStr">
        <is>
          <t>S5</t>
        </is>
      </c>
      <c r="O3323" s="31" t="inlineStr">
        <is>
          <t>FAN</t>
        </is>
      </c>
      <c r="P3323" s="31" t="inlineStr">
        <is>
          <t>SR Technics Switzerland</t>
        </is>
      </c>
    </row>
    <row r="3324">
      <c r="B3324" s="31" t="inlineStr">
        <is>
          <t>CFM56-7B</t>
        </is>
      </c>
      <c r="C3324" s="31" t="inlineStr">
        <is>
          <t>2025-2026</t>
        </is>
      </c>
      <c r="D3324" s="31" t="inlineStr">
        <is>
          <t>668262</t>
        </is>
      </c>
      <c r="E3324" s="31" t="inlineStr">
        <is>
          <t>72-00-23</t>
        </is>
      </c>
      <c r="F3324" s="31" t="inlineStr">
        <is>
          <t>X</t>
        </is>
      </c>
      <c r="G3324" s="31" t="inlineStr">
        <is>
          <t>Other / assembly</t>
        </is>
      </c>
      <c r="H3324" s="27" t="n">
        <v>765</v>
      </c>
      <c r="I3324" s="27" t="n">
        <v>815</v>
      </c>
      <c r="J3324" s="154">
        <f>I3324/H3324-1</f>
        <v/>
      </c>
      <c r="K3324" s="31" t="inlineStr">
        <is>
          <t>85</t>
        </is>
      </c>
      <c r="L3324" s="31" t="inlineStr">
        <is>
          <t>85</t>
        </is>
      </c>
      <c r="M3324" s="31" t="inlineStr">
        <is>
          <t>S3</t>
        </is>
      </c>
      <c r="N3324" s="31" t="inlineStr">
        <is>
          <t>S5</t>
        </is>
      </c>
      <c r="O3324" s="31" t="inlineStr">
        <is>
          <t>FAN</t>
        </is>
      </c>
      <c r="P3324" s="31" t="inlineStr">
        <is>
          <t>SR Technics Switzerland</t>
        </is>
      </c>
    </row>
    <row r="3325">
      <c r="B3325" s="31" t="inlineStr">
        <is>
          <t>CFM56-7B</t>
        </is>
      </c>
      <c r="C3325" s="31" t="inlineStr">
        <is>
          <t>2025-2026</t>
        </is>
      </c>
      <c r="D3325" s="31" t="inlineStr">
        <is>
          <t>668262</t>
        </is>
      </c>
      <c r="E3325" s="31" t="inlineStr">
        <is>
          <t>72-00-23</t>
        </is>
      </c>
      <c r="F3325" s="31" t="inlineStr">
        <is>
          <t>Y</t>
        </is>
      </c>
      <c r="G3325" s="31" t="inlineStr">
        <is>
          <t>Other / assembly</t>
        </is>
      </c>
      <c r="H3325" s="27" t="n">
        <v>3125</v>
      </c>
      <c r="I3325" s="27" t="n">
        <v>3315</v>
      </c>
      <c r="J3325" s="154">
        <f>I3325/H3325-1</f>
        <v/>
      </c>
      <c r="K3325" s="31" t="inlineStr">
        <is>
          <t>85</t>
        </is>
      </c>
      <c r="L3325" s="31" t="inlineStr">
        <is>
          <t>85</t>
        </is>
      </c>
      <c r="M3325" s="31" t="inlineStr">
        <is>
          <t>S3</t>
        </is>
      </c>
      <c r="N3325" s="31" t="inlineStr">
        <is>
          <t>S5</t>
        </is>
      </c>
      <c r="O3325" s="31" t="inlineStr">
        <is>
          <t>FAN</t>
        </is>
      </c>
      <c r="P3325" s="31" t="inlineStr">
        <is>
          <t>SR Technics Switzerland</t>
        </is>
      </c>
    </row>
    <row r="3326">
      <c r="B3326" s="31" t="inlineStr">
        <is>
          <t>CFM56-7B</t>
        </is>
      </c>
      <c r="C3326" s="31" t="inlineStr">
        <is>
          <t>2025-2026</t>
        </is>
      </c>
      <c r="D3326" s="31" t="inlineStr">
        <is>
          <t>668262</t>
        </is>
      </c>
      <c r="E3326" s="31" t="inlineStr">
        <is>
          <t>72-00-23</t>
        </is>
      </c>
      <c r="F3326" s="31" t="inlineStr">
        <is>
          <t>Z</t>
        </is>
      </c>
      <c r="G3326" s="31" t="inlineStr">
        <is>
          <t>Other / assembly</t>
        </is>
      </c>
      <c r="H3326" s="27" t="n">
        <v>4800</v>
      </c>
      <c r="I3326" s="27" t="n">
        <v>5090</v>
      </c>
      <c r="J3326" s="154">
        <f>I3326/H3326-1</f>
        <v/>
      </c>
      <c r="K3326" s="31" t="inlineStr">
        <is>
          <t>85</t>
        </is>
      </c>
      <c r="L3326" s="31" t="inlineStr">
        <is>
          <t>85</t>
        </is>
      </c>
      <c r="M3326" s="31" t="inlineStr">
        <is>
          <t>S3</t>
        </is>
      </c>
      <c r="N3326" s="31" t="inlineStr">
        <is>
          <t>S5</t>
        </is>
      </c>
      <c r="O3326" s="31" t="inlineStr">
        <is>
          <t>FAN</t>
        </is>
      </c>
      <c r="P3326" s="31" t="inlineStr">
        <is>
          <t>SR Technics Switzerland</t>
        </is>
      </c>
    </row>
    <row r="3327">
      <c r="B3327" s="31" t="inlineStr">
        <is>
          <t>CFM56-7B</t>
        </is>
      </c>
      <c r="C3327" s="31" t="inlineStr">
        <is>
          <t>2025-2026</t>
        </is>
      </c>
      <c r="D3327" s="31" t="inlineStr">
        <is>
          <t>668720</t>
        </is>
      </c>
      <c r="E3327" s="31" t="inlineStr">
        <is>
          <t>72-XX-XX</t>
        </is>
      </c>
      <c r="F3327" s="31" t="inlineStr">
        <is>
          <t>A</t>
        </is>
      </c>
      <c r="G3327" s="31" t="inlineStr">
        <is>
          <t>Other / assembly</t>
        </is>
      </c>
      <c r="H3327" s="27" t="n">
        <v>3355</v>
      </c>
      <c r="I3327" s="27" t="n">
        <v>3525</v>
      </c>
      <c r="J3327" s="154">
        <f>I3327/H3327-1</f>
        <v/>
      </c>
      <c r="K3327" s="31" t="inlineStr">
        <is>
          <t>27</t>
        </is>
      </c>
      <c r="L3327" s="31" t="inlineStr">
        <is>
          <t>27</t>
        </is>
      </c>
      <c r="M3327" s="31" t="inlineStr">
        <is>
          <t>S3</t>
        </is>
      </c>
      <c r="N3327" s="31" t="inlineStr">
        <is>
          <t>S5</t>
        </is>
      </c>
      <c r="O3327" s="31" t="inlineStr">
        <is>
          <t>9324M68G02</t>
        </is>
      </c>
      <c r="P3327" s="31" t="inlineStr">
        <is>
          <t>SR Technics Switzerland</t>
        </is>
      </c>
    </row>
    <row r="3328">
      <c r="B3328" s="31" t="inlineStr">
        <is>
          <t>CFM56-7B</t>
        </is>
      </c>
      <c r="C3328" s="31" t="inlineStr">
        <is>
          <t>2025-2026</t>
        </is>
      </c>
      <c r="D3328" s="31" t="inlineStr">
        <is>
          <t>668720</t>
        </is>
      </c>
      <c r="E3328" s="31" t="inlineStr">
        <is>
          <t>72-XX-XX</t>
        </is>
      </c>
      <c r="F3328" s="31" t="inlineStr">
        <is>
          <t>B</t>
        </is>
      </c>
      <c r="G3328" s="31" t="inlineStr">
        <is>
          <t>Other / assembly</t>
        </is>
      </c>
      <c r="H3328" s="27" t="n">
        <v>870</v>
      </c>
      <c r="I3328" s="27" t="n">
        <v>925</v>
      </c>
      <c r="J3328" s="154">
        <f>I3328/H3328-1</f>
        <v/>
      </c>
      <c r="K3328" s="31" t="inlineStr">
        <is>
          <t>27</t>
        </is>
      </c>
      <c r="L3328" s="31" t="inlineStr">
        <is>
          <t>27</t>
        </is>
      </c>
      <c r="M3328" s="31" t="inlineStr">
        <is>
          <t>S3</t>
        </is>
      </c>
      <c r="N3328" s="31" t="inlineStr">
        <is>
          <t>S5</t>
        </is>
      </c>
      <c r="O3328" s="31" t="inlineStr">
        <is>
          <t>9324M68G02</t>
        </is>
      </c>
      <c r="P3328" s="31" t="inlineStr">
        <is>
          <t>SR Technics Switzerland</t>
        </is>
      </c>
    </row>
    <row r="3329">
      <c r="B3329" s="31" t="inlineStr">
        <is>
          <t>CFM56-7B</t>
        </is>
      </c>
      <c r="C3329" s="31" t="inlineStr">
        <is>
          <t>2025-2026</t>
        </is>
      </c>
      <c r="D3329" s="31" t="inlineStr">
        <is>
          <t>668720</t>
        </is>
      </c>
      <c r="E3329" s="31" t="inlineStr">
        <is>
          <t>72-XX-XX</t>
        </is>
      </c>
      <c r="F3329" s="31" t="inlineStr">
        <is>
          <t>C</t>
        </is>
      </c>
      <c r="G3329" s="31" t="inlineStr">
        <is>
          <t>Other / assembly</t>
        </is>
      </c>
      <c r="H3329" s="27" t="n">
        <v>870</v>
      </c>
      <c r="I3329" s="27" t="n">
        <v>925</v>
      </c>
      <c r="J3329" s="154">
        <f>I3329/H3329-1</f>
        <v/>
      </c>
      <c r="K3329" s="31" t="inlineStr">
        <is>
          <t>27</t>
        </is>
      </c>
      <c r="L3329" s="31" t="inlineStr">
        <is>
          <t>27</t>
        </is>
      </c>
      <c r="M3329" s="31" t="inlineStr">
        <is>
          <t>S3</t>
        </is>
      </c>
      <c r="N3329" s="31" t="inlineStr">
        <is>
          <t>S5</t>
        </is>
      </c>
      <c r="O3329" s="31" t="inlineStr">
        <is>
          <t>9324M68G02</t>
        </is>
      </c>
      <c r="P3329" s="31" t="inlineStr">
        <is>
          <t>SR Technics Switzerland</t>
        </is>
      </c>
    </row>
    <row r="3330">
      <c r="B3330" s="31" t="inlineStr">
        <is>
          <t>CFM56-7B</t>
        </is>
      </c>
      <c r="C3330" s="31" t="inlineStr">
        <is>
          <t>2025-2026</t>
        </is>
      </c>
      <c r="D3330" s="31" t="inlineStr">
        <is>
          <t>668720</t>
        </is>
      </c>
      <c r="E3330" s="31" t="inlineStr">
        <is>
          <t>72-XX-XX</t>
        </is>
      </c>
      <c r="F3330" s="31" t="inlineStr">
        <is>
          <t>D</t>
        </is>
      </c>
      <c r="G3330" s="31" t="inlineStr">
        <is>
          <t>Other / assembly</t>
        </is>
      </c>
      <c r="H3330" s="27" t="n">
        <v>870</v>
      </c>
      <c r="I3330" s="27" t="n">
        <v>925</v>
      </c>
      <c r="J3330" s="154">
        <f>I3330/H3330-1</f>
        <v/>
      </c>
      <c r="K3330" s="31" t="inlineStr">
        <is>
          <t>28</t>
        </is>
      </c>
      <c r="L3330" s="31" t="inlineStr">
        <is>
          <t>27</t>
        </is>
      </c>
      <c r="M3330" s="31" t="inlineStr">
        <is>
          <t>S3</t>
        </is>
      </c>
      <c r="N3330" s="31" t="inlineStr">
        <is>
          <t>S5</t>
        </is>
      </c>
      <c r="O3330" s="31" t="inlineStr">
        <is>
          <t>9324M68G02</t>
        </is>
      </c>
      <c r="P3330" s="31" t="inlineStr">
        <is>
          <t>SR Technics Switzerland</t>
        </is>
      </c>
    </row>
    <row r="3331">
      <c r="B3331" s="31" t="inlineStr">
        <is>
          <t>CFM56-7B</t>
        </is>
      </c>
      <c r="C3331" s="31" t="inlineStr">
        <is>
          <t>2025-2026</t>
        </is>
      </c>
      <c r="D3331" s="31" t="inlineStr">
        <is>
          <t>668720</t>
        </is>
      </c>
      <c r="E3331" s="31" t="inlineStr">
        <is>
          <t>72-XX-XX</t>
        </is>
      </c>
      <c r="F3331" s="31" t="inlineStr">
        <is>
          <t>G</t>
        </is>
      </c>
      <c r="G3331" s="31" t="inlineStr">
        <is>
          <t>Other / assembly</t>
        </is>
      </c>
      <c r="H3331" s="27" t="n">
        <v>870</v>
      </c>
      <c r="I3331" s="27" t="n">
        <v>925</v>
      </c>
      <c r="J3331" s="154">
        <f>I3331/H3331-1</f>
        <v/>
      </c>
      <c r="K3331" s="31" t="inlineStr">
        <is>
          <t>28</t>
        </is>
      </c>
      <c r="L3331" s="31" t="inlineStr">
        <is>
          <t>27</t>
        </is>
      </c>
      <c r="M3331" s="31" t="inlineStr">
        <is>
          <t>S3</t>
        </is>
      </c>
      <c r="N3331" s="31" t="inlineStr">
        <is>
          <t>S5</t>
        </is>
      </c>
      <c r="O3331" s="31" t="inlineStr">
        <is>
          <t>9324M68G02</t>
        </is>
      </c>
      <c r="P3331" s="31" t="inlineStr">
        <is>
          <t>SR Technics Switzerland</t>
        </is>
      </c>
    </row>
    <row r="3332">
      <c r="B3332" s="31" t="inlineStr">
        <is>
          <t>CFM56-7B</t>
        </is>
      </c>
      <c r="C3332" s="31" t="inlineStr">
        <is>
          <t>2025-2026</t>
        </is>
      </c>
      <c r="D3332" s="31" t="inlineStr">
        <is>
          <t>668720</t>
        </is>
      </c>
      <c r="E3332" s="31" t="inlineStr">
        <is>
          <t>72-XX-XX</t>
        </is>
      </c>
      <c r="F3332" s="31" t="inlineStr">
        <is>
          <t>H</t>
        </is>
      </c>
      <c r="G3332" s="31" t="inlineStr">
        <is>
          <t>Other / assembly</t>
        </is>
      </c>
      <c r="H3332" s="27" t="n">
        <v>480</v>
      </c>
      <c r="I3332" s="27" t="n">
        <v>510</v>
      </c>
      <c r="J3332" s="154">
        <f>I3332/H3332-1</f>
        <v/>
      </c>
      <c r="K3332" s="31" t="inlineStr">
        <is>
          <t>28</t>
        </is>
      </c>
      <c r="L3332" s="31" t="inlineStr">
        <is>
          <t>27</t>
        </is>
      </c>
      <c r="M3332" s="31" t="inlineStr">
        <is>
          <t>S3</t>
        </is>
      </c>
      <c r="N3332" s="31" t="inlineStr">
        <is>
          <t>S5</t>
        </is>
      </c>
      <c r="O3332" s="31" t="inlineStr">
        <is>
          <t>9324M68G02</t>
        </is>
      </c>
      <c r="P3332" s="31" t="inlineStr">
        <is>
          <t>SR Technics Switzerland</t>
        </is>
      </c>
    </row>
    <row r="3333">
      <c r="B3333" s="31" t="inlineStr">
        <is>
          <t>CFM56-7B</t>
        </is>
      </c>
      <c r="C3333" s="31" t="inlineStr">
        <is>
          <t>2025-2026</t>
        </is>
      </c>
      <c r="D3333" s="31" t="inlineStr">
        <is>
          <t>668720</t>
        </is>
      </c>
      <c r="E3333" s="31" t="inlineStr">
        <is>
          <t>72-XX-XX</t>
        </is>
      </c>
      <c r="F3333" s="31" t="inlineStr">
        <is>
          <t>N</t>
        </is>
      </c>
      <c r="G3333" s="31" t="inlineStr">
        <is>
          <t>Other / assembly</t>
        </is>
      </c>
      <c r="H3333" s="27" t="n">
        <v>530</v>
      </c>
      <c r="I3333" s="27" t="n">
        <v>565</v>
      </c>
      <c r="J3333" s="154">
        <f>I3333/H3333-1</f>
        <v/>
      </c>
      <c r="K3333" s="31" t="inlineStr">
        <is>
          <t>28</t>
        </is>
      </c>
      <c r="L3333" s="31" t="inlineStr">
        <is>
          <t>27</t>
        </is>
      </c>
      <c r="M3333" s="31" t="inlineStr">
        <is>
          <t>S3</t>
        </is>
      </c>
      <c r="N3333" s="31" t="inlineStr">
        <is>
          <t>S5</t>
        </is>
      </c>
      <c r="O3333" s="31" t="inlineStr">
        <is>
          <t>9324M68G02</t>
        </is>
      </c>
      <c r="P3333" s="31" t="inlineStr">
        <is>
          <t>SR Technics Switzerland</t>
        </is>
      </c>
    </row>
    <row r="3334">
      <c r="B3334" s="31" t="inlineStr">
        <is>
          <t>CFM56-7B</t>
        </is>
      </c>
      <c r="C3334" s="31" t="inlineStr">
        <is>
          <t>2025-2026</t>
        </is>
      </c>
      <c r="D3334" s="31" t="inlineStr">
        <is>
          <t>668720</t>
        </is>
      </c>
      <c r="E3334" s="31" t="inlineStr">
        <is>
          <t>72-XX-XX</t>
        </is>
      </c>
      <c r="F3334" s="31" t="inlineStr">
        <is>
          <t>O</t>
        </is>
      </c>
      <c r="G3334" s="31" t="inlineStr">
        <is>
          <t>Other / assembly</t>
        </is>
      </c>
      <c r="H3334" s="27" t="n">
        <v>530</v>
      </c>
      <c r="I3334" s="27" t="n">
        <v>565</v>
      </c>
      <c r="J3334" s="154">
        <f>I3334/H3334-1</f>
        <v/>
      </c>
      <c r="K3334" s="31" t="inlineStr">
        <is>
          <t>28</t>
        </is>
      </c>
      <c r="L3334" s="31" t="inlineStr">
        <is>
          <t>27</t>
        </is>
      </c>
      <c r="M3334" s="31" t="inlineStr">
        <is>
          <t>S3</t>
        </is>
      </c>
      <c r="N3334" s="31" t="inlineStr">
        <is>
          <t>S5</t>
        </is>
      </c>
      <c r="O3334" s="31" t="inlineStr">
        <is>
          <t>9324M68G02</t>
        </is>
      </c>
      <c r="P3334" s="31" t="inlineStr">
        <is>
          <t>SR Technics Switzerland</t>
        </is>
      </c>
    </row>
    <row r="3335">
      <c r="B3335" s="31" t="inlineStr">
        <is>
          <t>CFM56-7B</t>
        </is>
      </c>
      <c r="C3335" s="31" t="inlineStr">
        <is>
          <t>2025-2026</t>
        </is>
      </c>
      <c r="D3335" s="31" t="inlineStr">
        <is>
          <t>668720</t>
        </is>
      </c>
      <c r="E3335" s="31" t="inlineStr">
        <is>
          <t>72-XX-XX</t>
        </is>
      </c>
      <c r="F3335" s="31" t="inlineStr">
        <is>
          <t>P</t>
        </is>
      </c>
      <c r="G3335" s="31" t="inlineStr">
        <is>
          <t>Other / assembly</t>
        </is>
      </c>
      <c r="H3335" s="27" t="n">
        <v>530</v>
      </c>
      <c r="I3335" s="27" t="n">
        <v>565</v>
      </c>
      <c r="J3335" s="154">
        <f>I3335/H3335-1</f>
        <v/>
      </c>
      <c r="K3335" s="31" t="inlineStr">
        <is>
          <t>28</t>
        </is>
      </c>
      <c r="L3335" s="31" t="inlineStr">
        <is>
          <t>27</t>
        </is>
      </c>
      <c r="M3335" s="31" t="inlineStr">
        <is>
          <t>S3</t>
        </is>
      </c>
      <c r="N3335" s="31" t="inlineStr">
        <is>
          <t>S5</t>
        </is>
      </c>
      <c r="O3335" s="31" t="inlineStr">
        <is>
          <t>9324M68G02</t>
        </is>
      </c>
      <c r="P3335" s="31" t="inlineStr">
        <is>
          <t>SR Technics Switzerland</t>
        </is>
      </c>
    </row>
    <row r="3336">
      <c r="B3336" s="31" t="inlineStr">
        <is>
          <t>CFM56-7B</t>
        </is>
      </c>
      <c r="C3336" s="31" t="inlineStr">
        <is>
          <t>2025-2026</t>
        </is>
      </c>
      <c r="D3336" s="31" t="inlineStr">
        <is>
          <t>668720</t>
        </is>
      </c>
      <c r="E3336" s="31" t="inlineStr">
        <is>
          <t>72-XX-XX</t>
        </is>
      </c>
      <c r="F3336" s="31" t="inlineStr">
        <is>
          <t>Q</t>
        </is>
      </c>
      <c r="G3336" s="31" t="inlineStr">
        <is>
          <t>Other / assembly</t>
        </is>
      </c>
      <c r="H3336" s="27" t="n">
        <v>530</v>
      </c>
      <c r="I3336" s="27" t="n">
        <v>565</v>
      </c>
      <c r="J3336" s="154">
        <f>I3336/H3336-1</f>
        <v/>
      </c>
      <c r="K3336" s="31" t="inlineStr">
        <is>
          <t>28</t>
        </is>
      </c>
      <c r="L3336" s="31" t="inlineStr">
        <is>
          <t>27</t>
        </is>
      </c>
      <c r="M3336" s="31" t="inlineStr">
        <is>
          <t>S3</t>
        </is>
      </c>
      <c r="N3336" s="31" t="inlineStr">
        <is>
          <t>S5</t>
        </is>
      </c>
      <c r="O3336" s="31" t="inlineStr">
        <is>
          <t>9324M68G02</t>
        </is>
      </c>
      <c r="P3336" s="31" t="inlineStr">
        <is>
          <t>SR Technics Switzerland</t>
        </is>
      </c>
    </row>
    <row r="3337">
      <c r="B3337" s="31" t="inlineStr">
        <is>
          <t>CFM56-7B</t>
        </is>
      </c>
      <c r="C3337" s="31" t="inlineStr">
        <is>
          <t>2025-2026</t>
        </is>
      </c>
      <c r="D3337" s="31" t="inlineStr">
        <is>
          <t>668720</t>
        </is>
      </c>
      <c r="E3337" s="31" t="inlineStr">
        <is>
          <t>72-XX-XX</t>
        </is>
      </c>
      <c r="F3337" s="31" t="inlineStr">
        <is>
          <t>S</t>
        </is>
      </c>
      <c r="G3337" s="31" t="inlineStr">
        <is>
          <t>Other / assembly</t>
        </is>
      </c>
      <c r="H3337" s="27" t="n">
        <v>530</v>
      </c>
      <c r="I3337" s="27" t="n">
        <v>565</v>
      </c>
      <c r="J3337" s="154">
        <f>I3337/H3337-1</f>
        <v/>
      </c>
      <c r="K3337" s="31" t="inlineStr">
        <is>
          <t>28</t>
        </is>
      </c>
      <c r="L3337" s="31" t="inlineStr">
        <is>
          <t>27</t>
        </is>
      </c>
      <c r="M3337" s="31" t="inlineStr">
        <is>
          <t>S3</t>
        </is>
      </c>
      <c r="N3337" s="31" t="inlineStr">
        <is>
          <t>S5</t>
        </is>
      </c>
      <c r="O3337" s="31" t="inlineStr">
        <is>
          <t>9324M68G02</t>
        </is>
      </c>
      <c r="P3337" s="31" t="inlineStr">
        <is>
          <t>SR Technics Switzerland</t>
        </is>
      </c>
    </row>
    <row r="3338">
      <c r="B3338" s="31" t="inlineStr">
        <is>
          <t>CFM56-7B</t>
        </is>
      </c>
      <c r="C3338" s="31" t="inlineStr">
        <is>
          <t>2025-2026</t>
        </is>
      </c>
      <c r="D3338" s="31" t="inlineStr">
        <is>
          <t>668918</t>
        </is>
      </c>
      <c r="E3338" s="31" t="inlineStr">
        <is>
          <t>72-23-03</t>
        </is>
      </c>
      <c r="F3338" s="31" t="inlineStr">
        <is>
          <t>A</t>
        </is>
      </c>
      <c r="G3338" s="31" t="inlineStr">
        <is>
          <t>Fan / booster</t>
        </is>
      </c>
      <c r="H3338" s="27" t="n">
        <v>100</v>
      </c>
      <c r="I3338" s="27" t="n">
        <v>105</v>
      </c>
      <c r="J3338" s="154">
        <f>I3338/H3338-1</f>
        <v/>
      </c>
      <c r="K3338" s="31" t="inlineStr">
        <is>
          <t>28</t>
        </is>
      </c>
      <c r="L3338" s="31" t="inlineStr">
        <is>
          <t>27</t>
        </is>
      </c>
      <c r="M3338" s="31" t="inlineStr">
        <is>
          <t>S3</t>
        </is>
      </c>
      <c r="N3338" s="31" t="inlineStr">
        <is>
          <t>S5</t>
        </is>
      </c>
      <c r="O3338" s="31" t="inlineStr">
        <is>
          <t>340-002-305-0</t>
        </is>
      </c>
      <c r="P3338" s="31" t="inlineStr">
        <is>
          <t>SRTAS</t>
        </is>
      </c>
    </row>
    <row r="3339">
      <c r="B3339" s="31" t="inlineStr">
        <is>
          <t>CFM56-7B</t>
        </is>
      </c>
      <c r="C3339" s="31" t="inlineStr">
        <is>
          <t>2025-2026</t>
        </is>
      </c>
      <c r="D3339" s="31" t="inlineStr">
        <is>
          <t>668928</t>
        </is>
      </c>
      <c r="E3339" s="31" t="inlineStr">
        <is>
          <t>72-XX-XX</t>
        </is>
      </c>
      <c r="F3339" s="31" t="inlineStr">
        <is>
          <t>A</t>
        </is>
      </c>
      <c r="G3339" s="31" t="inlineStr">
        <is>
          <t>Other / assembly</t>
        </is>
      </c>
      <c r="H3339" s="27" t="n">
        <v>3710</v>
      </c>
      <c r="I3339" s="27" t="n">
        <v>3900</v>
      </c>
      <c r="J3339" s="154">
        <f>I3339/H3339-1</f>
        <v/>
      </c>
      <c r="K3339" s="31" t="inlineStr">
        <is>
          <t>28</t>
        </is>
      </c>
      <c r="L3339" s="31" t="inlineStr">
        <is>
          <t>27</t>
        </is>
      </c>
      <c r="M3339" s="31" t="inlineStr">
        <is>
          <t>S3</t>
        </is>
      </c>
      <c r="N3339" s="31" t="inlineStr">
        <is>
          <t>S5</t>
        </is>
      </c>
      <c r="O3339" s="31" t="inlineStr">
        <is>
          <t>9324M61G02</t>
        </is>
      </c>
      <c r="P3339" s="31" t="inlineStr">
        <is>
          <t>SR Technics Switzerland</t>
        </is>
      </c>
    </row>
    <row r="3340">
      <c r="B3340" s="31" t="inlineStr">
        <is>
          <t>CFM56-7B</t>
        </is>
      </c>
      <c r="C3340" s="31" t="inlineStr">
        <is>
          <t>2025-2026</t>
        </is>
      </c>
      <c r="D3340" s="31" t="inlineStr">
        <is>
          <t>668928</t>
        </is>
      </c>
      <c r="E3340" s="31" t="inlineStr">
        <is>
          <t>72-XX-XX</t>
        </is>
      </c>
      <c r="F3340" s="31" t="inlineStr">
        <is>
          <t>B</t>
        </is>
      </c>
      <c r="G3340" s="31" t="inlineStr">
        <is>
          <t>Other / assembly</t>
        </is>
      </c>
      <c r="H3340" s="27" t="n">
        <v>290</v>
      </c>
      <c r="I3340" s="27" t="n">
        <v>310</v>
      </c>
      <c r="J3340" s="154">
        <f>I3340/H3340-1</f>
        <v/>
      </c>
      <c r="K3340" s="31" t="inlineStr">
        <is>
          <t>28</t>
        </is>
      </c>
      <c r="L3340" s="31" t="inlineStr">
        <is>
          <t>27</t>
        </is>
      </c>
      <c r="M3340" s="31" t="inlineStr">
        <is>
          <t>S3</t>
        </is>
      </c>
      <c r="N3340" s="31" t="inlineStr">
        <is>
          <t>S5</t>
        </is>
      </c>
      <c r="O3340" s="31" t="inlineStr">
        <is>
          <t>9324M61G02</t>
        </is>
      </c>
      <c r="P3340" s="31" t="inlineStr">
        <is>
          <t>SR Technics Switzerland</t>
        </is>
      </c>
    </row>
    <row r="3341">
      <c r="B3341" s="31" t="inlineStr">
        <is>
          <t>CFM56-7B</t>
        </is>
      </c>
      <c r="C3341" s="31" t="inlineStr">
        <is>
          <t>2025-2026</t>
        </is>
      </c>
      <c r="D3341" s="31" t="inlineStr">
        <is>
          <t>671086</t>
        </is>
      </c>
      <c r="E3341" s="31" t="inlineStr">
        <is>
          <t>72-09-04</t>
        </is>
      </c>
      <c r="F3341" s="31" t="inlineStr">
        <is>
          <t>B</t>
        </is>
      </c>
      <c r="G3341" s="31" t="inlineStr">
        <is>
          <t>Other / assembly</t>
        </is>
      </c>
      <c r="H3341" s="27" t="n">
        <v>200</v>
      </c>
      <c r="I3341" s="27" t="n">
        <v>215</v>
      </c>
      <c r="J3341" s="154">
        <f>I3341/H3341-1</f>
        <v/>
      </c>
      <c r="K3341" s="31" t="inlineStr">
        <is>
          <t>77</t>
        </is>
      </c>
      <c r="L3341" s="31" t="inlineStr">
        <is>
          <t>77</t>
        </is>
      </c>
      <c r="M3341" s="31" t="inlineStr">
        <is>
          <t>S3</t>
        </is>
      </c>
      <c r="N3341" s="31" t="inlineStr">
        <is>
          <t>S5</t>
        </is>
      </c>
      <c r="O3341" s="31" t="inlineStr">
        <is>
          <t>336-482-301-0</t>
        </is>
      </c>
      <c r="P3341" s="31" t="inlineStr">
        <is>
          <t>SR Technics Switzerland</t>
        </is>
      </c>
    </row>
    <row r="3342">
      <c r="B3342" s="31" t="inlineStr">
        <is>
          <t>CFM56-7B</t>
        </is>
      </c>
      <c r="C3342" s="31" t="inlineStr">
        <is>
          <t>2025-2026</t>
        </is>
      </c>
      <c r="D3342" s="31" t="inlineStr">
        <is>
          <t>671086</t>
        </is>
      </c>
      <c r="E3342" s="31" t="inlineStr">
        <is>
          <t>72-09-04</t>
        </is>
      </c>
      <c r="F3342" s="31" t="inlineStr">
        <is>
          <t>C</t>
        </is>
      </c>
      <c r="G3342" s="31" t="inlineStr">
        <is>
          <t>Other / assembly</t>
        </is>
      </c>
      <c r="H3342" s="27" t="n">
        <v>85</v>
      </c>
      <c r="I3342" s="27" t="n">
        <v>95</v>
      </c>
      <c r="J3342" s="154">
        <f>I3342/H3342-1</f>
        <v/>
      </c>
      <c r="K3342" s="31" t="inlineStr">
        <is>
          <t>77</t>
        </is>
      </c>
      <c r="L3342" s="31" t="inlineStr">
        <is>
          <t>77</t>
        </is>
      </c>
      <c r="M3342" s="31" t="inlineStr">
        <is>
          <t>S3</t>
        </is>
      </c>
      <c r="N3342" s="31" t="inlineStr">
        <is>
          <t>S5</t>
        </is>
      </c>
      <c r="O3342" s="31" t="inlineStr">
        <is>
          <t>336-482-301-0</t>
        </is>
      </c>
      <c r="P3342" s="31" t="inlineStr">
        <is>
          <t>SR Technics Switzerland</t>
        </is>
      </c>
    </row>
    <row r="3343">
      <c r="B3343" s="31" t="inlineStr">
        <is>
          <t>CFM56-7B</t>
        </is>
      </c>
      <c r="C3343" s="31" t="inlineStr">
        <is>
          <t>2025-2026</t>
        </is>
      </c>
      <c r="D3343" s="31" t="inlineStr">
        <is>
          <t>671089</t>
        </is>
      </c>
      <c r="E3343" s="31" t="inlineStr">
        <is>
          <t>72-09-04</t>
        </is>
      </c>
      <c r="F3343" s="31" t="inlineStr">
        <is>
          <t>B</t>
        </is>
      </c>
      <c r="G3343" s="31" t="inlineStr">
        <is>
          <t>Other / assembly</t>
        </is>
      </c>
      <c r="H3343" s="27" t="n">
        <v>75</v>
      </c>
      <c r="I3343" s="27" t="n">
        <v>80</v>
      </c>
      <c r="J3343" s="154">
        <f>I3343/H3343-1</f>
        <v/>
      </c>
      <c r="K3343" s="31" t="inlineStr">
        <is>
          <t>78</t>
        </is>
      </c>
      <c r="L3343" s="31" t="inlineStr">
        <is>
          <t>78</t>
        </is>
      </c>
      <c r="M3343" s="31" t="inlineStr">
        <is>
          <t>S3</t>
        </is>
      </c>
      <c r="N3343" s="31" t="inlineStr">
        <is>
          <t>S5</t>
        </is>
      </c>
      <c r="O3343" s="31" t="inlineStr">
        <is>
          <t>1348M59P01</t>
        </is>
      </c>
      <c r="P3343" s="31" t="inlineStr">
        <is>
          <t>SR Technics Switzerland</t>
        </is>
      </c>
    </row>
    <row r="3344">
      <c r="B3344" s="31" t="inlineStr">
        <is>
          <t>CFM56-7B</t>
        </is>
      </c>
      <c r="C3344" s="31" t="inlineStr">
        <is>
          <t>2025-2026</t>
        </is>
      </c>
      <c r="D3344" s="31" t="inlineStr">
        <is>
          <t>671089</t>
        </is>
      </c>
      <c r="E3344" s="31" t="inlineStr">
        <is>
          <t>72-09-04</t>
        </is>
      </c>
      <c r="F3344" s="31" t="inlineStr">
        <is>
          <t>C</t>
        </is>
      </c>
      <c r="G3344" s="31" t="inlineStr">
        <is>
          <t>Other / assembly</t>
        </is>
      </c>
      <c r="H3344" s="27" t="n">
        <v>195</v>
      </c>
      <c r="I3344" s="27" t="n">
        <v>210</v>
      </c>
      <c r="J3344" s="154">
        <f>I3344/H3344-1</f>
        <v/>
      </c>
      <c r="K3344" s="31" t="inlineStr">
        <is>
          <t>78</t>
        </is>
      </c>
      <c r="L3344" s="31" t="inlineStr">
        <is>
          <t>78</t>
        </is>
      </c>
      <c r="M3344" s="31" t="inlineStr">
        <is>
          <t>S3</t>
        </is>
      </c>
      <c r="N3344" s="31" t="inlineStr">
        <is>
          <t>S5</t>
        </is>
      </c>
      <c r="O3344" s="31" t="inlineStr">
        <is>
          <t>1348M59P01</t>
        </is>
      </c>
      <c r="P3344" s="31" t="inlineStr">
        <is>
          <t>SR Technics Switzerland</t>
        </is>
      </c>
    </row>
    <row r="3345">
      <c r="B3345" s="31" t="inlineStr">
        <is>
          <t>CFM56-7B</t>
        </is>
      </c>
      <c r="C3345" s="31" t="inlineStr">
        <is>
          <t>2025-2026</t>
        </is>
      </c>
      <c r="D3345" s="31" t="inlineStr">
        <is>
          <t>671089</t>
        </is>
      </c>
      <c r="E3345" s="31" t="inlineStr">
        <is>
          <t>72-09-04</t>
        </is>
      </c>
      <c r="F3345" s="31" t="inlineStr">
        <is>
          <t>D</t>
        </is>
      </c>
      <c r="G3345" s="31" t="inlineStr">
        <is>
          <t>Other / assembly</t>
        </is>
      </c>
      <c r="H3345" s="27" t="n">
        <v>170</v>
      </c>
      <c r="I3345" s="27" t="n">
        <v>185</v>
      </c>
      <c r="J3345" s="154">
        <f>I3345/H3345-1</f>
        <v/>
      </c>
      <c r="K3345" s="31" t="inlineStr">
        <is>
          <t>78</t>
        </is>
      </c>
      <c r="L3345" s="31" t="inlineStr">
        <is>
          <t>78</t>
        </is>
      </c>
      <c r="M3345" s="31" t="inlineStr">
        <is>
          <t>S3</t>
        </is>
      </c>
      <c r="N3345" s="31" t="inlineStr">
        <is>
          <t>S5</t>
        </is>
      </c>
      <c r="O3345" s="31" t="inlineStr">
        <is>
          <t>1348M59P01</t>
        </is>
      </c>
      <c r="P3345" s="31" t="inlineStr">
        <is>
          <t>SR Technics Switzerland</t>
        </is>
      </c>
    </row>
    <row r="3346">
      <c r="B3346" s="31" t="inlineStr">
        <is>
          <t>CFM56-7B</t>
        </is>
      </c>
      <c r="C3346" s="31" t="inlineStr">
        <is>
          <t>2025-2026</t>
        </is>
      </c>
      <c r="D3346" s="31" t="inlineStr">
        <is>
          <t>671089</t>
        </is>
      </c>
      <c r="E3346" s="31" t="inlineStr">
        <is>
          <t>72-09-04</t>
        </is>
      </c>
      <c r="F3346" s="31" t="inlineStr">
        <is>
          <t>E</t>
        </is>
      </c>
      <c r="G3346" s="31" t="inlineStr">
        <is>
          <t>Other / assembly</t>
        </is>
      </c>
      <c r="H3346" s="27" t="n">
        <v>250</v>
      </c>
      <c r="I3346" s="27" t="n">
        <v>265</v>
      </c>
      <c r="J3346" s="154">
        <f>I3346/H3346-1</f>
        <v/>
      </c>
      <c r="K3346" s="31" t="inlineStr">
        <is>
          <t>78</t>
        </is>
      </c>
      <c r="L3346" s="31" t="inlineStr">
        <is>
          <t>78</t>
        </is>
      </c>
      <c r="M3346" s="31" t="inlineStr">
        <is>
          <t>S3</t>
        </is>
      </c>
      <c r="N3346" s="31" t="inlineStr">
        <is>
          <t>S5</t>
        </is>
      </c>
      <c r="O3346" s="31" t="inlineStr">
        <is>
          <t>1348M59P01</t>
        </is>
      </c>
      <c r="P3346" s="31" t="inlineStr">
        <is>
          <t>SR Technics Switzerland</t>
        </is>
      </c>
    </row>
    <row r="3347">
      <c r="B3347" s="31" t="inlineStr">
        <is>
          <t>CFM56-7B</t>
        </is>
      </c>
      <c r="C3347" s="31" t="inlineStr">
        <is>
          <t>2025-2026</t>
        </is>
      </c>
      <c r="D3347" s="31" t="inlineStr">
        <is>
          <t>671089</t>
        </is>
      </c>
      <c r="E3347" s="31" t="inlineStr">
        <is>
          <t>72-09-04</t>
        </is>
      </c>
      <c r="F3347" s="31" t="inlineStr">
        <is>
          <t>G</t>
        </is>
      </c>
      <c r="G3347" s="31" t="inlineStr">
        <is>
          <t>Other / assembly</t>
        </is>
      </c>
      <c r="H3347" s="27" t="n">
        <v>75</v>
      </c>
      <c r="I3347" s="27" t="n">
        <v>80</v>
      </c>
      <c r="J3347" s="154">
        <f>I3347/H3347-1</f>
        <v/>
      </c>
      <c r="K3347" s="31" t="inlineStr">
        <is>
          <t>78</t>
        </is>
      </c>
      <c r="L3347" s="31" t="inlineStr">
        <is>
          <t>78</t>
        </is>
      </c>
      <c r="M3347" s="31" t="inlineStr">
        <is>
          <t>S3</t>
        </is>
      </c>
      <c r="N3347" s="31" t="inlineStr">
        <is>
          <t>S5</t>
        </is>
      </c>
      <c r="O3347" s="31" t="inlineStr">
        <is>
          <t>1348M59P01</t>
        </is>
      </c>
      <c r="P3347" s="31" t="inlineStr">
        <is>
          <t>SR Technics Switzerland</t>
        </is>
      </c>
    </row>
    <row r="3348">
      <c r="B3348" s="31" t="inlineStr">
        <is>
          <t>CFM56-7B</t>
        </is>
      </c>
      <c r="C3348" s="31" t="inlineStr">
        <is>
          <t>2025-2026</t>
        </is>
      </c>
      <c r="D3348" s="31" t="inlineStr">
        <is>
          <t>671095</t>
        </is>
      </c>
      <c r="E3348" s="31" t="inlineStr">
        <is>
          <t>72-09-04</t>
        </is>
      </c>
      <c r="F3348" s="31" t="inlineStr">
        <is>
          <t>B</t>
        </is>
      </c>
      <c r="G3348" s="31" t="inlineStr">
        <is>
          <t>Other / assembly</t>
        </is>
      </c>
      <c r="H3348" s="27" t="n">
        <v>80</v>
      </c>
      <c r="I3348" s="27" t="n">
        <v>85</v>
      </c>
      <c r="J3348" s="154">
        <f>I3348/H3348-1</f>
        <v/>
      </c>
      <c r="K3348" s="31" t="inlineStr">
        <is>
          <t>81</t>
        </is>
      </c>
      <c r="L3348" s="31" t="inlineStr">
        <is>
          <t>80</t>
        </is>
      </c>
      <c r="M3348" s="31" t="inlineStr">
        <is>
          <t>S3</t>
        </is>
      </c>
      <c r="N3348" s="31" t="inlineStr">
        <is>
          <t>S5</t>
        </is>
      </c>
      <c r="O3348" s="31" t="inlineStr">
        <is>
          <t>301-534-311-0</t>
        </is>
      </c>
      <c r="P3348" s="31" t="inlineStr">
        <is>
          <t>SR Technics Switzerland</t>
        </is>
      </c>
    </row>
    <row r="3349">
      <c r="B3349" s="31" t="inlineStr">
        <is>
          <t>CFM56-7B</t>
        </is>
      </c>
      <c r="C3349" s="31" t="inlineStr">
        <is>
          <t>2025-2026</t>
        </is>
      </c>
      <c r="D3349" s="31" t="inlineStr">
        <is>
          <t>671095</t>
        </is>
      </c>
      <c r="E3349" s="31" t="inlineStr">
        <is>
          <t>72-09-04</t>
        </is>
      </c>
      <c r="F3349" s="31" t="inlineStr">
        <is>
          <t>C</t>
        </is>
      </c>
      <c r="G3349" s="31" t="inlineStr">
        <is>
          <t>Other / assembly</t>
        </is>
      </c>
      <c r="H3349" s="27" t="n">
        <v>80</v>
      </c>
      <c r="I3349" s="27" t="n">
        <v>85</v>
      </c>
      <c r="J3349" s="154">
        <f>I3349/H3349-1</f>
        <v/>
      </c>
      <c r="K3349" s="31" t="inlineStr">
        <is>
          <t>81</t>
        </is>
      </c>
      <c r="L3349" s="31" t="inlineStr">
        <is>
          <t>80</t>
        </is>
      </c>
      <c r="M3349" s="31" t="inlineStr">
        <is>
          <t>S3</t>
        </is>
      </c>
      <c r="N3349" s="31" t="inlineStr">
        <is>
          <t>S5</t>
        </is>
      </c>
      <c r="O3349" s="31" t="inlineStr">
        <is>
          <t>301-534-311-0</t>
        </is>
      </c>
      <c r="P3349" s="31" t="inlineStr">
        <is>
          <t>SR Technics Switzerland</t>
        </is>
      </c>
    </row>
    <row r="3350">
      <c r="B3350" s="31" t="inlineStr">
        <is>
          <t>CFM56-7B</t>
        </is>
      </c>
      <c r="C3350" s="31" t="inlineStr">
        <is>
          <t>2025-2026</t>
        </is>
      </c>
      <c r="D3350" s="31" t="inlineStr">
        <is>
          <t>672453</t>
        </is>
      </c>
      <c r="E3350" s="31" t="inlineStr">
        <is>
          <t>72-09-04</t>
        </is>
      </c>
      <c r="F3350" s="31" t="inlineStr">
        <is>
          <t>A</t>
        </is>
      </c>
      <c r="G3350" s="31" t="inlineStr">
        <is>
          <t>Other / assembly</t>
        </is>
      </c>
      <c r="H3350" s="27" t="n">
        <v>100</v>
      </c>
      <c r="I3350" s="27" t="n">
        <v>105</v>
      </c>
      <c r="J3350" s="154">
        <f>I3350/H3350-1</f>
        <v/>
      </c>
      <c r="K3350" s="31" t="inlineStr">
        <is>
          <t>81</t>
        </is>
      </c>
      <c r="L3350" s="31" t="inlineStr">
        <is>
          <t>80</t>
        </is>
      </c>
      <c r="M3350" s="31" t="inlineStr">
        <is>
          <t>S3</t>
        </is>
      </c>
      <c r="N3350" s="31" t="inlineStr">
        <is>
          <t>S5</t>
        </is>
      </c>
      <c r="O3350" s="31" t="inlineStr">
        <is>
          <t>1870M26P01</t>
        </is>
      </c>
      <c r="P3350" s="31" t="inlineStr">
        <is>
          <t>SR Technics Switzerland</t>
        </is>
      </c>
    </row>
    <row r="3351">
      <c r="B3351" s="31" t="inlineStr">
        <is>
          <t>CFM56-7B</t>
        </is>
      </c>
      <c r="C3351" s="31" t="inlineStr">
        <is>
          <t>2025-2026</t>
        </is>
      </c>
      <c r="D3351" s="31" t="inlineStr">
        <is>
          <t>672596</t>
        </is>
      </c>
      <c r="E3351" s="31" t="inlineStr">
        <is>
          <t>72-31-07</t>
        </is>
      </c>
      <c r="F3351" s="31" t="inlineStr">
        <is>
          <t>A</t>
        </is>
      </c>
      <c r="G3351" s="31" t="inlineStr">
        <is>
          <t>Compressor</t>
        </is>
      </c>
      <c r="H3351" s="27" t="n">
        <v>965</v>
      </c>
      <c r="I3351" s="27" t="n">
        <v>1015</v>
      </c>
      <c r="J3351" s="154">
        <f>I3351/H3351-1</f>
        <v/>
      </c>
      <c r="K3351" s="31" t="inlineStr">
        <is>
          <t>28</t>
        </is>
      </c>
      <c r="L3351" s="31" t="inlineStr">
        <is>
          <t>27</t>
        </is>
      </c>
      <c r="M3351" s="31" t="inlineStr">
        <is>
          <t>S3</t>
        </is>
      </c>
      <c r="N3351" s="31" t="inlineStr">
        <is>
          <t>S5</t>
        </is>
      </c>
      <c r="O3351" s="31" t="inlineStr">
        <is>
          <t>1386M56P02</t>
        </is>
      </c>
      <c r="P3351" s="31" t="inlineStr">
        <is>
          <t>SR Technics Switzerland</t>
        </is>
      </c>
    </row>
    <row r="3352">
      <c r="B3352" s="31" t="inlineStr">
        <is>
          <t>CFM56-7B</t>
        </is>
      </c>
      <c r="C3352" s="31" t="inlineStr">
        <is>
          <t>2025-2026</t>
        </is>
      </c>
      <c r="D3352" s="31" t="inlineStr">
        <is>
          <t>672596</t>
        </is>
      </c>
      <c r="E3352" s="31" t="inlineStr">
        <is>
          <t>72-31-07</t>
        </is>
      </c>
      <c r="F3352" s="31" t="inlineStr">
        <is>
          <t>B</t>
        </is>
      </c>
      <c r="G3352" s="31" t="inlineStr">
        <is>
          <t>Compressor</t>
        </is>
      </c>
      <c r="H3352" s="27" t="n">
        <v>1610</v>
      </c>
      <c r="I3352" s="27" t="n">
        <v>1710</v>
      </c>
      <c r="J3352" s="154">
        <f>I3352/H3352-1</f>
        <v/>
      </c>
      <c r="K3352" s="31" t="inlineStr">
        <is>
          <t>28</t>
        </is>
      </c>
      <c r="L3352" s="31" t="inlineStr">
        <is>
          <t>27</t>
        </is>
      </c>
      <c r="M3352" s="31" t="inlineStr">
        <is>
          <t>S3</t>
        </is>
      </c>
      <c r="N3352" s="31" t="inlineStr">
        <is>
          <t>S5</t>
        </is>
      </c>
      <c r="O3352" s="31" t="inlineStr">
        <is>
          <t>1386M56P02</t>
        </is>
      </c>
      <c r="P3352" s="31" t="inlineStr">
        <is>
          <t>SR Technics Switzerland</t>
        </is>
      </c>
    </row>
    <row r="3353">
      <c r="B3353" s="31" t="inlineStr">
        <is>
          <t>CFM56-7B</t>
        </is>
      </c>
      <c r="C3353" s="31" t="inlineStr">
        <is>
          <t>2025-2026</t>
        </is>
      </c>
      <c r="D3353" s="31" t="inlineStr">
        <is>
          <t>672596</t>
        </is>
      </c>
      <c r="E3353" s="31" t="inlineStr">
        <is>
          <t>72-31-07</t>
        </is>
      </c>
      <c r="F3353" s="31" t="inlineStr">
        <is>
          <t>E</t>
        </is>
      </c>
      <c r="G3353" s="31" t="inlineStr">
        <is>
          <t>Compressor</t>
        </is>
      </c>
      <c r="H3353" s="27" t="n">
        <v>3335</v>
      </c>
      <c r="I3353" s="27" t="n">
        <v>3540</v>
      </c>
      <c r="J3353" s="154">
        <f>I3353/H3353-1</f>
        <v/>
      </c>
      <c r="K3353" s="31" t="inlineStr">
        <is>
          <t>28</t>
        </is>
      </c>
      <c r="L3353" s="31" t="inlineStr">
        <is>
          <t>27</t>
        </is>
      </c>
      <c r="M3353" s="31" t="inlineStr">
        <is>
          <t>S3</t>
        </is>
      </c>
      <c r="N3353" s="31" t="inlineStr">
        <is>
          <t>S5</t>
        </is>
      </c>
      <c r="O3353" s="31" t="inlineStr">
        <is>
          <t>1386M56P02</t>
        </is>
      </c>
      <c r="P3353" s="31" t="inlineStr">
        <is>
          <t>SR Technics Switzerland</t>
        </is>
      </c>
    </row>
    <row r="3354">
      <c r="B3354" s="31" t="inlineStr">
        <is>
          <t>CFM56-7B</t>
        </is>
      </c>
      <c r="C3354" s="31" t="inlineStr">
        <is>
          <t>2025-2026</t>
        </is>
      </c>
      <c r="D3354" s="31" t="inlineStr">
        <is>
          <t>672596</t>
        </is>
      </c>
      <c r="E3354" s="31" t="inlineStr">
        <is>
          <t>72-31-07</t>
        </is>
      </c>
      <c r="F3354" s="31" t="inlineStr">
        <is>
          <t>F</t>
        </is>
      </c>
      <c r="G3354" s="31" t="inlineStr">
        <is>
          <t>Compressor</t>
        </is>
      </c>
      <c r="H3354" s="27" t="n">
        <v>6130</v>
      </c>
      <c r="I3354" s="27" t="n">
        <v>6500</v>
      </c>
      <c r="J3354" s="154">
        <f>I3354/H3354-1</f>
        <v/>
      </c>
      <c r="K3354" s="31" t="inlineStr">
        <is>
          <t>28</t>
        </is>
      </c>
      <c r="L3354" s="31" t="inlineStr">
        <is>
          <t>27</t>
        </is>
      </c>
      <c r="M3354" s="31" t="inlineStr">
        <is>
          <t>S3</t>
        </is>
      </c>
      <c r="N3354" s="31" t="inlineStr">
        <is>
          <t>S5</t>
        </is>
      </c>
      <c r="O3354" s="31" t="inlineStr">
        <is>
          <t>1386M56P02</t>
        </is>
      </c>
      <c r="P3354" s="31" t="inlineStr">
        <is>
          <t>SR Technics Switzerland</t>
        </is>
      </c>
    </row>
    <row r="3355">
      <c r="B3355" s="31" t="inlineStr">
        <is>
          <t>CFM56-7B</t>
        </is>
      </c>
      <c r="C3355" s="31" t="inlineStr">
        <is>
          <t>2025-2026</t>
        </is>
      </c>
      <c r="D3355" s="31" t="inlineStr">
        <is>
          <t>672596</t>
        </is>
      </c>
      <c r="E3355" s="31" t="inlineStr">
        <is>
          <t>72-31-07</t>
        </is>
      </c>
      <c r="F3355" s="31" t="inlineStr">
        <is>
          <t>G</t>
        </is>
      </c>
      <c r="G3355" s="31" t="inlineStr">
        <is>
          <t>Compressor</t>
        </is>
      </c>
      <c r="H3355" s="27" t="n">
        <v>1745</v>
      </c>
      <c r="I3355" s="27" t="n">
        <v>1850</v>
      </c>
      <c r="J3355" s="154">
        <f>I3355/H3355-1</f>
        <v/>
      </c>
      <c r="K3355" s="31" t="inlineStr">
        <is>
          <t>28</t>
        </is>
      </c>
      <c r="L3355" s="31" t="inlineStr">
        <is>
          <t>27</t>
        </is>
      </c>
      <c r="M3355" s="31" t="inlineStr">
        <is>
          <t>S3</t>
        </is>
      </c>
      <c r="N3355" s="31" t="inlineStr">
        <is>
          <t>S5</t>
        </is>
      </c>
      <c r="O3355" s="31" t="inlineStr">
        <is>
          <t>1386M56P02</t>
        </is>
      </c>
      <c r="P3355" s="31" t="inlineStr">
        <is>
          <t>SR Technics Switzerland</t>
        </is>
      </c>
    </row>
    <row r="3356">
      <c r="B3356" s="31" t="inlineStr">
        <is>
          <t>CFM56-7B</t>
        </is>
      </c>
      <c r="C3356" s="31" t="inlineStr">
        <is>
          <t>2025-2026</t>
        </is>
      </c>
      <c r="D3356" s="31" t="inlineStr">
        <is>
          <t>672596</t>
        </is>
      </c>
      <c r="E3356" s="31" t="inlineStr">
        <is>
          <t>72-31-07</t>
        </is>
      </c>
      <c r="F3356" s="31" t="inlineStr">
        <is>
          <t>SB00</t>
        </is>
      </c>
      <c r="G3356" s="31" t="inlineStr">
        <is>
          <t>Compressor</t>
        </is>
      </c>
      <c r="H3356" s="27" t="n">
        <v>810</v>
      </c>
      <c r="I3356" s="27" t="n">
        <v>860</v>
      </c>
      <c r="J3356" s="154">
        <f>I3356/H3356-1</f>
        <v/>
      </c>
      <c r="K3356" s="31" t="inlineStr">
        <is>
          <t>28</t>
        </is>
      </c>
      <c r="L3356" s="31" t="inlineStr">
        <is>
          <t>27</t>
        </is>
      </c>
      <c r="M3356" s="31" t="inlineStr">
        <is>
          <t>S3</t>
        </is>
      </c>
      <c r="N3356" s="31" t="inlineStr">
        <is>
          <t>S5</t>
        </is>
      </c>
      <c r="O3356" s="31" t="inlineStr">
        <is>
          <t>1386M56P02</t>
        </is>
      </c>
      <c r="P3356" s="31" t="inlineStr">
        <is>
          <t>SR Technics Switzerland</t>
        </is>
      </c>
    </row>
    <row r="3357">
      <c r="B3357" s="31" t="inlineStr">
        <is>
          <t>CFM56-7B</t>
        </is>
      </c>
      <c r="C3357" s="31" t="inlineStr">
        <is>
          <t>2025-2026</t>
        </is>
      </c>
      <c r="D3357" s="31" t="inlineStr">
        <is>
          <t>672596</t>
        </is>
      </c>
      <c r="E3357" s="31" t="inlineStr">
        <is>
          <t>72-31-07</t>
        </is>
      </c>
      <c r="F3357" s="31" t="inlineStr">
        <is>
          <t>SB01</t>
        </is>
      </c>
      <c r="G3357" s="31" t="inlineStr">
        <is>
          <t>Compressor</t>
        </is>
      </c>
      <c r="H3357" s="27" t="n">
        <v>290</v>
      </c>
      <c r="I3357" s="27" t="n">
        <v>310</v>
      </c>
      <c r="J3357" s="154">
        <f>I3357/H3357-1</f>
        <v/>
      </c>
      <c r="K3357" s="31" t="inlineStr">
        <is>
          <t>28</t>
        </is>
      </c>
      <c r="L3357" s="31" t="inlineStr">
        <is>
          <t>27</t>
        </is>
      </c>
      <c r="M3357" s="31" t="inlineStr">
        <is>
          <t>S3</t>
        </is>
      </c>
      <c r="N3357" s="31" t="inlineStr">
        <is>
          <t>S5</t>
        </is>
      </c>
      <c r="O3357" s="31" t="inlineStr">
        <is>
          <t>1386M56P02</t>
        </is>
      </c>
      <c r="P3357" s="31" t="inlineStr">
        <is>
          <t>SR Technics Switzerland</t>
        </is>
      </c>
    </row>
    <row r="3358">
      <c r="B3358" s="31" t="inlineStr">
        <is>
          <t>CFM56-7B</t>
        </is>
      </c>
      <c r="C3358" s="31" t="inlineStr">
        <is>
          <t>2025-2026</t>
        </is>
      </c>
      <c r="D3358" s="31" t="inlineStr">
        <is>
          <t>672775</t>
        </is>
      </c>
      <c r="E3358" s="31" t="inlineStr">
        <is>
          <t>72-41-04</t>
        </is>
      </c>
      <c r="F3358" s="31" t="inlineStr">
        <is>
          <t>B</t>
        </is>
      </c>
      <c r="G3358" s="31" t="inlineStr">
        <is>
          <t>Combustor</t>
        </is>
      </c>
      <c r="H3358" s="27" t="n">
        <v>970</v>
      </c>
      <c r="I3358" s="27" t="n">
        <v>1030</v>
      </c>
      <c r="J3358" s="154">
        <f>I3358/H3358-1</f>
        <v/>
      </c>
      <c r="K3358" s="31" t="inlineStr">
        <is>
          <t>81</t>
        </is>
      </c>
      <c r="L3358" s="31" t="inlineStr">
        <is>
          <t>80</t>
        </is>
      </c>
      <c r="M3358" s="31" t="inlineStr">
        <is>
          <t>S3</t>
        </is>
      </c>
      <c r="N3358" s="31" t="inlineStr">
        <is>
          <t>S5</t>
        </is>
      </c>
      <c r="O3358" s="31" t="inlineStr">
        <is>
          <t>1348M88G05</t>
        </is>
      </c>
      <c r="P3358" s="31" t="inlineStr">
        <is>
          <t>SR Technics Switzerland</t>
        </is>
      </c>
    </row>
    <row r="3359">
      <c r="B3359" s="31" t="inlineStr">
        <is>
          <t>CFM56-7B</t>
        </is>
      </c>
      <c r="C3359" s="31" t="inlineStr">
        <is>
          <t>2025-2026</t>
        </is>
      </c>
      <c r="D3359" s="31" t="inlineStr">
        <is>
          <t>672775</t>
        </is>
      </c>
      <c r="E3359" s="31" t="inlineStr">
        <is>
          <t>72-41-04</t>
        </is>
      </c>
      <c r="F3359" s="31" t="inlineStr">
        <is>
          <t>D</t>
        </is>
      </c>
      <c r="G3359" s="31" t="inlineStr">
        <is>
          <t>Combustor</t>
        </is>
      </c>
      <c r="H3359" s="27" t="n">
        <v>475</v>
      </c>
      <c r="I3359" s="27" t="n">
        <v>505</v>
      </c>
      <c r="J3359" s="154">
        <f>I3359/H3359-1</f>
        <v/>
      </c>
      <c r="K3359" s="31" t="inlineStr">
        <is>
          <t>81</t>
        </is>
      </c>
      <c r="L3359" s="31" t="inlineStr">
        <is>
          <t>80</t>
        </is>
      </c>
      <c r="M3359" s="31" t="inlineStr">
        <is>
          <t>S3</t>
        </is>
      </c>
      <c r="N3359" s="31" t="inlineStr">
        <is>
          <t>S5</t>
        </is>
      </c>
      <c r="O3359" s="31" t="inlineStr">
        <is>
          <t>1348M88G05</t>
        </is>
      </c>
      <c r="P3359" s="31" t="inlineStr">
        <is>
          <t>SR Technics Switzerland</t>
        </is>
      </c>
    </row>
    <row r="3360">
      <c r="B3360" s="31" t="inlineStr">
        <is>
          <t>CFM56-7B</t>
        </is>
      </c>
      <c r="C3360" s="31" t="inlineStr">
        <is>
          <t>2025-2026</t>
        </is>
      </c>
      <c r="D3360" s="31" t="inlineStr">
        <is>
          <t>672775</t>
        </is>
      </c>
      <c r="E3360" s="31" t="inlineStr">
        <is>
          <t>72-41-04</t>
        </is>
      </c>
      <c r="F3360" s="31" t="inlineStr">
        <is>
          <t>E</t>
        </is>
      </c>
      <c r="G3360" s="31" t="inlineStr">
        <is>
          <t>Combustor</t>
        </is>
      </c>
      <c r="H3360" s="27" t="n">
        <v>350</v>
      </c>
      <c r="I3360" s="27" t="n">
        <v>375</v>
      </c>
      <c r="J3360" s="154">
        <f>I3360/H3360-1</f>
        <v/>
      </c>
      <c r="K3360" s="31" t="inlineStr">
        <is>
          <t>81</t>
        </is>
      </c>
      <c r="L3360" s="31" t="inlineStr">
        <is>
          <t>80</t>
        </is>
      </c>
      <c r="M3360" s="31" t="inlineStr">
        <is>
          <t>S3</t>
        </is>
      </c>
      <c r="N3360" s="31" t="inlineStr">
        <is>
          <t>S5</t>
        </is>
      </c>
      <c r="O3360" s="31" t="inlineStr">
        <is>
          <t>1348M88G05</t>
        </is>
      </c>
      <c r="P3360" s="31" t="inlineStr">
        <is>
          <t>SR Technics Switzerland</t>
        </is>
      </c>
    </row>
    <row r="3361">
      <c r="B3361" s="31" t="inlineStr">
        <is>
          <t>CFM56-7B</t>
        </is>
      </c>
      <c r="C3361" s="31" t="inlineStr">
        <is>
          <t>2025-2026</t>
        </is>
      </c>
      <c r="D3361" s="31" t="inlineStr">
        <is>
          <t>672775</t>
        </is>
      </c>
      <c r="E3361" s="31" t="inlineStr">
        <is>
          <t>72-41-04</t>
        </is>
      </c>
      <c r="F3361" s="31" t="inlineStr">
        <is>
          <t>SB01</t>
        </is>
      </c>
      <c r="G3361" s="31" t="inlineStr">
        <is>
          <t>Combustor</t>
        </is>
      </c>
      <c r="H3361" s="27" t="n">
        <v>3375</v>
      </c>
      <c r="I3361" s="27" t="n">
        <v>3580</v>
      </c>
      <c r="J3361" s="154">
        <f>I3361/H3361-1</f>
        <v/>
      </c>
      <c r="K3361" s="31" t="inlineStr">
        <is>
          <t>81</t>
        </is>
      </c>
      <c r="L3361" s="31" t="inlineStr">
        <is>
          <t>80</t>
        </is>
      </c>
      <c r="M3361" s="31" t="inlineStr">
        <is>
          <t>S3</t>
        </is>
      </c>
      <c r="N3361" s="31" t="inlineStr">
        <is>
          <t>S5</t>
        </is>
      </c>
      <c r="O3361" s="31" t="inlineStr">
        <is>
          <t>1348M88G05</t>
        </is>
      </c>
      <c r="P3361" s="31" t="inlineStr">
        <is>
          <t>SR Technics Switzerland</t>
        </is>
      </c>
    </row>
    <row r="3362">
      <c r="B3362" s="31" t="inlineStr">
        <is>
          <t>CFM56-7B</t>
        </is>
      </c>
      <c r="C3362" s="31" t="inlineStr">
        <is>
          <t>2025-2026</t>
        </is>
      </c>
      <c r="D3362" s="31" t="inlineStr">
        <is>
          <t>672783</t>
        </is>
      </c>
      <c r="E3362" s="31" t="inlineStr">
        <is>
          <t>72-09-04</t>
        </is>
      </c>
      <c r="F3362" s="31" t="inlineStr">
        <is>
          <t>B</t>
        </is>
      </c>
      <c r="G3362" s="31" t="inlineStr">
        <is>
          <t>Other / assembly</t>
        </is>
      </c>
      <c r="H3362" s="27" t="n">
        <v>75</v>
      </c>
      <c r="I3362" s="27" t="n">
        <v>80</v>
      </c>
      <c r="J3362" s="154">
        <f>I3362/H3362-1</f>
        <v/>
      </c>
      <c r="K3362" s="31" t="inlineStr">
        <is>
          <t>82</t>
        </is>
      </c>
      <c r="L3362" s="31" t="inlineStr">
        <is>
          <t>81</t>
        </is>
      </c>
      <c r="M3362" s="31" t="inlineStr">
        <is>
          <t>S3</t>
        </is>
      </c>
      <c r="N3362" s="31" t="inlineStr">
        <is>
          <t>S5</t>
        </is>
      </c>
      <c r="O3362" s="31" t="inlineStr">
        <is>
          <t>1871M49G03</t>
        </is>
      </c>
      <c r="P3362" s="31" t="inlineStr">
        <is>
          <t>SR Technics Switzerland</t>
        </is>
      </c>
    </row>
    <row r="3363">
      <c r="B3363" s="31" t="inlineStr">
        <is>
          <t>CFM56-7B</t>
        </is>
      </c>
      <c r="C3363" s="31" t="inlineStr">
        <is>
          <t>2025-2026</t>
        </is>
      </c>
      <c r="D3363" s="31" t="inlineStr">
        <is>
          <t>672783</t>
        </is>
      </c>
      <c r="E3363" s="31" t="inlineStr">
        <is>
          <t>72-09-04</t>
        </is>
      </c>
      <c r="F3363" s="31" t="inlineStr">
        <is>
          <t>C</t>
        </is>
      </c>
      <c r="G3363" s="31" t="inlineStr">
        <is>
          <t>Other / assembly</t>
        </is>
      </c>
      <c r="H3363" s="27" t="n">
        <v>195</v>
      </c>
      <c r="I3363" s="27" t="n">
        <v>210</v>
      </c>
      <c r="J3363" s="154">
        <f>I3363/H3363-1</f>
        <v/>
      </c>
      <c r="K3363" s="31" t="inlineStr">
        <is>
          <t>82</t>
        </is>
      </c>
      <c r="L3363" s="31" t="inlineStr">
        <is>
          <t>81</t>
        </is>
      </c>
      <c r="M3363" s="31" t="inlineStr">
        <is>
          <t>S3</t>
        </is>
      </c>
      <c r="N3363" s="31" t="inlineStr">
        <is>
          <t>S5</t>
        </is>
      </c>
      <c r="O3363" s="31" t="inlineStr">
        <is>
          <t>1871M49G03</t>
        </is>
      </c>
      <c r="P3363" s="31" t="inlineStr">
        <is>
          <t>SR Technics Switzerland</t>
        </is>
      </c>
    </row>
    <row r="3364">
      <c r="B3364" s="31" t="inlineStr">
        <is>
          <t>CFM56-7B</t>
        </is>
      </c>
      <c r="C3364" s="31" t="inlineStr">
        <is>
          <t>2025-2026</t>
        </is>
      </c>
      <c r="D3364" s="31" t="inlineStr">
        <is>
          <t>672788</t>
        </is>
      </c>
      <c r="E3364" s="31" t="inlineStr">
        <is>
          <t>72-09-04</t>
        </is>
      </c>
      <c r="F3364" s="31" t="inlineStr">
        <is>
          <t>B</t>
        </is>
      </c>
      <c r="G3364" s="31" t="inlineStr">
        <is>
          <t>Other / assembly</t>
        </is>
      </c>
      <c r="H3364" s="27" t="n">
        <v>200</v>
      </c>
      <c r="I3364" s="27" t="n">
        <v>215</v>
      </c>
      <c r="J3364" s="154">
        <f>I3364/H3364-1</f>
        <v/>
      </c>
      <c r="K3364" s="31" t="inlineStr">
        <is>
          <t>82</t>
        </is>
      </c>
      <c r="L3364" s="31" t="inlineStr">
        <is>
          <t>82</t>
        </is>
      </c>
      <c r="M3364" s="31" t="inlineStr">
        <is>
          <t>S3</t>
        </is>
      </c>
      <c r="N3364" s="31" t="inlineStr">
        <is>
          <t>S5</t>
        </is>
      </c>
      <c r="O3364" s="31" t="inlineStr">
        <is>
          <t>1443M74G02</t>
        </is>
      </c>
      <c r="P3364" s="31" t="inlineStr">
        <is>
          <t>SR Technics Switzerland</t>
        </is>
      </c>
    </row>
    <row r="3365">
      <c r="B3365" s="31" t="inlineStr">
        <is>
          <t>CFM56-7B</t>
        </is>
      </c>
      <c r="C3365" s="31" t="inlineStr">
        <is>
          <t>2025-2026</t>
        </is>
      </c>
      <c r="D3365" s="31" t="inlineStr">
        <is>
          <t>672788</t>
        </is>
      </c>
      <c r="E3365" s="31" t="inlineStr">
        <is>
          <t>72-09-04</t>
        </is>
      </c>
      <c r="F3365" s="31" t="inlineStr">
        <is>
          <t>C</t>
        </is>
      </c>
      <c r="G3365" s="31" t="inlineStr">
        <is>
          <t>Other / assembly</t>
        </is>
      </c>
      <c r="H3365" s="27" t="n">
        <v>85</v>
      </c>
      <c r="I3365" s="27" t="n">
        <v>95</v>
      </c>
      <c r="J3365" s="154">
        <f>I3365/H3365-1</f>
        <v/>
      </c>
      <c r="K3365" s="31" t="inlineStr">
        <is>
          <t>82</t>
        </is>
      </c>
      <c r="L3365" s="31" t="inlineStr">
        <is>
          <t>82</t>
        </is>
      </c>
      <c r="M3365" s="31" t="inlineStr">
        <is>
          <t>S3</t>
        </is>
      </c>
      <c r="N3365" s="31" t="inlineStr">
        <is>
          <t>S5</t>
        </is>
      </c>
      <c r="O3365" s="31" t="inlineStr">
        <is>
          <t>1443M74G02</t>
        </is>
      </c>
      <c r="P3365" s="31" t="inlineStr">
        <is>
          <t>SR Technics Switzerland</t>
        </is>
      </c>
    </row>
    <row r="3366">
      <c r="B3366" s="31" t="inlineStr">
        <is>
          <t>CFM56-7B</t>
        </is>
      </c>
      <c r="C3366" s="31" t="inlineStr">
        <is>
          <t>2025-2026</t>
        </is>
      </c>
      <c r="D3366" s="31" t="inlineStr">
        <is>
          <t>672788</t>
        </is>
      </c>
      <c r="E3366" s="31" t="inlineStr">
        <is>
          <t>72-09-04</t>
        </is>
      </c>
      <c r="F3366" s="31" t="inlineStr">
        <is>
          <t>SB01</t>
        </is>
      </c>
      <c r="G3366" s="31" t="inlineStr">
        <is>
          <t>Other / assembly</t>
        </is>
      </c>
      <c r="H3366" s="27" t="n">
        <v>100</v>
      </c>
      <c r="I3366" s="27" t="n">
        <v>110</v>
      </c>
      <c r="J3366" s="154">
        <f>I3366/H3366-1</f>
        <v/>
      </c>
      <c r="K3366" s="31" t="inlineStr">
        <is>
          <t>82</t>
        </is>
      </c>
      <c r="L3366" s="31" t="inlineStr">
        <is>
          <t>82</t>
        </is>
      </c>
      <c r="M3366" s="31" t="inlineStr">
        <is>
          <t>S3</t>
        </is>
      </c>
      <c r="N3366" s="31" t="inlineStr">
        <is>
          <t>S5</t>
        </is>
      </c>
      <c r="O3366" s="31" t="inlineStr">
        <is>
          <t>1443M74G02</t>
        </is>
      </c>
      <c r="P3366" s="31" t="inlineStr">
        <is>
          <t>SR Technics Switzerland</t>
        </is>
      </c>
    </row>
    <row r="3367">
      <c r="B3367" s="31" t="inlineStr">
        <is>
          <t>CFM56-7B</t>
        </is>
      </c>
      <c r="C3367" s="31" t="inlineStr">
        <is>
          <t>2025-2026</t>
        </is>
      </c>
      <c r="D3367" s="31" t="inlineStr">
        <is>
          <t>672793</t>
        </is>
      </c>
      <c r="E3367" s="31" t="inlineStr">
        <is>
          <t>72-09-04</t>
        </is>
      </c>
      <c r="F3367" s="31" t="inlineStr">
        <is>
          <t>B</t>
        </is>
      </c>
      <c r="G3367" s="31" t="inlineStr">
        <is>
          <t>Other / assembly</t>
        </is>
      </c>
      <c r="H3367" s="27" t="n">
        <v>80</v>
      </c>
      <c r="I3367" s="27" t="n">
        <v>85</v>
      </c>
      <c r="J3367" s="154">
        <f>I3367/H3367-1</f>
        <v/>
      </c>
      <c r="K3367" s="31" t="inlineStr">
        <is>
          <t>83</t>
        </is>
      </c>
      <c r="L3367" s="31" t="inlineStr">
        <is>
          <t>82</t>
        </is>
      </c>
      <c r="M3367" s="31" t="inlineStr">
        <is>
          <t>S3</t>
        </is>
      </c>
      <c r="N3367" s="31" t="inlineStr">
        <is>
          <t>S5</t>
        </is>
      </c>
      <c r="O3367" s="31" t="inlineStr">
        <is>
          <t>1869M44G01</t>
        </is>
      </c>
      <c r="P3367" s="31" t="inlineStr">
        <is>
          <t>SR Technics Switzerland</t>
        </is>
      </c>
    </row>
    <row r="3368">
      <c r="B3368" s="31" t="inlineStr">
        <is>
          <t>CFM56-7B</t>
        </is>
      </c>
      <c r="C3368" s="31" t="inlineStr">
        <is>
          <t>2025-2026</t>
        </is>
      </c>
      <c r="D3368" s="31" t="inlineStr">
        <is>
          <t>672819</t>
        </is>
      </c>
      <c r="E3368" s="31" t="inlineStr">
        <is>
          <t>72-09-03</t>
        </is>
      </c>
      <c r="F3368" s="31" t="inlineStr">
        <is>
          <t>G</t>
        </is>
      </c>
      <c r="G3368" s="31" t="inlineStr">
        <is>
          <t>Other / assembly</t>
        </is>
      </c>
      <c r="H3368" s="27" t="n">
        <v>1010</v>
      </c>
      <c r="I3368" s="27" t="n">
        <v>1075</v>
      </c>
      <c r="J3368" s="154">
        <f>I3368/H3368-1</f>
        <v/>
      </c>
      <c r="K3368" s="31" t="inlineStr">
        <is>
          <t>84</t>
        </is>
      </c>
      <c r="L3368" s="31" t="inlineStr">
        <is>
          <t>83</t>
        </is>
      </c>
      <c r="M3368" s="31" t="inlineStr">
        <is>
          <t>S3</t>
        </is>
      </c>
      <c r="N3368" s="31" t="inlineStr">
        <is>
          <t>S5</t>
        </is>
      </c>
      <c r="O3368" s="31" t="inlineStr">
        <is>
          <t>1898M65G01</t>
        </is>
      </c>
      <c r="P3368" s="31" t="inlineStr">
        <is>
          <t>SR Technics Switzerland</t>
        </is>
      </c>
    </row>
    <row r="3369">
      <c r="B3369" s="31" t="inlineStr">
        <is>
          <t>CFM56-7B</t>
        </is>
      </c>
      <c r="C3369" s="31" t="inlineStr">
        <is>
          <t>2025-2026</t>
        </is>
      </c>
      <c r="D3369" s="31" t="inlineStr">
        <is>
          <t>672820</t>
        </is>
      </c>
      <c r="E3369" s="31" t="inlineStr">
        <is>
          <t>72-09-03</t>
        </is>
      </c>
      <c r="F3369" s="31" t="inlineStr">
        <is>
          <t>G</t>
        </is>
      </c>
      <c r="G3369" s="31" t="inlineStr">
        <is>
          <t>Other / assembly</t>
        </is>
      </c>
      <c r="H3369" s="27" t="n">
        <v>1010</v>
      </c>
      <c r="I3369" s="27" t="n">
        <v>1075</v>
      </c>
      <c r="J3369" s="154">
        <f>I3369/H3369-1</f>
        <v/>
      </c>
      <c r="K3369" s="31" t="inlineStr">
        <is>
          <t>84</t>
        </is>
      </c>
      <c r="L3369" s="31" t="inlineStr">
        <is>
          <t>83</t>
        </is>
      </c>
      <c r="M3369" s="31" t="inlineStr">
        <is>
          <t>S3</t>
        </is>
      </c>
      <c r="N3369" s="31" t="inlineStr">
        <is>
          <t>S5</t>
        </is>
      </c>
      <c r="O3369" s="31" t="inlineStr">
        <is>
          <t>337-036-917-0</t>
        </is>
      </c>
      <c r="P3369" s="31" t="inlineStr">
        <is>
          <t>SR Technics Switzerland</t>
        </is>
      </c>
    </row>
    <row r="3370">
      <c r="B3370" s="31" t="inlineStr">
        <is>
          <t>CFM56-7B</t>
        </is>
      </c>
      <c r="C3370" s="31" t="inlineStr">
        <is>
          <t>2025-2026</t>
        </is>
      </c>
      <c r="D3370" s="31" t="inlineStr">
        <is>
          <t>672822</t>
        </is>
      </c>
      <c r="E3370" s="31" t="inlineStr">
        <is>
          <t>72-09-03</t>
        </is>
      </c>
      <c r="F3370" s="31" t="inlineStr">
        <is>
          <t>G</t>
        </is>
      </c>
      <c r="G3370" s="31" t="inlineStr">
        <is>
          <t>Other / assembly</t>
        </is>
      </c>
      <c r="H3370" s="27" t="n">
        <v>640</v>
      </c>
      <c r="I3370" s="27" t="n">
        <v>680</v>
      </c>
      <c r="J3370" s="154">
        <f>I3370/H3370-1</f>
        <v/>
      </c>
      <c r="K3370" s="31" t="inlineStr">
        <is>
          <t>84</t>
        </is>
      </c>
      <c r="L3370" s="31" t="inlineStr">
        <is>
          <t>83</t>
        </is>
      </c>
      <c r="M3370" s="31" t="inlineStr">
        <is>
          <t>S3</t>
        </is>
      </c>
      <c r="N3370" s="31" t="inlineStr">
        <is>
          <t>S5</t>
        </is>
      </c>
      <c r="O3370" s="31" t="inlineStr">
        <is>
          <t>340-026-502-0</t>
        </is>
      </c>
      <c r="P3370" s="31" t="inlineStr">
        <is>
          <t>SR Technics Switzerland</t>
        </is>
      </c>
    </row>
    <row r="3371">
      <c r="B3371" s="31" t="inlineStr">
        <is>
          <t>CFM56-7B</t>
        </is>
      </c>
      <c r="C3371" s="31" t="inlineStr">
        <is>
          <t>2025-2026</t>
        </is>
      </c>
      <c r="D3371" s="31" t="inlineStr">
        <is>
          <t>673759</t>
        </is>
      </c>
      <c r="E3371" s="31" t="inlineStr">
        <is>
          <t>78-11-39</t>
        </is>
      </c>
      <c r="F3371" s="31" t="inlineStr">
        <is>
          <t>B</t>
        </is>
      </c>
      <c r="G3371" s="31" t="inlineStr">
        <is>
          <t>Other / assembly</t>
        </is>
      </c>
      <c r="H3371" s="27" t="n">
        <v>345</v>
      </c>
      <c r="I3371" s="27" t="n">
        <v>370</v>
      </c>
      <c r="J3371" s="154">
        <f>I3371/H3371-1</f>
        <v/>
      </c>
      <c r="K3371" s="31" t="inlineStr">
        <is>
          <t>28</t>
        </is>
      </c>
      <c r="L3371" s="31" t="inlineStr">
        <is>
          <t>27</t>
        </is>
      </c>
      <c r="M3371" s="31" t="inlineStr">
        <is>
          <t>S3</t>
        </is>
      </c>
      <c r="N3371" s="31" t="inlineStr">
        <is>
          <t>S5</t>
        </is>
      </c>
      <c r="O3371" s="31" t="inlineStr">
        <is>
          <t>314A2630-102</t>
        </is>
      </c>
      <c r="P3371" s="31" t="inlineStr">
        <is>
          <t>SR Technics Switzerland</t>
        </is>
      </c>
    </row>
    <row r="3372">
      <c r="B3372" s="31" t="inlineStr">
        <is>
          <t>CFM56-7B</t>
        </is>
      </c>
      <c r="C3372" s="31" t="inlineStr">
        <is>
          <t>2025-2026</t>
        </is>
      </c>
      <c r="D3372" s="31" t="inlineStr">
        <is>
          <t>673759</t>
        </is>
      </c>
      <c r="E3372" s="31" t="inlineStr">
        <is>
          <t>78-11-39</t>
        </is>
      </c>
      <c r="F3372" s="31" t="inlineStr">
        <is>
          <t>C</t>
        </is>
      </c>
      <c r="G3372" s="31" t="inlineStr">
        <is>
          <t>Other / assembly</t>
        </is>
      </c>
      <c r="H3372" s="27" t="n">
        <v>990</v>
      </c>
      <c r="I3372" s="27" t="n">
        <v>1050</v>
      </c>
      <c r="J3372" s="154">
        <f>I3372/H3372-1</f>
        <v/>
      </c>
      <c r="K3372" s="31" t="inlineStr">
        <is>
          <t>28</t>
        </is>
      </c>
      <c r="L3372" s="31" t="inlineStr">
        <is>
          <t>27</t>
        </is>
      </c>
      <c r="M3372" s="31" t="inlineStr">
        <is>
          <t>S3</t>
        </is>
      </c>
      <c r="N3372" s="31" t="inlineStr">
        <is>
          <t>S5</t>
        </is>
      </c>
      <c r="O3372" s="31" t="inlineStr">
        <is>
          <t>314A2630-102</t>
        </is>
      </c>
      <c r="P3372" s="31" t="inlineStr">
        <is>
          <t>SR Technics Switzerland</t>
        </is>
      </c>
    </row>
    <row r="3373">
      <c r="B3373" s="31" t="inlineStr">
        <is>
          <t>CFM56-7B</t>
        </is>
      </c>
      <c r="C3373" s="31" t="inlineStr">
        <is>
          <t>2025-2026</t>
        </is>
      </c>
      <c r="D3373" s="31" t="inlineStr">
        <is>
          <t>673781</t>
        </is>
      </c>
      <c r="E3373" s="31" t="inlineStr">
        <is>
          <t>72-55-06</t>
        </is>
      </c>
      <c r="F3373" s="31" t="inlineStr">
        <is>
          <t>A</t>
        </is>
      </c>
      <c r="G3373" s="31" t="inlineStr">
        <is>
          <t>LPT</t>
        </is>
      </c>
      <c r="H3373" s="27" t="n">
        <v>510</v>
      </c>
      <c r="I3373" s="27" t="n">
        <v>540</v>
      </c>
      <c r="J3373" s="154">
        <f>I3373/H3373-1</f>
        <v/>
      </c>
      <c r="K3373" s="31" t="inlineStr">
        <is>
          <t>28</t>
        </is>
      </c>
      <c r="L3373" s="31" t="inlineStr">
        <is>
          <t>27</t>
        </is>
      </c>
      <c r="M3373" s="31" t="inlineStr">
        <is>
          <t>S3</t>
        </is>
      </c>
      <c r="N3373" s="31" t="inlineStr">
        <is>
          <t>S5</t>
        </is>
      </c>
      <c r="O3373" s="31" t="inlineStr">
        <is>
          <t>301-319-724-0</t>
        </is>
      </c>
      <c r="P3373" s="31" t="inlineStr">
        <is>
          <t>SR Technics Switzerland</t>
        </is>
      </c>
    </row>
    <row r="3374">
      <c r="B3374" s="31" t="inlineStr">
        <is>
          <t>CFM56-7B</t>
        </is>
      </c>
      <c r="C3374" s="31" t="inlineStr">
        <is>
          <t>2025-2026</t>
        </is>
      </c>
      <c r="D3374" s="31" t="inlineStr">
        <is>
          <t>673781</t>
        </is>
      </c>
      <c r="E3374" s="31" t="inlineStr">
        <is>
          <t>72-55-06</t>
        </is>
      </c>
      <c r="F3374" s="31" t="inlineStr">
        <is>
          <t>AN</t>
        </is>
      </c>
      <c r="G3374" s="31" t="inlineStr">
        <is>
          <t>LPT</t>
        </is>
      </c>
      <c r="H3374" s="27" t="n">
        <v>195</v>
      </c>
      <c r="I3374" s="27" t="n">
        <v>210</v>
      </c>
      <c r="J3374" s="154">
        <f>I3374/H3374-1</f>
        <v/>
      </c>
      <c r="K3374" s="31" t="inlineStr">
        <is>
          <t>28</t>
        </is>
      </c>
      <c r="L3374" s="31" t="inlineStr">
        <is>
          <t>27</t>
        </is>
      </c>
      <c r="M3374" s="31" t="inlineStr">
        <is>
          <t>S3</t>
        </is>
      </c>
      <c r="N3374" s="31" t="inlineStr">
        <is>
          <t>S5</t>
        </is>
      </c>
      <c r="O3374" s="31" t="inlineStr">
        <is>
          <t>301-319-724-0</t>
        </is>
      </c>
      <c r="P3374" s="31" t="inlineStr">
        <is>
          <t>SR Technics Switzerland</t>
        </is>
      </c>
    </row>
    <row r="3375">
      <c r="B3375" s="31" t="inlineStr">
        <is>
          <t>CFM56-7B</t>
        </is>
      </c>
      <c r="C3375" s="31" t="inlineStr">
        <is>
          <t>2025-2026</t>
        </is>
      </c>
      <c r="D3375" s="31" t="inlineStr">
        <is>
          <t>673781</t>
        </is>
      </c>
      <c r="E3375" s="31" t="inlineStr">
        <is>
          <t>72-55-06</t>
        </is>
      </c>
      <c r="F3375" s="31" t="inlineStr">
        <is>
          <t>B</t>
        </is>
      </c>
      <c r="G3375" s="31" t="inlineStr">
        <is>
          <t>LPT</t>
        </is>
      </c>
      <c r="H3375" s="27" t="n">
        <v>2060</v>
      </c>
      <c r="I3375" s="27" t="n">
        <v>2185</v>
      </c>
      <c r="J3375" s="154">
        <f>I3375/H3375-1</f>
        <v/>
      </c>
      <c r="K3375" s="31" t="inlineStr">
        <is>
          <t>28</t>
        </is>
      </c>
      <c r="L3375" s="31" t="inlineStr">
        <is>
          <t>27</t>
        </is>
      </c>
      <c r="M3375" s="31" t="inlineStr">
        <is>
          <t>S3</t>
        </is>
      </c>
      <c r="N3375" s="31" t="inlineStr">
        <is>
          <t>S5</t>
        </is>
      </c>
      <c r="O3375" s="31" t="inlineStr">
        <is>
          <t>301-319-724-0</t>
        </is>
      </c>
      <c r="P3375" s="31" t="inlineStr">
        <is>
          <t>SR Technics Switzerland</t>
        </is>
      </c>
    </row>
    <row r="3376">
      <c r="B3376" s="31" t="inlineStr">
        <is>
          <t>CFM56-7B</t>
        </is>
      </c>
      <c r="C3376" s="31" t="inlineStr">
        <is>
          <t>2025-2026</t>
        </is>
      </c>
      <c r="D3376" s="31" t="inlineStr">
        <is>
          <t>673781</t>
        </is>
      </c>
      <c r="E3376" s="31" t="inlineStr">
        <is>
          <t>72-55-06</t>
        </is>
      </c>
      <c r="F3376" s="31" t="inlineStr">
        <is>
          <t>C</t>
        </is>
      </c>
      <c r="G3376" s="31" t="inlineStr">
        <is>
          <t>LPT</t>
        </is>
      </c>
      <c r="H3376" s="27" t="n">
        <v>2590</v>
      </c>
      <c r="I3376" s="27" t="n">
        <v>2750</v>
      </c>
      <c r="J3376" s="154">
        <f>I3376/H3376-1</f>
        <v/>
      </c>
      <c r="K3376" s="31" t="inlineStr">
        <is>
          <t>28</t>
        </is>
      </c>
      <c r="L3376" s="31" t="inlineStr">
        <is>
          <t>27</t>
        </is>
      </c>
      <c r="M3376" s="31" t="inlineStr">
        <is>
          <t>S3</t>
        </is>
      </c>
      <c r="N3376" s="31" t="inlineStr">
        <is>
          <t>S5</t>
        </is>
      </c>
      <c r="O3376" s="31" t="inlineStr">
        <is>
          <t>301-319-724-0</t>
        </is>
      </c>
      <c r="P3376" s="31" t="inlineStr">
        <is>
          <t>SR Technics Switzerland</t>
        </is>
      </c>
    </row>
    <row r="3377">
      <c r="B3377" s="31" t="inlineStr">
        <is>
          <t>CFM56-7B</t>
        </is>
      </c>
      <c r="C3377" s="31" t="inlineStr">
        <is>
          <t>2025-2026</t>
        </is>
      </c>
      <c r="D3377" s="31" t="inlineStr">
        <is>
          <t>673781</t>
        </is>
      </c>
      <c r="E3377" s="31" t="inlineStr">
        <is>
          <t>72-55-06</t>
        </is>
      </c>
      <c r="F3377" s="31" t="inlineStr">
        <is>
          <t>D</t>
        </is>
      </c>
      <c r="G3377" s="31" t="inlineStr">
        <is>
          <t>LPT</t>
        </is>
      </c>
      <c r="H3377" s="27" t="n">
        <v>3600</v>
      </c>
      <c r="I3377" s="27" t="n">
        <v>3820</v>
      </c>
      <c r="J3377" s="154">
        <f>I3377/H3377-1</f>
        <v/>
      </c>
      <c r="K3377" s="31" t="inlineStr">
        <is>
          <t>28</t>
        </is>
      </c>
      <c r="L3377" s="31" t="inlineStr">
        <is>
          <t>27</t>
        </is>
      </c>
      <c r="M3377" s="31" t="inlineStr">
        <is>
          <t>S3</t>
        </is>
      </c>
      <c r="N3377" s="31" t="inlineStr">
        <is>
          <t>S5</t>
        </is>
      </c>
      <c r="O3377" s="31" t="inlineStr">
        <is>
          <t>301-319-724-0</t>
        </is>
      </c>
      <c r="P3377" s="31" t="inlineStr">
        <is>
          <t>SR Technics Switzerland</t>
        </is>
      </c>
    </row>
    <row r="3378">
      <c r="B3378" s="31" t="inlineStr">
        <is>
          <t>CFM56-7B</t>
        </is>
      </c>
      <c r="C3378" s="31" t="inlineStr">
        <is>
          <t>2025-2026</t>
        </is>
      </c>
      <c r="D3378" s="31" t="inlineStr">
        <is>
          <t>673781</t>
        </is>
      </c>
      <c r="E3378" s="31" t="inlineStr">
        <is>
          <t>72-55-06</t>
        </is>
      </c>
      <c r="F3378" s="31" t="inlineStr">
        <is>
          <t>E</t>
        </is>
      </c>
      <c r="G3378" s="31" t="inlineStr">
        <is>
          <t>LPT</t>
        </is>
      </c>
      <c r="H3378" s="27" t="n">
        <v>3875</v>
      </c>
      <c r="I3378" s="27" t="n">
        <v>4110</v>
      </c>
      <c r="J3378" s="154">
        <f>I3378/H3378-1</f>
        <v/>
      </c>
      <c r="K3378" s="31" t="inlineStr">
        <is>
          <t>28</t>
        </is>
      </c>
      <c r="L3378" s="31" t="inlineStr">
        <is>
          <t>27</t>
        </is>
      </c>
      <c r="M3378" s="31" t="inlineStr">
        <is>
          <t>S3</t>
        </is>
      </c>
      <c r="N3378" s="31" t="inlineStr">
        <is>
          <t>S5</t>
        </is>
      </c>
      <c r="O3378" s="31" t="inlineStr">
        <is>
          <t>301-319-724-0</t>
        </is>
      </c>
      <c r="P3378" s="31" t="inlineStr">
        <is>
          <t>SR Technics Switzerland</t>
        </is>
      </c>
    </row>
    <row r="3379">
      <c r="B3379" s="31" t="inlineStr">
        <is>
          <t>CFM56-7B</t>
        </is>
      </c>
      <c r="C3379" s="31" t="inlineStr">
        <is>
          <t>2025-2026</t>
        </is>
      </c>
      <c r="D3379" s="31" t="inlineStr">
        <is>
          <t>673781</t>
        </is>
      </c>
      <c r="E3379" s="31" t="inlineStr">
        <is>
          <t>72-55-06</t>
        </is>
      </c>
      <c r="F3379" s="31" t="inlineStr">
        <is>
          <t>F</t>
        </is>
      </c>
      <c r="G3379" s="31" t="inlineStr">
        <is>
          <t>LPT</t>
        </is>
      </c>
      <c r="H3379" s="27" t="n">
        <v>2720</v>
      </c>
      <c r="I3379" s="27" t="n">
        <v>2885</v>
      </c>
      <c r="J3379" s="154">
        <f>I3379/H3379-1</f>
        <v/>
      </c>
      <c r="K3379" s="31" t="inlineStr">
        <is>
          <t>28</t>
        </is>
      </c>
      <c r="L3379" s="31" t="inlineStr">
        <is>
          <t>27</t>
        </is>
      </c>
      <c r="M3379" s="31" t="inlineStr">
        <is>
          <t>S3</t>
        </is>
      </c>
      <c r="N3379" s="31" t="inlineStr">
        <is>
          <t>S5</t>
        </is>
      </c>
      <c r="O3379" s="31" t="inlineStr">
        <is>
          <t>301-319-724-0</t>
        </is>
      </c>
      <c r="P3379" s="31" t="inlineStr">
        <is>
          <t>SR Technics Switzerland</t>
        </is>
      </c>
    </row>
    <row r="3380">
      <c r="B3380" s="31" t="inlineStr">
        <is>
          <t>CFM56-7B</t>
        </is>
      </c>
      <c r="C3380" s="31" t="inlineStr">
        <is>
          <t>2025-2026</t>
        </is>
      </c>
      <c r="D3380" s="31" t="inlineStr">
        <is>
          <t>673781</t>
        </is>
      </c>
      <c r="E3380" s="31" t="inlineStr">
        <is>
          <t>72-55-06</t>
        </is>
      </c>
      <c r="F3380" s="31" t="inlineStr">
        <is>
          <t>G</t>
        </is>
      </c>
      <c r="G3380" s="31" t="inlineStr">
        <is>
          <t>LPT</t>
        </is>
      </c>
      <c r="H3380" s="27" t="n">
        <v>1300</v>
      </c>
      <c r="I3380" s="27" t="n">
        <v>1380</v>
      </c>
      <c r="J3380" s="154">
        <f>I3380/H3380-1</f>
        <v/>
      </c>
      <c r="K3380" s="31" t="inlineStr">
        <is>
          <t>28</t>
        </is>
      </c>
      <c r="L3380" s="31" t="inlineStr">
        <is>
          <t>27</t>
        </is>
      </c>
      <c r="M3380" s="31" t="inlineStr">
        <is>
          <t>S3</t>
        </is>
      </c>
      <c r="N3380" s="31" t="inlineStr">
        <is>
          <t>S5</t>
        </is>
      </c>
      <c r="O3380" s="31" t="inlineStr">
        <is>
          <t>301-319-724-0</t>
        </is>
      </c>
      <c r="P3380" s="31" t="inlineStr">
        <is>
          <t>SR Technics Switzerland</t>
        </is>
      </c>
    </row>
    <row r="3381">
      <c r="B3381" s="31" t="inlineStr">
        <is>
          <t>CFM56-7B</t>
        </is>
      </c>
      <c r="C3381" s="31" t="inlineStr">
        <is>
          <t>2025-2026</t>
        </is>
      </c>
      <c r="D3381" s="31" t="inlineStr">
        <is>
          <t>673781</t>
        </is>
      </c>
      <c r="E3381" s="31" t="inlineStr">
        <is>
          <t>72-55-06</t>
        </is>
      </c>
      <c r="F3381" s="31" t="inlineStr">
        <is>
          <t>H</t>
        </is>
      </c>
      <c r="G3381" s="31" t="inlineStr">
        <is>
          <t>LPT</t>
        </is>
      </c>
      <c r="H3381" s="27" t="n">
        <v>4105</v>
      </c>
      <c r="I3381" s="27" t="n">
        <v>4355</v>
      </c>
      <c r="J3381" s="154">
        <f>I3381/H3381-1</f>
        <v/>
      </c>
      <c r="K3381" s="31" t="inlineStr">
        <is>
          <t>28</t>
        </is>
      </c>
      <c r="L3381" s="31" t="inlineStr">
        <is>
          <t>27</t>
        </is>
      </c>
      <c r="M3381" s="31" t="inlineStr">
        <is>
          <t>S3</t>
        </is>
      </c>
      <c r="N3381" s="31" t="inlineStr">
        <is>
          <t>S5</t>
        </is>
      </c>
      <c r="O3381" s="31" t="inlineStr">
        <is>
          <t>301-319-724-0</t>
        </is>
      </c>
      <c r="P3381" s="31" t="inlineStr">
        <is>
          <t>SR Technics Switzerland</t>
        </is>
      </c>
    </row>
    <row r="3382">
      <c r="B3382" s="31" t="inlineStr">
        <is>
          <t>CFM56-7B</t>
        </is>
      </c>
      <c r="C3382" s="31" t="inlineStr">
        <is>
          <t>2025-2026</t>
        </is>
      </c>
      <c r="D3382" s="31" t="inlineStr">
        <is>
          <t>673781</t>
        </is>
      </c>
      <c r="E3382" s="31" t="inlineStr">
        <is>
          <t>72-55-06</t>
        </is>
      </c>
      <c r="F3382" s="31" t="inlineStr">
        <is>
          <t>I</t>
        </is>
      </c>
      <c r="G3382" s="31" t="inlineStr">
        <is>
          <t>LPT</t>
        </is>
      </c>
      <c r="H3382" s="27" t="n">
        <v>3835</v>
      </c>
      <c r="I3382" s="27" t="n">
        <v>4070</v>
      </c>
      <c r="J3382" s="154">
        <f>I3382/H3382-1</f>
        <v/>
      </c>
      <c r="K3382" s="31" t="inlineStr">
        <is>
          <t>28</t>
        </is>
      </c>
      <c r="L3382" s="31" t="inlineStr">
        <is>
          <t>27</t>
        </is>
      </c>
      <c r="M3382" s="31" t="inlineStr">
        <is>
          <t>S3</t>
        </is>
      </c>
      <c r="N3382" s="31" t="inlineStr">
        <is>
          <t>S5</t>
        </is>
      </c>
      <c r="O3382" s="31" t="inlineStr">
        <is>
          <t>301-319-724-0</t>
        </is>
      </c>
      <c r="P3382" s="31" t="inlineStr">
        <is>
          <t>SR Technics Switzerland</t>
        </is>
      </c>
    </row>
    <row r="3383">
      <c r="B3383" s="31" t="inlineStr">
        <is>
          <t>CFM56-7B</t>
        </is>
      </c>
      <c r="C3383" s="31" t="inlineStr">
        <is>
          <t>2025-2026</t>
        </is>
      </c>
      <c r="D3383" s="31" t="inlineStr">
        <is>
          <t>673781</t>
        </is>
      </c>
      <c r="E3383" s="31" t="inlineStr">
        <is>
          <t>72-55-06</t>
        </is>
      </c>
      <c r="F3383" s="31" t="inlineStr">
        <is>
          <t>J</t>
        </is>
      </c>
      <c r="G3383" s="31" t="inlineStr">
        <is>
          <t>LPT</t>
        </is>
      </c>
      <c r="H3383" s="27" t="n">
        <v>435</v>
      </c>
      <c r="I3383" s="27" t="n">
        <v>465</v>
      </c>
      <c r="J3383" s="154">
        <f>I3383/H3383-1</f>
        <v/>
      </c>
      <c r="K3383" s="31" t="inlineStr">
        <is>
          <t>28</t>
        </is>
      </c>
      <c r="L3383" s="31" t="inlineStr">
        <is>
          <t>27</t>
        </is>
      </c>
      <c r="M3383" s="31" t="inlineStr">
        <is>
          <t>S3</t>
        </is>
      </c>
      <c r="N3383" s="31" t="inlineStr">
        <is>
          <t>S5</t>
        </is>
      </c>
      <c r="O3383" s="31" t="inlineStr">
        <is>
          <t>301-319-724-0</t>
        </is>
      </c>
      <c r="P3383" s="31" t="inlineStr">
        <is>
          <t>SR Technics Switzerland</t>
        </is>
      </c>
    </row>
    <row r="3384">
      <c r="B3384" s="31" t="inlineStr">
        <is>
          <t>CFM56-7B</t>
        </is>
      </c>
      <c r="C3384" s="31" t="inlineStr">
        <is>
          <t>2025-2026</t>
        </is>
      </c>
      <c r="D3384" s="31" t="inlineStr">
        <is>
          <t>673781</t>
        </is>
      </c>
      <c r="E3384" s="31" t="inlineStr">
        <is>
          <t>72-55-06</t>
        </is>
      </c>
      <c r="F3384" s="31" t="inlineStr">
        <is>
          <t>K</t>
        </is>
      </c>
      <c r="G3384" s="31" t="inlineStr">
        <is>
          <t>LPT</t>
        </is>
      </c>
      <c r="H3384" s="27" t="n">
        <v>1885</v>
      </c>
      <c r="I3384" s="27" t="n">
        <v>2000</v>
      </c>
      <c r="J3384" s="154">
        <f>I3384/H3384-1</f>
        <v/>
      </c>
      <c r="K3384" s="31" t="inlineStr">
        <is>
          <t>28</t>
        </is>
      </c>
      <c r="L3384" s="31" t="inlineStr">
        <is>
          <t>27</t>
        </is>
      </c>
      <c r="M3384" s="31" t="inlineStr">
        <is>
          <t>S3</t>
        </is>
      </c>
      <c r="N3384" s="31" t="inlineStr">
        <is>
          <t>S5</t>
        </is>
      </c>
      <c r="O3384" s="31" t="inlineStr">
        <is>
          <t>301-319-724-0</t>
        </is>
      </c>
      <c r="P3384" s="31" t="inlineStr">
        <is>
          <t>SR Technics Switzerland</t>
        </is>
      </c>
    </row>
    <row r="3385">
      <c r="B3385" s="31" t="inlineStr">
        <is>
          <t>CFM56-7B</t>
        </is>
      </c>
      <c r="C3385" s="31" t="inlineStr">
        <is>
          <t>2025-2026</t>
        </is>
      </c>
      <c r="D3385" s="31" t="inlineStr">
        <is>
          <t>673781</t>
        </is>
      </c>
      <c r="E3385" s="31" t="inlineStr">
        <is>
          <t>72-55-06</t>
        </is>
      </c>
      <c r="F3385" s="31" t="inlineStr">
        <is>
          <t>L</t>
        </is>
      </c>
      <c r="G3385" s="31" t="inlineStr">
        <is>
          <t>LPT</t>
        </is>
      </c>
      <c r="H3385" s="27" t="n">
        <v>2340</v>
      </c>
      <c r="I3385" s="27" t="n">
        <v>2485</v>
      </c>
      <c r="J3385" s="154">
        <f>I3385/H3385-1</f>
        <v/>
      </c>
      <c r="K3385" s="31" t="inlineStr">
        <is>
          <t>28</t>
        </is>
      </c>
      <c r="L3385" s="31" t="inlineStr">
        <is>
          <t>27</t>
        </is>
      </c>
      <c r="M3385" s="31" t="inlineStr">
        <is>
          <t>S3</t>
        </is>
      </c>
      <c r="N3385" s="31" t="inlineStr">
        <is>
          <t>S5</t>
        </is>
      </c>
      <c r="O3385" s="31" t="inlineStr">
        <is>
          <t>301-319-724-0</t>
        </is>
      </c>
      <c r="P3385" s="31" t="inlineStr">
        <is>
          <t>SR Technics Switzerland</t>
        </is>
      </c>
    </row>
    <row r="3386">
      <c r="B3386" s="31" t="inlineStr">
        <is>
          <t>CFM56-7B</t>
        </is>
      </c>
      <c r="C3386" s="31" t="inlineStr">
        <is>
          <t>2025-2026</t>
        </is>
      </c>
      <c r="D3386" s="31" t="inlineStr">
        <is>
          <t>673781</t>
        </is>
      </c>
      <c r="E3386" s="31" t="inlineStr">
        <is>
          <t>72-55-06</t>
        </is>
      </c>
      <c r="F3386" s="31" t="inlineStr">
        <is>
          <t>M</t>
        </is>
      </c>
      <c r="G3386" s="31" t="inlineStr">
        <is>
          <t>LPT</t>
        </is>
      </c>
      <c r="H3386" s="27" t="n">
        <v>2250</v>
      </c>
      <c r="I3386" s="27" t="n">
        <v>2385</v>
      </c>
      <c r="J3386" s="154">
        <f>I3386/H3386-1</f>
        <v/>
      </c>
      <c r="K3386" s="31" t="inlineStr">
        <is>
          <t>28</t>
        </is>
      </c>
      <c r="L3386" s="31" t="inlineStr">
        <is>
          <t>27</t>
        </is>
      </c>
      <c r="M3386" s="31" t="inlineStr">
        <is>
          <t>S3</t>
        </is>
      </c>
      <c r="N3386" s="31" t="inlineStr">
        <is>
          <t>S5</t>
        </is>
      </c>
      <c r="O3386" s="31" t="inlineStr">
        <is>
          <t>301-319-724-0</t>
        </is>
      </c>
      <c r="P3386" s="31" t="inlineStr">
        <is>
          <t>SR Technics Switzerland</t>
        </is>
      </c>
    </row>
    <row r="3387">
      <c r="B3387" s="31" t="inlineStr">
        <is>
          <t>CFM56-7B</t>
        </is>
      </c>
      <c r="C3387" s="31" t="inlineStr">
        <is>
          <t>2025-2026</t>
        </is>
      </c>
      <c r="D3387" s="31" t="inlineStr">
        <is>
          <t>673781</t>
        </is>
      </c>
      <c r="E3387" s="31" t="inlineStr">
        <is>
          <t>72-55-06</t>
        </is>
      </c>
      <c r="F3387" s="31" t="inlineStr">
        <is>
          <t>O</t>
        </is>
      </c>
      <c r="G3387" s="31" t="inlineStr">
        <is>
          <t>LPT</t>
        </is>
      </c>
      <c r="H3387" s="27" t="n">
        <v>120</v>
      </c>
      <c r="I3387" s="27" t="n">
        <v>130</v>
      </c>
      <c r="J3387" s="154">
        <f>I3387/H3387-1</f>
        <v/>
      </c>
      <c r="K3387" s="31" t="inlineStr">
        <is>
          <t>28</t>
        </is>
      </c>
      <c r="L3387" s="31" t="inlineStr">
        <is>
          <t>27</t>
        </is>
      </c>
      <c r="M3387" s="31" t="inlineStr">
        <is>
          <t>S3</t>
        </is>
      </c>
      <c r="N3387" s="31" t="inlineStr">
        <is>
          <t>S5</t>
        </is>
      </c>
      <c r="O3387" s="31" t="inlineStr">
        <is>
          <t>301-319-724-0</t>
        </is>
      </c>
      <c r="P3387" s="31" t="inlineStr">
        <is>
          <t>SR Technics Switzerland</t>
        </is>
      </c>
    </row>
    <row r="3388">
      <c r="B3388" s="31" t="inlineStr">
        <is>
          <t>CFM56-7B</t>
        </is>
      </c>
      <c r="C3388" s="31" t="inlineStr">
        <is>
          <t>2025-2026</t>
        </is>
      </c>
      <c r="D3388" s="31" t="inlineStr">
        <is>
          <t>673781</t>
        </is>
      </c>
      <c r="E3388" s="31" t="inlineStr">
        <is>
          <t>72-55-06</t>
        </is>
      </c>
      <c r="F3388" s="31" t="inlineStr">
        <is>
          <t>P</t>
        </is>
      </c>
      <c r="G3388" s="31" t="inlineStr">
        <is>
          <t>LPT</t>
        </is>
      </c>
      <c r="H3388" s="27" t="n">
        <v>2975</v>
      </c>
      <c r="I3388" s="27" t="n">
        <v>3155</v>
      </c>
      <c r="J3388" s="154">
        <f>I3388/H3388-1</f>
        <v/>
      </c>
      <c r="K3388" s="31" t="inlineStr">
        <is>
          <t>28</t>
        </is>
      </c>
      <c r="L3388" s="31" t="inlineStr">
        <is>
          <t>27</t>
        </is>
      </c>
      <c r="M3388" s="31" t="inlineStr">
        <is>
          <t>S3</t>
        </is>
      </c>
      <c r="N3388" s="31" t="inlineStr">
        <is>
          <t>S5</t>
        </is>
      </c>
      <c r="O3388" s="31" t="inlineStr">
        <is>
          <t>301-319-724-0</t>
        </is>
      </c>
      <c r="P3388" s="31" t="inlineStr">
        <is>
          <t>SR Technics Switzerland</t>
        </is>
      </c>
    </row>
    <row r="3389">
      <c r="B3389" s="31" t="inlineStr">
        <is>
          <t>CFM56-7B</t>
        </is>
      </c>
      <c r="C3389" s="31" t="inlineStr">
        <is>
          <t>2025-2026</t>
        </is>
      </c>
      <c r="D3389" s="31" t="inlineStr">
        <is>
          <t>674571</t>
        </is>
      </c>
      <c r="E3389" s="31" t="inlineStr">
        <is>
          <t>72-23-16</t>
        </is>
      </c>
      <c r="F3389" s="31" t="inlineStr">
        <is>
          <t>B</t>
        </is>
      </c>
      <c r="G3389" s="31" t="inlineStr">
        <is>
          <t>Fan / booster</t>
        </is>
      </c>
      <c r="H3389" s="27" t="n">
        <v>465</v>
      </c>
      <c r="I3389" s="27" t="n">
        <v>495</v>
      </c>
      <c r="J3389" s="154">
        <f>I3389/H3389-1</f>
        <v/>
      </c>
      <c r="K3389" s="31" t="inlineStr">
        <is>
          <t>28</t>
        </is>
      </c>
      <c r="L3389" s="31" t="inlineStr">
        <is>
          <t>27, 28</t>
        </is>
      </c>
      <c r="M3389" s="31" t="inlineStr">
        <is>
          <t>S3</t>
        </is>
      </c>
      <c r="N3389" s="31" t="inlineStr">
        <is>
          <t>S5</t>
        </is>
      </c>
      <c r="O3389" s="31" t="inlineStr">
        <is>
          <t>340-056-804-0</t>
        </is>
      </c>
      <c r="P3389" s="31" t="inlineStr">
        <is>
          <t>SR Technics Switzerland</t>
        </is>
      </c>
    </row>
    <row r="3390">
      <c r="B3390" s="31" t="inlineStr">
        <is>
          <t>CFM56-7B</t>
        </is>
      </c>
      <c r="C3390" s="31" t="inlineStr">
        <is>
          <t>2025-2026</t>
        </is>
      </c>
      <c r="D3390" s="31" t="inlineStr">
        <is>
          <t>674571</t>
        </is>
      </c>
      <c r="E3390" s="31" t="inlineStr">
        <is>
          <t>72-23-16</t>
        </is>
      </c>
      <c r="F3390" s="31" t="inlineStr">
        <is>
          <t>E</t>
        </is>
      </c>
      <c r="G3390" s="31" t="inlineStr">
        <is>
          <t>Fan / booster</t>
        </is>
      </c>
      <c r="H3390" s="27" t="n">
        <v>780</v>
      </c>
      <c r="I3390" s="27" t="n">
        <v>830</v>
      </c>
      <c r="J3390" s="154">
        <f>I3390/H3390-1</f>
        <v/>
      </c>
      <c r="K3390" s="31" t="inlineStr">
        <is>
          <t>28</t>
        </is>
      </c>
      <c r="L3390" s="31" t="inlineStr">
        <is>
          <t>28</t>
        </is>
      </c>
      <c r="M3390" s="31" t="inlineStr">
        <is>
          <t>S3</t>
        </is>
      </c>
      <c r="N3390" s="31" t="inlineStr">
        <is>
          <t>S5</t>
        </is>
      </c>
      <c r="O3390" s="31" t="inlineStr">
        <is>
          <t>340-056-804-0</t>
        </is>
      </c>
      <c r="P3390" s="31" t="inlineStr">
        <is>
          <t>SR Technics Switzerland</t>
        </is>
      </c>
    </row>
    <row r="3391">
      <c r="B3391" s="31" t="inlineStr">
        <is>
          <t>CFM56-7B</t>
        </is>
      </c>
      <c r="C3391" s="31" t="inlineStr">
        <is>
          <t>2025-2026</t>
        </is>
      </c>
      <c r="D3391" s="31" t="inlineStr">
        <is>
          <t>72531</t>
        </is>
      </c>
      <c r="E3391" s="31" t="inlineStr">
        <is>
          <t>72-31-09</t>
        </is>
      </c>
      <c r="F3391" s="31" t="inlineStr">
        <is>
          <t>B</t>
        </is>
      </c>
      <c r="G3391" s="31" t="inlineStr">
        <is>
          <t>Compressor</t>
        </is>
      </c>
      <c r="H3391" s="27" t="n">
        <v>310</v>
      </c>
      <c r="I3391" s="27" t="n">
        <v>330</v>
      </c>
      <c r="J3391" s="154">
        <f>I3391/H3391-1</f>
        <v/>
      </c>
      <c r="K3391" s="31" t="inlineStr">
        <is>
          <t>9</t>
        </is>
      </c>
      <c r="L3391" s="31" t="inlineStr">
        <is>
          <t>8</t>
        </is>
      </c>
      <c r="M3391" s="31" t="inlineStr">
        <is>
          <t>S3</t>
        </is>
      </c>
      <c r="N3391" s="31" t="inlineStr">
        <is>
          <t>S5</t>
        </is>
      </c>
      <c r="O3391" s="31" t="inlineStr">
        <is>
          <t>9523M11G03</t>
        </is>
      </c>
      <c r="P3391" s="31" t="inlineStr">
        <is>
          <t>SR Technics Switzerland</t>
        </is>
      </c>
    </row>
    <row r="3392">
      <c r="B3392" s="31" t="inlineStr">
        <is>
          <t>CFM56-7B</t>
        </is>
      </c>
      <c r="C3392" s="31" t="inlineStr">
        <is>
          <t>2025-2026</t>
        </is>
      </c>
      <c r="D3392" s="31" t="inlineStr">
        <is>
          <t>7808</t>
        </is>
      </c>
      <c r="E3392" s="31" t="inlineStr">
        <is>
          <t>72-55-16</t>
        </is>
      </c>
      <c r="F3392" s="31" t="inlineStr">
        <is>
          <t>A</t>
        </is>
      </c>
      <c r="G3392" s="31" t="inlineStr">
        <is>
          <t>LPT</t>
        </is>
      </c>
      <c r="H3392" s="27" t="n">
        <v>365</v>
      </c>
      <c r="I3392" s="27" t="n">
        <v>485</v>
      </c>
      <c r="J3392" s="154">
        <f>I3392/H3392-1</f>
        <v/>
      </c>
      <c r="K3392" s="31" t="inlineStr">
        <is>
          <t>6</t>
        </is>
      </c>
      <c r="L3392" s="31" t="inlineStr">
        <is>
          <t>5</t>
        </is>
      </c>
      <c r="M3392" s="31" t="inlineStr">
        <is>
          <t>S3</t>
        </is>
      </c>
      <c r="N3392" s="31" t="inlineStr">
        <is>
          <t>S5</t>
        </is>
      </c>
      <c r="O3392" s="31" t="inlineStr">
        <is>
          <t>301-546-107-0</t>
        </is>
      </c>
      <c r="P3392" s="31" t="inlineStr">
        <is>
          <t>SR Technics Switzerland</t>
        </is>
      </c>
    </row>
    <row r="3393">
      <c r="B3393" s="31" t="inlineStr">
        <is>
          <t>CFM56-7B</t>
        </is>
      </c>
      <c r="C3393" s="31" t="inlineStr">
        <is>
          <t>2025-2026</t>
        </is>
      </c>
      <c r="D3393" s="31" t="inlineStr">
        <is>
          <t>7808</t>
        </is>
      </c>
      <c r="E3393" s="31" t="inlineStr">
        <is>
          <t>72-55-16</t>
        </is>
      </c>
      <c r="F3393" s="31" t="inlineStr">
        <is>
          <t>E</t>
        </is>
      </c>
      <c r="G3393" s="31" t="inlineStr">
        <is>
          <t>LPT</t>
        </is>
      </c>
      <c r="H3393" s="27" t="n">
        <v>1155</v>
      </c>
      <c r="I3393" s="27" t="n">
        <v>1715</v>
      </c>
      <c r="J3393" s="154">
        <f>I3393/H3393-1</f>
        <v/>
      </c>
      <c r="K3393" s="31" t="inlineStr">
        <is>
          <t>6</t>
        </is>
      </c>
      <c r="L3393" s="31" t="inlineStr">
        <is>
          <t>5</t>
        </is>
      </c>
      <c r="M3393" s="31" t="inlineStr">
        <is>
          <t>S3</t>
        </is>
      </c>
      <c r="N3393" s="31" t="inlineStr">
        <is>
          <t>S5</t>
        </is>
      </c>
      <c r="O3393" s="31" t="inlineStr">
        <is>
          <t>301-546-107-0</t>
        </is>
      </c>
      <c r="P3393" s="31" t="inlineStr">
        <is>
          <t>SR Technics Switzerland</t>
        </is>
      </c>
    </row>
    <row r="3394">
      <c r="B3394" s="31" t="inlineStr">
        <is>
          <t>CFM56-7B</t>
        </is>
      </c>
      <c r="C3394" s="31" t="inlineStr">
        <is>
          <t>2025-2026</t>
        </is>
      </c>
      <c r="D3394" s="31" t="inlineStr">
        <is>
          <t>7808</t>
        </is>
      </c>
      <c r="E3394" s="31" t="inlineStr">
        <is>
          <t>72-55-16</t>
        </is>
      </c>
      <c r="F3394" s="31" t="inlineStr">
        <is>
          <t>F</t>
        </is>
      </c>
      <c r="G3394" s="31" t="inlineStr">
        <is>
          <t>LPT</t>
        </is>
      </c>
      <c r="H3394" s="27" t="n">
        <v>220</v>
      </c>
      <c r="I3394" s="27" t="n">
        <v>235</v>
      </c>
      <c r="J3394" s="154">
        <f>I3394/H3394-1</f>
        <v/>
      </c>
      <c r="K3394" s="31" t="inlineStr">
        <is>
          <t>6</t>
        </is>
      </c>
      <c r="L3394" s="31" t="inlineStr">
        <is>
          <t>5</t>
        </is>
      </c>
      <c r="M3394" s="31" t="inlineStr">
        <is>
          <t>S3</t>
        </is>
      </c>
      <c r="N3394" s="31" t="inlineStr">
        <is>
          <t>S5</t>
        </is>
      </c>
      <c r="O3394" s="31" t="inlineStr">
        <is>
          <t>301-546-107-0</t>
        </is>
      </c>
      <c r="P3394" s="31" t="inlineStr">
        <is>
          <t>SR Technics Switzerland</t>
        </is>
      </c>
    </row>
    <row r="3395">
      <c r="B3395" s="31" t="inlineStr">
        <is>
          <t>CFM56-7B</t>
        </is>
      </c>
      <c r="C3395" s="31" t="inlineStr">
        <is>
          <t>2025-2026</t>
        </is>
      </c>
      <c r="D3395" s="31" t="inlineStr">
        <is>
          <t>8127</t>
        </is>
      </c>
      <c r="E3395" s="31" t="inlineStr">
        <is>
          <t>71-21-37</t>
        </is>
      </c>
      <c r="F3395" s="31" t="inlineStr">
        <is>
          <t>A</t>
        </is>
      </c>
      <c r="G3395" s="31" t="inlineStr">
        <is>
          <t>Other / assembly</t>
        </is>
      </c>
      <c r="H3395" s="27" t="n">
        <v>555</v>
      </c>
      <c r="I3395" s="27" t="n">
        <v>585</v>
      </c>
      <c r="J3395" s="154">
        <f>I3395/H3395-1</f>
        <v/>
      </c>
      <c r="K3395" s="31" t="inlineStr">
        <is>
          <t>33</t>
        </is>
      </c>
      <c r="L3395" s="31" t="inlineStr">
        <is>
          <t>32</t>
        </is>
      </c>
      <c r="M3395" s="31" t="inlineStr">
        <is>
          <t>S3</t>
        </is>
      </c>
      <c r="N3395" s="31" t="inlineStr">
        <is>
          <t>S5</t>
        </is>
      </c>
      <c r="O3395" s="31" t="inlineStr">
        <is>
          <t>310A2037-11</t>
        </is>
      </c>
      <c r="P3395" s="31" t="inlineStr">
        <is>
          <t>SR Technics Switzerland</t>
        </is>
      </c>
    </row>
    <row r="3396">
      <c r="B3396" s="31" t="inlineStr">
        <is>
          <t>CFM56-7B</t>
        </is>
      </c>
      <c r="C3396" s="31" t="inlineStr">
        <is>
          <t>2025-2026</t>
        </is>
      </c>
      <c r="D3396" s="31" t="inlineStr">
        <is>
          <t>8127</t>
        </is>
      </c>
      <c r="E3396" s="31" t="inlineStr">
        <is>
          <t>71-21-37</t>
        </is>
      </c>
      <c r="F3396" s="31" t="inlineStr">
        <is>
          <t>D</t>
        </is>
      </c>
      <c r="G3396" s="31" t="inlineStr">
        <is>
          <t>Other / assembly</t>
        </is>
      </c>
      <c r="H3396" s="27" t="n">
        <v>870</v>
      </c>
      <c r="I3396" s="27" t="n">
        <v>925</v>
      </c>
      <c r="J3396" s="154">
        <f>I3396/H3396-1</f>
        <v/>
      </c>
      <c r="K3396" s="31" t="inlineStr">
        <is>
          <t>33</t>
        </is>
      </c>
      <c r="L3396" s="31" t="inlineStr">
        <is>
          <t>32</t>
        </is>
      </c>
      <c r="M3396" s="31" t="inlineStr">
        <is>
          <t>S3</t>
        </is>
      </c>
      <c r="N3396" s="31" t="inlineStr">
        <is>
          <t>S5</t>
        </is>
      </c>
      <c r="O3396" s="31" t="inlineStr">
        <is>
          <t>310A2037-11</t>
        </is>
      </c>
      <c r="P3396" s="31" t="inlineStr">
        <is>
          <t>SR Technics Switzerland</t>
        </is>
      </c>
    </row>
    <row r="3397">
      <c r="B3397" s="31" t="inlineStr">
        <is>
          <t>CFM56-7B</t>
        </is>
      </c>
      <c r="C3397" s="31" t="inlineStr">
        <is>
          <t>2025-2026</t>
        </is>
      </c>
      <c r="D3397" s="31" t="inlineStr">
        <is>
          <t>8521</t>
        </is>
      </c>
      <c r="E3397" s="31" t="inlineStr">
        <is>
          <t>72-51-08</t>
        </is>
      </c>
      <c r="F3397" s="31" t="inlineStr">
        <is>
          <t>A</t>
        </is>
      </c>
      <c r="G3397" s="31" t="inlineStr">
        <is>
          <t>HPT / nozzle</t>
        </is>
      </c>
      <c r="H3397" s="27" t="n">
        <v>1055</v>
      </c>
      <c r="I3397" s="27" t="n">
        <v>1110</v>
      </c>
      <c r="J3397" s="154">
        <f>I3397/H3397-1</f>
        <v/>
      </c>
      <c r="K3397" s="31" t="inlineStr">
        <is>
          <t>6</t>
        </is>
      </c>
      <c r="L3397" s="31" t="inlineStr">
        <is>
          <t>5</t>
        </is>
      </c>
      <c r="M3397" s="31" t="inlineStr">
        <is>
          <t>S3</t>
        </is>
      </c>
      <c r="N3397" s="31" t="inlineStr">
        <is>
          <t>S5</t>
        </is>
      </c>
      <c r="O3397" s="31" t="inlineStr">
        <is>
          <t>1358M35G02</t>
        </is>
      </c>
      <c r="P3397" s="31" t="inlineStr">
        <is>
          <t>SR Technics Switzerland</t>
        </is>
      </c>
    </row>
    <row r="3398">
      <c r="B3398" s="31" t="inlineStr">
        <is>
          <t>CFM56-7B</t>
        </is>
      </c>
      <c r="C3398" s="31" t="inlineStr">
        <is>
          <t>2025-2026</t>
        </is>
      </c>
      <c r="D3398" s="31" t="inlineStr">
        <is>
          <t>8521</t>
        </is>
      </c>
      <c r="E3398" s="31" t="inlineStr">
        <is>
          <t>72-51-08</t>
        </is>
      </c>
      <c r="F3398" s="31" t="inlineStr">
        <is>
          <t>C</t>
        </is>
      </c>
      <c r="G3398" s="31" t="inlineStr">
        <is>
          <t>HPT / nozzle</t>
        </is>
      </c>
      <c r="H3398" s="27" t="n">
        <v>1940</v>
      </c>
      <c r="I3398" s="27" t="n">
        <v>2060</v>
      </c>
      <c r="J3398" s="154">
        <f>I3398/H3398-1</f>
        <v/>
      </c>
      <c r="K3398" s="31" t="inlineStr">
        <is>
          <t>6</t>
        </is>
      </c>
      <c r="L3398" s="31" t="inlineStr">
        <is>
          <t>5</t>
        </is>
      </c>
      <c r="M3398" s="31" t="inlineStr">
        <is>
          <t>S3</t>
        </is>
      </c>
      <c r="N3398" s="31" t="inlineStr">
        <is>
          <t>S5</t>
        </is>
      </c>
      <c r="O3398" s="31" t="inlineStr">
        <is>
          <t>1358M35G02</t>
        </is>
      </c>
      <c r="P3398" s="31" t="inlineStr">
        <is>
          <t>SR Technics Switzerland</t>
        </is>
      </c>
    </row>
    <row r="3399">
      <c r="B3399" s="31" t="inlineStr">
        <is>
          <t>CFM56-7B</t>
        </is>
      </c>
      <c r="C3399" s="31" t="inlineStr">
        <is>
          <t>2025-2026</t>
        </is>
      </c>
      <c r="D3399" s="31" t="inlineStr">
        <is>
          <t>8527</t>
        </is>
      </c>
      <c r="E3399" s="31" t="inlineStr">
        <is>
          <t>72-22-12</t>
        </is>
      </c>
      <c r="F3399" s="31" t="inlineStr">
        <is>
          <t>A</t>
        </is>
      </c>
      <c r="G3399" s="31" t="inlineStr">
        <is>
          <t>Fan / booster</t>
        </is>
      </c>
      <c r="H3399" s="27" t="n">
        <v>780</v>
      </c>
      <c r="I3399" s="27" t="n">
        <v>820</v>
      </c>
      <c r="J3399" s="154">
        <f>I3399/H3399-1</f>
        <v/>
      </c>
      <c r="K3399" s="31" t="inlineStr">
        <is>
          <t>6</t>
        </is>
      </c>
      <c r="L3399" s="31" t="inlineStr">
        <is>
          <t>5</t>
        </is>
      </c>
      <c r="M3399" s="31" t="inlineStr">
        <is>
          <t>S3</t>
        </is>
      </c>
      <c r="N3399" s="31" t="inlineStr">
        <is>
          <t>S5</t>
        </is>
      </c>
      <c r="O3399" s="31" t="inlineStr">
        <is>
          <t>301-297-812-0</t>
        </is>
      </c>
      <c r="P3399" s="31" t="inlineStr">
        <is>
          <t>SR Technics Switzerland</t>
        </is>
      </c>
    </row>
    <row r="3400">
      <c r="B3400" s="31" t="inlineStr">
        <is>
          <t>CFM56-7B</t>
        </is>
      </c>
      <c r="C3400" s="31" t="inlineStr">
        <is>
          <t>2025-2026</t>
        </is>
      </c>
      <c r="D3400" s="31" t="inlineStr">
        <is>
          <t>8881</t>
        </is>
      </c>
      <c r="E3400" s="31" t="inlineStr">
        <is>
          <t>71-21-37</t>
        </is>
      </c>
      <c r="F3400" s="31" t="inlineStr">
        <is>
          <t>A</t>
        </is>
      </c>
      <c r="G3400" s="31" t="inlineStr">
        <is>
          <t>Other / assembly</t>
        </is>
      </c>
      <c r="H3400" s="27" t="n">
        <v>1000</v>
      </c>
      <c r="I3400" s="27" t="n">
        <v>1050</v>
      </c>
      <c r="J3400" s="154">
        <f>I3400/H3400-1</f>
        <v/>
      </c>
      <c r="K3400" s="31" t="inlineStr">
        <is>
          <t>6</t>
        </is>
      </c>
      <c r="L3400" s="31" t="inlineStr">
        <is>
          <t>5</t>
        </is>
      </c>
      <c r="M3400" s="31" t="inlineStr">
        <is>
          <t>S3</t>
        </is>
      </c>
      <c r="N3400" s="31" t="inlineStr">
        <is>
          <t>S5</t>
        </is>
      </c>
      <c r="O3400" s="31" t="inlineStr">
        <is>
          <t>310A2033-3</t>
        </is>
      </c>
      <c r="P3400" s="31" t="inlineStr">
        <is>
          <t>SR Technics Switzerland</t>
        </is>
      </c>
    </row>
    <row r="3401">
      <c r="B3401" s="31" t="inlineStr">
        <is>
          <t>CFM56-7B</t>
        </is>
      </c>
      <c r="C3401" s="31" t="inlineStr">
        <is>
          <t>2025-2026</t>
        </is>
      </c>
      <c r="D3401" s="31" t="inlineStr">
        <is>
          <t>8881</t>
        </is>
      </c>
      <c r="E3401" s="31" t="inlineStr">
        <is>
          <t>71-21-37</t>
        </is>
      </c>
      <c r="F3401" s="31" t="inlineStr">
        <is>
          <t>B</t>
        </is>
      </c>
      <c r="G3401" s="31" t="inlineStr">
        <is>
          <t>Other / assembly</t>
        </is>
      </c>
      <c r="H3401" s="27" t="n">
        <v>700</v>
      </c>
      <c r="I3401" s="27" t="n">
        <v>745</v>
      </c>
      <c r="J3401" s="154">
        <f>I3401/H3401-1</f>
        <v/>
      </c>
      <c r="K3401" s="31" t="inlineStr">
        <is>
          <t>6</t>
        </is>
      </c>
      <c r="L3401" s="31" t="inlineStr">
        <is>
          <t>5</t>
        </is>
      </c>
      <c r="M3401" s="31" t="inlineStr">
        <is>
          <t>S3</t>
        </is>
      </c>
      <c r="N3401" s="31" t="inlineStr">
        <is>
          <t>S5</t>
        </is>
      </c>
      <c r="O3401" s="31" t="inlineStr">
        <is>
          <t>310A2033-3</t>
        </is>
      </c>
      <c r="P3401" s="31" t="inlineStr">
        <is>
          <t>SR Technics Switzerland</t>
        </is>
      </c>
    </row>
    <row r="3402">
      <c r="B3402" s="31" t="inlineStr">
        <is>
          <t>CFM56-7B</t>
        </is>
      </c>
      <c r="C3402" s="31" t="inlineStr">
        <is>
          <t>2025-2026</t>
        </is>
      </c>
      <c r="D3402" s="31" t="inlineStr">
        <is>
          <t>8881</t>
        </is>
      </c>
      <c r="E3402" s="31" t="inlineStr">
        <is>
          <t>71-21-37</t>
        </is>
      </c>
      <c r="F3402" s="31" t="inlineStr">
        <is>
          <t>D</t>
        </is>
      </c>
      <c r="G3402" s="31" t="inlineStr">
        <is>
          <t>Other / assembly</t>
        </is>
      </c>
      <c r="H3402" s="27" t="n">
        <v>405</v>
      </c>
      <c r="I3402" s="27" t="n">
        <v>430</v>
      </c>
      <c r="J3402" s="154">
        <f>I3402/H3402-1</f>
        <v/>
      </c>
      <c r="K3402" s="31" t="inlineStr">
        <is>
          <t>6</t>
        </is>
      </c>
      <c r="L3402" s="31" t="inlineStr">
        <is>
          <t>5</t>
        </is>
      </c>
      <c r="M3402" s="31" t="inlineStr">
        <is>
          <t>S3</t>
        </is>
      </c>
      <c r="N3402" s="31" t="inlineStr">
        <is>
          <t>S5</t>
        </is>
      </c>
      <c r="O3402" s="31" t="inlineStr">
        <is>
          <t>310A2033-3</t>
        </is>
      </c>
      <c r="P3402" s="31" t="inlineStr">
        <is>
          <t>SR Technics Switzerland</t>
        </is>
      </c>
    </row>
    <row r="3403">
      <c r="B3403" s="31" t="inlineStr">
        <is>
          <t>CFM56-7B</t>
        </is>
      </c>
      <c r="C3403" s="31" t="inlineStr">
        <is>
          <t>2025-2026</t>
        </is>
      </c>
      <c r="D3403" s="31" t="inlineStr">
        <is>
          <t>8891</t>
        </is>
      </c>
      <c r="E3403" s="31" t="inlineStr">
        <is>
          <t>71-21-37</t>
        </is>
      </c>
      <c r="F3403" s="31" t="inlineStr">
        <is>
          <t>A</t>
        </is>
      </c>
      <c r="G3403" s="31" t="inlineStr">
        <is>
          <t>Other / assembly</t>
        </is>
      </c>
      <c r="H3403" s="27" t="n">
        <v>1040</v>
      </c>
      <c r="I3403" s="27" t="n">
        <v>1095</v>
      </c>
      <c r="J3403" s="154">
        <f>I3403/H3403-1</f>
        <v/>
      </c>
      <c r="K3403" s="31" t="inlineStr">
        <is>
          <t>6</t>
        </is>
      </c>
      <c r="L3403" s="31" t="inlineStr">
        <is>
          <t>5</t>
        </is>
      </c>
      <c r="M3403" s="31" t="inlineStr">
        <is>
          <t>S3</t>
        </is>
      </c>
      <c r="N3403" s="31" t="inlineStr">
        <is>
          <t>S5</t>
        </is>
      </c>
      <c r="O3403" s="31" t="inlineStr">
        <is>
          <t>310A2034-13</t>
        </is>
      </c>
      <c r="P3403" s="31" t="inlineStr">
        <is>
          <t>SR Technics Switzerland</t>
        </is>
      </c>
    </row>
    <row r="3404">
      <c r="B3404" s="31" t="inlineStr">
        <is>
          <t>CFM56-7B</t>
        </is>
      </c>
      <c r="C3404" s="31" t="inlineStr">
        <is>
          <t>2025-2026</t>
        </is>
      </c>
      <c r="D3404" s="31" t="inlineStr">
        <is>
          <t>8891</t>
        </is>
      </c>
      <c r="E3404" s="31" t="inlineStr">
        <is>
          <t>71-21-37</t>
        </is>
      </c>
      <c r="F3404" s="31" t="inlineStr">
        <is>
          <t>B</t>
        </is>
      </c>
      <c r="G3404" s="31" t="inlineStr">
        <is>
          <t>Other / assembly</t>
        </is>
      </c>
      <c r="H3404" s="27" t="n">
        <v>810</v>
      </c>
      <c r="I3404" s="27" t="n">
        <v>860</v>
      </c>
      <c r="J3404" s="154">
        <f>I3404/H3404-1</f>
        <v/>
      </c>
      <c r="K3404" s="31" t="inlineStr">
        <is>
          <t>6</t>
        </is>
      </c>
      <c r="L3404" s="31" t="inlineStr">
        <is>
          <t>5</t>
        </is>
      </c>
      <c r="M3404" s="31" t="inlineStr">
        <is>
          <t>S3</t>
        </is>
      </c>
      <c r="N3404" s="31" t="inlineStr">
        <is>
          <t>S5</t>
        </is>
      </c>
      <c r="O3404" s="31" t="inlineStr">
        <is>
          <t>310A2034-13</t>
        </is>
      </c>
      <c r="P3404" s="31" t="inlineStr">
        <is>
          <t>SR Technics Switzerland</t>
        </is>
      </c>
    </row>
    <row r="3405">
      <c r="B3405" s="31" t="inlineStr">
        <is>
          <t>CFM56-7B</t>
        </is>
      </c>
      <c r="C3405" s="31" t="inlineStr">
        <is>
          <t>2025-2026</t>
        </is>
      </c>
      <c r="D3405" s="31" t="inlineStr">
        <is>
          <t>8891</t>
        </is>
      </c>
      <c r="E3405" s="31" t="inlineStr">
        <is>
          <t>71-21-37</t>
        </is>
      </c>
      <c r="F3405" s="31" t="inlineStr">
        <is>
          <t>C</t>
        </is>
      </c>
      <c r="G3405" s="31" t="inlineStr">
        <is>
          <t>Other / assembly</t>
        </is>
      </c>
      <c r="H3405" s="27" t="n">
        <v>405</v>
      </c>
      <c r="I3405" s="27" t="n">
        <v>430</v>
      </c>
      <c r="J3405" s="154">
        <f>I3405/H3405-1</f>
        <v/>
      </c>
      <c r="K3405" s="31" t="inlineStr">
        <is>
          <t>6</t>
        </is>
      </c>
      <c r="L3405" s="31" t="inlineStr">
        <is>
          <t>5</t>
        </is>
      </c>
      <c r="M3405" s="31" t="inlineStr">
        <is>
          <t>S3</t>
        </is>
      </c>
      <c r="N3405" s="31" t="inlineStr">
        <is>
          <t>S5</t>
        </is>
      </c>
      <c r="O3405" s="31" t="inlineStr">
        <is>
          <t>310A2034-13</t>
        </is>
      </c>
      <c r="P3405" s="31" t="inlineStr">
        <is>
          <t>SR Technics Switzerland</t>
        </is>
      </c>
    </row>
    <row r="3406">
      <c r="B3406" s="31" t="inlineStr">
        <is>
          <t>CFM56-7B</t>
        </is>
      </c>
      <c r="C3406" s="31" t="inlineStr">
        <is>
          <t>2025-2026</t>
        </is>
      </c>
      <c r="D3406" s="31" t="inlineStr">
        <is>
          <t>8897</t>
        </is>
      </c>
      <c r="E3406" s="31" t="inlineStr">
        <is>
          <t>71-21-37</t>
        </is>
      </c>
      <c r="F3406" s="31" t="inlineStr">
        <is>
          <t>A</t>
        </is>
      </c>
      <c r="G3406" s="31" t="inlineStr">
        <is>
          <t>Other / assembly</t>
        </is>
      </c>
      <c r="H3406" s="27" t="n">
        <v>1040</v>
      </c>
      <c r="I3406" s="27" t="n">
        <v>1095</v>
      </c>
      <c r="J3406" s="154">
        <f>I3406/H3406-1</f>
        <v/>
      </c>
      <c r="K3406" s="31" t="inlineStr">
        <is>
          <t>6</t>
        </is>
      </c>
      <c r="L3406" s="31" t="inlineStr">
        <is>
          <t>5</t>
        </is>
      </c>
      <c r="M3406" s="31" t="inlineStr">
        <is>
          <t>S3</t>
        </is>
      </c>
      <c r="N3406" s="31" t="inlineStr">
        <is>
          <t>S5</t>
        </is>
      </c>
      <c r="O3406" s="31" t="inlineStr">
        <is>
          <t>310A2035-3</t>
        </is>
      </c>
      <c r="P3406" s="31" t="inlineStr">
        <is>
          <t>SR Technics Switzerland</t>
        </is>
      </c>
    </row>
    <row r="3407">
      <c r="B3407" s="31" t="inlineStr">
        <is>
          <t>CFM56-7B</t>
        </is>
      </c>
      <c r="C3407" s="31" t="inlineStr">
        <is>
          <t>2025-2026</t>
        </is>
      </c>
      <c r="D3407" s="31" t="inlineStr">
        <is>
          <t>8897</t>
        </is>
      </c>
      <c r="E3407" s="31" t="inlineStr">
        <is>
          <t>71-21-37</t>
        </is>
      </c>
      <c r="F3407" s="31" t="inlineStr">
        <is>
          <t>B</t>
        </is>
      </c>
      <c r="G3407" s="31" t="inlineStr">
        <is>
          <t>Other / assembly</t>
        </is>
      </c>
      <c r="H3407" s="27" t="n">
        <v>940</v>
      </c>
      <c r="I3407" s="27" t="n">
        <v>1000</v>
      </c>
      <c r="J3407" s="154">
        <f>I3407/H3407-1</f>
        <v/>
      </c>
      <c r="K3407" s="31" t="inlineStr">
        <is>
          <t>6</t>
        </is>
      </c>
      <c r="L3407" s="31" t="inlineStr">
        <is>
          <t>5</t>
        </is>
      </c>
      <c r="M3407" s="31" t="inlineStr">
        <is>
          <t>S3</t>
        </is>
      </c>
      <c r="N3407" s="31" t="inlineStr">
        <is>
          <t>S5</t>
        </is>
      </c>
      <c r="O3407" s="31" t="inlineStr">
        <is>
          <t>310A2035-3</t>
        </is>
      </c>
      <c r="P3407" s="31" t="inlineStr">
        <is>
          <t>SR Technics Switzerland</t>
        </is>
      </c>
    </row>
    <row r="3408">
      <c r="B3408" s="31" t="inlineStr">
        <is>
          <t>CFM56-7B</t>
        </is>
      </c>
      <c r="C3408" s="31" t="inlineStr">
        <is>
          <t>2025-2026</t>
        </is>
      </c>
      <c r="D3408" s="31" t="inlineStr">
        <is>
          <t>8897</t>
        </is>
      </c>
      <c r="E3408" s="31" t="inlineStr">
        <is>
          <t>71-21-37</t>
        </is>
      </c>
      <c r="F3408" s="31" t="inlineStr">
        <is>
          <t>D</t>
        </is>
      </c>
      <c r="G3408" s="31" t="inlineStr">
        <is>
          <t>Other / assembly</t>
        </is>
      </c>
      <c r="H3408" s="27" t="n">
        <v>745</v>
      </c>
      <c r="I3408" s="27" t="n">
        <v>790</v>
      </c>
      <c r="J3408" s="154">
        <f>I3408/H3408-1</f>
        <v/>
      </c>
      <c r="K3408" s="31" t="inlineStr">
        <is>
          <t>6</t>
        </is>
      </c>
      <c r="L3408" s="31" t="inlineStr">
        <is>
          <t>5</t>
        </is>
      </c>
      <c r="M3408" s="31" t="inlineStr">
        <is>
          <t>S3</t>
        </is>
      </c>
      <c r="N3408" s="31" t="inlineStr">
        <is>
          <t>S5</t>
        </is>
      </c>
      <c r="O3408" s="31" t="inlineStr">
        <is>
          <t>310A2035-3</t>
        </is>
      </c>
      <c r="P3408" s="31" t="inlineStr">
        <is>
          <t>SR Technics Switzerland</t>
        </is>
      </c>
    </row>
    <row r="3409">
      <c r="B3409" s="31" t="inlineStr">
        <is>
          <t>CFM56-7B</t>
        </is>
      </c>
      <c r="C3409" s="31" t="inlineStr">
        <is>
          <t>2025-2026</t>
        </is>
      </c>
      <c r="D3409" s="31" t="inlineStr">
        <is>
          <t>9017</t>
        </is>
      </c>
      <c r="E3409" s="31" t="inlineStr">
        <is>
          <t>72-52-00</t>
        </is>
      </c>
      <c r="F3409" s="31" t="inlineStr">
        <is>
          <t>C</t>
        </is>
      </c>
      <c r="G3409" s="31" t="inlineStr">
        <is>
          <t>HPT / nozzle</t>
        </is>
      </c>
      <c r="H3409" s="27" t="n">
        <v>4135</v>
      </c>
      <c r="I3409" s="27" t="n">
        <v>4385</v>
      </c>
      <c r="J3409" s="154">
        <f>I3409/H3409-1</f>
        <v/>
      </c>
      <c r="K3409" s="31" t="inlineStr">
        <is>
          <t>85</t>
        </is>
      </c>
      <c r="L3409" s="31" t="inlineStr">
        <is>
          <t>83</t>
        </is>
      </c>
      <c r="M3409" s="31" t="inlineStr">
        <is>
          <t>S3</t>
        </is>
      </c>
      <c r="N3409" s="31" t="inlineStr">
        <is>
          <t>S5</t>
        </is>
      </c>
      <c r="O3409" s="31" t="inlineStr">
        <is>
          <t>HPT</t>
        </is>
      </c>
      <c r="P3409" s="31" t="inlineStr">
        <is>
          <t>SR Technics Switzerland</t>
        </is>
      </c>
    </row>
    <row r="3410">
      <c r="B3410" s="31" t="inlineStr">
        <is>
          <t>CFM56-7B</t>
        </is>
      </c>
      <c r="C3410" s="31" t="inlineStr">
        <is>
          <t>2025-2026</t>
        </is>
      </c>
      <c r="D3410" s="31" t="inlineStr">
        <is>
          <t>9941</t>
        </is>
      </c>
      <c r="E3410" s="31" t="inlineStr">
        <is>
          <t>72-23-31</t>
        </is>
      </c>
      <c r="F3410" s="31" t="inlineStr">
        <is>
          <t>A</t>
        </is>
      </c>
      <c r="G3410" s="31" t="inlineStr">
        <is>
          <t>Fan / booster</t>
        </is>
      </c>
      <c r="H3410" s="27" t="n">
        <v>4030</v>
      </c>
      <c r="I3410" s="27" t="n">
        <v>4235</v>
      </c>
      <c r="J3410" s="154">
        <f>I3410/H3410-1</f>
        <v/>
      </c>
      <c r="K3410" s="31" t="inlineStr">
        <is>
          <t>6</t>
        </is>
      </c>
      <c r="L3410" s="31" t="inlineStr">
        <is>
          <t>6</t>
        </is>
      </c>
      <c r="M3410" s="31" t="inlineStr">
        <is>
          <t>S3</t>
        </is>
      </c>
      <c r="N3410" s="31" t="inlineStr">
        <is>
          <t>S5</t>
        </is>
      </c>
      <c r="O3410" s="31" t="inlineStr">
        <is>
          <t>340-059-917-0</t>
        </is>
      </c>
      <c r="P3410" s="31" t="inlineStr">
        <is>
          <t>SR Technics Switzerland</t>
        </is>
      </c>
    </row>
    <row r="3411">
      <c r="B3411" s="31" t="inlineStr">
        <is>
          <t>CFM56-7B</t>
        </is>
      </c>
      <c r="C3411" s="31" t="inlineStr">
        <is>
          <t>2025-2026</t>
        </is>
      </c>
      <c r="D3411" s="31" t="inlineStr">
        <is>
          <t>9941</t>
        </is>
      </c>
      <c r="E3411" s="31" t="inlineStr">
        <is>
          <t>72-23-31</t>
        </is>
      </c>
      <c r="F3411" s="31" t="inlineStr">
        <is>
          <t>AB</t>
        </is>
      </c>
      <c r="G3411" s="31" t="inlineStr">
        <is>
          <t>Fan / booster</t>
        </is>
      </c>
      <c r="H3411" s="27" t="n">
        <v>5285</v>
      </c>
      <c r="I3411" s="27" t="n">
        <v>5605</v>
      </c>
      <c r="J3411" s="154">
        <f>I3411/H3411-1</f>
        <v/>
      </c>
      <c r="K3411" s="31" t="inlineStr">
        <is>
          <t>6</t>
        </is>
      </c>
      <c r="L3411" s="31" t="inlineStr">
        <is>
          <t>6</t>
        </is>
      </c>
      <c r="M3411" s="31" t="inlineStr">
        <is>
          <t>S3</t>
        </is>
      </c>
      <c r="N3411" s="31" t="inlineStr">
        <is>
          <t>S5</t>
        </is>
      </c>
      <c r="O3411" s="31" t="inlineStr">
        <is>
          <t>340-059-917-0</t>
        </is>
      </c>
      <c r="P3411" s="31" t="inlineStr">
        <is>
          <t>SR Technics Switzerland</t>
        </is>
      </c>
    </row>
    <row r="3412">
      <c r="B3412" s="31" t="inlineStr">
        <is>
          <t>CFM56-7B</t>
        </is>
      </c>
      <c r="C3412" s="31" t="inlineStr">
        <is>
          <t>2025-2026</t>
        </is>
      </c>
      <c r="D3412" s="31" t="inlineStr">
        <is>
          <t>9941</t>
        </is>
      </c>
      <c r="E3412" s="31" t="inlineStr">
        <is>
          <t>72-23-31</t>
        </is>
      </c>
      <c r="F3412" s="31" t="inlineStr">
        <is>
          <t>AC</t>
        </is>
      </c>
      <c r="G3412" s="31" t="inlineStr">
        <is>
          <t>Fan / booster</t>
        </is>
      </c>
      <c r="H3412" s="27" t="n">
        <v>3335</v>
      </c>
      <c r="I3412" s="27" t="n">
        <v>3540</v>
      </c>
      <c r="J3412" s="154">
        <f>I3412/H3412-1</f>
        <v/>
      </c>
      <c r="K3412" s="31" t="inlineStr">
        <is>
          <t>6</t>
        </is>
      </c>
      <c r="L3412" s="31" t="inlineStr">
        <is>
          <t>6</t>
        </is>
      </c>
      <c r="M3412" s="31" t="inlineStr">
        <is>
          <t>S3</t>
        </is>
      </c>
      <c r="N3412" s="31" t="inlineStr">
        <is>
          <t>S5</t>
        </is>
      </c>
      <c r="O3412" s="31" t="inlineStr">
        <is>
          <t>340-059-917-0</t>
        </is>
      </c>
      <c r="P3412" s="31" t="inlineStr">
        <is>
          <t>SR Technics Switzerland</t>
        </is>
      </c>
    </row>
    <row r="3413">
      <c r="B3413" s="31" t="inlineStr">
        <is>
          <t>CFM56-7B</t>
        </is>
      </c>
      <c r="C3413" s="31" t="inlineStr">
        <is>
          <t>2025-2026</t>
        </is>
      </c>
      <c r="D3413" s="31" t="inlineStr">
        <is>
          <t>9941</t>
        </is>
      </c>
      <c r="E3413" s="31" t="inlineStr">
        <is>
          <t>72-23-31</t>
        </is>
      </c>
      <c r="F3413" s="31" t="inlineStr">
        <is>
          <t>AD</t>
        </is>
      </c>
      <c r="G3413" s="31" t="inlineStr">
        <is>
          <t>Fan / booster</t>
        </is>
      </c>
      <c r="H3413" s="27" t="n">
        <v>560</v>
      </c>
      <c r="I3413" s="27" t="n">
        <v>595</v>
      </c>
      <c r="J3413" s="154">
        <f>I3413/H3413-1</f>
        <v/>
      </c>
      <c r="K3413" s="31" t="inlineStr">
        <is>
          <t>6</t>
        </is>
      </c>
      <c r="L3413" s="31" t="inlineStr">
        <is>
          <t>6</t>
        </is>
      </c>
      <c r="M3413" s="31" t="inlineStr">
        <is>
          <t>S3</t>
        </is>
      </c>
      <c r="N3413" s="31" t="inlineStr">
        <is>
          <t>S5</t>
        </is>
      </c>
      <c r="O3413" s="31" t="inlineStr">
        <is>
          <t>340-059-917-0</t>
        </is>
      </c>
      <c r="P3413" s="31" t="inlineStr">
        <is>
          <t>SR Technics Switzerland</t>
        </is>
      </c>
    </row>
    <row r="3414">
      <c r="B3414" s="31" t="inlineStr">
        <is>
          <t>CFM56-7B</t>
        </is>
      </c>
      <c r="C3414" s="31" t="inlineStr">
        <is>
          <t>2025-2026</t>
        </is>
      </c>
      <c r="D3414" s="31" t="inlineStr">
        <is>
          <t>9941</t>
        </is>
      </c>
      <c r="E3414" s="31" t="inlineStr">
        <is>
          <t>72-23-31</t>
        </is>
      </c>
      <c r="F3414" s="31" t="inlineStr">
        <is>
          <t>AL</t>
        </is>
      </c>
      <c r="G3414" s="31" t="inlineStr">
        <is>
          <t>Fan / booster</t>
        </is>
      </c>
      <c r="H3414" s="27" t="n">
        <v>5005</v>
      </c>
      <c r="I3414" s="27" t="n">
        <v>5310</v>
      </c>
      <c r="J3414" s="154">
        <f>I3414/H3414-1</f>
        <v/>
      </c>
      <c r="K3414" s="31" t="inlineStr">
        <is>
          <t>6</t>
        </is>
      </c>
      <c r="L3414" s="31" t="inlineStr">
        <is>
          <t>6</t>
        </is>
      </c>
      <c r="M3414" s="31" t="inlineStr">
        <is>
          <t>S3</t>
        </is>
      </c>
      <c r="N3414" s="31" t="inlineStr">
        <is>
          <t>S5</t>
        </is>
      </c>
      <c r="O3414" s="31" t="inlineStr">
        <is>
          <t>340-059-917-0</t>
        </is>
      </c>
      <c r="P3414" s="31" t="inlineStr">
        <is>
          <t>SR Technics Switzerland</t>
        </is>
      </c>
    </row>
    <row r="3415">
      <c r="B3415" s="31" t="inlineStr">
        <is>
          <t>CFM56-7B</t>
        </is>
      </c>
      <c r="C3415" s="31" t="inlineStr">
        <is>
          <t>2025-2026</t>
        </is>
      </c>
      <c r="D3415" s="31" t="inlineStr">
        <is>
          <t>9941</t>
        </is>
      </c>
      <c r="E3415" s="31" t="inlineStr">
        <is>
          <t>72-23-31</t>
        </is>
      </c>
      <c r="F3415" s="31" t="inlineStr">
        <is>
          <t>AM</t>
        </is>
      </c>
      <c r="G3415" s="31" t="inlineStr">
        <is>
          <t>Fan / booster</t>
        </is>
      </c>
      <c r="H3415" s="27" t="n">
        <v>3335</v>
      </c>
      <c r="I3415" s="27" t="n">
        <v>3540</v>
      </c>
      <c r="J3415" s="154">
        <f>I3415/H3415-1</f>
        <v/>
      </c>
      <c r="K3415" s="31" t="inlineStr">
        <is>
          <t>6</t>
        </is>
      </c>
      <c r="L3415" s="31" t="inlineStr">
        <is>
          <t>6</t>
        </is>
      </c>
      <c r="M3415" s="31" t="inlineStr">
        <is>
          <t>S3</t>
        </is>
      </c>
      <c r="N3415" s="31" t="inlineStr">
        <is>
          <t>S5</t>
        </is>
      </c>
      <c r="O3415" s="31" t="inlineStr">
        <is>
          <t>340-059-917-0</t>
        </is>
      </c>
      <c r="P3415" s="31" t="inlineStr">
        <is>
          <t>SR Technics Switzerland</t>
        </is>
      </c>
    </row>
    <row r="3416">
      <c r="B3416" s="31" t="inlineStr">
        <is>
          <t>CFM56-7B</t>
        </is>
      </c>
      <c r="C3416" s="31" t="inlineStr">
        <is>
          <t>2025-2026</t>
        </is>
      </c>
      <c r="D3416" s="31" t="inlineStr">
        <is>
          <t>9941</t>
        </is>
      </c>
      <c r="E3416" s="31" t="inlineStr">
        <is>
          <t>72-23-31</t>
        </is>
      </c>
      <c r="F3416" s="31" t="inlineStr">
        <is>
          <t>AN</t>
        </is>
      </c>
      <c r="G3416" s="31" t="inlineStr">
        <is>
          <t>Fan / booster</t>
        </is>
      </c>
      <c r="H3416" s="27" t="n">
        <v>870</v>
      </c>
      <c r="I3416" s="27" t="n">
        <v>925</v>
      </c>
      <c r="J3416" s="154">
        <f>I3416/H3416-1</f>
        <v/>
      </c>
      <c r="K3416" s="31" t="inlineStr">
        <is>
          <t>6</t>
        </is>
      </c>
      <c r="L3416" s="31" t="inlineStr">
        <is>
          <t>6</t>
        </is>
      </c>
      <c r="M3416" s="31" t="inlineStr">
        <is>
          <t>S3</t>
        </is>
      </c>
      <c r="N3416" s="31" t="inlineStr">
        <is>
          <t>S5</t>
        </is>
      </c>
      <c r="O3416" s="31" t="inlineStr">
        <is>
          <t>340-059-917-0</t>
        </is>
      </c>
      <c r="P3416" s="31" t="inlineStr">
        <is>
          <t>SR Technics Switzerland</t>
        </is>
      </c>
    </row>
    <row r="3417">
      <c r="B3417" s="31" t="inlineStr">
        <is>
          <t>CFM56-7B</t>
        </is>
      </c>
      <c r="C3417" s="31" t="inlineStr">
        <is>
          <t>2025-2026</t>
        </is>
      </c>
      <c r="D3417" s="31" t="inlineStr">
        <is>
          <t>9941</t>
        </is>
      </c>
      <c r="E3417" s="31" t="inlineStr">
        <is>
          <t>72-23-31</t>
        </is>
      </c>
      <c r="F3417" s="31" t="inlineStr">
        <is>
          <t>B</t>
        </is>
      </c>
      <c r="G3417" s="31" t="inlineStr">
        <is>
          <t>Fan / booster</t>
        </is>
      </c>
      <c r="H3417" s="27" t="n">
        <v>1350</v>
      </c>
      <c r="I3417" s="27" t="n">
        <v>1435</v>
      </c>
      <c r="J3417" s="154">
        <f>I3417/H3417-1</f>
        <v/>
      </c>
      <c r="K3417" s="31" t="inlineStr">
        <is>
          <t>6, 7</t>
        </is>
      </c>
      <c r="L3417" s="31" t="inlineStr">
        <is>
          <t>6</t>
        </is>
      </c>
      <c r="M3417" s="31" t="inlineStr">
        <is>
          <t>S3</t>
        </is>
      </c>
      <c r="N3417" s="31" t="inlineStr">
        <is>
          <t>S5</t>
        </is>
      </c>
      <c r="O3417" s="31" t="inlineStr">
        <is>
          <t>340-059-917-0</t>
        </is>
      </c>
      <c r="P3417" s="31" t="inlineStr">
        <is>
          <t>SR Technics Switzerland</t>
        </is>
      </c>
    </row>
    <row r="3418">
      <c r="B3418" s="31" t="inlineStr">
        <is>
          <t>CFM56-7B</t>
        </is>
      </c>
      <c r="C3418" s="31" t="inlineStr">
        <is>
          <t>2025-2026</t>
        </is>
      </c>
      <c r="D3418" s="31" t="inlineStr">
        <is>
          <t>9941</t>
        </is>
      </c>
      <c r="E3418" s="31" t="inlineStr">
        <is>
          <t>72-23-31</t>
        </is>
      </c>
      <c r="F3418" s="31" t="inlineStr">
        <is>
          <t>D</t>
        </is>
      </c>
      <c r="G3418" s="31" t="inlineStr">
        <is>
          <t>Fan / booster</t>
        </is>
      </c>
      <c r="H3418" s="27" t="n">
        <v>740</v>
      </c>
      <c r="I3418" s="27" t="n">
        <v>785</v>
      </c>
      <c r="J3418" s="154">
        <f>I3418/H3418-1</f>
        <v/>
      </c>
      <c r="K3418" s="31" t="inlineStr">
        <is>
          <t>7</t>
        </is>
      </c>
      <c r="L3418" s="31" t="inlineStr">
        <is>
          <t>6</t>
        </is>
      </c>
      <c r="M3418" s="31" t="inlineStr">
        <is>
          <t>S3</t>
        </is>
      </c>
      <c r="N3418" s="31" t="inlineStr">
        <is>
          <t>S5</t>
        </is>
      </c>
      <c r="O3418" s="31" t="inlineStr">
        <is>
          <t>340-059-917-0</t>
        </is>
      </c>
      <c r="P3418" s="31" t="inlineStr">
        <is>
          <t>SR Technics Switzerland</t>
        </is>
      </c>
    </row>
    <row r="3419">
      <c r="B3419" s="31" t="inlineStr">
        <is>
          <t>CFM56-7B</t>
        </is>
      </c>
      <c r="C3419" s="31" t="inlineStr">
        <is>
          <t>2025-2026</t>
        </is>
      </c>
      <c r="D3419" s="31" t="inlineStr">
        <is>
          <t>9941</t>
        </is>
      </c>
      <c r="E3419" s="31" t="inlineStr">
        <is>
          <t>72-23-31</t>
        </is>
      </c>
      <c r="F3419" s="31" t="inlineStr">
        <is>
          <t>E</t>
        </is>
      </c>
      <c r="G3419" s="31" t="inlineStr">
        <is>
          <t>Fan / booster</t>
        </is>
      </c>
      <c r="H3419" s="27" t="n">
        <v>1470</v>
      </c>
      <c r="I3419" s="27" t="n">
        <v>1560</v>
      </c>
      <c r="J3419" s="154">
        <f>I3419/H3419-1</f>
        <v/>
      </c>
      <c r="K3419" s="31" t="inlineStr">
        <is>
          <t>7</t>
        </is>
      </c>
      <c r="L3419" s="31" t="inlineStr">
        <is>
          <t>6</t>
        </is>
      </c>
      <c r="M3419" s="31" t="inlineStr">
        <is>
          <t>S3</t>
        </is>
      </c>
      <c r="N3419" s="31" t="inlineStr">
        <is>
          <t>S5</t>
        </is>
      </c>
      <c r="O3419" s="31" t="inlineStr">
        <is>
          <t>340-059-917-0</t>
        </is>
      </c>
      <c r="P3419" s="31" t="inlineStr">
        <is>
          <t>SR Technics Switzerland</t>
        </is>
      </c>
    </row>
    <row r="3420">
      <c r="B3420" s="31" t="inlineStr">
        <is>
          <t>CFM56-7B</t>
        </is>
      </c>
      <c r="C3420" s="31" t="inlineStr">
        <is>
          <t>2025-2026</t>
        </is>
      </c>
      <c r="D3420" s="31" t="inlineStr">
        <is>
          <t>9941</t>
        </is>
      </c>
      <c r="E3420" s="31" t="inlineStr">
        <is>
          <t>72-23-31</t>
        </is>
      </c>
      <c r="F3420" s="31" t="inlineStr">
        <is>
          <t>F</t>
        </is>
      </c>
      <c r="G3420" s="31" t="inlineStr">
        <is>
          <t>Fan / booster</t>
        </is>
      </c>
      <c r="H3420" s="27" t="n">
        <v>1470</v>
      </c>
      <c r="I3420" s="27" t="n">
        <v>1560</v>
      </c>
      <c r="J3420" s="154">
        <f>I3420/H3420-1</f>
        <v/>
      </c>
      <c r="K3420" s="31" t="inlineStr">
        <is>
          <t>7</t>
        </is>
      </c>
      <c r="L3420" s="31" t="inlineStr">
        <is>
          <t>6</t>
        </is>
      </c>
      <c r="M3420" s="31" t="inlineStr">
        <is>
          <t>S3</t>
        </is>
      </c>
      <c r="N3420" s="31" t="inlineStr">
        <is>
          <t>S5</t>
        </is>
      </c>
      <c r="O3420" s="31" t="inlineStr">
        <is>
          <t>340-059-917-0</t>
        </is>
      </c>
      <c r="P3420" s="31" t="inlineStr">
        <is>
          <t>SR Technics Switzerland</t>
        </is>
      </c>
    </row>
    <row r="3421">
      <c r="B3421" s="31" t="inlineStr">
        <is>
          <t>CFM56-7B</t>
        </is>
      </c>
      <c r="C3421" s="31" t="inlineStr">
        <is>
          <t>2025-2026</t>
        </is>
      </c>
      <c r="D3421" s="31" t="inlineStr">
        <is>
          <t>9941</t>
        </is>
      </c>
      <c r="E3421" s="31" t="inlineStr">
        <is>
          <t>72-23-31</t>
        </is>
      </c>
      <c r="F3421" s="31" t="inlineStr">
        <is>
          <t>G</t>
        </is>
      </c>
      <c r="G3421" s="31" t="inlineStr">
        <is>
          <t>Fan / booster</t>
        </is>
      </c>
      <c r="H3421" s="27" t="n">
        <v>15605</v>
      </c>
      <c r="I3421" s="27" t="n">
        <v>16545</v>
      </c>
      <c r="J3421" s="154">
        <f>I3421/H3421-1</f>
        <v/>
      </c>
      <c r="K3421" s="31" t="inlineStr">
        <is>
          <t>7</t>
        </is>
      </c>
      <c r="L3421" s="31" t="inlineStr">
        <is>
          <t>6</t>
        </is>
      </c>
      <c r="M3421" s="31" t="inlineStr">
        <is>
          <t>S3</t>
        </is>
      </c>
      <c r="N3421" s="31" t="inlineStr">
        <is>
          <t>S5</t>
        </is>
      </c>
      <c r="O3421" s="31" t="inlineStr">
        <is>
          <t>340-059-917-0</t>
        </is>
      </c>
      <c r="P3421" s="31" t="inlineStr">
        <is>
          <t>SR Technics Switzerland</t>
        </is>
      </c>
    </row>
    <row r="3422">
      <c r="B3422" s="31" t="inlineStr">
        <is>
          <t>CFM56-7B</t>
        </is>
      </c>
      <c r="C3422" s="31" t="inlineStr">
        <is>
          <t>2025-2026</t>
        </is>
      </c>
      <c r="D3422" s="31" t="inlineStr">
        <is>
          <t>9941</t>
        </is>
      </c>
      <c r="E3422" s="31" t="inlineStr">
        <is>
          <t>72-23-31</t>
        </is>
      </c>
      <c r="F3422" s="31" t="inlineStr">
        <is>
          <t>H</t>
        </is>
      </c>
      <c r="G3422" s="31" t="inlineStr">
        <is>
          <t>Fan / booster</t>
        </is>
      </c>
      <c r="H3422" s="27" t="n">
        <v>920</v>
      </c>
      <c r="I3422" s="27" t="n">
        <v>980</v>
      </c>
      <c r="J3422" s="154">
        <f>I3422/H3422-1</f>
        <v/>
      </c>
      <c r="K3422" s="31" t="inlineStr">
        <is>
          <t>7</t>
        </is>
      </c>
      <c r="L3422" s="31" t="inlineStr">
        <is>
          <t>6</t>
        </is>
      </c>
      <c r="M3422" s="31" t="inlineStr">
        <is>
          <t>S3</t>
        </is>
      </c>
      <c r="N3422" s="31" t="inlineStr">
        <is>
          <t>S5</t>
        </is>
      </c>
      <c r="O3422" s="31" t="inlineStr">
        <is>
          <t>340-059-917-0</t>
        </is>
      </c>
      <c r="P3422" s="31" t="inlineStr">
        <is>
          <t>SR Technics Switzerland</t>
        </is>
      </c>
    </row>
    <row r="3423">
      <c r="B3423" s="31" t="inlineStr">
        <is>
          <t>CFM56-7B</t>
        </is>
      </c>
      <c r="C3423" s="31" t="inlineStr">
        <is>
          <t>2025-2026</t>
        </is>
      </c>
      <c r="D3423" s="31" t="inlineStr">
        <is>
          <t>9941</t>
        </is>
      </c>
      <c r="E3423" s="31" t="inlineStr">
        <is>
          <t>72-23-31</t>
        </is>
      </c>
      <c r="F3423" s="31" t="inlineStr">
        <is>
          <t>I</t>
        </is>
      </c>
      <c r="G3423" s="31" t="inlineStr">
        <is>
          <t>Fan / booster</t>
        </is>
      </c>
      <c r="H3423" s="27" t="n">
        <v>1200</v>
      </c>
      <c r="I3423" s="27" t="n">
        <v>1275</v>
      </c>
      <c r="J3423" s="154">
        <f>I3423/H3423-1</f>
        <v/>
      </c>
      <c r="K3423" s="31" t="inlineStr">
        <is>
          <t>7</t>
        </is>
      </c>
      <c r="L3423" s="31" t="inlineStr">
        <is>
          <t>6</t>
        </is>
      </c>
      <c r="M3423" s="31" t="inlineStr">
        <is>
          <t>S3</t>
        </is>
      </c>
      <c r="N3423" s="31" t="inlineStr">
        <is>
          <t>S5</t>
        </is>
      </c>
      <c r="O3423" s="31" t="inlineStr">
        <is>
          <t>340-059-917-0</t>
        </is>
      </c>
      <c r="P3423" s="31" t="inlineStr">
        <is>
          <t>SR Technics Switzerland</t>
        </is>
      </c>
    </row>
    <row r="3424">
      <c r="B3424" s="31" t="inlineStr">
        <is>
          <t>CFM56-7B</t>
        </is>
      </c>
      <c r="C3424" s="31" t="inlineStr">
        <is>
          <t>2025-2026</t>
        </is>
      </c>
      <c r="D3424" s="31" t="inlineStr">
        <is>
          <t>9941</t>
        </is>
      </c>
      <c r="E3424" s="31" t="inlineStr">
        <is>
          <t>72-23-31</t>
        </is>
      </c>
      <c r="F3424" s="31" t="inlineStr">
        <is>
          <t>Q</t>
        </is>
      </c>
      <c r="G3424" s="31" t="inlineStr">
        <is>
          <t>Fan / booster</t>
        </is>
      </c>
      <c r="H3424" s="27" t="n">
        <v>2150</v>
      </c>
      <c r="I3424" s="27" t="n">
        <v>2280</v>
      </c>
      <c r="J3424" s="154">
        <f>I3424/H3424-1</f>
        <v/>
      </c>
      <c r="K3424" s="31" t="inlineStr">
        <is>
          <t>7</t>
        </is>
      </c>
      <c r="L3424" s="31" t="inlineStr">
        <is>
          <t>6</t>
        </is>
      </c>
      <c r="M3424" s="31" t="inlineStr">
        <is>
          <t>S3</t>
        </is>
      </c>
      <c r="N3424" s="31" t="inlineStr">
        <is>
          <t>S5</t>
        </is>
      </c>
      <c r="O3424" s="31" t="inlineStr">
        <is>
          <t>340-059-917-0</t>
        </is>
      </c>
      <c r="P3424" s="31" t="inlineStr">
        <is>
          <t>SR Technics Switzerland</t>
        </is>
      </c>
    </row>
    <row r="3425">
      <c r="B3425" s="31" t="inlineStr">
        <is>
          <t>CFM56-7B</t>
        </is>
      </c>
      <c r="C3425" s="31" t="inlineStr">
        <is>
          <t>2025-2026</t>
        </is>
      </c>
      <c r="D3425" s="31" t="inlineStr">
        <is>
          <t>9941</t>
        </is>
      </c>
      <c r="E3425" s="31" t="inlineStr">
        <is>
          <t>72-23-31</t>
        </is>
      </c>
      <c r="F3425" s="31" t="inlineStr">
        <is>
          <t>S</t>
        </is>
      </c>
      <c r="G3425" s="31" t="inlineStr">
        <is>
          <t>Fan / booster</t>
        </is>
      </c>
      <c r="H3425" s="27" t="n">
        <v>2015</v>
      </c>
      <c r="I3425" s="27" t="n">
        <v>2140</v>
      </c>
      <c r="J3425" s="154">
        <f>I3425/H3425-1</f>
        <v/>
      </c>
      <c r="K3425" s="31" t="inlineStr">
        <is>
          <t>7</t>
        </is>
      </c>
      <c r="L3425" s="31" t="inlineStr">
        <is>
          <t>6</t>
        </is>
      </c>
      <c r="M3425" s="31" t="inlineStr">
        <is>
          <t>S3</t>
        </is>
      </c>
      <c r="N3425" s="31" t="inlineStr">
        <is>
          <t>S5</t>
        </is>
      </c>
      <c r="O3425" s="31" t="inlineStr">
        <is>
          <t>340-059-917-0</t>
        </is>
      </c>
      <c r="P3425" s="31" t="inlineStr">
        <is>
          <t>SR Technics Switzerland</t>
        </is>
      </c>
    </row>
    <row r="3426">
      <c r="B3426" s="31" t="inlineStr">
        <is>
          <t>CFM56-7B</t>
        </is>
      </c>
      <c r="C3426" s="31" t="inlineStr">
        <is>
          <t>2025-2026</t>
        </is>
      </c>
      <c r="D3426" s="31" t="inlineStr">
        <is>
          <t>9941</t>
        </is>
      </c>
      <c r="E3426" s="31" t="inlineStr">
        <is>
          <t>72-23-31</t>
        </is>
      </c>
      <c r="F3426" s="31" t="inlineStr">
        <is>
          <t>SB02</t>
        </is>
      </c>
      <c r="G3426" s="31" t="inlineStr">
        <is>
          <t>Fan / booster</t>
        </is>
      </c>
      <c r="H3426" s="27" t="n">
        <v>2675</v>
      </c>
      <c r="I3426" s="27" t="n">
        <v>2840</v>
      </c>
      <c r="J3426" s="154">
        <f>I3426/H3426-1</f>
        <v/>
      </c>
      <c r="K3426" s="31" t="inlineStr">
        <is>
          <t>7</t>
        </is>
      </c>
      <c r="L3426" s="31" t="inlineStr">
        <is>
          <t>6</t>
        </is>
      </c>
      <c r="M3426" s="31" t="inlineStr">
        <is>
          <t>S3</t>
        </is>
      </c>
      <c r="N3426" s="31" t="inlineStr">
        <is>
          <t>S5</t>
        </is>
      </c>
      <c r="O3426" s="31" t="inlineStr">
        <is>
          <t>340-059-917-0</t>
        </is>
      </c>
      <c r="P3426" s="31" t="inlineStr">
        <is>
          <t>SR Technics Switzerland</t>
        </is>
      </c>
    </row>
    <row r="3427">
      <c r="B3427" s="31" t="inlineStr">
        <is>
          <t>CFM56-7B</t>
        </is>
      </c>
      <c r="C3427" s="31" t="inlineStr">
        <is>
          <t>2025-2026</t>
        </is>
      </c>
      <c r="D3427" s="31" t="inlineStr">
        <is>
          <t>9941</t>
        </is>
      </c>
      <c r="E3427" s="31" t="inlineStr">
        <is>
          <t>72-23-31</t>
        </is>
      </c>
      <c r="F3427" s="31" t="inlineStr">
        <is>
          <t>SB04</t>
        </is>
      </c>
      <c r="G3427" s="31" t="inlineStr">
        <is>
          <t>Fan / booster</t>
        </is>
      </c>
      <c r="H3427" s="27" t="n">
        <v>7260</v>
      </c>
      <c r="I3427" s="27" t="n">
        <v>7700</v>
      </c>
      <c r="J3427" s="154">
        <f>I3427/H3427-1</f>
        <v/>
      </c>
      <c r="K3427" s="31" t="inlineStr">
        <is>
          <t>7</t>
        </is>
      </c>
      <c r="L3427" s="31" t="inlineStr">
        <is>
          <t>6</t>
        </is>
      </c>
      <c r="M3427" s="31" t="inlineStr">
        <is>
          <t>S3</t>
        </is>
      </c>
      <c r="N3427" s="31" t="inlineStr">
        <is>
          <t>S5</t>
        </is>
      </c>
      <c r="O3427" s="31" t="inlineStr">
        <is>
          <t>340-059-917-0</t>
        </is>
      </c>
      <c r="P3427" s="31" t="inlineStr">
        <is>
          <t>SR Technics Switzerland</t>
        </is>
      </c>
    </row>
    <row r="3428">
      <c r="B3428" s="31" t="inlineStr">
        <is>
          <t>CFM56-7B</t>
        </is>
      </c>
      <c r="C3428" s="31" t="inlineStr">
        <is>
          <t>2025-2026</t>
        </is>
      </c>
      <c r="D3428" s="31" t="inlineStr">
        <is>
          <t>9941</t>
        </is>
      </c>
      <c r="E3428" s="31" t="inlineStr">
        <is>
          <t>72-23-31</t>
        </is>
      </c>
      <c r="F3428" s="31" t="inlineStr">
        <is>
          <t>SB05</t>
        </is>
      </c>
      <c r="G3428" s="31" t="inlineStr">
        <is>
          <t>Fan / booster</t>
        </is>
      </c>
      <c r="H3428" s="27" t="n">
        <v>805</v>
      </c>
      <c r="I3428" s="27" t="n">
        <v>855</v>
      </c>
      <c r="J3428" s="154">
        <f>I3428/H3428-1</f>
        <v/>
      </c>
      <c r="K3428" s="31" t="inlineStr">
        <is>
          <t>7</t>
        </is>
      </c>
      <c r="L3428" s="31" t="inlineStr">
        <is>
          <t>6</t>
        </is>
      </c>
      <c r="M3428" s="31" t="inlineStr">
        <is>
          <t>S3</t>
        </is>
      </c>
      <c r="N3428" s="31" t="inlineStr">
        <is>
          <t>S5</t>
        </is>
      </c>
      <c r="O3428" s="31" t="inlineStr">
        <is>
          <t>340-059-917-0</t>
        </is>
      </c>
      <c r="P3428" s="31" t="inlineStr">
        <is>
          <t>SR Technics Switzerland</t>
        </is>
      </c>
    </row>
    <row r="3429">
      <c r="B3429" s="31" t="inlineStr">
        <is>
          <t>CFM56-7B</t>
        </is>
      </c>
      <c r="C3429" s="31" t="inlineStr">
        <is>
          <t>2025-2026</t>
        </is>
      </c>
      <c r="D3429" s="31" t="inlineStr">
        <is>
          <t>9941</t>
        </is>
      </c>
      <c r="E3429" s="31" t="inlineStr">
        <is>
          <t>72-23-31</t>
        </is>
      </c>
      <c r="F3429" s="31" t="inlineStr">
        <is>
          <t>SB06</t>
        </is>
      </c>
      <c r="G3429" s="31" t="inlineStr">
        <is>
          <t>Fan / booster</t>
        </is>
      </c>
      <c r="H3429" s="27" t="n">
        <v>170</v>
      </c>
      <c r="I3429" s="27" t="n">
        <v>185</v>
      </c>
      <c r="J3429" s="154">
        <f>I3429/H3429-1</f>
        <v/>
      </c>
      <c r="K3429" s="31" t="inlineStr">
        <is>
          <t>7</t>
        </is>
      </c>
      <c r="L3429" s="31" t="inlineStr">
        <is>
          <t>6</t>
        </is>
      </c>
      <c r="M3429" s="31" t="inlineStr">
        <is>
          <t>S3</t>
        </is>
      </c>
      <c r="N3429" s="31" t="inlineStr">
        <is>
          <t>S5</t>
        </is>
      </c>
      <c r="O3429" s="31" t="inlineStr">
        <is>
          <t>340-059-917-0</t>
        </is>
      </c>
      <c r="P3429" s="31" t="inlineStr">
        <is>
          <t>SR Technics Switzerland</t>
        </is>
      </c>
    </row>
    <row r="3430">
      <c r="B3430" s="31" t="inlineStr">
        <is>
          <t>CFM56-7B</t>
        </is>
      </c>
      <c r="C3430" s="31" t="inlineStr">
        <is>
          <t>2025-2026</t>
        </is>
      </c>
      <c r="D3430" s="31" t="inlineStr">
        <is>
          <t>9941</t>
        </is>
      </c>
      <c r="E3430" s="31" t="inlineStr">
        <is>
          <t>72-23-31</t>
        </is>
      </c>
      <c r="F3430" s="31" t="inlineStr">
        <is>
          <t>U</t>
        </is>
      </c>
      <c r="G3430" s="31" t="inlineStr">
        <is>
          <t>Fan / booster</t>
        </is>
      </c>
      <c r="H3430" s="27" t="n">
        <v>5525</v>
      </c>
      <c r="I3430" s="27" t="n">
        <v>5860</v>
      </c>
      <c r="J3430" s="154">
        <f>I3430/H3430-1</f>
        <v/>
      </c>
      <c r="K3430" s="31" t="inlineStr">
        <is>
          <t>7</t>
        </is>
      </c>
      <c r="L3430" s="31" t="inlineStr">
        <is>
          <t>6</t>
        </is>
      </c>
      <c r="M3430" s="31" t="inlineStr">
        <is>
          <t>S3</t>
        </is>
      </c>
      <c r="N3430" s="31" t="inlineStr">
        <is>
          <t>S5</t>
        </is>
      </c>
      <c r="O3430" s="31" t="inlineStr">
        <is>
          <t>340-059-917-0</t>
        </is>
      </c>
      <c r="P3430" s="31" t="inlineStr">
        <is>
          <t>SR Technics Switzerland</t>
        </is>
      </c>
    </row>
    <row r="3431">
      <c r="B3431" s="31" t="inlineStr">
        <is>
          <t>CFM56-7B</t>
        </is>
      </c>
      <c r="C3431" s="31" t="inlineStr">
        <is>
          <t>2025-2026</t>
        </is>
      </c>
      <c r="D3431" s="31" t="inlineStr">
        <is>
          <t>9941</t>
        </is>
      </c>
      <c r="E3431" s="31" t="inlineStr">
        <is>
          <t>72-23-31</t>
        </is>
      </c>
      <c r="F3431" s="31" t="inlineStr">
        <is>
          <t>V</t>
        </is>
      </c>
      <c r="G3431" s="31" t="inlineStr">
        <is>
          <t>Fan / booster</t>
        </is>
      </c>
      <c r="H3431" s="27" t="n">
        <v>520</v>
      </c>
      <c r="I3431" s="27" t="n">
        <v>555</v>
      </c>
      <c r="J3431" s="154">
        <f>I3431/H3431-1</f>
        <v/>
      </c>
      <c r="K3431" s="31" t="inlineStr">
        <is>
          <t>7</t>
        </is>
      </c>
      <c r="L3431" s="31" t="inlineStr">
        <is>
          <t>6</t>
        </is>
      </c>
      <c r="M3431" s="31" t="inlineStr">
        <is>
          <t>S3</t>
        </is>
      </c>
      <c r="N3431" s="31" t="inlineStr">
        <is>
          <t>S5</t>
        </is>
      </c>
      <c r="O3431" s="31" t="inlineStr">
        <is>
          <t>340-059-917-0</t>
        </is>
      </c>
      <c r="P3431" s="31" t="inlineStr">
        <is>
          <t>SR Technics Switzerland</t>
        </is>
      </c>
    </row>
    <row r="3432">
      <c r="B3432" s="31" t="inlineStr">
        <is>
          <t>CFM56-7B</t>
        </is>
      </c>
      <c r="C3432" s="31" t="inlineStr">
        <is>
          <t>2025-2026</t>
        </is>
      </c>
      <c r="D3432" s="31" t="inlineStr">
        <is>
          <t>9941</t>
        </is>
      </c>
      <c r="E3432" s="31" t="inlineStr">
        <is>
          <t>72-23-31</t>
        </is>
      </c>
      <c r="F3432" s="31" t="inlineStr">
        <is>
          <t>W</t>
        </is>
      </c>
      <c r="G3432" s="31" t="inlineStr">
        <is>
          <t>Fan / booster</t>
        </is>
      </c>
      <c r="H3432" s="27" t="n">
        <v>5860</v>
      </c>
      <c r="I3432" s="27" t="n">
        <v>6215</v>
      </c>
      <c r="J3432" s="154">
        <f>I3432/H3432-1</f>
        <v/>
      </c>
      <c r="K3432" s="31" t="inlineStr">
        <is>
          <t>7</t>
        </is>
      </c>
      <c r="L3432" s="31" t="inlineStr">
        <is>
          <t>6</t>
        </is>
      </c>
      <c r="M3432" s="31" t="inlineStr">
        <is>
          <t>S3</t>
        </is>
      </c>
      <c r="N3432" s="31" t="inlineStr">
        <is>
          <t>S5</t>
        </is>
      </c>
      <c r="O3432" s="31" t="inlineStr">
        <is>
          <t>340-059-917-0</t>
        </is>
      </c>
      <c r="P3432" s="31" t="inlineStr">
        <is>
          <t>SR Technics Switzerland</t>
        </is>
      </c>
    </row>
    <row r="3433">
      <c r="B3433" s="31" t="inlineStr">
        <is>
          <t>CFM56-7B</t>
        </is>
      </c>
      <c r="C3433" s="31" t="inlineStr">
        <is>
          <t>2025-2026</t>
        </is>
      </c>
      <c r="D3433" s="31" t="inlineStr">
        <is>
          <t>9941</t>
        </is>
      </c>
      <c r="E3433" s="31" t="inlineStr">
        <is>
          <t>72-23-31</t>
        </is>
      </c>
      <c r="F3433" s="31" t="inlineStr">
        <is>
          <t>X</t>
        </is>
      </c>
      <c r="G3433" s="31" t="inlineStr">
        <is>
          <t>Fan / booster</t>
        </is>
      </c>
      <c r="H3433" s="27" t="n">
        <v>2935</v>
      </c>
      <c r="I3433" s="27" t="n">
        <v>3115</v>
      </c>
      <c r="J3433" s="154">
        <f>I3433/H3433-1</f>
        <v/>
      </c>
      <c r="K3433" s="31" t="inlineStr">
        <is>
          <t>7</t>
        </is>
      </c>
      <c r="L3433" s="31" t="inlineStr">
        <is>
          <t>6</t>
        </is>
      </c>
      <c r="M3433" s="31" t="inlineStr">
        <is>
          <t>S3</t>
        </is>
      </c>
      <c r="N3433" s="31" t="inlineStr">
        <is>
          <t>S5</t>
        </is>
      </c>
      <c r="O3433" s="31" t="inlineStr">
        <is>
          <t>340-059-917-0</t>
        </is>
      </c>
      <c r="P3433" s="31" t="inlineStr">
        <is>
          <t>SR Technics Switzerland</t>
        </is>
      </c>
    </row>
    <row r="3434">
      <c r="B3434" s="31" t="inlineStr">
        <is>
          <t>CFM56-7B</t>
        </is>
      </c>
      <c r="C3434" s="31" t="inlineStr">
        <is>
          <t>2025-2026</t>
        </is>
      </c>
      <c r="D3434" s="31" t="inlineStr">
        <is>
          <t>9941</t>
        </is>
      </c>
      <c r="E3434" s="31" t="inlineStr">
        <is>
          <t>72-23-31</t>
        </is>
      </c>
      <c r="F3434" s="31" t="inlineStr">
        <is>
          <t>Y</t>
        </is>
      </c>
      <c r="G3434" s="31" t="inlineStr">
        <is>
          <t>Fan / booster</t>
        </is>
      </c>
      <c r="H3434" s="27" t="n">
        <v>1145</v>
      </c>
      <c r="I3434" s="27" t="n">
        <v>1215</v>
      </c>
      <c r="J3434" s="154">
        <f>I3434/H3434-1</f>
        <v/>
      </c>
      <c r="K3434" s="31" t="inlineStr">
        <is>
          <t>7</t>
        </is>
      </c>
      <c r="L3434" s="31" t="inlineStr">
        <is>
          <t>6</t>
        </is>
      </c>
      <c r="M3434" s="31" t="inlineStr">
        <is>
          <t>S3</t>
        </is>
      </c>
      <c r="N3434" s="31" t="inlineStr">
        <is>
          <t>S5</t>
        </is>
      </c>
      <c r="O3434" s="31" t="inlineStr">
        <is>
          <t>340-059-917-0</t>
        </is>
      </c>
      <c r="P3434" s="31" t="inlineStr">
        <is>
          <t>SR Technics Switzerland</t>
        </is>
      </c>
    </row>
  </sheetData>
  <pageMargins left="0.75" right="0.75" top="1" bottom="1" header="0.5" footer="0.5"/>
  <pageSetup orientation="portrait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5" topLeftCell="A6" activePane="bottomLeft" state="frozen"/>
      <selection pane="bottomLeft" activeCell="H9" sqref="H9"/>
    </sheetView>
  </sheetViews>
  <sheetFormatPr baseColWidth="8" defaultColWidth="8.85546875" defaultRowHeight="15"/>
  <cols>
    <col width="2.7109375" customWidth="1" min="1" max="1"/>
    <col width="35.7109375" customWidth="1" min="2" max="2"/>
    <col width="9.140625" customWidth="1" min="3" max="8"/>
  </cols>
  <sheetData>
    <row r="1" ht="15" customHeight="1">
      <c r="A1" s="3" t="n"/>
      <c r="B1" s="3" t="inlineStr">
        <is>
          <t>FTAI Aviation</t>
        </is>
      </c>
      <c r="C1" s="3" t="n"/>
      <c r="D1" s="3" t="n"/>
      <c r="E1" s="3" t="n"/>
      <c r="F1" s="3" t="n"/>
      <c r="G1" s="3" t="n"/>
      <c r="H1" s="3" t="n"/>
    </row>
    <row r="2" ht="15" customHeight="1">
      <c r="A2" s="3" t="n"/>
      <c r="B2" s="3" t="inlineStr">
        <is>
          <t>Power Build</t>
        </is>
      </c>
      <c r="C2" s="3" t="n"/>
      <c r="D2" s="3" t="n"/>
      <c r="E2" s="3" t="n"/>
      <c r="F2" s="3" t="n"/>
      <c r="G2" s="3" t="n"/>
      <c r="H2" s="232">
        <f>'Power Market Assumptions'!K4</f>
        <v/>
      </c>
    </row>
    <row r="3" ht="15" customHeight="1">
      <c r="A3" s="3" t="n"/>
      <c r="B3" s="3" t="inlineStr">
        <is>
          <t>(in GW, except where noted)</t>
        </is>
      </c>
      <c r="C3" s="3" t="n"/>
      <c r="D3" s="3" t="n"/>
      <c r="E3" s="3" t="n"/>
      <c r="F3" s="3" t="n"/>
      <c r="G3" s="3" t="n"/>
      <c r="H3" s="3" t="n"/>
    </row>
    <row r="4" ht="15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15" customHeight="1">
      <c r="A5" s="3" t="n"/>
      <c r="B5" s="91" t="n"/>
      <c r="C5" s="92" t="n">
        <v>2026</v>
      </c>
      <c r="D5" s="92" t="n">
        <v>2027</v>
      </c>
      <c r="E5" s="92" t="n">
        <v>2028</v>
      </c>
      <c r="F5" s="92" t="n">
        <v>2029</v>
      </c>
      <c r="G5" s="92" t="n">
        <v>2030</v>
      </c>
      <c r="H5" s="92" t="n">
        <v>2031</v>
      </c>
    </row>
    <row r="6" ht="15" customHeight="1">
      <c r="A6" s="3" t="n"/>
      <c r="B6" s="93" t="inlineStr">
        <is>
          <t>Power Market</t>
        </is>
      </c>
      <c r="C6" s="94" t="n"/>
      <c r="D6" s="94" t="n"/>
      <c r="E6" s="94" t="n"/>
      <c r="F6" s="94" t="n"/>
      <c r="G6" s="94" t="n"/>
      <c r="H6" s="94" t="n"/>
    </row>
    <row r="7" ht="15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15" customHeight="1">
      <c r="A8" t="inlineStr">
        <is>
          <t>x</t>
        </is>
      </c>
      <c r="B8" s="4" t="inlineStr">
        <is>
          <t>Power Demand &amp; Supply</t>
        </is>
      </c>
      <c r="C8" s="3" t="n"/>
      <c r="D8" s="3" t="n"/>
      <c r="E8" s="3" t="n"/>
      <c r="F8" s="3" t="n"/>
      <c r="G8" s="3" t="n"/>
      <c r="H8" s="3" t="n"/>
    </row>
    <row r="9" ht="15" customHeight="1">
      <c r="A9" s="3" t="n"/>
      <c r="B9" s="7" t="inlineStr">
        <is>
          <t>Reserve Shortfall</t>
        </is>
      </c>
      <c r="C9" s="263">
        <f>SUMIF('Regional model'!$C$6:$C$95,C$5,'Regional model'!$O$6:$O$95)</f>
        <v/>
      </c>
      <c r="D9" s="263">
        <f>SUMIF('Regional model'!$C$6:$C$95,D$5,'Regional model'!$O$6:$O$95)</f>
        <v/>
      </c>
      <c r="E9" s="263">
        <f>SUMIF('Regional model'!$C$6:$C$95,E$5,'Regional model'!$O$6:$O$95)</f>
        <v/>
      </c>
      <c r="F9" s="263">
        <f>SUMIF('Regional model'!$C$6:$C$95,F$5,'Regional model'!$O$6:$O$95)</f>
        <v/>
      </c>
      <c r="G9" s="263">
        <f>SUMIF('Regional model'!$C$6:$C$95,G$5,'Regional model'!$O$6:$O$95)</f>
        <v/>
      </c>
      <c r="H9" s="263">
        <f>SUMIF('Regional model'!$C$6:$C$95,H$5,'Regional model'!$O$6:$O$95)</f>
        <v/>
      </c>
    </row>
    <row r="10" ht="15" customHeight="1">
      <c r="A10" s="3" t="n"/>
      <c r="B10" s="3" t="inlineStr">
        <is>
          <t>Regions Below Requirement</t>
        </is>
      </c>
      <c r="C10" s="96">
        <f>COUNTIFS('Regional model'!$C$6:$C$95,C$5,'Regional model'!$O$6:$O$95,"&gt;0")</f>
        <v/>
      </c>
      <c r="D10" s="96">
        <f>COUNTIFS('Regional model'!$C$6:$C$95,D$5,'Regional model'!$O$6:$O$95,"&gt;0")</f>
        <v/>
      </c>
      <c r="E10" s="96">
        <f>COUNTIFS('Regional model'!$C$6:$C$95,E$5,'Regional model'!$O$6:$O$95,"&gt;0")</f>
        <v/>
      </c>
      <c r="F10" s="96">
        <f>COUNTIFS('Regional model'!$C$6:$C$95,F$5,'Regional model'!$O$6:$O$95,"&gt;0")</f>
        <v/>
      </c>
      <c r="G10" s="96">
        <f>COUNTIFS('Regional model'!$C$6:$C$95,G$5,'Regional model'!$O$6:$O$95,"&gt;0")</f>
        <v/>
      </c>
      <c r="H10" s="96">
        <f>COUNTIFS('Regional model'!$C$6:$C$95,H$5,'Regional model'!$O$6:$O$95,"&gt;0")</f>
        <v/>
      </c>
    </row>
    <row r="11" ht="15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15" customHeight="1">
      <c r="A12" s="3" t="n"/>
      <c r="B12" s="3" t="inlineStr">
        <is>
          <t>Tracked Planning Capacity</t>
        </is>
      </c>
      <c r="C12" s="264">
        <f>SUM('Power agreements'!R6:R72)/1000</f>
        <v/>
      </c>
      <c r="D12" s="264">
        <f>SUM('Power agreements'!S6:S72)/1000</f>
        <v/>
      </c>
      <c r="E12" s="264">
        <f>SUM('Power agreements'!T6:T72)/1000</f>
        <v/>
      </c>
      <c r="F12" s="264">
        <f>SUM('Power agreements'!U6:U72)/1000</f>
        <v/>
      </c>
      <c r="G12" s="264">
        <f>SUM('Power agreements'!V6:V72)/1000</f>
        <v/>
      </c>
      <c r="H12" s="264">
        <f>SUM('Power agreements'!W6:W72)/1000</f>
        <v/>
      </c>
    </row>
    <row r="13" ht="15" customHeight="1">
      <c r="A13" s="3" t="n"/>
      <c r="B13" s="3" t="inlineStr">
        <is>
          <t>Incremental Capacity to NERC</t>
        </is>
      </c>
      <c r="C13" s="264">
        <f>SUMIF('Regional model'!$C$6:$C$95,C$5,'Regional model'!$M$6:$M$95)/1000</f>
        <v/>
      </c>
      <c r="D13" s="264">
        <f>SUMIF('Regional model'!$C$6:$C$95,D$5,'Regional model'!$M$6:$M$95)/1000</f>
        <v/>
      </c>
      <c r="E13" s="264">
        <f>SUMIF('Regional model'!$C$6:$C$95,E$5,'Regional model'!$M$6:$M$95)/1000</f>
        <v/>
      </c>
      <c r="F13" s="264">
        <f>SUMIF('Regional model'!$C$6:$C$95,F$5,'Regional model'!$M$6:$M$95)/1000</f>
        <v/>
      </c>
      <c r="G13" s="264">
        <f>SUMIF('Regional model'!$C$6:$C$95,G$5,'Regional model'!$M$6:$M$95)/1000</f>
        <v/>
      </c>
      <c r="H13" s="264">
        <f>SUMIF('Regional model'!$C$6:$C$95,H$5,'Regional model'!$M$6:$M$95)/1000</f>
        <v/>
      </c>
    </row>
    <row r="14" ht="15" customHeight="1">
      <c r="A14" s="3" t="n"/>
      <c r="B14" s="3" t="inlineStr">
        <is>
          <t>US DC Energy Demand (TWh)</t>
        </is>
      </c>
      <c r="C14" s="264">
        <f>'Regional model'!C103</f>
        <v/>
      </c>
      <c r="D14" s="264">
        <f>'Regional model'!C104</f>
        <v/>
      </c>
      <c r="E14" s="264">
        <f>'Regional model'!C105</f>
        <v/>
      </c>
      <c r="F14" s="264">
        <f>'Regional model'!C106</f>
        <v/>
      </c>
      <c r="G14" s="264">
        <f>'Regional model'!C107</f>
        <v/>
      </c>
      <c r="H14" s="264">
        <f>'Regional model'!C108</f>
        <v/>
      </c>
    </row>
    <row r="15" ht="15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15" customHeight="1">
      <c r="A17" t="inlineStr">
        <is>
          <t>x</t>
        </is>
      </c>
      <c r="B17" s="4" t="inlineStr">
        <is>
          <t>Regional Reserve Shortfall</t>
        </is>
      </c>
      <c r="C17" s="3" t="n"/>
      <c r="D17" s="3" t="n"/>
      <c r="E17" s="3" t="n"/>
      <c r="F17" s="3" t="n"/>
      <c r="G17" s="3" t="n"/>
      <c r="H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15" customHeight="1">
      <c r="A19" s="3" t="n"/>
      <c r="B19" s="3" t="inlineStr">
        <is>
          <t>MISO</t>
        </is>
      </c>
      <c r="C19" s="264">
        <f>SUMIFS('Regional model'!$O$6:$O$95,'Regional model'!$B$6:$B$95,$B19,'Regional model'!$C$6:$C$95,C$5)</f>
        <v/>
      </c>
      <c r="D19" s="264">
        <f>SUMIFS('Regional model'!$O$6:$O$95,'Regional model'!$B$6:$B$95,$B19,'Regional model'!$C$6:$C$95,D$5)</f>
        <v/>
      </c>
      <c r="E19" s="264">
        <f>SUMIFS('Regional model'!$O$6:$O$95,'Regional model'!$B$6:$B$95,$B19,'Regional model'!$C$6:$C$95,E$5)</f>
        <v/>
      </c>
      <c r="F19" s="264">
        <f>SUMIFS('Regional model'!$O$6:$O$95,'Regional model'!$B$6:$B$95,$B19,'Regional model'!$C$6:$C$95,F$5)</f>
        <v/>
      </c>
      <c r="G19" s="264">
        <f>SUMIFS('Regional model'!$O$6:$O$95,'Regional model'!$B$6:$B$95,$B19,'Regional model'!$C$6:$C$95,G$5)</f>
        <v/>
      </c>
      <c r="H19" s="264">
        <f>SUMIFS('Regional model'!$O$6:$O$95,'Regional model'!$B$6:$B$95,$B19,'Regional model'!$C$6:$C$95,H$5)</f>
        <v/>
      </c>
    </row>
    <row r="20" ht="15" customHeight="1">
      <c r="A20" s="3" t="n"/>
      <c r="B20" s="3" t="inlineStr">
        <is>
          <t>MRO-SPP</t>
        </is>
      </c>
      <c r="C20" s="264">
        <f>SUMIFS('Regional model'!$O$6:$O$95,'Regional model'!$B$6:$B$95,$B20,'Regional model'!$C$6:$C$95,C$5)</f>
        <v/>
      </c>
      <c r="D20" s="264">
        <f>SUMIFS('Regional model'!$O$6:$O$95,'Regional model'!$B$6:$B$95,$B20,'Regional model'!$C$6:$C$95,D$5)</f>
        <v/>
      </c>
      <c r="E20" s="264">
        <f>SUMIFS('Regional model'!$O$6:$O$95,'Regional model'!$B$6:$B$95,$B20,'Regional model'!$C$6:$C$95,E$5)</f>
        <v/>
      </c>
      <c r="F20" s="264">
        <f>SUMIFS('Regional model'!$O$6:$O$95,'Regional model'!$B$6:$B$95,$B20,'Regional model'!$C$6:$C$95,F$5)</f>
        <v/>
      </c>
      <c r="G20" s="264">
        <f>SUMIFS('Regional model'!$O$6:$O$95,'Regional model'!$B$6:$B$95,$B20,'Regional model'!$C$6:$C$95,G$5)</f>
        <v/>
      </c>
      <c r="H20" s="264">
        <f>SUMIFS('Regional model'!$O$6:$O$95,'Regional model'!$B$6:$B$95,$B20,'Regional model'!$C$6:$C$95,H$5)</f>
        <v/>
      </c>
    </row>
    <row r="21" ht="15" customHeight="1">
      <c r="A21" s="3" t="n"/>
      <c r="B21" s="3" t="inlineStr">
        <is>
          <t>NPCC-New England</t>
        </is>
      </c>
      <c r="C21" s="264">
        <f>SUMIFS('Regional model'!$O$6:$O$95,'Regional model'!$B$6:$B$95,$B21,'Regional model'!$C$6:$C$95,C$5)</f>
        <v/>
      </c>
      <c r="D21" s="264">
        <f>SUMIFS('Regional model'!$O$6:$O$95,'Regional model'!$B$6:$B$95,$B21,'Regional model'!$C$6:$C$95,D$5)</f>
        <v/>
      </c>
      <c r="E21" s="264">
        <f>SUMIFS('Regional model'!$O$6:$O$95,'Regional model'!$B$6:$B$95,$B21,'Regional model'!$C$6:$C$95,E$5)</f>
        <v/>
      </c>
      <c r="F21" s="264">
        <f>SUMIFS('Regional model'!$O$6:$O$95,'Regional model'!$B$6:$B$95,$B21,'Regional model'!$C$6:$C$95,F$5)</f>
        <v/>
      </c>
      <c r="G21" s="264">
        <f>SUMIFS('Regional model'!$O$6:$O$95,'Regional model'!$B$6:$B$95,$B21,'Regional model'!$C$6:$C$95,G$5)</f>
        <v/>
      </c>
      <c r="H21" s="264">
        <f>SUMIFS('Regional model'!$O$6:$O$95,'Regional model'!$B$6:$B$95,$B21,'Regional model'!$C$6:$C$95,H$5)</f>
        <v/>
      </c>
    </row>
    <row r="22" ht="15" customHeight="1">
      <c r="A22" s="3" t="n"/>
      <c r="B22" s="3" t="inlineStr">
        <is>
          <t>NPCC-New York</t>
        </is>
      </c>
      <c r="C22" s="264">
        <f>SUMIFS('Regional model'!$O$6:$O$95,'Regional model'!$B$6:$B$95,$B22,'Regional model'!$C$6:$C$95,C$5)</f>
        <v/>
      </c>
      <c r="D22" s="264">
        <f>SUMIFS('Regional model'!$O$6:$O$95,'Regional model'!$B$6:$B$95,$B22,'Regional model'!$C$6:$C$95,D$5)</f>
        <v/>
      </c>
      <c r="E22" s="264">
        <f>SUMIFS('Regional model'!$O$6:$O$95,'Regional model'!$B$6:$B$95,$B22,'Regional model'!$C$6:$C$95,E$5)</f>
        <v/>
      </c>
      <c r="F22" s="264">
        <f>SUMIFS('Regional model'!$O$6:$O$95,'Regional model'!$B$6:$B$95,$B22,'Regional model'!$C$6:$C$95,F$5)</f>
        <v/>
      </c>
      <c r="G22" s="264">
        <f>SUMIFS('Regional model'!$O$6:$O$95,'Regional model'!$B$6:$B$95,$B22,'Regional model'!$C$6:$C$95,G$5)</f>
        <v/>
      </c>
      <c r="H22" s="264">
        <f>SUMIFS('Regional model'!$O$6:$O$95,'Regional model'!$B$6:$B$95,$B22,'Regional model'!$C$6:$C$95,H$5)</f>
        <v/>
      </c>
    </row>
    <row r="23" ht="15" customHeight="1">
      <c r="A23" s="3" t="n"/>
      <c r="B23" s="3" t="inlineStr">
        <is>
          <t>PJM</t>
        </is>
      </c>
      <c r="C23" s="264">
        <f>SUMIFS('Regional model'!$O$6:$O$95,'Regional model'!$B$6:$B$95,$B23,'Regional model'!$C$6:$C$95,C$5)</f>
        <v/>
      </c>
      <c r="D23" s="264">
        <f>SUMIFS('Regional model'!$O$6:$O$95,'Regional model'!$B$6:$B$95,$B23,'Regional model'!$C$6:$C$95,D$5)</f>
        <v/>
      </c>
      <c r="E23" s="264">
        <f>SUMIFS('Regional model'!$O$6:$O$95,'Regional model'!$B$6:$B$95,$B23,'Regional model'!$C$6:$C$95,E$5)</f>
        <v/>
      </c>
      <c r="F23" s="264">
        <f>SUMIFS('Regional model'!$O$6:$O$95,'Regional model'!$B$6:$B$95,$B23,'Regional model'!$C$6:$C$95,F$5)</f>
        <v/>
      </c>
      <c r="G23" s="264">
        <f>SUMIFS('Regional model'!$O$6:$O$95,'Regional model'!$B$6:$B$95,$B23,'Regional model'!$C$6:$C$95,G$5)</f>
        <v/>
      </c>
      <c r="H23" s="264">
        <f>SUMIFS('Regional model'!$O$6:$O$95,'Regional model'!$B$6:$B$95,$B23,'Regional model'!$C$6:$C$95,H$5)</f>
        <v/>
      </c>
    </row>
    <row r="24" ht="15" customHeight="1">
      <c r="A24" s="3" t="n"/>
      <c r="B24" s="3" t="inlineStr">
        <is>
          <t>SERC-Central</t>
        </is>
      </c>
      <c r="C24" s="264">
        <f>SUMIFS('Regional model'!$O$6:$O$95,'Regional model'!$B$6:$B$95,$B24,'Regional model'!$C$6:$C$95,C$5)</f>
        <v/>
      </c>
      <c r="D24" s="264">
        <f>SUMIFS('Regional model'!$O$6:$O$95,'Regional model'!$B$6:$B$95,$B24,'Regional model'!$C$6:$C$95,D$5)</f>
        <v/>
      </c>
      <c r="E24" s="264">
        <f>SUMIFS('Regional model'!$O$6:$O$95,'Regional model'!$B$6:$B$95,$B24,'Regional model'!$C$6:$C$95,E$5)</f>
        <v/>
      </c>
      <c r="F24" s="264">
        <f>SUMIFS('Regional model'!$O$6:$O$95,'Regional model'!$B$6:$B$95,$B24,'Regional model'!$C$6:$C$95,F$5)</f>
        <v/>
      </c>
      <c r="G24" s="264">
        <f>SUMIFS('Regional model'!$O$6:$O$95,'Regional model'!$B$6:$B$95,$B24,'Regional model'!$C$6:$C$95,G$5)</f>
        <v/>
      </c>
      <c r="H24" s="264">
        <f>SUMIFS('Regional model'!$O$6:$O$95,'Regional model'!$B$6:$B$95,$B24,'Regional model'!$C$6:$C$95,H$5)</f>
        <v/>
      </c>
    </row>
    <row r="25" ht="15" customHeight="1">
      <c r="A25" s="3" t="n"/>
      <c r="B25" s="3" t="inlineStr">
        <is>
          <t>SERC-East</t>
        </is>
      </c>
      <c r="C25" s="264">
        <f>SUMIFS('Regional model'!$O$6:$O$95,'Regional model'!$B$6:$B$95,$B25,'Regional model'!$C$6:$C$95,C$5)</f>
        <v/>
      </c>
      <c r="D25" s="264">
        <f>SUMIFS('Regional model'!$O$6:$O$95,'Regional model'!$B$6:$B$95,$B25,'Regional model'!$C$6:$C$95,D$5)</f>
        <v/>
      </c>
      <c r="E25" s="264">
        <f>SUMIFS('Regional model'!$O$6:$O$95,'Regional model'!$B$6:$B$95,$B25,'Regional model'!$C$6:$C$95,E$5)</f>
        <v/>
      </c>
      <c r="F25" s="264">
        <f>SUMIFS('Regional model'!$O$6:$O$95,'Regional model'!$B$6:$B$95,$B25,'Regional model'!$C$6:$C$95,F$5)</f>
        <v/>
      </c>
      <c r="G25" s="264">
        <f>SUMIFS('Regional model'!$O$6:$O$95,'Regional model'!$B$6:$B$95,$B25,'Regional model'!$C$6:$C$95,G$5)</f>
        <v/>
      </c>
      <c r="H25" s="264">
        <f>SUMIFS('Regional model'!$O$6:$O$95,'Regional model'!$B$6:$B$95,$B25,'Regional model'!$C$6:$C$95,H$5)</f>
        <v/>
      </c>
    </row>
    <row r="26" ht="15" customHeight="1">
      <c r="A26" s="3" t="n"/>
      <c r="B26" s="3" t="inlineStr">
        <is>
          <t>SERC-Florida Peninsula</t>
        </is>
      </c>
      <c r="C26" s="264">
        <f>SUMIFS('Regional model'!$O$6:$O$95,'Regional model'!$B$6:$B$95,$B26,'Regional model'!$C$6:$C$95,C$5)</f>
        <v/>
      </c>
      <c r="D26" s="264">
        <f>SUMIFS('Regional model'!$O$6:$O$95,'Regional model'!$B$6:$B$95,$B26,'Regional model'!$C$6:$C$95,D$5)</f>
        <v/>
      </c>
      <c r="E26" s="264">
        <f>SUMIFS('Regional model'!$O$6:$O$95,'Regional model'!$B$6:$B$95,$B26,'Regional model'!$C$6:$C$95,E$5)</f>
        <v/>
      </c>
      <c r="F26" s="264">
        <f>SUMIFS('Regional model'!$O$6:$O$95,'Regional model'!$B$6:$B$95,$B26,'Regional model'!$C$6:$C$95,F$5)</f>
        <v/>
      </c>
      <c r="G26" s="264">
        <f>SUMIFS('Regional model'!$O$6:$O$95,'Regional model'!$B$6:$B$95,$B26,'Regional model'!$C$6:$C$95,G$5)</f>
        <v/>
      </c>
      <c r="H26" s="264">
        <f>SUMIFS('Regional model'!$O$6:$O$95,'Regional model'!$B$6:$B$95,$B26,'Regional model'!$C$6:$C$95,H$5)</f>
        <v/>
      </c>
    </row>
    <row r="27" ht="15" customHeight="1">
      <c r="A27" s="3" t="n"/>
      <c r="B27" s="3" t="inlineStr">
        <is>
          <t>SERC-Southeast</t>
        </is>
      </c>
      <c r="C27" s="264">
        <f>SUMIFS('Regional model'!$O$6:$O$95,'Regional model'!$B$6:$B$95,$B27,'Regional model'!$C$6:$C$95,C$5)</f>
        <v/>
      </c>
      <c r="D27" s="264">
        <f>SUMIFS('Regional model'!$O$6:$O$95,'Regional model'!$B$6:$B$95,$B27,'Regional model'!$C$6:$C$95,D$5)</f>
        <v/>
      </c>
      <c r="E27" s="264">
        <f>SUMIFS('Regional model'!$O$6:$O$95,'Regional model'!$B$6:$B$95,$B27,'Regional model'!$C$6:$C$95,E$5)</f>
        <v/>
      </c>
      <c r="F27" s="264">
        <f>SUMIFS('Regional model'!$O$6:$O$95,'Regional model'!$B$6:$B$95,$B27,'Regional model'!$C$6:$C$95,F$5)</f>
        <v/>
      </c>
      <c r="G27" s="264">
        <f>SUMIFS('Regional model'!$O$6:$O$95,'Regional model'!$B$6:$B$95,$B27,'Regional model'!$C$6:$C$95,G$5)</f>
        <v/>
      </c>
      <c r="H27" s="264">
        <f>SUMIFS('Regional model'!$O$6:$O$95,'Regional model'!$B$6:$B$95,$B27,'Regional model'!$C$6:$C$95,H$5)</f>
        <v/>
      </c>
    </row>
    <row r="28" ht="15" customHeight="1">
      <c r="A28" s="3" t="n"/>
      <c r="B28" s="3" t="inlineStr">
        <is>
          <t>Texas RE-ERCOT</t>
        </is>
      </c>
      <c r="C28" s="264">
        <f>SUMIFS('Regional model'!$O$6:$O$95,'Regional model'!$B$6:$B$95,$B28,'Regional model'!$C$6:$C$95,C$5)</f>
        <v/>
      </c>
      <c r="D28" s="264">
        <f>SUMIFS('Regional model'!$O$6:$O$95,'Regional model'!$B$6:$B$95,$B28,'Regional model'!$C$6:$C$95,D$5)</f>
        <v/>
      </c>
      <c r="E28" s="264">
        <f>SUMIFS('Regional model'!$O$6:$O$95,'Regional model'!$B$6:$B$95,$B28,'Regional model'!$C$6:$C$95,E$5)</f>
        <v/>
      </c>
      <c r="F28" s="264">
        <f>SUMIFS('Regional model'!$O$6:$O$95,'Regional model'!$B$6:$B$95,$B28,'Regional model'!$C$6:$C$95,F$5)</f>
        <v/>
      </c>
      <c r="G28" s="264">
        <f>SUMIFS('Regional model'!$O$6:$O$95,'Regional model'!$B$6:$B$95,$B28,'Regional model'!$C$6:$C$95,G$5)</f>
        <v/>
      </c>
      <c r="H28" s="264">
        <f>SUMIFS('Regional model'!$O$6:$O$95,'Regional model'!$B$6:$B$95,$B28,'Regional model'!$C$6:$C$95,H$5)</f>
        <v/>
      </c>
    </row>
    <row r="29" ht="15" customHeight="1">
      <c r="A29" s="3" t="n"/>
      <c r="B29" s="3" t="inlineStr">
        <is>
          <t>WECC-Basin</t>
        </is>
      </c>
      <c r="C29" s="264">
        <f>SUMIFS('Regional model'!$O$6:$O$95,'Regional model'!$B$6:$B$95,$B29,'Regional model'!$C$6:$C$95,C$5)</f>
        <v/>
      </c>
      <c r="D29" s="264">
        <f>SUMIFS('Regional model'!$O$6:$O$95,'Regional model'!$B$6:$B$95,$B29,'Regional model'!$C$6:$C$95,D$5)</f>
        <v/>
      </c>
      <c r="E29" s="264">
        <f>SUMIFS('Regional model'!$O$6:$O$95,'Regional model'!$B$6:$B$95,$B29,'Regional model'!$C$6:$C$95,E$5)</f>
        <v/>
      </c>
      <c r="F29" s="264">
        <f>SUMIFS('Regional model'!$O$6:$O$95,'Regional model'!$B$6:$B$95,$B29,'Regional model'!$C$6:$C$95,F$5)</f>
        <v/>
      </c>
      <c r="G29" s="264">
        <f>SUMIFS('Regional model'!$O$6:$O$95,'Regional model'!$B$6:$B$95,$B29,'Regional model'!$C$6:$C$95,G$5)</f>
        <v/>
      </c>
      <c r="H29" s="264">
        <f>SUMIFS('Regional model'!$O$6:$O$95,'Regional model'!$B$6:$B$95,$B29,'Regional model'!$C$6:$C$95,H$5)</f>
        <v/>
      </c>
    </row>
    <row r="30" ht="15" customHeight="1">
      <c r="A30" s="3" t="n"/>
      <c r="B30" s="3" t="inlineStr">
        <is>
          <t>WECC-California</t>
        </is>
      </c>
      <c r="C30" s="264">
        <f>SUMIFS('Regional model'!$O$6:$O$95,'Regional model'!$B$6:$B$95,$B30,'Regional model'!$C$6:$C$95,C$5)</f>
        <v/>
      </c>
      <c r="D30" s="264">
        <f>SUMIFS('Regional model'!$O$6:$O$95,'Regional model'!$B$6:$B$95,$B30,'Regional model'!$C$6:$C$95,D$5)</f>
        <v/>
      </c>
      <c r="E30" s="264">
        <f>SUMIFS('Regional model'!$O$6:$O$95,'Regional model'!$B$6:$B$95,$B30,'Regional model'!$C$6:$C$95,E$5)</f>
        <v/>
      </c>
      <c r="F30" s="264">
        <f>SUMIFS('Regional model'!$O$6:$O$95,'Regional model'!$B$6:$B$95,$B30,'Regional model'!$C$6:$C$95,F$5)</f>
        <v/>
      </c>
      <c r="G30" s="264">
        <f>SUMIFS('Regional model'!$O$6:$O$95,'Regional model'!$B$6:$B$95,$B30,'Regional model'!$C$6:$C$95,G$5)</f>
        <v/>
      </c>
      <c r="H30" s="264">
        <f>SUMIFS('Regional model'!$O$6:$O$95,'Regional model'!$B$6:$B$95,$B30,'Regional model'!$C$6:$C$95,H$5)</f>
        <v/>
      </c>
    </row>
    <row r="31" ht="15" customHeight="1">
      <c r="A31" s="3" t="n"/>
      <c r="B31" s="3" t="inlineStr">
        <is>
          <t>WECC-Northwest</t>
        </is>
      </c>
      <c r="C31" s="264">
        <f>SUMIFS('Regional model'!$O$6:$O$95,'Regional model'!$B$6:$B$95,$B31,'Regional model'!$C$6:$C$95,C$5)</f>
        <v/>
      </c>
      <c r="D31" s="264">
        <f>SUMIFS('Regional model'!$O$6:$O$95,'Regional model'!$B$6:$B$95,$B31,'Regional model'!$C$6:$C$95,D$5)</f>
        <v/>
      </c>
      <c r="E31" s="264">
        <f>SUMIFS('Regional model'!$O$6:$O$95,'Regional model'!$B$6:$B$95,$B31,'Regional model'!$C$6:$C$95,E$5)</f>
        <v/>
      </c>
      <c r="F31" s="264">
        <f>SUMIFS('Regional model'!$O$6:$O$95,'Regional model'!$B$6:$B$95,$B31,'Regional model'!$C$6:$C$95,F$5)</f>
        <v/>
      </c>
      <c r="G31" s="264">
        <f>SUMIFS('Regional model'!$O$6:$O$95,'Regional model'!$B$6:$B$95,$B31,'Regional model'!$C$6:$C$95,G$5)</f>
        <v/>
      </c>
      <c r="H31" s="264">
        <f>SUMIFS('Regional model'!$O$6:$O$95,'Regional model'!$B$6:$B$95,$B31,'Regional model'!$C$6:$C$95,H$5)</f>
        <v/>
      </c>
    </row>
    <row r="32" ht="15" customHeight="1">
      <c r="A32" s="3" t="n"/>
      <c r="B32" s="3" t="inlineStr">
        <is>
          <t>WECC-Rocky Mountain</t>
        </is>
      </c>
      <c r="C32" s="264">
        <f>SUMIFS('Regional model'!$O$6:$O$95,'Regional model'!$B$6:$B$95,$B32,'Regional model'!$C$6:$C$95,C$5)</f>
        <v/>
      </c>
      <c r="D32" s="264">
        <f>SUMIFS('Regional model'!$O$6:$O$95,'Regional model'!$B$6:$B$95,$B32,'Regional model'!$C$6:$C$95,D$5)</f>
        <v/>
      </c>
      <c r="E32" s="264">
        <f>SUMIFS('Regional model'!$O$6:$O$95,'Regional model'!$B$6:$B$95,$B32,'Regional model'!$C$6:$C$95,E$5)</f>
        <v/>
      </c>
      <c r="F32" s="264">
        <f>SUMIFS('Regional model'!$O$6:$O$95,'Regional model'!$B$6:$B$95,$B32,'Regional model'!$C$6:$C$95,F$5)</f>
        <v/>
      </c>
      <c r="G32" s="264">
        <f>SUMIFS('Regional model'!$O$6:$O$95,'Regional model'!$B$6:$B$95,$B32,'Regional model'!$C$6:$C$95,G$5)</f>
        <v/>
      </c>
      <c r="H32" s="264">
        <f>SUMIFS('Regional model'!$O$6:$O$95,'Regional model'!$B$6:$B$95,$B32,'Regional model'!$C$6:$C$95,H$5)</f>
        <v/>
      </c>
    </row>
    <row r="33" ht="15" customHeight="1">
      <c r="A33" s="3" t="n"/>
      <c r="B33" s="3" t="inlineStr">
        <is>
          <t>WECC-Southwest</t>
        </is>
      </c>
      <c r="C33" s="264">
        <f>SUMIFS('Regional model'!$O$6:$O$95,'Regional model'!$B$6:$B$95,$B33,'Regional model'!$C$6:$C$95,C$5)</f>
        <v/>
      </c>
      <c r="D33" s="264">
        <f>SUMIFS('Regional model'!$O$6:$O$95,'Regional model'!$B$6:$B$95,$B33,'Regional model'!$C$6:$C$95,D$5)</f>
        <v/>
      </c>
      <c r="E33" s="264">
        <f>SUMIFS('Regional model'!$O$6:$O$95,'Regional model'!$B$6:$B$95,$B33,'Regional model'!$C$6:$C$95,E$5)</f>
        <v/>
      </c>
      <c r="F33" s="264">
        <f>SUMIFS('Regional model'!$O$6:$O$95,'Regional model'!$B$6:$B$95,$B33,'Regional model'!$C$6:$C$95,F$5)</f>
        <v/>
      </c>
      <c r="G33" s="264">
        <f>SUMIFS('Regional model'!$O$6:$O$95,'Regional model'!$B$6:$B$95,$B33,'Regional model'!$C$6:$C$95,G$5)</f>
        <v/>
      </c>
      <c r="H33" s="264">
        <f>SUMIFS('Regional model'!$O$6:$O$95,'Regional model'!$B$6:$B$95,$B33,'Regional model'!$C$6:$C$95,H$5)</f>
        <v/>
      </c>
    </row>
    <row r="34" ht="15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15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15" customHeight="1">
      <c r="A36" t="inlineStr">
        <is>
          <t>x</t>
        </is>
      </c>
      <c r="B36" s="4" t="inlineStr">
        <is>
          <t>Capex &amp; Power Contracts</t>
        </is>
      </c>
      <c r="C36" s="3" t="n"/>
      <c r="D36" s="3" t="n"/>
      <c r="E36" s="3" t="n"/>
      <c r="F36" s="3" t="n"/>
      <c r="G36" s="3" t="n"/>
      <c r="H36" s="3" t="n"/>
    </row>
    <row r="37" ht="15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15" customHeight="1">
      <c r="A38" s="3" t="n"/>
      <c r="B38" s="3" t="inlineStr">
        <is>
          <t>Big Four CY2026 Capex ($bn)</t>
        </is>
      </c>
      <c r="C38" s="264">
        <f>'Capex plans'!G15</f>
        <v/>
      </c>
      <c r="D38" s="3" t="n"/>
      <c r="E38" s="3" t="n"/>
      <c r="F38" s="3" t="n"/>
      <c r="G38" s="3" t="n"/>
      <c r="H38" s="3" t="n"/>
    </row>
    <row r="39" ht="15" customHeight="1">
      <c r="A39" s="3" t="n"/>
      <c r="B39" s="3" t="inlineStr">
        <is>
          <t>Capex / PPA Corr. — Levels</t>
        </is>
      </c>
      <c r="C39" s="98">
        <f>History!C21</f>
        <v/>
      </c>
      <c r="D39" s="3" t="n"/>
      <c r="E39" s="3" t="n"/>
      <c r="F39" s="3" t="n"/>
      <c r="G39" s="3" t="n"/>
      <c r="H39" s="3" t="n"/>
    </row>
    <row r="40" ht="15" customHeight="1">
      <c r="A40" s="3" t="n"/>
      <c r="B40" s="3" t="inlineStr">
        <is>
          <t>Capex / PPA Corr. — Log Growth</t>
        </is>
      </c>
      <c r="C40" s="98">
        <f>History!E21</f>
        <v/>
      </c>
      <c r="D40" s="3" t="n"/>
      <c r="E40" s="3" t="n"/>
      <c r="F40" s="3" t="n"/>
      <c r="G40" s="3" t="n"/>
      <c r="H40" s="3" t="n"/>
    </row>
    <row r="41" ht="15" customHeight="1">
      <c r="A41" s="3" t="n"/>
      <c r="B41" s="3" t="inlineStr">
        <is>
          <t>Build / PPA Corr. — Log Growth</t>
        </is>
      </c>
      <c r="C41" s="98">
        <f>History!E22</f>
        <v/>
      </c>
      <c r="D41" s="3" t="n"/>
      <c r="E41" s="3" t="n"/>
      <c r="F41" s="3" t="n"/>
      <c r="G41" s="3" t="n"/>
      <c r="H41" s="3" t="n"/>
    </row>
    <row r="42" ht="15" customHeight="1">
      <c r="A42" s="3" t="n"/>
      <c r="B42" s="3" t="inlineStr">
        <is>
          <t>Power Agreement Components</t>
        </is>
      </c>
      <c r="C42" s="99" t="n">
        <v>67</v>
      </c>
      <c r="D42" s="3" t="n"/>
      <c r="E42" s="3" t="n"/>
      <c r="F42" s="3" t="n"/>
      <c r="G42" s="3" t="n"/>
      <c r="H42" s="3" t="n"/>
    </row>
    <row r="43" ht="15" customHeight="1">
      <c r="A43" s="3" t="n"/>
      <c r="B43" s="3" t="inlineStr">
        <is>
          <t>US Corporate PPAs, 2025 (GW)</t>
        </is>
      </c>
      <c r="C43" s="264">
        <f>History!I16</f>
        <v/>
      </c>
      <c r="D43" s="3" t="n"/>
      <c r="E43" s="3" t="n"/>
      <c r="F43" s="3" t="n"/>
      <c r="G43" s="3" t="n"/>
      <c r="H43" s="3" t="n"/>
    </row>
    <row r="44" ht="15" customHeight="1">
      <c r="A44" s="3" t="n"/>
      <c r="B44" s="3" t="inlineStr">
        <is>
          <t>PJM Auction Gap, 2028–29 (GW)</t>
        </is>
      </c>
      <c r="C44" s="265" t="n">
        <v>6.831</v>
      </c>
      <c r="D44" s="3" t="n"/>
      <c r="E44" s="3" t="n"/>
      <c r="F44" s="3" t="n"/>
      <c r="G44" s="3" t="n"/>
      <c r="H44" s="3" t="n"/>
    </row>
    <row r="45" ht="15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15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15" customHeight="1">
      <c r="A47" t="inlineStr">
        <is>
          <t>x</t>
        </is>
      </c>
      <c r="B47" s="4" t="inlineStr">
        <is>
          <t>FTAI Power — Illustrative</t>
        </is>
      </c>
      <c r="C47" s="3" t="n"/>
      <c r="D47" s="3" t="n"/>
      <c r="E47" s="3" t="n"/>
      <c r="F47" s="3" t="n"/>
      <c r="G47" s="3" t="n"/>
      <c r="H47" s="3" t="n"/>
    </row>
    <row r="48" ht="15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15" customHeight="1">
      <c r="A49" s="3" t="n"/>
      <c r="B49" s="3" t="inlineStr">
        <is>
          <t>Annual Nameplate Output</t>
        </is>
      </c>
      <c r="C49" s="264">
        <f>'Power Market Assumptions'!D64*'Power Market Assumptions'!D65/1000</f>
        <v/>
      </c>
      <c r="D49" s="3" t="n"/>
      <c r="E49" s="3" t="n"/>
      <c r="F49" s="3" t="n"/>
      <c r="G49" s="3" t="n"/>
      <c r="H49" s="3" t="n"/>
    </row>
    <row r="50" ht="15" customHeight="1">
      <c r="A50" s="3" t="n"/>
      <c r="B50" s="7" t="inlineStr">
        <is>
          <t>Load Served After Redundancy</t>
        </is>
      </c>
      <c r="C50" s="263">
        <f>C49/(1+'Power Market Assumptions'!D66)</f>
        <v/>
      </c>
      <c r="D50" s="7" t="n"/>
      <c r="E50" s="7" t="n"/>
      <c r="F50" s="7" t="n"/>
      <c r="G50" s="7" t="n"/>
      <c r="H50" s="7" t="n"/>
    </row>
  </sheetData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4" topLeftCell="A23" activePane="bottomLeft" state="frozen"/>
      <selection pane="bottomLeft" activeCell="D33" sqref="D33"/>
    </sheetView>
  </sheetViews>
  <sheetFormatPr baseColWidth="8" defaultColWidth="8.85546875" defaultRowHeight="15"/>
  <cols>
    <col width="2.7109375" customWidth="1" min="1" max="1"/>
    <col width="60.7109375" customWidth="1" min="2" max="2"/>
    <col width="2.7109375" customWidth="1" min="3" max="3"/>
    <col width="8.85546875" customWidth="1" min="4" max="9"/>
    <col width="9.140625" customWidth="1" min="10" max="10"/>
    <col width="12" customWidth="1" min="11" max="11"/>
  </cols>
  <sheetData>
    <row r="1" ht="15" customHeight="1">
      <c r="A1" s="3" t="n"/>
      <c r="B1" s="4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5" customHeight="1">
      <c r="A2" s="3" t="n"/>
      <c r="B2" s="4" t="inlineStr">
        <is>
          <t>Power Assumptions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inlineStr">
        <is>
          <t>Case</t>
        </is>
      </c>
      <c r="K3" s="155" t="n">
        <v>2</v>
      </c>
    </row>
    <row r="4" ht="15" customHeight="1">
      <c r="A4" s="3" t="n"/>
      <c r="B4" s="3" t="n"/>
      <c r="C4" s="3" t="n"/>
      <c r="D4" s="92" t="n">
        <v>2026</v>
      </c>
      <c r="E4" s="92" t="n">
        <v>2027</v>
      </c>
      <c r="F4" s="92" t="n">
        <v>2028</v>
      </c>
      <c r="G4" s="92" t="n">
        <v>2029</v>
      </c>
      <c r="H4" s="92" t="n">
        <v>2030</v>
      </c>
      <c r="I4" s="92" t="n">
        <v>2031</v>
      </c>
      <c r="J4" s="3" t="inlineStr">
        <is>
          <t>Active</t>
        </is>
      </c>
      <c r="K4" s="3">
        <f>CHOOSE(K3,"Lower gap","Base","Higher gap")</f>
        <v/>
      </c>
    </row>
    <row r="5" ht="1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5" customHeight="1">
      <c r="A6" s="3" t="n"/>
      <c r="B6" s="101" t="inlineStr">
        <is>
          <t>Power Assumptions — Demand &amp; Supply</t>
        </is>
      </c>
      <c r="C6" s="102" t="n"/>
      <c r="D6" s="103" t="n"/>
      <c r="E6" s="103" t="n"/>
      <c r="F6" s="103" t="n"/>
      <c r="G6" s="103" t="n"/>
      <c r="H6" s="103" t="n"/>
      <c r="I6" s="103" t="n"/>
      <c r="J6" s="3" t="n"/>
      <c r="K6" s="3" t="n"/>
    </row>
    <row r="7" ht="1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15" customHeight="1">
      <c r="A8" s="3" t="n"/>
      <c r="B8" s="3" t="inlineStr">
        <is>
          <t>Load growth / NERC forecast</t>
        </is>
      </c>
      <c r="C8" s="21" t="n"/>
      <c r="D8" s="104">
        <f>CHOOSE($K$3,D9,D10,D11)</f>
        <v/>
      </c>
      <c r="E8" s="104">
        <f>CHOOSE($K$3,E9,E10,E11)</f>
        <v/>
      </c>
      <c r="F8" s="104">
        <f>CHOOSE($K$3,F9,F10,F11)</f>
        <v/>
      </c>
      <c r="G8" s="104">
        <f>CHOOSE($K$3,G9,G10,G11)</f>
        <v/>
      </c>
      <c r="H8" s="104">
        <f>CHOOSE($K$3,H9,H10,H11)</f>
        <v/>
      </c>
      <c r="I8" s="104">
        <f>CHOOSE($K$3,I9,I10,I11)</f>
        <v/>
      </c>
      <c r="J8" s="3" t="n"/>
      <c r="K8" s="3" t="n"/>
    </row>
    <row r="9" ht="15" customHeight="1">
      <c r="A9" s="3" t="n"/>
      <c r="B9" s="156" t="inlineStr">
        <is>
          <t>Lower gap</t>
        </is>
      </c>
      <c r="C9" s="142" t="n"/>
      <c r="D9" s="157" t="n">
        <v>0.8</v>
      </c>
      <c r="E9" s="157" t="n">
        <v>0.8</v>
      </c>
      <c r="F9" s="157" t="n">
        <v>0.8</v>
      </c>
      <c r="G9" s="157" t="n">
        <v>0.8</v>
      </c>
      <c r="H9" s="157" t="n">
        <v>0.8</v>
      </c>
      <c r="I9" s="157" t="n">
        <v>0.8</v>
      </c>
      <c r="J9" s="3" t="n"/>
      <c r="K9" s="3" t="n"/>
    </row>
    <row r="10" ht="15" customHeight="1">
      <c r="A10" s="3" t="n"/>
      <c r="B10" s="3" t="inlineStr">
        <is>
          <t>Base</t>
        </is>
      </c>
      <c r="C10" s="21" t="n"/>
      <c r="D10" s="158" t="n">
        <v>1</v>
      </c>
      <c r="E10" s="158" t="n">
        <v>1</v>
      </c>
      <c r="F10" s="158" t="n">
        <v>1</v>
      </c>
      <c r="G10" s="158" t="n">
        <v>1</v>
      </c>
      <c r="H10" s="158" t="n">
        <v>1</v>
      </c>
      <c r="I10" s="158" t="n">
        <v>1</v>
      </c>
      <c r="J10" s="3" t="n"/>
      <c r="K10" s="3" t="n"/>
    </row>
    <row r="11" ht="15" customHeight="1">
      <c r="A11" s="3" t="n"/>
      <c r="B11" s="18" t="inlineStr">
        <is>
          <t>Higher gap</t>
        </is>
      </c>
      <c r="C11" s="23" t="n"/>
      <c r="D11" s="159" t="n">
        <v>1.15</v>
      </c>
      <c r="E11" s="159" t="n">
        <v>1.15</v>
      </c>
      <c r="F11" s="159" t="n">
        <v>1.15</v>
      </c>
      <c r="G11" s="159" t="n">
        <v>1.15</v>
      </c>
      <c r="H11" s="159" t="n">
        <v>1.15</v>
      </c>
      <c r="I11" s="159" t="n">
        <v>1.15</v>
      </c>
      <c r="J11" s="3" t="n"/>
      <c r="K11" s="3" t="n"/>
    </row>
    <row r="12" ht="1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15" customHeight="1">
      <c r="A13" s="3" t="n"/>
      <c r="B13" s="3" t="inlineStr">
        <is>
          <t>Prospective capacity conversion</t>
        </is>
      </c>
      <c r="C13" s="21" t="n"/>
      <c r="D13" s="104">
        <f>CHOOSE($K$3,D14,D15,D16)</f>
        <v/>
      </c>
      <c r="E13" s="104">
        <f>CHOOSE($K$3,E14,E15,E16)</f>
        <v/>
      </c>
      <c r="F13" s="104">
        <f>CHOOSE($K$3,F14,F15,F16)</f>
        <v/>
      </c>
      <c r="G13" s="104">
        <f>CHOOSE($K$3,G14,G15,G16)</f>
        <v/>
      </c>
      <c r="H13" s="104">
        <f>CHOOSE($K$3,H14,H15,H16)</f>
        <v/>
      </c>
      <c r="I13" s="104">
        <f>CHOOSE($K$3,I14,I15,I16)</f>
        <v/>
      </c>
      <c r="J13" s="3" t="n"/>
      <c r="K13" s="3" t="n"/>
    </row>
    <row r="14" ht="15" customHeight="1">
      <c r="A14" s="3" t="n"/>
      <c r="B14" s="156" t="inlineStr">
        <is>
          <t>Lower gap</t>
        </is>
      </c>
      <c r="C14" s="142" t="n"/>
      <c r="D14" s="157" t="n">
        <v>0.25</v>
      </c>
      <c r="E14" s="157" t="n">
        <v>0.25</v>
      </c>
      <c r="F14" s="157" t="n">
        <v>0.25</v>
      </c>
      <c r="G14" s="157" t="n">
        <v>0.25</v>
      </c>
      <c r="H14" s="157" t="n">
        <v>0.25</v>
      </c>
      <c r="I14" s="157" t="n">
        <v>0.25</v>
      </c>
      <c r="J14" s="3" t="n"/>
      <c r="K14" s="3" t="n"/>
    </row>
    <row r="15" ht="15" customHeight="1">
      <c r="A15" s="3" t="n"/>
      <c r="B15" s="3" t="inlineStr">
        <is>
          <t>Base</t>
        </is>
      </c>
      <c r="C15" s="21" t="n"/>
      <c r="D15" s="158" t="n">
        <v>0</v>
      </c>
      <c r="E15" s="158" t="n">
        <v>0</v>
      </c>
      <c r="F15" s="158" t="n">
        <v>0</v>
      </c>
      <c r="G15" s="158" t="n">
        <v>0</v>
      </c>
      <c r="H15" s="158" t="n">
        <v>0</v>
      </c>
      <c r="I15" s="158" t="n">
        <v>0</v>
      </c>
      <c r="J15" s="3" t="n"/>
      <c r="K15" s="3" t="n"/>
    </row>
    <row r="16" ht="15" customHeight="1">
      <c r="A16" s="3" t="n"/>
      <c r="B16" s="18" t="inlineStr">
        <is>
          <t>Higher gap</t>
        </is>
      </c>
      <c r="C16" s="23" t="n"/>
      <c r="D16" s="159" t="n">
        <v>0</v>
      </c>
      <c r="E16" s="159" t="n">
        <v>0</v>
      </c>
      <c r="F16" s="159" t="n">
        <v>0</v>
      </c>
      <c r="G16" s="159" t="n">
        <v>0</v>
      </c>
      <c r="H16" s="159" t="n">
        <v>0</v>
      </c>
      <c r="I16" s="159" t="n">
        <v>0</v>
      </c>
      <c r="J16" s="3" t="n"/>
      <c r="K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5" customHeight="1">
      <c r="A18" s="3" t="n"/>
      <c r="B18" s="3" t="inlineStr">
        <is>
          <t>Tier 1 delivery haircut</t>
        </is>
      </c>
      <c r="C18" s="21" t="n"/>
      <c r="D18" s="104">
        <f>CHOOSE($K$3,D19,D20,D21)</f>
        <v/>
      </c>
      <c r="E18" s="104">
        <f>CHOOSE($K$3,E19,E20,E21)</f>
        <v/>
      </c>
      <c r="F18" s="104">
        <f>CHOOSE($K$3,F19,F20,F21)</f>
        <v/>
      </c>
      <c r="G18" s="104">
        <f>CHOOSE($K$3,G19,G20,G21)</f>
        <v/>
      </c>
      <c r="H18" s="104">
        <f>CHOOSE($K$3,H19,H20,H21)</f>
        <v/>
      </c>
      <c r="I18" s="104">
        <f>CHOOSE($K$3,I19,I20,I21)</f>
        <v/>
      </c>
      <c r="J18" s="3" t="n"/>
      <c r="K18" s="3" t="n"/>
    </row>
    <row r="19" ht="15" customHeight="1">
      <c r="A19" s="3" t="n"/>
      <c r="B19" s="156" t="inlineStr">
        <is>
          <t>Lower gap</t>
        </is>
      </c>
      <c r="C19" s="142" t="n"/>
      <c r="D19" s="157" t="n">
        <v>0</v>
      </c>
      <c r="E19" s="157" t="n">
        <v>0</v>
      </c>
      <c r="F19" s="157" t="n">
        <v>0</v>
      </c>
      <c r="G19" s="157" t="n">
        <v>0</v>
      </c>
      <c r="H19" s="157" t="n">
        <v>0</v>
      </c>
      <c r="I19" s="157" t="n">
        <v>0</v>
      </c>
      <c r="J19" s="3" t="n"/>
      <c r="K19" s="3" t="n"/>
    </row>
    <row r="20" ht="15" customHeight="1">
      <c r="A20" s="3" t="n"/>
      <c r="B20" s="3" t="inlineStr">
        <is>
          <t>Base</t>
        </is>
      </c>
      <c r="C20" s="21" t="n"/>
      <c r="D20" s="158" t="n">
        <v>0</v>
      </c>
      <c r="E20" s="158" t="n">
        <v>0</v>
      </c>
      <c r="F20" s="158" t="n">
        <v>0</v>
      </c>
      <c r="G20" s="158" t="n">
        <v>0</v>
      </c>
      <c r="H20" s="158" t="n">
        <v>0</v>
      </c>
      <c r="I20" s="158" t="n">
        <v>0</v>
      </c>
      <c r="J20" s="3" t="n"/>
      <c r="K20" s="3" t="n"/>
    </row>
    <row r="21" ht="15" customHeight="1">
      <c r="A21" s="3" t="n"/>
      <c r="B21" s="18" t="inlineStr">
        <is>
          <t>Higher gap</t>
        </is>
      </c>
      <c r="C21" s="23" t="n"/>
      <c r="D21" s="159" t="n">
        <v>0.2</v>
      </c>
      <c r="E21" s="159" t="n">
        <v>0.2</v>
      </c>
      <c r="F21" s="159" t="n">
        <v>0.2</v>
      </c>
      <c r="G21" s="159" t="n">
        <v>0.2</v>
      </c>
      <c r="H21" s="159" t="n">
        <v>0.2</v>
      </c>
      <c r="I21" s="159" t="n">
        <v>0.2</v>
      </c>
      <c r="J21" s="3" t="n"/>
      <c r="K21" s="3" t="n"/>
    </row>
    <row r="22" ht="1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 ht="15" customHeight="1">
      <c r="A23" s="3" t="n"/>
      <c r="B23" s="3" t="inlineStr">
        <is>
          <t>Contract delay (years)</t>
        </is>
      </c>
      <c r="C23" s="21" t="n"/>
      <c r="D23" s="105">
        <f>CHOOSE($K$3,D24,D25,D26)</f>
        <v/>
      </c>
      <c r="E23" s="105">
        <f>CHOOSE($K$3,E24,E25,E26)</f>
        <v/>
      </c>
      <c r="F23" s="105">
        <f>CHOOSE($K$3,F24,F25,F26)</f>
        <v/>
      </c>
      <c r="G23" s="105">
        <f>CHOOSE($K$3,G24,G25,G26)</f>
        <v/>
      </c>
      <c r="H23" s="105">
        <f>CHOOSE($K$3,H24,H25,H26)</f>
        <v/>
      </c>
      <c r="I23" s="105">
        <f>CHOOSE($K$3,I24,I25,I26)</f>
        <v/>
      </c>
      <c r="J23" s="3" t="n"/>
      <c r="K23" s="3" t="n"/>
    </row>
    <row r="24" ht="15" customHeight="1">
      <c r="A24" s="3" t="n"/>
      <c r="B24" s="156" t="inlineStr">
        <is>
          <t>Lower gap</t>
        </is>
      </c>
      <c r="C24" s="142" t="n"/>
      <c r="D24" s="160" t="n">
        <v>0</v>
      </c>
      <c r="E24" s="160" t="n">
        <v>0</v>
      </c>
      <c r="F24" s="160" t="n">
        <v>0</v>
      </c>
      <c r="G24" s="160" t="n">
        <v>0</v>
      </c>
      <c r="H24" s="160" t="n">
        <v>0</v>
      </c>
      <c r="I24" s="160" t="n">
        <v>0</v>
      </c>
      <c r="J24" s="3" t="n"/>
      <c r="K24" s="3" t="n"/>
    </row>
    <row r="25" ht="15" customHeight="1">
      <c r="A25" s="3" t="n"/>
      <c r="B25" s="3" t="inlineStr">
        <is>
          <t>Base</t>
        </is>
      </c>
      <c r="C25" s="21" t="n"/>
      <c r="D25" s="161" t="n">
        <v>0</v>
      </c>
      <c r="E25" s="161" t="n">
        <v>0</v>
      </c>
      <c r="F25" s="161" t="n">
        <v>0</v>
      </c>
      <c r="G25" s="161" t="n">
        <v>0</v>
      </c>
      <c r="H25" s="161" t="n">
        <v>0</v>
      </c>
      <c r="I25" s="161" t="n">
        <v>0</v>
      </c>
      <c r="J25" s="3" t="n"/>
      <c r="K25" s="3" t="n"/>
    </row>
    <row r="26" ht="15" customHeight="1">
      <c r="A26" s="3" t="n"/>
      <c r="B26" s="18" t="inlineStr">
        <is>
          <t>Higher gap</t>
        </is>
      </c>
      <c r="C26" s="23" t="n"/>
      <c r="D26" s="162" t="n">
        <v>1</v>
      </c>
      <c r="E26" s="162" t="n">
        <v>1</v>
      </c>
      <c r="F26" s="162" t="n">
        <v>1</v>
      </c>
      <c r="G26" s="162" t="n">
        <v>1</v>
      </c>
      <c r="H26" s="162" t="n">
        <v>1</v>
      </c>
      <c r="I26" s="162" t="n">
        <v>1</v>
      </c>
      <c r="J26" s="3" t="n"/>
      <c r="K26" s="3" t="n"/>
    </row>
    <row r="27" ht="1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 ht="1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 ht="15" customHeight="1">
      <c r="A29" s="3" t="n"/>
      <c r="B29" s="101" t="inlineStr">
        <is>
          <t>Data Center Energy</t>
        </is>
      </c>
      <c r="C29" s="102" t="n"/>
      <c r="D29" s="103" t="n"/>
      <c r="E29" s="103" t="n"/>
      <c r="F29" s="103" t="n"/>
      <c r="G29" s="103" t="n"/>
      <c r="H29" s="103" t="n"/>
      <c r="I29" s="103" t="n"/>
      <c r="J29" s="3" t="n"/>
      <c r="K29" s="3" t="n"/>
    </row>
    <row r="30" ht="15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 ht="15" customHeight="1">
      <c r="A31" s="3" t="n"/>
      <c r="B31" s="3" t="inlineStr">
        <is>
          <t>2024 energy (TWh)</t>
        </is>
      </c>
      <c r="C31" s="3" t="n"/>
      <c r="D31" s="266" t="n">
        <v>192</v>
      </c>
      <c r="E31" s="3" t="n"/>
      <c r="F31" s="3" t="inlineStr">
        <is>
          <t>S090</t>
        </is>
      </c>
      <c r="G31" s="3" t="n"/>
      <c r="H31" s="3" t="n"/>
      <c r="I31" s="3" t="n"/>
      <c r="J31" s="3" t="n"/>
      <c r="K31" s="3" t="n"/>
    </row>
    <row r="32" ht="15" customHeight="1">
      <c r="A32" s="3" t="n"/>
      <c r="B32" s="3" t="inlineStr">
        <is>
          <t>2028 energy (TWh)</t>
        </is>
      </c>
      <c r="C32" s="3" t="n"/>
      <c r="D32" s="266" t="n">
        <v>464</v>
      </c>
      <c r="E32" s="3" t="n"/>
      <c r="F32" s="3" t="n"/>
      <c r="G32" s="3" t="n"/>
      <c r="H32" s="3" t="n"/>
      <c r="I32" s="3" t="n"/>
      <c r="J32" s="3" t="n"/>
      <c r="K32" s="3" t="n"/>
    </row>
    <row r="33" ht="15" customHeight="1">
      <c r="A33" s="3" t="n"/>
      <c r="B33" s="3" t="inlineStr">
        <is>
          <t>2030 energy (TWh)</t>
        </is>
      </c>
      <c r="C33" s="3" t="n"/>
      <c r="D33" s="266" t="n">
        <v>649</v>
      </c>
      <c r="E33" s="3" t="n"/>
      <c r="F33" s="3" t="n"/>
      <c r="G33" s="3" t="n"/>
      <c r="H33" s="3" t="n"/>
      <c r="I33" s="3" t="n"/>
      <c r="J33" s="3" t="n"/>
      <c r="K33" s="3" t="n"/>
    </row>
    <row r="34" ht="15" customHeight="1">
      <c r="A34" s="3" t="n"/>
      <c r="B34" s="3" t="inlineStr">
        <is>
          <t>2030 low / high (TWh)</t>
        </is>
      </c>
      <c r="C34" s="3" t="n"/>
      <c r="D34" s="26" t="inlineStr">
        <is>
          <t>521 / 843</t>
        </is>
      </c>
      <c r="E34" s="3" t="n"/>
      <c r="F34" s="3" t="n"/>
      <c r="G34" s="3" t="n"/>
      <c r="H34" s="3" t="n"/>
      <c r="I34" s="3" t="n"/>
      <c r="J34" s="3" t="n"/>
      <c r="K34" s="3" t="n"/>
    </row>
    <row r="35" ht="15" customHeight="1">
      <c r="A35" s="3" t="n"/>
      <c r="B35" s="3" t="inlineStr">
        <is>
          <t>2031 energy growth</t>
        </is>
      </c>
      <c r="C35" s="3" t="n"/>
      <c r="D35" s="158" t="n">
        <v>0.15</v>
      </c>
      <c r="E35" s="3" t="n"/>
      <c r="F35" s="3" t="n"/>
      <c r="G35" s="3" t="n"/>
      <c r="H35" s="3" t="n"/>
      <c r="I35" s="3" t="n"/>
      <c r="J35" s="3" t="n"/>
      <c r="K35" s="3" t="n"/>
    </row>
    <row r="36" ht="15" customHeight="1">
      <c r="A36" s="3" t="n"/>
      <c r="B36" s="3" t="inlineStr">
        <is>
          <t>Grid utilization</t>
        </is>
      </c>
      <c r="C36" s="3" t="n"/>
      <c r="D36" s="158" t="n">
        <v>0.5</v>
      </c>
      <c r="E36" s="3" t="n"/>
      <c r="F36" s="3" t="n"/>
      <c r="G36" s="3" t="n"/>
      <c r="H36" s="3" t="n"/>
      <c r="I36" s="3" t="n"/>
      <c r="J36" s="3" t="n"/>
      <c r="K36" s="3" t="n"/>
    </row>
    <row r="37" ht="15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 ht="15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 ht="15" customHeight="1">
      <c r="A39" s="3" t="n"/>
      <c r="B39" s="101" t="inlineStr">
        <is>
          <t>Capacity Credit Assumptions</t>
        </is>
      </c>
      <c r="C39" s="102" t="n"/>
      <c r="D39" s="103" t="n"/>
      <c r="E39" s="103" t="n"/>
      <c r="F39" s="103" t="n"/>
      <c r="G39" s="103" t="n"/>
      <c r="H39" s="103" t="n"/>
      <c r="I39" s="103" t="n"/>
      <c r="J39" s="3" t="n"/>
      <c r="K39" s="3" t="n"/>
    </row>
    <row r="40" ht="15" customHeight="1">
      <c r="A40" s="3" t="n"/>
      <c r="B40" s="3" t="inlineStr">
        <is>
          <t>Technology</t>
        </is>
      </c>
      <c r="C40" s="3" t="n"/>
      <c r="D40" s="3" t="inlineStr">
        <is>
          <t>Credit</t>
        </is>
      </c>
      <c r="E40" s="3" t="n"/>
      <c r="F40" s="3" t="n"/>
      <c r="G40" s="3" t="n"/>
      <c r="H40" s="3" t="n"/>
      <c r="I40" s="3" t="n"/>
      <c r="J40" s="3" t="n"/>
      <c r="K40" s="3" t="n"/>
    </row>
    <row r="41" ht="15" customHeight="1">
      <c r="A41" s="3" t="n"/>
      <c r="B41" s="3" t="inlineStr">
        <is>
          <t>Nuclear</t>
        </is>
      </c>
      <c r="C41" s="3" t="n"/>
      <c r="D41" s="158" t="n">
        <v>0.9</v>
      </c>
      <c r="E41" s="3" t="n"/>
      <c r="F41" s="3" t="n"/>
      <c r="G41" s="3" t="n"/>
      <c r="H41" s="3" t="n"/>
      <c r="I41" s="3" t="n"/>
      <c r="J41" s="3" t="n"/>
      <c r="K41" s="3" t="n"/>
    </row>
    <row r="42" ht="15" customHeight="1">
      <c r="A42" s="3" t="n"/>
      <c r="B42" s="3" t="inlineStr">
        <is>
          <t>Advanced nuclear</t>
        </is>
      </c>
      <c r="C42" s="3" t="n"/>
      <c r="D42" s="158" t="n">
        <v>0.9</v>
      </c>
      <c r="E42" s="3" t="n"/>
      <c r="F42" s="3" t="n"/>
      <c r="G42" s="3" t="n"/>
      <c r="H42" s="3" t="n"/>
      <c r="I42" s="3" t="n"/>
      <c r="J42" s="3" t="n"/>
      <c r="K42" s="3" t="n"/>
    </row>
    <row r="43" ht="15" customHeight="1">
      <c r="A43" s="3" t="n"/>
      <c r="B43" s="3" t="inlineStr">
        <is>
          <t>Geothermal</t>
        </is>
      </c>
      <c r="C43" s="3" t="n"/>
      <c r="D43" s="158" t="n">
        <v>0.9</v>
      </c>
      <c r="E43" s="3" t="n"/>
      <c r="F43" s="3" t="n"/>
      <c r="G43" s="3" t="n"/>
      <c r="H43" s="3" t="n"/>
      <c r="I43" s="3" t="n"/>
      <c r="J43" s="3" t="n"/>
      <c r="K43" s="3" t="n"/>
    </row>
    <row r="44" ht="15" customHeight="1">
      <c r="A44" s="3" t="n"/>
      <c r="B44" s="3" t="inlineStr">
        <is>
          <t>Gas</t>
        </is>
      </c>
      <c r="C44" s="3" t="n"/>
      <c r="D44" s="158" t="n">
        <v>0.9</v>
      </c>
      <c r="E44" s="3" t="n"/>
      <c r="F44" s="3" t="n"/>
      <c r="G44" s="3" t="n"/>
      <c r="H44" s="3" t="n"/>
      <c r="I44" s="3" t="n"/>
      <c r="J44" s="3" t="n"/>
      <c r="K44" s="3" t="n"/>
    </row>
    <row r="45" ht="15" customHeight="1">
      <c r="A45" s="3" t="n"/>
      <c r="B45" s="3" t="inlineStr">
        <is>
          <t>Fuel cells</t>
        </is>
      </c>
      <c r="C45" s="3" t="n"/>
      <c r="D45" s="158" t="n">
        <v>0.85</v>
      </c>
      <c r="E45" s="3" t="n"/>
      <c r="F45" s="3" t="n"/>
      <c r="G45" s="3" t="n"/>
      <c r="H45" s="3" t="n"/>
      <c r="I45" s="3" t="n"/>
      <c r="J45" s="3" t="n"/>
      <c r="K45" s="3" t="n"/>
    </row>
    <row r="46" ht="15" customHeight="1">
      <c r="A46" s="3" t="n"/>
      <c r="B46" s="3" t="inlineStr">
        <is>
          <t>Hydro</t>
        </is>
      </c>
      <c r="C46" s="3" t="n"/>
      <c r="D46" s="158" t="n">
        <v>0.9</v>
      </c>
      <c r="E46" s="3" t="n"/>
      <c r="F46" s="3" t="n"/>
      <c r="G46" s="3" t="n"/>
      <c r="H46" s="3" t="n"/>
      <c r="I46" s="3" t="n"/>
      <c r="J46" s="3" t="n"/>
      <c r="K46" s="3" t="n"/>
    </row>
    <row r="47" ht="15" customHeight="1">
      <c r="A47" s="3" t="n"/>
      <c r="B47" s="3" t="inlineStr">
        <is>
          <t>Solar</t>
        </is>
      </c>
      <c r="C47" s="3" t="n"/>
      <c r="D47" s="158" t="n">
        <v>0.15</v>
      </c>
      <c r="E47" s="3" t="n"/>
      <c r="F47" s="3" t="n"/>
      <c r="G47" s="3" t="n"/>
      <c r="H47" s="3" t="n"/>
      <c r="I47" s="3" t="n"/>
      <c r="J47" s="3" t="n"/>
      <c r="K47" s="3" t="n"/>
    </row>
    <row r="48" ht="15" customHeight="1">
      <c r="A48" s="3" t="n"/>
      <c r="B48" s="3" t="inlineStr">
        <is>
          <t>Wind</t>
        </is>
      </c>
      <c r="C48" s="3" t="n"/>
      <c r="D48" s="158" t="n">
        <v>0.15</v>
      </c>
      <c r="E48" s="3" t="n"/>
      <c r="F48" s="3" t="n"/>
      <c r="G48" s="3" t="n"/>
      <c r="H48" s="3" t="n"/>
      <c r="I48" s="3" t="n"/>
      <c r="J48" s="3" t="n"/>
      <c r="K48" s="3" t="n"/>
    </row>
    <row r="49" ht="15" customHeight="1">
      <c r="A49" s="3" t="n"/>
      <c r="B49" s="3" t="inlineStr">
        <is>
          <t>Mixed renewables</t>
        </is>
      </c>
      <c r="C49" s="3" t="n"/>
      <c r="D49" s="158" t="n">
        <v>0.15</v>
      </c>
      <c r="E49" s="3" t="n"/>
      <c r="F49" s="3" t="n"/>
      <c r="G49" s="3" t="n"/>
      <c r="H49" s="3" t="n"/>
      <c r="I49" s="3" t="n"/>
      <c r="J49" s="3" t="n"/>
      <c r="K49" s="3" t="n"/>
    </row>
    <row r="50" ht="15" customHeight="1">
      <c r="A50" s="3" t="n"/>
      <c r="B50" s="3" t="inlineStr">
        <is>
          <t>Fusion</t>
        </is>
      </c>
      <c r="C50" s="3" t="n"/>
      <c r="D50" s="158" t="n">
        <v>0</v>
      </c>
      <c r="E50" s="3" t="n"/>
      <c r="F50" s="3" t="n"/>
      <c r="G50" s="3" t="n"/>
      <c r="H50" s="3" t="n"/>
      <c r="I50" s="3" t="n"/>
      <c r="J50" s="3" t="n"/>
      <c r="K50" s="3" t="n"/>
    </row>
    <row r="51" ht="15" customHeight="1">
      <c r="A51" s="3" t="n"/>
      <c r="B51" s="3" t="inlineStr">
        <is>
          <t>Storage</t>
        </is>
      </c>
      <c r="C51" s="3" t="n"/>
      <c r="D51" s="158" t="n">
        <v>0</v>
      </c>
      <c r="E51" s="3" t="n"/>
      <c r="F51" s="3" t="n"/>
      <c r="G51" s="3" t="n"/>
      <c r="H51" s="3" t="n"/>
      <c r="I51" s="3" t="n"/>
      <c r="J51" s="3" t="n"/>
      <c r="K51" s="3" t="n"/>
    </row>
    <row r="52" ht="15" customHeight="1">
      <c r="A52" s="3" t="n"/>
      <c r="B52" s="3" t="inlineStr">
        <is>
          <t>Demand response</t>
        </is>
      </c>
      <c r="C52" s="3" t="n"/>
      <c r="D52" s="158" t="n">
        <v>0</v>
      </c>
      <c r="E52" s="3" t="n"/>
      <c r="F52" s="3" t="n"/>
      <c r="G52" s="3" t="n"/>
      <c r="H52" s="3" t="n"/>
      <c r="I52" s="3" t="n"/>
      <c r="J52" s="3" t="n"/>
      <c r="K52" s="3" t="n"/>
    </row>
    <row r="53" ht="15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  <row r="54" ht="15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</row>
    <row r="55" ht="15" customHeight="1">
      <c r="A55" s="3" t="n"/>
      <c r="B55" s="101" t="inlineStr">
        <is>
          <t>Capex Intensity Assumptions</t>
        </is>
      </c>
      <c r="C55" s="102" t="n"/>
      <c r="D55" s="103" t="n"/>
      <c r="E55" s="103" t="n"/>
      <c r="F55" s="103" t="n"/>
      <c r="G55" s="103" t="n"/>
      <c r="H55" s="103" t="n"/>
      <c r="I55" s="103" t="n"/>
      <c r="J55" s="3" t="n"/>
      <c r="K55" s="3" t="n"/>
    </row>
    <row r="56" ht="15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</row>
    <row r="57" ht="15" customHeight="1">
      <c r="A57" s="3" t="n"/>
      <c r="B57" s="3" t="inlineStr">
        <is>
          <t>US share of global spend</t>
        </is>
      </c>
      <c r="C57" s="3" t="n"/>
      <c r="D57" s="158" t="n">
        <v>0.65</v>
      </c>
      <c r="E57" s="3" t="n"/>
      <c r="F57" s="3" t="n"/>
      <c r="G57" s="3" t="n"/>
      <c r="H57" s="3" t="n"/>
      <c r="I57" s="3" t="n"/>
      <c r="J57" s="3" t="n"/>
      <c r="K57" s="3" t="n"/>
    </row>
    <row r="58" ht="15" customHeight="1">
      <c r="A58" s="3" t="n"/>
      <c r="B58" s="3" t="inlineStr">
        <is>
          <t>Incremental facility spend share</t>
        </is>
      </c>
      <c r="C58" s="3" t="n"/>
      <c r="D58" s="158" t="n">
        <v>0.25</v>
      </c>
      <c r="E58" s="3" t="n"/>
      <c r="F58" s="3" t="n"/>
      <c r="G58" s="3" t="n"/>
      <c r="H58" s="3" t="n"/>
      <c r="I58" s="3" t="n"/>
      <c r="J58" s="3" t="n"/>
      <c r="K58" s="3" t="n"/>
    </row>
    <row r="59" ht="15" customHeight="1">
      <c r="A59" s="3" t="n"/>
      <c r="B59" s="3" t="inlineStr">
        <is>
          <t>Facility cost ($m / MW)</t>
        </is>
      </c>
      <c r="C59" s="3" t="n"/>
      <c r="D59" s="266" t="n">
        <v>12</v>
      </c>
      <c r="E59" s="3" t="n"/>
      <c r="F59" s="3" t="n"/>
      <c r="G59" s="3" t="n"/>
      <c r="H59" s="3" t="n"/>
      <c r="I59" s="3" t="n"/>
      <c r="J59" s="3" t="n"/>
      <c r="K59" s="3" t="n"/>
    </row>
    <row r="60" ht="15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 ht="15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</row>
    <row r="62" ht="15" customHeight="1">
      <c r="A62" s="3" t="n"/>
      <c r="B62" s="101" t="inlineStr">
        <is>
          <t>FTAI Power Assumptions</t>
        </is>
      </c>
      <c r="C62" s="102" t="n"/>
      <c r="D62" s="103" t="n"/>
      <c r="E62" s="103" t="n"/>
      <c r="F62" s="103" t="n"/>
      <c r="G62" s="103" t="n"/>
      <c r="H62" s="103" t="n"/>
      <c r="I62" s="103" t="n"/>
      <c r="J62" s="3" t="n"/>
      <c r="K62" s="3" t="n"/>
    </row>
    <row r="63" ht="15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</row>
    <row r="64" ht="15" customHeight="1">
      <c r="A64" s="3" t="n"/>
      <c r="B64" s="3" t="inlineStr">
        <is>
          <t>Annual output (units)</t>
        </is>
      </c>
      <c r="C64" s="3" t="n"/>
      <c r="D64" s="164" t="n">
        <v>100</v>
      </c>
      <c r="E64" s="3" t="n"/>
      <c r="F64" s="3" t="inlineStr">
        <is>
          <t>S091</t>
        </is>
      </c>
      <c r="G64" s="3" t="n"/>
      <c r="H64" s="3" t="n"/>
      <c r="I64" s="3" t="n"/>
      <c r="J64" s="3" t="n"/>
      <c r="K64" s="3" t="n"/>
    </row>
    <row r="65" ht="15" customHeight="1">
      <c r="A65" s="3" t="n"/>
      <c r="B65" s="3" t="inlineStr">
        <is>
          <t>Output per unit (MW)</t>
        </is>
      </c>
      <c r="C65" s="3" t="n"/>
      <c r="D65" s="164" t="n">
        <v>25</v>
      </c>
      <c r="E65" s="3" t="n"/>
      <c r="F65" s="3" t="n"/>
      <c r="G65" s="3" t="n"/>
      <c r="H65" s="3" t="n"/>
      <c r="I65" s="3" t="n"/>
      <c r="J65" s="3" t="n"/>
      <c r="K65" s="3" t="n"/>
    </row>
    <row r="66" ht="15" customHeight="1">
      <c r="A66" s="3" t="n"/>
      <c r="B66" s="3" t="inlineStr">
        <is>
          <t>Redundancy allowance</t>
        </is>
      </c>
      <c r="C66" s="3" t="n"/>
      <c r="D66" s="158" t="n">
        <v>0.5</v>
      </c>
      <c r="E66" s="3" t="n"/>
      <c r="F66" s="3" t="inlineStr">
        <is>
          <t>S092</t>
        </is>
      </c>
      <c r="G66" s="3" t="n"/>
      <c r="H66" s="3" t="n"/>
      <c r="I66" s="3" t="n"/>
      <c r="J66" s="3" t="n"/>
      <c r="K66" s="3" t="n"/>
    </row>
  </sheetData>
  <dataValidations count="1">
    <dataValidation sqref="K3" showDropDown="0" showInputMessage="0" showErrorMessage="0" allowBlank="0" type="list">
      <formula1>"1,2,3"</formula1>
    </dataValidation>
  </dataValidations>
  <pageMargins left="0.75" right="0.75" top="1" bottom="1" header="0.5" footer="0.5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pane ySplit="5" topLeftCell="A68" activePane="bottomLeft" state="frozen"/>
      <selection pane="bottomLeft" activeCell="A1" sqref="A1"/>
    </sheetView>
  </sheetViews>
  <sheetFormatPr baseColWidth="8" defaultColWidth="8.85546875" defaultRowHeight="15"/>
  <cols>
    <col width="2.7109375" customWidth="1" min="1" max="1"/>
    <col width="34" customWidth="1" min="2" max="2"/>
    <col width="12" customWidth="1" min="3" max="15"/>
  </cols>
  <sheetData>
    <row r="1" ht="18.95" customHeight="1">
      <c r="A1" s="3" t="n"/>
      <c r="B1" s="30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8.95" customHeight="1">
      <c r="A2" s="3" t="n"/>
      <c r="B2" s="30" t="inlineStr">
        <is>
          <t>Regional Capacity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15" customHeight="1">
      <c r="A3" s="3" t="n"/>
      <c r="B3" s="232" t="inlineStr">
        <is>
          <t>(MW, except shortfall in GW)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15" customHeight="1">
      <c r="A4" s="3" t="n"/>
      <c r="B4" s="150" t="inlineStr">
        <is>
          <t>Regional Forecast</t>
        </is>
      </c>
      <c r="C4" s="150" t="n"/>
      <c r="D4" s="150" t="n"/>
      <c r="E4" s="150" t="n"/>
      <c r="F4" s="150" t="n"/>
      <c r="G4" s="150" t="n"/>
      <c r="H4" s="150" t="n"/>
      <c r="I4" s="150" t="n"/>
      <c r="J4" s="150" t="n"/>
      <c r="K4" s="150" t="n"/>
      <c r="L4" s="150" t="n"/>
      <c r="M4" s="150" t="n"/>
      <c r="N4" s="150" t="n"/>
      <c r="O4" s="150" t="n"/>
    </row>
    <row r="5" ht="15" customHeight="1">
      <c r="A5" s="3" t="n"/>
      <c r="B5" s="152" t="inlineStr">
        <is>
          <t>Region</t>
        </is>
      </c>
      <c r="C5" s="153" t="inlineStr">
        <is>
          <t>Year</t>
        </is>
      </c>
      <c r="D5" s="153" t="inlineStr">
        <is>
          <t>NERC Demand</t>
        </is>
      </c>
      <c r="E5" s="153" t="inlineStr">
        <is>
          <t>2026 Demand</t>
        </is>
      </c>
      <c r="F5" s="153" t="inlineStr">
        <is>
          <t>Load Factor</t>
        </is>
      </c>
      <c r="G5" s="153" t="inlineStr">
        <is>
          <t>Adj. Demand</t>
        </is>
      </c>
      <c r="H5" s="153" t="inlineStr">
        <is>
          <t>Reserve (%)</t>
        </is>
      </c>
      <c r="I5" s="153" t="inlineStr">
        <is>
          <t>Req. Capacity</t>
        </is>
      </c>
      <c r="J5" s="153" t="inlineStr">
        <is>
          <t>Ant. Capacity</t>
        </is>
      </c>
      <c r="K5" s="153" t="inlineStr">
        <is>
          <t>Tier 1 Haircut</t>
        </is>
      </c>
      <c r="L5" s="153" t="inlineStr">
        <is>
          <t>Prospective</t>
        </is>
      </c>
      <c r="M5" s="153" t="inlineStr">
        <is>
          <t>Contracts</t>
        </is>
      </c>
      <c r="N5" s="153" t="inlineStr">
        <is>
          <t>Adj. Capacity</t>
        </is>
      </c>
      <c r="O5" s="153" t="inlineStr">
        <is>
          <t>Gap (GW)</t>
        </is>
      </c>
    </row>
    <row r="6" ht="15" customHeight="1">
      <c r="A6" s="3" t="n"/>
      <c r="B6" s="3">
        <f>'NERC source'!B6</f>
        <v/>
      </c>
      <c r="C6" s="105">
        <f>'NERC source'!C6</f>
        <v/>
      </c>
      <c r="D6" s="96">
        <f>'NERC source'!E6</f>
        <v/>
      </c>
      <c r="E6" s="96">
        <f>SUMIFS('NERC source'!$E$6:$E$95,'NERC source'!$B$6:$B$95,B6,'NERC source'!$C$6:$C$95,2026)</f>
        <v/>
      </c>
      <c r="F6" s="267">
        <f>'Power Market Assumptions'!D$8</f>
        <v/>
      </c>
      <c r="G6" s="96">
        <f>E6+(D6-E6)*F6</f>
        <v/>
      </c>
      <c r="H6" s="104">
        <f>'NERC source'!H6</f>
        <v/>
      </c>
      <c r="I6" s="96">
        <f>G6*(1+H6)</f>
        <v/>
      </c>
      <c r="J6" s="96">
        <f>D6*(1+'NERC source'!F6)</f>
        <v/>
      </c>
      <c r="K6" s="96">
        <f>'NERC source'!I6*'Power Market Assumptions'!D$18</f>
        <v/>
      </c>
      <c r="L6" s="96">
        <f>D6*('NERC source'!G6-'NERC source'!F6)*'Power Market Assumptions'!D$13</f>
        <v/>
      </c>
      <c r="M6" s="96">
        <f>SUMIFS('Power agreements'!R$6:R$72,'Power agreements'!$F$6:$F$72,B6,'Power agreements'!$P$6:$P$72,1)</f>
        <v/>
      </c>
      <c r="N6" s="96">
        <f>J6-K6+L6+M6</f>
        <v/>
      </c>
      <c r="O6" s="263">
        <f>MAX(0,I6-N6)/1000</f>
        <v/>
      </c>
    </row>
    <row r="7" ht="15" customHeight="1">
      <c r="A7" s="3" t="n"/>
      <c r="B7" s="3">
        <f>'NERC source'!B7</f>
        <v/>
      </c>
      <c r="C7" s="105">
        <f>'NERC source'!C7</f>
        <v/>
      </c>
      <c r="D7" s="96">
        <f>'NERC source'!E7</f>
        <v/>
      </c>
      <c r="E7" s="96">
        <f>SUMIFS('NERC source'!$E$6:$E$95,'NERC source'!$B$6:$B$95,B7,'NERC source'!$C$6:$C$95,2026)</f>
        <v/>
      </c>
      <c r="F7" s="267">
        <f>'Power Market Assumptions'!E$8</f>
        <v/>
      </c>
      <c r="G7" s="96">
        <f>E7+(D7-E7)*F7</f>
        <v/>
      </c>
      <c r="H7" s="104">
        <f>'NERC source'!H7</f>
        <v/>
      </c>
      <c r="I7" s="96">
        <f>G7*(1+H7)</f>
        <v/>
      </c>
      <c r="J7" s="96">
        <f>D7*(1+'NERC source'!F7)</f>
        <v/>
      </c>
      <c r="K7" s="96">
        <f>'NERC source'!I7*'Power Market Assumptions'!E$18</f>
        <v/>
      </c>
      <c r="L7" s="96">
        <f>D7*('NERC source'!G7-'NERC source'!F7)*'Power Market Assumptions'!E$13</f>
        <v/>
      </c>
      <c r="M7" s="96">
        <f>SUMIFS('Power agreements'!S$6:S$72,'Power agreements'!$F$6:$F$72,B7,'Power agreements'!$P$6:$P$72,1)</f>
        <v/>
      </c>
      <c r="N7" s="96">
        <f>J7-K7+L7+M7</f>
        <v/>
      </c>
      <c r="O7" s="263">
        <f>MAX(0,I7-N7)/1000</f>
        <v/>
      </c>
    </row>
    <row r="8" ht="15" customHeight="1">
      <c r="A8" s="3" t="n"/>
      <c r="B8" s="3">
        <f>'NERC source'!B8</f>
        <v/>
      </c>
      <c r="C8" s="105">
        <f>'NERC source'!C8</f>
        <v/>
      </c>
      <c r="D8" s="96">
        <f>'NERC source'!E8</f>
        <v/>
      </c>
      <c r="E8" s="96">
        <f>SUMIFS('NERC source'!$E$6:$E$95,'NERC source'!$B$6:$B$95,B8,'NERC source'!$C$6:$C$95,2026)</f>
        <v/>
      </c>
      <c r="F8" s="267">
        <f>'Power Market Assumptions'!F$8</f>
        <v/>
      </c>
      <c r="G8" s="96">
        <f>E8+(D8-E8)*F8</f>
        <v/>
      </c>
      <c r="H8" s="104">
        <f>'NERC source'!H8</f>
        <v/>
      </c>
      <c r="I8" s="96">
        <f>G8*(1+H8)</f>
        <v/>
      </c>
      <c r="J8" s="96">
        <f>D8*(1+'NERC source'!F8)</f>
        <v/>
      </c>
      <c r="K8" s="96">
        <f>'NERC source'!I8*'Power Market Assumptions'!F$18</f>
        <v/>
      </c>
      <c r="L8" s="96">
        <f>D8*('NERC source'!G8-'NERC source'!F8)*'Power Market Assumptions'!F$13</f>
        <v/>
      </c>
      <c r="M8" s="96">
        <f>SUMIFS('Power agreements'!T$6:T$72,'Power agreements'!$F$6:$F$72,B8,'Power agreements'!$P$6:$P$72,1)</f>
        <v/>
      </c>
      <c r="N8" s="96">
        <f>J8-K8+L8+M8</f>
        <v/>
      </c>
      <c r="O8" s="263">
        <f>MAX(0,I8-N8)/1000</f>
        <v/>
      </c>
    </row>
    <row r="9" ht="15" customHeight="1">
      <c r="A9" s="3" t="n"/>
      <c r="B9" s="3">
        <f>'NERC source'!B9</f>
        <v/>
      </c>
      <c r="C9" s="105">
        <f>'NERC source'!C9</f>
        <v/>
      </c>
      <c r="D9" s="96">
        <f>'NERC source'!E9</f>
        <v/>
      </c>
      <c r="E9" s="96">
        <f>SUMIFS('NERC source'!$E$6:$E$95,'NERC source'!$B$6:$B$95,B9,'NERC source'!$C$6:$C$95,2026)</f>
        <v/>
      </c>
      <c r="F9" s="267">
        <f>'Power Market Assumptions'!G$8</f>
        <v/>
      </c>
      <c r="G9" s="96">
        <f>E9+(D9-E9)*F9</f>
        <v/>
      </c>
      <c r="H9" s="104">
        <f>'NERC source'!H9</f>
        <v/>
      </c>
      <c r="I9" s="96">
        <f>G9*(1+H9)</f>
        <v/>
      </c>
      <c r="J9" s="96">
        <f>D9*(1+'NERC source'!F9)</f>
        <v/>
      </c>
      <c r="K9" s="96">
        <f>'NERC source'!I9*'Power Market Assumptions'!G$18</f>
        <v/>
      </c>
      <c r="L9" s="96">
        <f>D9*('NERC source'!G9-'NERC source'!F9)*'Power Market Assumptions'!G$13</f>
        <v/>
      </c>
      <c r="M9" s="96">
        <f>SUMIFS('Power agreements'!U$6:U$72,'Power agreements'!$F$6:$F$72,B9,'Power agreements'!$P$6:$P$72,1)</f>
        <v/>
      </c>
      <c r="N9" s="96">
        <f>J9-K9+L9+M9</f>
        <v/>
      </c>
      <c r="O9" s="263">
        <f>MAX(0,I9-N9)/1000</f>
        <v/>
      </c>
    </row>
    <row r="10" ht="15" customHeight="1">
      <c r="A10" s="3" t="n"/>
      <c r="B10" s="3">
        <f>'NERC source'!B10</f>
        <v/>
      </c>
      <c r="C10" s="105">
        <f>'NERC source'!C10</f>
        <v/>
      </c>
      <c r="D10" s="96">
        <f>'NERC source'!E10</f>
        <v/>
      </c>
      <c r="E10" s="96">
        <f>SUMIFS('NERC source'!$E$6:$E$95,'NERC source'!$B$6:$B$95,B10,'NERC source'!$C$6:$C$95,2026)</f>
        <v/>
      </c>
      <c r="F10" s="267">
        <f>'Power Market Assumptions'!H$8</f>
        <v/>
      </c>
      <c r="G10" s="96">
        <f>E10+(D10-E10)*F10</f>
        <v/>
      </c>
      <c r="H10" s="104">
        <f>'NERC source'!H10</f>
        <v/>
      </c>
      <c r="I10" s="96">
        <f>G10*(1+H10)</f>
        <v/>
      </c>
      <c r="J10" s="96">
        <f>D10*(1+'NERC source'!F10)</f>
        <v/>
      </c>
      <c r="K10" s="96">
        <f>'NERC source'!I10*'Power Market Assumptions'!H$18</f>
        <v/>
      </c>
      <c r="L10" s="96">
        <f>D10*('NERC source'!G10-'NERC source'!F10)*'Power Market Assumptions'!H$13</f>
        <v/>
      </c>
      <c r="M10" s="96">
        <f>SUMIFS('Power agreements'!V$6:V$72,'Power agreements'!$F$6:$F$72,B10,'Power agreements'!$P$6:$P$72,1)</f>
        <v/>
      </c>
      <c r="N10" s="96">
        <f>J10-K10+L10+M10</f>
        <v/>
      </c>
      <c r="O10" s="263">
        <f>MAX(0,I10-N10)/1000</f>
        <v/>
      </c>
    </row>
    <row r="11" ht="15" customHeight="1">
      <c r="A11" s="3" t="n"/>
      <c r="B11" s="3">
        <f>'NERC source'!B11</f>
        <v/>
      </c>
      <c r="C11" s="105">
        <f>'NERC source'!C11</f>
        <v/>
      </c>
      <c r="D11" s="96">
        <f>'NERC source'!E11</f>
        <v/>
      </c>
      <c r="E11" s="96">
        <f>SUMIFS('NERC source'!$E$6:$E$95,'NERC source'!$B$6:$B$95,B11,'NERC source'!$C$6:$C$95,2026)</f>
        <v/>
      </c>
      <c r="F11" s="267">
        <f>'Power Market Assumptions'!I$8</f>
        <v/>
      </c>
      <c r="G11" s="96">
        <f>E11+(D11-E11)*F11</f>
        <v/>
      </c>
      <c r="H11" s="104">
        <f>'NERC source'!H11</f>
        <v/>
      </c>
      <c r="I11" s="96">
        <f>G11*(1+H11)</f>
        <v/>
      </c>
      <c r="J11" s="96">
        <f>D11*(1+'NERC source'!F11)</f>
        <v/>
      </c>
      <c r="K11" s="96">
        <f>'NERC source'!I11*'Power Market Assumptions'!I$18</f>
        <v/>
      </c>
      <c r="L11" s="96">
        <f>D11*('NERC source'!G11-'NERC source'!F11)*'Power Market Assumptions'!I$13</f>
        <v/>
      </c>
      <c r="M11" s="96">
        <f>SUMIFS('Power agreements'!W$6:W$72,'Power agreements'!$F$6:$F$72,B11,'Power agreements'!$P$6:$P$72,1)</f>
        <v/>
      </c>
      <c r="N11" s="96">
        <f>J11-K11+L11+M11</f>
        <v/>
      </c>
      <c r="O11" s="263">
        <f>MAX(0,I11-N11)/1000</f>
        <v/>
      </c>
    </row>
    <row r="12" ht="15" customHeight="1">
      <c r="A12" s="3" t="n"/>
      <c r="B12" s="3">
        <f>'NERC source'!B12</f>
        <v/>
      </c>
      <c r="C12" s="105">
        <f>'NERC source'!C12</f>
        <v/>
      </c>
      <c r="D12" s="96">
        <f>'NERC source'!E12</f>
        <v/>
      </c>
      <c r="E12" s="96">
        <f>SUMIFS('NERC source'!$E$6:$E$95,'NERC source'!$B$6:$B$95,B12,'NERC source'!$C$6:$C$95,2026)</f>
        <v/>
      </c>
      <c r="F12" s="267">
        <f>'Power Market Assumptions'!D$8</f>
        <v/>
      </c>
      <c r="G12" s="96">
        <f>E12+(D12-E12)*F12</f>
        <v/>
      </c>
      <c r="H12" s="104">
        <f>'NERC source'!H12</f>
        <v/>
      </c>
      <c r="I12" s="96">
        <f>G12*(1+H12)</f>
        <v/>
      </c>
      <c r="J12" s="96">
        <f>D12*(1+'NERC source'!F12)</f>
        <v/>
      </c>
      <c r="K12" s="96">
        <f>'NERC source'!I12*'Power Market Assumptions'!D$18</f>
        <v/>
      </c>
      <c r="L12" s="96">
        <f>D12*('NERC source'!G12-'NERC source'!F12)*'Power Market Assumptions'!D$13</f>
        <v/>
      </c>
      <c r="M12" s="96">
        <f>SUMIFS('Power agreements'!R$6:R$72,'Power agreements'!$F$6:$F$72,B12,'Power agreements'!$P$6:$P$72,1)</f>
        <v/>
      </c>
      <c r="N12" s="96">
        <f>J12-K12+L12+M12</f>
        <v/>
      </c>
      <c r="O12" s="263">
        <f>MAX(0,I12-N12)/1000</f>
        <v/>
      </c>
    </row>
    <row r="13" ht="15" customHeight="1">
      <c r="A13" s="3" t="n"/>
      <c r="B13" s="3">
        <f>'NERC source'!B13</f>
        <v/>
      </c>
      <c r="C13" s="105">
        <f>'NERC source'!C13</f>
        <v/>
      </c>
      <c r="D13" s="96">
        <f>'NERC source'!E13</f>
        <v/>
      </c>
      <c r="E13" s="96">
        <f>SUMIFS('NERC source'!$E$6:$E$95,'NERC source'!$B$6:$B$95,B13,'NERC source'!$C$6:$C$95,2026)</f>
        <v/>
      </c>
      <c r="F13" s="267">
        <f>'Power Market Assumptions'!E$8</f>
        <v/>
      </c>
      <c r="G13" s="96">
        <f>E13+(D13-E13)*F13</f>
        <v/>
      </c>
      <c r="H13" s="104">
        <f>'NERC source'!H13</f>
        <v/>
      </c>
      <c r="I13" s="96">
        <f>G13*(1+H13)</f>
        <v/>
      </c>
      <c r="J13" s="96">
        <f>D13*(1+'NERC source'!F13)</f>
        <v/>
      </c>
      <c r="K13" s="96">
        <f>'NERC source'!I13*'Power Market Assumptions'!E$18</f>
        <v/>
      </c>
      <c r="L13" s="96">
        <f>D13*('NERC source'!G13-'NERC source'!F13)*'Power Market Assumptions'!E$13</f>
        <v/>
      </c>
      <c r="M13" s="96">
        <f>SUMIFS('Power agreements'!S$6:S$72,'Power agreements'!$F$6:$F$72,B13,'Power agreements'!$P$6:$P$72,1)</f>
        <v/>
      </c>
      <c r="N13" s="96">
        <f>J13-K13+L13+M13</f>
        <v/>
      </c>
      <c r="O13" s="263">
        <f>MAX(0,I13-N13)/1000</f>
        <v/>
      </c>
    </row>
    <row r="14" ht="15" customHeight="1">
      <c r="A14" s="3" t="n"/>
      <c r="B14" s="3">
        <f>'NERC source'!B14</f>
        <v/>
      </c>
      <c r="C14" s="105">
        <f>'NERC source'!C14</f>
        <v/>
      </c>
      <c r="D14" s="96">
        <f>'NERC source'!E14</f>
        <v/>
      </c>
      <c r="E14" s="96">
        <f>SUMIFS('NERC source'!$E$6:$E$95,'NERC source'!$B$6:$B$95,B14,'NERC source'!$C$6:$C$95,2026)</f>
        <v/>
      </c>
      <c r="F14" s="267">
        <f>'Power Market Assumptions'!F$8</f>
        <v/>
      </c>
      <c r="G14" s="96">
        <f>E14+(D14-E14)*F14</f>
        <v/>
      </c>
      <c r="H14" s="104">
        <f>'NERC source'!H14</f>
        <v/>
      </c>
      <c r="I14" s="96">
        <f>G14*(1+H14)</f>
        <v/>
      </c>
      <c r="J14" s="96">
        <f>D14*(1+'NERC source'!F14)</f>
        <v/>
      </c>
      <c r="K14" s="96">
        <f>'NERC source'!I14*'Power Market Assumptions'!F$18</f>
        <v/>
      </c>
      <c r="L14" s="96">
        <f>D14*('NERC source'!G14-'NERC source'!F14)*'Power Market Assumptions'!F$13</f>
        <v/>
      </c>
      <c r="M14" s="96">
        <f>SUMIFS('Power agreements'!T$6:T$72,'Power agreements'!$F$6:$F$72,B14,'Power agreements'!$P$6:$P$72,1)</f>
        <v/>
      </c>
      <c r="N14" s="96">
        <f>J14-K14+L14+M14</f>
        <v/>
      </c>
      <c r="O14" s="263">
        <f>MAX(0,I14-N14)/1000</f>
        <v/>
      </c>
    </row>
    <row r="15" ht="15" customHeight="1">
      <c r="A15" s="3" t="n"/>
      <c r="B15" s="3">
        <f>'NERC source'!B15</f>
        <v/>
      </c>
      <c r="C15" s="105">
        <f>'NERC source'!C15</f>
        <v/>
      </c>
      <c r="D15" s="96">
        <f>'NERC source'!E15</f>
        <v/>
      </c>
      <c r="E15" s="96">
        <f>SUMIFS('NERC source'!$E$6:$E$95,'NERC source'!$B$6:$B$95,B15,'NERC source'!$C$6:$C$95,2026)</f>
        <v/>
      </c>
      <c r="F15" s="267">
        <f>'Power Market Assumptions'!G$8</f>
        <v/>
      </c>
      <c r="G15" s="96">
        <f>E15+(D15-E15)*F15</f>
        <v/>
      </c>
      <c r="H15" s="104">
        <f>'NERC source'!H15</f>
        <v/>
      </c>
      <c r="I15" s="96">
        <f>G15*(1+H15)</f>
        <v/>
      </c>
      <c r="J15" s="96">
        <f>D15*(1+'NERC source'!F15)</f>
        <v/>
      </c>
      <c r="K15" s="96">
        <f>'NERC source'!I15*'Power Market Assumptions'!G$18</f>
        <v/>
      </c>
      <c r="L15" s="96">
        <f>D15*('NERC source'!G15-'NERC source'!F15)*'Power Market Assumptions'!G$13</f>
        <v/>
      </c>
      <c r="M15" s="96">
        <f>SUMIFS('Power agreements'!U$6:U$72,'Power agreements'!$F$6:$F$72,B15,'Power agreements'!$P$6:$P$72,1)</f>
        <v/>
      </c>
      <c r="N15" s="96">
        <f>J15-K15+L15+M15</f>
        <v/>
      </c>
      <c r="O15" s="263">
        <f>MAX(0,I15-N15)/1000</f>
        <v/>
      </c>
    </row>
    <row r="16" ht="15" customHeight="1">
      <c r="A16" s="3" t="n"/>
      <c r="B16" s="3">
        <f>'NERC source'!B16</f>
        <v/>
      </c>
      <c r="C16" s="105">
        <f>'NERC source'!C16</f>
        <v/>
      </c>
      <c r="D16" s="96">
        <f>'NERC source'!E16</f>
        <v/>
      </c>
      <c r="E16" s="96">
        <f>SUMIFS('NERC source'!$E$6:$E$95,'NERC source'!$B$6:$B$95,B16,'NERC source'!$C$6:$C$95,2026)</f>
        <v/>
      </c>
      <c r="F16" s="267">
        <f>'Power Market Assumptions'!H$8</f>
        <v/>
      </c>
      <c r="G16" s="96">
        <f>E16+(D16-E16)*F16</f>
        <v/>
      </c>
      <c r="H16" s="104">
        <f>'NERC source'!H16</f>
        <v/>
      </c>
      <c r="I16" s="96">
        <f>G16*(1+H16)</f>
        <v/>
      </c>
      <c r="J16" s="96">
        <f>D16*(1+'NERC source'!F16)</f>
        <v/>
      </c>
      <c r="K16" s="96">
        <f>'NERC source'!I16*'Power Market Assumptions'!H$18</f>
        <v/>
      </c>
      <c r="L16" s="96">
        <f>D16*('NERC source'!G16-'NERC source'!F16)*'Power Market Assumptions'!H$13</f>
        <v/>
      </c>
      <c r="M16" s="96">
        <f>SUMIFS('Power agreements'!V$6:V$72,'Power agreements'!$F$6:$F$72,B16,'Power agreements'!$P$6:$P$72,1)</f>
        <v/>
      </c>
      <c r="N16" s="96">
        <f>J16-K16+L16+M16</f>
        <v/>
      </c>
      <c r="O16" s="263">
        <f>MAX(0,I16-N16)/1000</f>
        <v/>
      </c>
    </row>
    <row r="17" ht="15" customHeight="1">
      <c r="A17" s="3" t="n"/>
      <c r="B17" s="3">
        <f>'NERC source'!B17</f>
        <v/>
      </c>
      <c r="C17" s="105">
        <f>'NERC source'!C17</f>
        <v/>
      </c>
      <c r="D17" s="96">
        <f>'NERC source'!E17</f>
        <v/>
      </c>
      <c r="E17" s="96">
        <f>SUMIFS('NERC source'!$E$6:$E$95,'NERC source'!$B$6:$B$95,B17,'NERC source'!$C$6:$C$95,2026)</f>
        <v/>
      </c>
      <c r="F17" s="267">
        <f>'Power Market Assumptions'!I$8</f>
        <v/>
      </c>
      <c r="G17" s="96">
        <f>E17+(D17-E17)*F17</f>
        <v/>
      </c>
      <c r="H17" s="104">
        <f>'NERC source'!H17</f>
        <v/>
      </c>
      <c r="I17" s="96">
        <f>G17*(1+H17)</f>
        <v/>
      </c>
      <c r="J17" s="96">
        <f>D17*(1+'NERC source'!F17)</f>
        <v/>
      </c>
      <c r="K17" s="96">
        <f>'NERC source'!I17*'Power Market Assumptions'!I$18</f>
        <v/>
      </c>
      <c r="L17" s="96">
        <f>D17*('NERC source'!G17-'NERC source'!F17)*'Power Market Assumptions'!I$13</f>
        <v/>
      </c>
      <c r="M17" s="96">
        <f>SUMIFS('Power agreements'!W$6:W$72,'Power agreements'!$F$6:$F$72,B17,'Power agreements'!$P$6:$P$72,1)</f>
        <v/>
      </c>
      <c r="N17" s="96">
        <f>J17-K17+L17+M17</f>
        <v/>
      </c>
      <c r="O17" s="263">
        <f>MAX(0,I17-N17)/1000</f>
        <v/>
      </c>
    </row>
    <row r="18" ht="15" customHeight="1">
      <c r="A18" s="3" t="n"/>
      <c r="B18" s="3">
        <f>'NERC source'!B18</f>
        <v/>
      </c>
      <c r="C18" s="105">
        <f>'NERC source'!C18</f>
        <v/>
      </c>
      <c r="D18" s="96">
        <f>'NERC source'!E18</f>
        <v/>
      </c>
      <c r="E18" s="96">
        <f>SUMIFS('NERC source'!$E$6:$E$95,'NERC source'!$B$6:$B$95,B18,'NERC source'!$C$6:$C$95,2026)</f>
        <v/>
      </c>
      <c r="F18" s="267">
        <f>'Power Market Assumptions'!D$8</f>
        <v/>
      </c>
      <c r="G18" s="96">
        <f>E18+(D18-E18)*F18</f>
        <v/>
      </c>
      <c r="H18" s="104">
        <f>'NERC source'!H18</f>
        <v/>
      </c>
      <c r="I18" s="96">
        <f>G18*(1+H18)</f>
        <v/>
      </c>
      <c r="J18" s="96">
        <f>D18*(1+'NERC source'!F18)</f>
        <v/>
      </c>
      <c r="K18" s="96">
        <f>'NERC source'!I18*'Power Market Assumptions'!D$18</f>
        <v/>
      </c>
      <c r="L18" s="96">
        <f>D18*('NERC source'!G18-'NERC source'!F18)*'Power Market Assumptions'!D$13</f>
        <v/>
      </c>
      <c r="M18" s="96">
        <f>SUMIFS('Power agreements'!R$6:R$72,'Power agreements'!$F$6:$F$72,B18,'Power agreements'!$P$6:$P$72,1)</f>
        <v/>
      </c>
      <c r="N18" s="96">
        <f>J18-K18+L18+M18</f>
        <v/>
      </c>
      <c r="O18" s="263">
        <f>MAX(0,I18-N18)/1000</f>
        <v/>
      </c>
    </row>
    <row r="19" ht="15" customHeight="1">
      <c r="A19" s="3" t="n"/>
      <c r="B19" s="3">
        <f>'NERC source'!B19</f>
        <v/>
      </c>
      <c r="C19" s="105">
        <f>'NERC source'!C19</f>
        <v/>
      </c>
      <c r="D19" s="96">
        <f>'NERC source'!E19</f>
        <v/>
      </c>
      <c r="E19" s="96">
        <f>SUMIFS('NERC source'!$E$6:$E$95,'NERC source'!$B$6:$B$95,B19,'NERC source'!$C$6:$C$95,2026)</f>
        <v/>
      </c>
      <c r="F19" s="267">
        <f>'Power Market Assumptions'!E$8</f>
        <v/>
      </c>
      <c r="G19" s="96">
        <f>E19+(D19-E19)*F19</f>
        <v/>
      </c>
      <c r="H19" s="104">
        <f>'NERC source'!H19</f>
        <v/>
      </c>
      <c r="I19" s="96">
        <f>G19*(1+H19)</f>
        <v/>
      </c>
      <c r="J19" s="96">
        <f>D19*(1+'NERC source'!F19)</f>
        <v/>
      </c>
      <c r="K19" s="96">
        <f>'NERC source'!I19*'Power Market Assumptions'!E$18</f>
        <v/>
      </c>
      <c r="L19" s="96">
        <f>D19*('NERC source'!G19-'NERC source'!F19)*'Power Market Assumptions'!E$13</f>
        <v/>
      </c>
      <c r="M19" s="96">
        <f>SUMIFS('Power agreements'!S$6:S$72,'Power agreements'!$F$6:$F$72,B19,'Power agreements'!$P$6:$P$72,1)</f>
        <v/>
      </c>
      <c r="N19" s="96">
        <f>J19-K19+L19+M19</f>
        <v/>
      </c>
      <c r="O19" s="263">
        <f>MAX(0,I19-N19)/1000</f>
        <v/>
      </c>
    </row>
    <row r="20" ht="15" customHeight="1">
      <c r="A20" s="3" t="n"/>
      <c r="B20" s="3">
        <f>'NERC source'!B20</f>
        <v/>
      </c>
      <c r="C20" s="105">
        <f>'NERC source'!C20</f>
        <v/>
      </c>
      <c r="D20" s="96">
        <f>'NERC source'!E20</f>
        <v/>
      </c>
      <c r="E20" s="96">
        <f>SUMIFS('NERC source'!$E$6:$E$95,'NERC source'!$B$6:$B$95,B20,'NERC source'!$C$6:$C$95,2026)</f>
        <v/>
      </c>
      <c r="F20" s="267">
        <f>'Power Market Assumptions'!F$8</f>
        <v/>
      </c>
      <c r="G20" s="96">
        <f>E20+(D20-E20)*F20</f>
        <v/>
      </c>
      <c r="H20" s="104">
        <f>'NERC source'!H20</f>
        <v/>
      </c>
      <c r="I20" s="96">
        <f>G20*(1+H20)</f>
        <v/>
      </c>
      <c r="J20" s="96">
        <f>D20*(1+'NERC source'!F20)</f>
        <v/>
      </c>
      <c r="K20" s="96">
        <f>'NERC source'!I20*'Power Market Assumptions'!F$18</f>
        <v/>
      </c>
      <c r="L20" s="96">
        <f>D20*('NERC source'!G20-'NERC source'!F20)*'Power Market Assumptions'!F$13</f>
        <v/>
      </c>
      <c r="M20" s="96">
        <f>SUMIFS('Power agreements'!T$6:T$72,'Power agreements'!$F$6:$F$72,B20,'Power agreements'!$P$6:$P$72,1)</f>
        <v/>
      </c>
      <c r="N20" s="96">
        <f>J20-K20+L20+M20</f>
        <v/>
      </c>
      <c r="O20" s="263">
        <f>MAX(0,I20-N20)/1000</f>
        <v/>
      </c>
    </row>
    <row r="21" ht="15" customHeight="1">
      <c r="A21" s="3" t="n"/>
      <c r="B21" s="3">
        <f>'NERC source'!B21</f>
        <v/>
      </c>
      <c r="C21" s="105">
        <f>'NERC source'!C21</f>
        <v/>
      </c>
      <c r="D21" s="96">
        <f>'NERC source'!E21</f>
        <v/>
      </c>
      <c r="E21" s="96">
        <f>SUMIFS('NERC source'!$E$6:$E$95,'NERC source'!$B$6:$B$95,B21,'NERC source'!$C$6:$C$95,2026)</f>
        <v/>
      </c>
      <c r="F21" s="267">
        <f>'Power Market Assumptions'!G$8</f>
        <v/>
      </c>
      <c r="G21" s="96">
        <f>E21+(D21-E21)*F21</f>
        <v/>
      </c>
      <c r="H21" s="104">
        <f>'NERC source'!H21</f>
        <v/>
      </c>
      <c r="I21" s="96">
        <f>G21*(1+H21)</f>
        <v/>
      </c>
      <c r="J21" s="96">
        <f>D21*(1+'NERC source'!F21)</f>
        <v/>
      </c>
      <c r="K21" s="96">
        <f>'NERC source'!I21*'Power Market Assumptions'!G$18</f>
        <v/>
      </c>
      <c r="L21" s="96">
        <f>D21*('NERC source'!G21-'NERC source'!F21)*'Power Market Assumptions'!G$13</f>
        <v/>
      </c>
      <c r="M21" s="96">
        <f>SUMIFS('Power agreements'!U$6:U$72,'Power agreements'!$F$6:$F$72,B21,'Power agreements'!$P$6:$P$72,1)</f>
        <v/>
      </c>
      <c r="N21" s="96">
        <f>J21-K21+L21+M21</f>
        <v/>
      </c>
      <c r="O21" s="263">
        <f>MAX(0,I21-N21)/1000</f>
        <v/>
      </c>
    </row>
    <row r="22" ht="15" customHeight="1">
      <c r="A22" s="3" t="n"/>
      <c r="B22" s="3">
        <f>'NERC source'!B22</f>
        <v/>
      </c>
      <c r="C22" s="105">
        <f>'NERC source'!C22</f>
        <v/>
      </c>
      <c r="D22" s="96">
        <f>'NERC source'!E22</f>
        <v/>
      </c>
      <c r="E22" s="96">
        <f>SUMIFS('NERC source'!$E$6:$E$95,'NERC source'!$B$6:$B$95,B22,'NERC source'!$C$6:$C$95,2026)</f>
        <v/>
      </c>
      <c r="F22" s="267">
        <f>'Power Market Assumptions'!H$8</f>
        <v/>
      </c>
      <c r="G22" s="96">
        <f>E22+(D22-E22)*F22</f>
        <v/>
      </c>
      <c r="H22" s="104">
        <f>'NERC source'!H22</f>
        <v/>
      </c>
      <c r="I22" s="96">
        <f>G22*(1+H22)</f>
        <v/>
      </c>
      <c r="J22" s="96">
        <f>D22*(1+'NERC source'!F22)</f>
        <v/>
      </c>
      <c r="K22" s="96">
        <f>'NERC source'!I22*'Power Market Assumptions'!H$18</f>
        <v/>
      </c>
      <c r="L22" s="96">
        <f>D22*('NERC source'!G22-'NERC source'!F22)*'Power Market Assumptions'!H$13</f>
        <v/>
      </c>
      <c r="M22" s="96">
        <f>SUMIFS('Power agreements'!V$6:V$72,'Power agreements'!$F$6:$F$72,B22,'Power agreements'!$P$6:$P$72,1)</f>
        <v/>
      </c>
      <c r="N22" s="96">
        <f>J22-K22+L22+M22</f>
        <v/>
      </c>
      <c r="O22" s="263">
        <f>MAX(0,I22-N22)/1000</f>
        <v/>
      </c>
    </row>
    <row r="23" ht="15" customHeight="1">
      <c r="A23" s="3" t="n"/>
      <c r="B23" s="3">
        <f>'NERC source'!B23</f>
        <v/>
      </c>
      <c r="C23" s="105">
        <f>'NERC source'!C23</f>
        <v/>
      </c>
      <c r="D23" s="96">
        <f>'NERC source'!E23</f>
        <v/>
      </c>
      <c r="E23" s="96">
        <f>SUMIFS('NERC source'!$E$6:$E$95,'NERC source'!$B$6:$B$95,B23,'NERC source'!$C$6:$C$95,2026)</f>
        <v/>
      </c>
      <c r="F23" s="267">
        <f>'Power Market Assumptions'!I$8</f>
        <v/>
      </c>
      <c r="G23" s="96">
        <f>E23+(D23-E23)*F23</f>
        <v/>
      </c>
      <c r="H23" s="104">
        <f>'NERC source'!H23</f>
        <v/>
      </c>
      <c r="I23" s="96">
        <f>G23*(1+H23)</f>
        <v/>
      </c>
      <c r="J23" s="96">
        <f>D23*(1+'NERC source'!F23)</f>
        <v/>
      </c>
      <c r="K23" s="96">
        <f>'NERC source'!I23*'Power Market Assumptions'!I$18</f>
        <v/>
      </c>
      <c r="L23" s="96">
        <f>D23*('NERC source'!G23-'NERC source'!F23)*'Power Market Assumptions'!I$13</f>
        <v/>
      </c>
      <c r="M23" s="96">
        <f>SUMIFS('Power agreements'!W$6:W$72,'Power agreements'!$F$6:$F$72,B23,'Power agreements'!$P$6:$P$72,1)</f>
        <v/>
      </c>
      <c r="N23" s="96">
        <f>J23-K23+L23+M23</f>
        <v/>
      </c>
      <c r="O23" s="263">
        <f>MAX(0,I23-N23)/1000</f>
        <v/>
      </c>
    </row>
    <row r="24" ht="15" customHeight="1">
      <c r="A24" s="3" t="n"/>
      <c r="B24" s="3">
        <f>'NERC source'!B24</f>
        <v/>
      </c>
      <c r="C24" s="105">
        <f>'NERC source'!C24</f>
        <v/>
      </c>
      <c r="D24" s="96">
        <f>'NERC source'!E24</f>
        <v/>
      </c>
      <c r="E24" s="96">
        <f>SUMIFS('NERC source'!$E$6:$E$95,'NERC source'!$B$6:$B$95,B24,'NERC source'!$C$6:$C$95,2026)</f>
        <v/>
      </c>
      <c r="F24" s="267">
        <f>'Power Market Assumptions'!D$8</f>
        <v/>
      </c>
      <c r="G24" s="96">
        <f>E24+(D24-E24)*F24</f>
        <v/>
      </c>
      <c r="H24" s="104">
        <f>'NERC source'!H24</f>
        <v/>
      </c>
      <c r="I24" s="96">
        <f>G24*(1+H24)</f>
        <v/>
      </c>
      <c r="J24" s="96">
        <f>D24*(1+'NERC source'!F24)</f>
        <v/>
      </c>
      <c r="K24" s="96">
        <f>'NERC source'!I24*'Power Market Assumptions'!D$18</f>
        <v/>
      </c>
      <c r="L24" s="96">
        <f>D24*('NERC source'!G24-'NERC source'!F24)*'Power Market Assumptions'!D$13</f>
        <v/>
      </c>
      <c r="M24" s="96">
        <f>SUMIFS('Power agreements'!R$6:R$72,'Power agreements'!$F$6:$F$72,B24,'Power agreements'!$P$6:$P$72,1)</f>
        <v/>
      </c>
      <c r="N24" s="96">
        <f>J24-K24+L24+M24</f>
        <v/>
      </c>
      <c r="O24" s="263">
        <f>MAX(0,I24-N24)/1000</f>
        <v/>
      </c>
    </row>
    <row r="25" ht="15" customHeight="1">
      <c r="A25" s="3" t="n"/>
      <c r="B25" s="3">
        <f>'NERC source'!B25</f>
        <v/>
      </c>
      <c r="C25" s="105">
        <f>'NERC source'!C25</f>
        <v/>
      </c>
      <c r="D25" s="96">
        <f>'NERC source'!E25</f>
        <v/>
      </c>
      <c r="E25" s="96">
        <f>SUMIFS('NERC source'!$E$6:$E$95,'NERC source'!$B$6:$B$95,B25,'NERC source'!$C$6:$C$95,2026)</f>
        <v/>
      </c>
      <c r="F25" s="267">
        <f>'Power Market Assumptions'!E$8</f>
        <v/>
      </c>
      <c r="G25" s="96">
        <f>E25+(D25-E25)*F25</f>
        <v/>
      </c>
      <c r="H25" s="104">
        <f>'NERC source'!H25</f>
        <v/>
      </c>
      <c r="I25" s="96">
        <f>G25*(1+H25)</f>
        <v/>
      </c>
      <c r="J25" s="96">
        <f>D25*(1+'NERC source'!F25)</f>
        <v/>
      </c>
      <c r="K25" s="96">
        <f>'NERC source'!I25*'Power Market Assumptions'!E$18</f>
        <v/>
      </c>
      <c r="L25" s="96">
        <f>D25*('NERC source'!G25-'NERC source'!F25)*'Power Market Assumptions'!E$13</f>
        <v/>
      </c>
      <c r="M25" s="96">
        <f>SUMIFS('Power agreements'!S$6:S$72,'Power agreements'!$F$6:$F$72,B25,'Power agreements'!$P$6:$P$72,1)</f>
        <v/>
      </c>
      <c r="N25" s="96">
        <f>J25-K25+L25+M25</f>
        <v/>
      </c>
      <c r="O25" s="263">
        <f>MAX(0,I25-N25)/1000</f>
        <v/>
      </c>
    </row>
    <row r="26" ht="15" customHeight="1">
      <c r="A26" s="3" t="n"/>
      <c r="B26" s="3">
        <f>'NERC source'!B26</f>
        <v/>
      </c>
      <c r="C26" s="105">
        <f>'NERC source'!C26</f>
        <v/>
      </c>
      <c r="D26" s="96">
        <f>'NERC source'!E26</f>
        <v/>
      </c>
      <c r="E26" s="96">
        <f>SUMIFS('NERC source'!$E$6:$E$95,'NERC source'!$B$6:$B$95,B26,'NERC source'!$C$6:$C$95,2026)</f>
        <v/>
      </c>
      <c r="F26" s="267">
        <f>'Power Market Assumptions'!F$8</f>
        <v/>
      </c>
      <c r="G26" s="96">
        <f>E26+(D26-E26)*F26</f>
        <v/>
      </c>
      <c r="H26" s="104">
        <f>'NERC source'!H26</f>
        <v/>
      </c>
      <c r="I26" s="96">
        <f>G26*(1+H26)</f>
        <v/>
      </c>
      <c r="J26" s="96">
        <f>D26*(1+'NERC source'!F26)</f>
        <v/>
      </c>
      <c r="K26" s="96">
        <f>'NERC source'!I26*'Power Market Assumptions'!F$18</f>
        <v/>
      </c>
      <c r="L26" s="96">
        <f>D26*('NERC source'!G26-'NERC source'!F26)*'Power Market Assumptions'!F$13</f>
        <v/>
      </c>
      <c r="M26" s="96">
        <f>SUMIFS('Power agreements'!T$6:T$72,'Power agreements'!$F$6:$F$72,B26,'Power agreements'!$P$6:$P$72,1)</f>
        <v/>
      </c>
      <c r="N26" s="96">
        <f>J26-K26+L26+M26</f>
        <v/>
      </c>
      <c r="O26" s="263">
        <f>MAX(0,I26-N26)/1000</f>
        <v/>
      </c>
    </row>
    <row r="27" ht="15" customHeight="1">
      <c r="A27" s="3" t="n"/>
      <c r="B27" s="3">
        <f>'NERC source'!B27</f>
        <v/>
      </c>
      <c r="C27" s="105">
        <f>'NERC source'!C27</f>
        <v/>
      </c>
      <c r="D27" s="96">
        <f>'NERC source'!E27</f>
        <v/>
      </c>
      <c r="E27" s="96">
        <f>SUMIFS('NERC source'!$E$6:$E$95,'NERC source'!$B$6:$B$95,B27,'NERC source'!$C$6:$C$95,2026)</f>
        <v/>
      </c>
      <c r="F27" s="267">
        <f>'Power Market Assumptions'!G$8</f>
        <v/>
      </c>
      <c r="G27" s="96">
        <f>E27+(D27-E27)*F27</f>
        <v/>
      </c>
      <c r="H27" s="104">
        <f>'NERC source'!H27</f>
        <v/>
      </c>
      <c r="I27" s="96">
        <f>G27*(1+H27)</f>
        <v/>
      </c>
      <c r="J27" s="96">
        <f>D27*(1+'NERC source'!F27)</f>
        <v/>
      </c>
      <c r="K27" s="96">
        <f>'NERC source'!I27*'Power Market Assumptions'!G$18</f>
        <v/>
      </c>
      <c r="L27" s="96">
        <f>D27*('NERC source'!G27-'NERC source'!F27)*'Power Market Assumptions'!G$13</f>
        <v/>
      </c>
      <c r="M27" s="96">
        <f>SUMIFS('Power agreements'!U$6:U$72,'Power agreements'!$F$6:$F$72,B27,'Power agreements'!$P$6:$P$72,1)</f>
        <v/>
      </c>
      <c r="N27" s="96">
        <f>J27-K27+L27+M27</f>
        <v/>
      </c>
      <c r="O27" s="263">
        <f>MAX(0,I27-N27)/1000</f>
        <v/>
      </c>
    </row>
    <row r="28" ht="15" customHeight="1">
      <c r="A28" s="3" t="n"/>
      <c r="B28" s="3">
        <f>'NERC source'!B28</f>
        <v/>
      </c>
      <c r="C28" s="105">
        <f>'NERC source'!C28</f>
        <v/>
      </c>
      <c r="D28" s="96">
        <f>'NERC source'!E28</f>
        <v/>
      </c>
      <c r="E28" s="96">
        <f>SUMIFS('NERC source'!$E$6:$E$95,'NERC source'!$B$6:$B$95,B28,'NERC source'!$C$6:$C$95,2026)</f>
        <v/>
      </c>
      <c r="F28" s="267">
        <f>'Power Market Assumptions'!H$8</f>
        <v/>
      </c>
      <c r="G28" s="96">
        <f>E28+(D28-E28)*F28</f>
        <v/>
      </c>
      <c r="H28" s="104">
        <f>'NERC source'!H28</f>
        <v/>
      </c>
      <c r="I28" s="96">
        <f>G28*(1+H28)</f>
        <v/>
      </c>
      <c r="J28" s="96">
        <f>D28*(1+'NERC source'!F28)</f>
        <v/>
      </c>
      <c r="K28" s="96">
        <f>'NERC source'!I28*'Power Market Assumptions'!H$18</f>
        <v/>
      </c>
      <c r="L28" s="96">
        <f>D28*('NERC source'!G28-'NERC source'!F28)*'Power Market Assumptions'!H$13</f>
        <v/>
      </c>
      <c r="M28" s="96">
        <f>SUMIFS('Power agreements'!V$6:V$72,'Power agreements'!$F$6:$F$72,B28,'Power agreements'!$P$6:$P$72,1)</f>
        <v/>
      </c>
      <c r="N28" s="96">
        <f>J28-K28+L28+M28</f>
        <v/>
      </c>
      <c r="O28" s="263">
        <f>MAX(0,I28-N28)/1000</f>
        <v/>
      </c>
    </row>
    <row r="29" ht="15" customHeight="1">
      <c r="A29" s="3" t="n"/>
      <c r="B29" s="3">
        <f>'NERC source'!B29</f>
        <v/>
      </c>
      <c r="C29" s="105">
        <f>'NERC source'!C29</f>
        <v/>
      </c>
      <c r="D29" s="96">
        <f>'NERC source'!E29</f>
        <v/>
      </c>
      <c r="E29" s="96">
        <f>SUMIFS('NERC source'!$E$6:$E$95,'NERC source'!$B$6:$B$95,B29,'NERC source'!$C$6:$C$95,2026)</f>
        <v/>
      </c>
      <c r="F29" s="267">
        <f>'Power Market Assumptions'!I$8</f>
        <v/>
      </c>
      <c r="G29" s="96">
        <f>E29+(D29-E29)*F29</f>
        <v/>
      </c>
      <c r="H29" s="104">
        <f>'NERC source'!H29</f>
        <v/>
      </c>
      <c r="I29" s="96">
        <f>G29*(1+H29)</f>
        <v/>
      </c>
      <c r="J29" s="96">
        <f>D29*(1+'NERC source'!F29)</f>
        <v/>
      </c>
      <c r="K29" s="96">
        <f>'NERC source'!I29*'Power Market Assumptions'!I$18</f>
        <v/>
      </c>
      <c r="L29" s="96">
        <f>D29*('NERC source'!G29-'NERC source'!F29)*'Power Market Assumptions'!I$13</f>
        <v/>
      </c>
      <c r="M29" s="96">
        <f>SUMIFS('Power agreements'!W$6:W$72,'Power agreements'!$F$6:$F$72,B29,'Power agreements'!$P$6:$P$72,1)</f>
        <v/>
      </c>
      <c r="N29" s="96">
        <f>J29-K29+L29+M29</f>
        <v/>
      </c>
      <c r="O29" s="263">
        <f>MAX(0,I29-N29)/1000</f>
        <v/>
      </c>
    </row>
    <row r="30" ht="15" customHeight="1">
      <c r="A30" s="3" t="n"/>
      <c r="B30" s="3">
        <f>'NERC source'!B30</f>
        <v/>
      </c>
      <c r="C30" s="105">
        <f>'NERC source'!C30</f>
        <v/>
      </c>
      <c r="D30" s="96">
        <f>'NERC source'!E30</f>
        <v/>
      </c>
      <c r="E30" s="96">
        <f>SUMIFS('NERC source'!$E$6:$E$95,'NERC source'!$B$6:$B$95,B30,'NERC source'!$C$6:$C$95,2026)</f>
        <v/>
      </c>
      <c r="F30" s="267">
        <f>'Power Market Assumptions'!D$8</f>
        <v/>
      </c>
      <c r="G30" s="96">
        <f>E30+(D30-E30)*F30</f>
        <v/>
      </c>
      <c r="H30" s="104">
        <f>'NERC source'!H30</f>
        <v/>
      </c>
      <c r="I30" s="96">
        <f>G30*(1+H30)</f>
        <v/>
      </c>
      <c r="J30" s="96">
        <f>D30*(1+'NERC source'!F30)</f>
        <v/>
      </c>
      <c r="K30" s="96">
        <f>'NERC source'!I30*'Power Market Assumptions'!D$18</f>
        <v/>
      </c>
      <c r="L30" s="96">
        <f>D30*('NERC source'!G30-'NERC source'!F30)*'Power Market Assumptions'!D$13</f>
        <v/>
      </c>
      <c r="M30" s="96">
        <f>SUMIFS('Power agreements'!R$6:R$72,'Power agreements'!$F$6:$F$72,B30,'Power agreements'!$P$6:$P$72,1)</f>
        <v/>
      </c>
      <c r="N30" s="96">
        <f>J30-K30+L30+M30</f>
        <v/>
      </c>
      <c r="O30" s="263">
        <f>MAX(0,I30-N30)/1000</f>
        <v/>
      </c>
    </row>
    <row r="31" ht="15" customHeight="1">
      <c r="A31" s="3" t="n"/>
      <c r="B31" s="3">
        <f>'NERC source'!B31</f>
        <v/>
      </c>
      <c r="C31" s="105">
        <f>'NERC source'!C31</f>
        <v/>
      </c>
      <c r="D31" s="96">
        <f>'NERC source'!E31</f>
        <v/>
      </c>
      <c r="E31" s="96">
        <f>SUMIFS('NERC source'!$E$6:$E$95,'NERC source'!$B$6:$B$95,B31,'NERC source'!$C$6:$C$95,2026)</f>
        <v/>
      </c>
      <c r="F31" s="267">
        <f>'Power Market Assumptions'!E$8</f>
        <v/>
      </c>
      <c r="G31" s="96">
        <f>E31+(D31-E31)*F31</f>
        <v/>
      </c>
      <c r="H31" s="104">
        <f>'NERC source'!H31</f>
        <v/>
      </c>
      <c r="I31" s="96">
        <f>G31*(1+H31)</f>
        <v/>
      </c>
      <c r="J31" s="96">
        <f>D31*(1+'NERC source'!F31)</f>
        <v/>
      </c>
      <c r="K31" s="96">
        <f>'NERC source'!I31*'Power Market Assumptions'!E$18</f>
        <v/>
      </c>
      <c r="L31" s="96">
        <f>D31*('NERC source'!G31-'NERC source'!F31)*'Power Market Assumptions'!E$13</f>
        <v/>
      </c>
      <c r="M31" s="96">
        <f>SUMIFS('Power agreements'!S$6:S$72,'Power agreements'!$F$6:$F$72,B31,'Power agreements'!$P$6:$P$72,1)</f>
        <v/>
      </c>
      <c r="N31" s="96">
        <f>J31-K31+L31+M31</f>
        <v/>
      </c>
      <c r="O31" s="263">
        <f>MAX(0,I31-N31)/1000</f>
        <v/>
      </c>
    </row>
    <row r="32" ht="15" customHeight="1">
      <c r="A32" s="3" t="n"/>
      <c r="B32" s="3">
        <f>'NERC source'!B32</f>
        <v/>
      </c>
      <c r="C32" s="105">
        <f>'NERC source'!C32</f>
        <v/>
      </c>
      <c r="D32" s="96">
        <f>'NERC source'!E32</f>
        <v/>
      </c>
      <c r="E32" s="96">
        <f>SUMIFS('NERC source'!$E$6:$E$95,'NERC source'!$B$6:$B$95,B32,'NERC source'!$C$6:$C$95,2026)</f>
        <v/>
      </c>
      <c r="F32" s="267">
        <f>'Power Market Assumptions'!F$8</f>
        <v/>
      </c>
      <c r="G32" s="96">
        <f>E32+(D32-E32)*F32</f>
        <v/>
      </c>
      <c r="H32" s="104">
        <f>'NERC source'!H32</f>
        <v/>
      </c>
      <c r="I32" s="96">
        <f>G32*(1+H32)</f>
        <v/>
      </c>
      <c r="J32" s="96">
        <f>D32*(1+'NERC source'!F32)</f>
        <v/>
      </c>
      <c r="K32" s="96">
        <f>'NERC source'!I32*'Power Market Assumptions'!F$18</f>
        <v/>
      </c>
      <c r="L32" s="96">
        <f>D32*('NERC source'!G32-'NERC source'!F32)*'Power Market Assumptions'!F$13</f>
        <v/>
      </c>
      <c r="M32" s="96">
        <f>SUMIFS('Power agreements'!T$6:T$72,'Power agreements'!$F$6:$F$72,B32,'Power agreements'!$P$6:$P$72,1)</f>
        <v/>
      </c>
      <c r="N32" s="96">
        <f>J32-K32+L32+M32</f>
        <v/>
      </c>
      <c r="O32" s="263">
        <f>MAX(0,I32-N32)/1000</f>
        <v/>
      </c>
    </row>
    <row r="33" ht="15" customHeight="1">
      <c r="A33" s="3" t="n"/>
      <c r="B33" s="3">
        <f>'NERC source'!B33</f>
        <v/>
      </c>
      <c r="C33" s="105">
        <f>'NERC source'!C33</f>
        <v/>
      </c>
      <c r="D33" s="96">
        <f>'NERC source'!E33</f>
        <v/>
      </c>
      <c r="E33" s="96">
        <f>SUMIFS('NERC source'!$E$6:$E$95,'NERC source'!$B$6:$B$95,B33,'NERC source'!$C$6:$C$95,2026)</f>
        <v/>
      </c>
      <c r="F33" s="267">
        <f>'Power Market Assumptions'!G$8</f>
        <v/>
      </c>
      <c r="G33" s="96">
        <f>E33+(D33-E33)*F33</f>
        <v/>
      </c>
      <c r="H33" s="104">
        <f>'NERC source'!H33</f>
        <v/>
      </c>
      <c r="I33" s="96">
        <f>G33*(1+H33)</f>
        <v/>
      </c>
      <c r="J33" s="96">
        <f>D33*(1+'NERC source'!F33)</f>
        <v/>
      </c>
      <c r="K33" s="96">
        <f>'NERC source'!I33*'Power Market Assumptions'!G$18</f>
        <v/>
      </c>
      <c r="L33" s="96">
        <f>D33*('NERC source'!G33-'NERC source'!F33)*'Power Market Assumptions'!G$13</f>
        <v/>
      </c>
      <c r="M33" s="96">
        <f>SUMIFS('Power agreements'!U$6:U$72,'Power agreements'!$F$6:$F$72,B33,'Power agreements'!$P$6:$P$72,1)</f>
        <v/>
      </c>
      <c r="N33" s="96">
        <f>J33-K33+L33+M33</f>
        <v/>
      </c>
      <c r="O33" s="263">
        <f>MAX(0,I33-N33)/1000</f>
        <v/>
      </c>
    </row>
    <row r="34" ht="15" customHeight="1">
      <c r="A34" s="3" t="n"/>
      <c r="B34" s="3">
        <f>'NERC source'!B34</f>
        <v/>
      </c>
      <c r="C34" s="105">
        <f>'NERC source'!C34</f>
        <v/>
      </c>
      <c r="D34" s="96">
        <f>'NERC source'!E34</f>
        <v/>
      </c>
      <c r="E34" s="96">
        <f>SUMIFS('NERC source'!$E$6:$E$95,'NERC source'!$B$6:$B$95,B34,'NERC source'!$C$6:$C$95,2026)</f>
        <v/>
      </c>
      <c r="F34" s="267">
        <f>'Power Market Assumptions'!H$8</f>
        <v/>
      </c>
      <c r="G34" s="96">
        <f>E34+(D34-E34)*F34</f>
        <v/>
      </c>
      <c r="H34" s="104">
        <f>'NERC source'!H34</f>
        <v/>
      </c>
      <c r="I34" s="96">
        <f>G34*(1+H34)</f>
        <v/>
      </c>
      <c r="J34" s="96">
        <f>D34*(1+'NERC source'!F34)</f>
        <v/>
      </c>
      <c r="K34" s="96">
        <f>'NERC source'!I34*'Power Market Assumptions'!H$18</f>
        <v/>
      </c>
      <c r="L34" s="96">
        <f>D34*('NERC source'!G34-'NERC source'!F34)*'Power Market Assumptions'!H$13</f>
        <v/>
      </c>
      <c r="M34" s="96">
        <f>SUMIFS('Power agreements'!V$6:V$72,'Power agreements'!$F$6:$F$72,B34,'Power agreements'!$P$6:$P$72,1)</f>
        <v/>
      </c>
      <c r="N34" s="96">
        <f>J34-K34+L34+M34</f>
        <v/>
      </c>
      <c r="O34" s="263">
        <f>MAX(0,I34-N34)/1000</f>
        <v/>
      </c>
    </row>
    <row r="35" ht="15" customHeight="1">
      <c r="A35" s="3" t="n"/>
      <c r="B35" s="3">
        <f>'NERC source'!B35</f>
        <v/>
      </c>
      <c r="C35" s="105">
        <f>'NERC source'!C35</f>
        <v/>
      </c>
      <c r="D35" s="96">
        <f>'NERC source'!E35</f>
        <v/>
      </c>
      <c r="E35" s="96">
        <f>SUMIFS('NERC source'!$E$6:$E$95,'NERC source'!$B$6:$B$95,B35,'NERC source'!$C$6:$C$95,2026)</f>
        <v/>
      </c>
      <c r="F35" s="267">
        <f>'Power Market Assumptions'!I$8</f>
        <v/>
      </c>
      <c r="G35" s="96">
        <f>E35+(D35-E35)*F35</f>
        <v/>
      </c>
      <c r="H35" s="104">
        <f>'NERC source'!H35</f>
        <v/>
      </c>
      <c r="I35" s="96">
        <f>G35*(1+H35)</f>
        <v/>
      </c>
      <c r="J35" s="96">
        <f>D35*(1+'NERC source'!F35)</f>
        <v/>
      </c>
      <c r="K35" s="96">
        <f>'NERC source'!I35*'Power Market Assumptions'!I$18</f>
        <v/>
      </c>
      <c r="L35" s="96">
        <f>D35*('NERC source'!G35-'NERC source'!F35)*'Power Market Assumptions'!I$13</f>
        <v/>
      </c>
      <c r="M35" s="96">
        <f>SUMIFS('Power agreements'!W$6:W$72,'Power agreements'!$F$6:$F$72,B35,'Power agreements'!$P$6:$P$72,1)</f>
        <v/>
      </c>
      <c r="N35" s="96">
        <f>J35-K35+L35+M35</f>
        <v/>
      </c>
      <c r="O35" s="263">
        <f>MAX(0,I35-N35)/1000</f>
        <v/>
      </c>
    </row>
    <row r="36" ht="15" customHeight="1">
      <c r="A36" s="3" t="n"/>
      <c r="B36" s="3">
        <f>'NERC source'!B36</f>
        <v/>
      </c>
      <c r="C36" s="105">
        <f>'NERC source'!C36</f>
        <v/>
      </c>
      <c r="D36" s="96">
        <f>'NERC source'!E36</f>
        <v/>
      </c>
      <c r="E36" s="96">
        <f>SUMIFS('NERC source'!$E$6:$E$95,'NERC source'!$B$6:$B$95,B36,'NERC source'!$C$6:$C$95,2026)</f>
        <v/>
      </c>
      <c r="F36" s="267">
        <f>'Power Market Assumptions'!D$8</f>
        <v/>
      </c>
      <c r="G36" s="96">
        <f>E36+(D36-E36)*F36</f>
        <v/>
      </c>
      <c r="H36" s="104">
        <f>'NERC source'!H36</f>
        <v/>
      </c>
      <c r="I36" s="96">
        <f>G36*(1+H36)</f>
        <v/>
      </c>
      <c r="J36" s="96">
        <f>D36*(1+'NERC source'!F36)</f>
        <v/>
      </c>
      <c r="K36" s="96">
        <f>'NERC source'!I36*'Power Market Assumptions'!D$18</f>
        <v/>
      </c>
      <c r="L36" s="96">
        <f>D36*('NERC source'!G36-'NERC source'!F36)*'Power Market Assumptions'!D$13</f>
        <v/>
      </c>
      <c r="M36" s="96">
        <f>SUMIFS('Power agreements'!R$6:R$72,'Power agreements'!$F$6:$F$72,B36,'Power agreements'!$P$6:$P$72,1)</f>
        <v/>
      </c>
      <c r="N36" s="96">
        <f>J36-K36+L36+M36</f>
        <v/>
      </c>
      <c r="O36" s="263">
        <f>MAX(0,I36-N36)/1000</f>
        <v/>
      </c>
    </row>
    <row r="37" ht="15" customHeight="1">
      <c r="A37" s="3" t="n"/>
      <c r="B37" s="3">
        <f>'NERC source'!B37</f>
        <v/>
      </c>
      <c r="C37" s="105">
        <f>'NERC source'!C37</f>
        <v/>
      </c>
      <c r="D37" s="96">
        <f>'NERC source'!E37</f>
        <v/>
      </c>
      <c r="E37" s="96">
        <f>SUMIFS('NERC source'!$E$6:$E$95,'NERC source'!$B$6:$B$95,B37,'NERC source'!$C$6:$C$95,2026)</f>
        <v/>
      </c>
      <c r="F37" s="267">
        <f>'Power Market Assumptions'!E$8</f>
        <v/>
      </c>
      <c r="G37" s="96">
        <f>E37+(D37-E37)*F37</f>
        <v/>
      </c>
      <c r="H37" s="104">
        <f>'NERC source'!H37</f>
        <v/>
      </c>
      <c r="I37" s="96">
        <f>G37*(1+H37)</f>
        <v/>
      </c>
      <c r="J37" s="96">
        <f>D37*(1+'NERC source'!F37)</f>
        <v/>
      </c>
      <c r="K37" s="96">
        <f>'NERC source'!I37*'Power Market Assumptions'!E$18</f>
        <v/>
      </c>
      <c r="L37" s="96">
        <f>D37*('NERC source'!G37-'NERC source'!F37)*'Power Market Assumptions'!E$13</f>
        <v/>
      </c>
      <c r="M37" s="96">
        <f>SUMIFS('Power agreements'!S$6:S$72,'Power agreements'!$F$6:$F$72,B37,'Power agreements'!$P$6:$P$72,1)</f>
        <v/>
      </c>
      <c r="N37" s="96">
        <f>J37-K37+L37+M37</f>
        <v/>
      </c>
      <c r="O37" s="263">
        <f>MAX(0,I37-N37)/1000</f>
        <v/>
      </c>
    </row>
    <row r="38" ht="15" customHeight="1">
      <c r="A38" s="3" t="n"/>
      <c r="B38" s="3">
        <f>'NERC source'!B38</f>
        <v/>
      </c>
      <c r="C38" s="105">
        <f>'NERC source'!C38</f>
        <v/>
      </c>
      <c r="D38" s="96">
        <f>'NERC source'!E38</f>
        <v/>
      </c>
      <c r="E38" s="96">
        <f>SUMIFS('NERC source'!$E$6:$E$95,'NERC source'!$B$6:$B$95,B38,'NERC source'!$C$6:$C$95,2026)</f>
        <v/>
      </c>
      <c r="F38" s="267">
        <f>'Power Market Assumptions'!F$8</f>
        <v/>
      </c>
      <c r="G38" s="96">
        <f>E38+(D38-E38)*F38</f>
        <v/>
      </c>
      <c r="H38" s="104">
        <f>'NERC source'!H38</f>
        <v/>
      </c>
      <c r="I38" s="96">
        <f>G38*(1+H38)</f>
        <v/>
      </c>
      <c r="J38" s="96">
        <f>D38*(1+'NERC source'!F38)</f>
        <v/>
      </c>
      <c r="K38" s="96">
        <f>'NERC source'!I38*'Power Market Assumptions'!F$18</f>
        <v/>
      </c>
      <c r="L38" s="96">
        <f>D38*('NERC source'!G38-'NERC source'!F38)*'Power Market Assumptions'!F$13</f>
        <v/>
      </c>
      <c r="M38" s="96">
        <f>SUMIFS('Power agreements'!T$6:T$72,'Power agreements'!$F$6:$F$72,B38,'Power agreements'!$P$6:$P$72,1)</f>
        <v/>
      </c>
      <c r="N38" s="96">
        <f>J38-K38+L38+M38</f>
        <v/>
      </c>
      <c r="O38" s="263">
        <f>MAX(0,I38-N38)/1000</f>
        <v/>
      </c>
    </row>
    <row r="39" ht="15" customHeight="1">
      <c r="A39" s="3" t="n"/>
      <c r="B39" s="3">
        <f>'NERC source'!B39</f>
        <v/>
      </c>
      <c r="C39" s="105">
        <f>'NERC source'!C39</f>
        <v/>
      </c>
      <c r="D39" s="96">
        <f>'NERC source'!E39</f>
        <v/>
      </c>
      <c r="E39" s="96">
        <f>SUMIFS('NERC source'!$E$6:$E$95,'NERC source'!$B$6:$B$95,B39,'NERC source'!$C$6:$C$95,2026)</f>
        <v/>
      </c>
      <c r="F39" s="267">
        <f>'Power Market Assumptions'!G$8</f>
        <v/>
      </c>
      <c r="G39" s="96">
        <f>E39+(D39-E39)*F39</f>
        <v/>
      </c>
      <c r="H39" s="104">
        <f>'NERC source'!H39</f>
        <v/>
      </c>
      <c r="I39" s="96">
        <f>G39*(1+H39)</f>
        <v/>
      </c>
      <c r="J39" s="96">
        <f>D39*(1+'NERC source'!F39)</f>
        <v/>
      </c>
      <c r="K39" s="96">
        <f>'NERC source'!I39*'Power Market Assumptions'!G$18</f>
        <v/>
      </c>
      <c r="L39" s="96">
        <f>D39*('NERC source'!G39-'NERC source'!F39)*'Power Market Assumptions'!G$13</f>
        <v/>
      </c>
      <c r="M39" s="96">
        <f>SUMIFS('Power agreements'!U$6:U$72,'Power agreements'!$F$6:$F$72,B39,'Power agreements'!$P$6:$P$72,1)</f>
        <v/>
      </c>
      <c r="N39" s="96">
        <f>J39-K39+L39+M39</f>
        <v/>
      </c>
      <c r="O39" s="263">
        <f>MAX(0,I39-N39)/1000</f>
        <v/>
      </c>
    </row>
    <row r="40" ht="15" customHeight="1">
      <c r="A40" s="3" t="n"/>
      <c r="B40" s="3">
        <f>'NERC source'!B40</f>
        <v/>
      </c>
      <c r="C40" s="105">
        <f>'NERC source'!C40</f>
        <v/>
      </c>
      <c r="D40" s="96">
        <f>'NERC source'!E40</f>
        <v/>
      </c>
      <c r="E40" s="96">
        <f>SUMIFS('NERC source'!$E$6:$E$95,'NERC source'!$B$6:$B$95,B40,'NERC source'!$C$6:$C$95,2026)</f>
        <v/>
      </c>
      <c r="F40" s="267">
        <f>'Power Market Assumptions'!H$8</f>
        <v/>
      </c>
      <c r="G40" s="96">
        <f>E40+(D40-E40)*F40</f>
        <v/>
      </c>
      <c r="H40" s="104">
        <f>'NERC source'!H40</f>
        <v/>
      </c>
      <c r="I40" s="96">
        <f>G40*(1+H40)</f>
        <v/>
      </c>
      <c r="J40" s="96">
        <f>D40*(1+'NERC source'!F40)</f>
        <v/>
      </c>
      <c r="K40" s="96">
        <f>'NERC source'!I40*'Power Market Assumptions'!H$18</f>
        <v/>
      </c>
      <c r="L40" s="96">
        <f>D40*('NERC source'!G40-'NERC source'!F40)*'Power Market Assumptions'!H$13</f>
        <v/>
      </c>
      <c r="M40" s="96">
        <f>SUMIFS('Power agreements'!V$6:V$72,'Power agreements'!$F$6:$F$72,B40,'Power agreements'!$P$6:$P$72,1)</f>
        <v/>
      </c>
      <c r="N40" s="96">
        <f>J40-K40+L40+M40</f>
        <v/>
      </c>
      <c r="O40" s="263">
        <f>MAX(0,I40-N40)/1000</f>
        <v/>
      </c>
    </row>
    <row r="41" ht="15" customHeight="1">
      <c r="A41" s="3" t="n"/>
      <c r="B41" s="3">
        <f>'NERC source'!B41</f>
        <v/>
      </c>
      <c r="C41" s="105">
        <f>'NERC source'!C41</f>
        <v/>
      </c>
      <c r="D41" s="96">
        <f>'NERC source'!E41</f>
        <v/>
      </c>
      <c r="E41" s="96">
        <f>SUMIFS('NERC source'!$E$6:$E$95,'NERC source'!$B$6:$B$95,B41,'NERC source'!$C$6:$C$95,2026)</f>
        <v/>
      </c>
      <c r="F41" s="267">
        <f>'Power Market Assumptions'!I$8</f>
        <v/>
      </c>
      <c r="G41" s="96">
        <f>E41+(D41-E41)*F41</f>
        <v/>
      </c>
      <c r="H41" s="104">
        <f>'NERC source'!H41</f>
        <v/>
      </c>
      <c r="I41" s="96">
        <f>G41*(1+H41)</f>
        <v/>
      </c>
      <c r="J41" s="96">
        <f>D41*(1+'NERC source'!F41)</f>
        <v/>
      </c>
      <c r="K41" s="96">
        <f>'NERC source'!I41*'Power Market Assumptions'!I$18</f>
        <v/>
      </c>
      <c r="L41" s="96">
        <f>D41*('NERC source'!G41-'NERC source'!F41)*'Power Market Assumptions'!I$13</f>
        <v/>
      </c>
      <c r="M41" s="96">
        <f>SUMIFS('Power agreements'!W$6:W$72,'Power agreements'!$F$6:$F$72,B41,'Power agreements'!$P$6:$P$72,1)</f>
        <v/>
      </c>
      <c r="N41" s="96">
        <f>J41-K41+L41+M41</f>
        <v/>
      </c>
      <c r="O41" s="263">
        <f>MAX(0,I41-N41)/1000</f>
        <v/>
      </c>
    </row>
    <row r="42" ht="15" customHeight="1">
      <c r="A42" s="3" t="n"/>
      <c r="B42" s="3">
        <f>'NERC source'!B42</f>
        <v/>
      </c>
      <c r="C42" s="105">
        <f>'NERC source'!C42</f>
        <v/>
      </c>
      <c r="D42" s="96">
        <f>'NERC source'!E42</f>
        <v/>
      </c>
      <c r="E42" s="96">
        <f>SUMIFS('NERC source'!$E$6:$E$95,'NERC source'!$B$6:$B$95,B42,'NERC source'!$C$6:$C$95,2026)</f>
        <v/>
      </c>
      <c r="F42" s="267">
        <f>'Power Market Assumptions'!D$8</f>
        <v/>
      </c>
      <c r="G42" s="96">
        <f>E42+(D42-E42)*F42</f>
        <v/>
      </c>
      <c r="H42" s="104">
        <f>'NERC source'!H42</f>
        <v/>
      </c>
      <c r="I42" s="96">
        <f>G42*(1+H42)</f>
        <v/>
      </c>
      <c r="J42" s="96">
        <f>D42*(1+'NERC source'!F42)</f>
        <v/>
      </c>
      <c r="K42" s="96">
        <f>'NERC source'!I42*'Power Market Assumptions'!D$18</f>
        <v/>
      </c>
      <c r="L42" s="96">
        <f>D42*('NERC source'!G42-'NERC source'!F42)*'Power Market Assumptions'!D$13</f>
        <v/>
      </c>
      <c r="M42" s="96">
        <f>SUMIFS('Power agreements'!R$6:R$72,'Power agreements'!$F$6:$F$72,B42,'Power agreements'!$P$6:$P$72,1)</f>
        <v/>
      </c>
      <c r="N42" s="96">
        <f>J42-K42+L42+M42</f>
        <v/>
      </c>
      <c r="O42" s="263">
        <f>MAX(0,I42-N42)/1000</f>
        <v/>
      </c>
    </row>
    <row r="43" ht="15" customHeight="1">
      <c r="A43" s="3" t="n"/>
      <c r="B43" s="3">
        <f>'NERC source'!B43</f>
        <v/>
      </c>
      <c r="C43" s="105">
        <f>'NERC source'!C43</f>
        <v/>
      </c>
      <c r="D43" s="96">
        <f>'NERC source'!E43</f>
        <v/>
      </c>
      <c r="E43" s="96">
        <f>SUMIFS('NERC source'!$E$6:$E$95,'NERC source'!$B$6:$B$95,B43,'NERC source'!$C$6:$C$95,2026)</f>
        <v/>
      </c>
      <c r="F43" s="267">
        <f>'Power Market Assumptions'!E$8</f>
        <v/>
      </c>
      <c r="G43" s="96">
        <f>E43+(D43-E43)*F43</f>
        <v/>
      </c>
      <c r="H43" s="104">
        <f>'NERC source'!H43</f>
        <v/>
      </c>
      <c r="I43" s="96">
        <f>G43*(1+H43)</f>
        <v/>
      </c>
      <c r="J43" s="96">
        <f>D43*(1+'NERC source'!F43)</f>
        <v/>
      </c>
      <c r="K43" s="96">
        <f>'NERC source'!I43*'Power Market Assumptions'!E$18</f>
        <v/>
      </c>
      <c r="L43" s="96">
        <f>D43*('NERC source'!G43-'NERC source'!F43)*'Power Market Assumptions'!E$13</f>
        <v/>
      </c>
      <c r="M43" s="96">
        <f>SUMIFS('Power agreements'!S$6:S$72,'Power agreements'!$F$6:$F$72,B43,'Power agreements'!$P$6:$P$72,1)</f>
        <v/>
      </c>
      <c r="N43" s="96">
        <f>J43-K43+L43+M43</f>
        <v/>
      </c>
      <c r="O43" s="263">
        <f>MAX(0,I43-N43)/1000</f>
        <v/>
      </c>
    </row>
    <row r="44" ht="15" customHeight="1">
      <c r="A44" s="3" t="n"/>
      <c r="B44" s="3">
        <f>'NERC source'!B44</f>
        <v/>
      </c>
      <c r="C44" s="105">
        <f>'NERC source'!C44</f>
        <v/>
      </c>
      <c r="D44" s="96">
        <f>'NERC source'!E44</f>
        <v/>
      </c>
      <c r="E44" s="96">
        <f>SUMIFS('NERC source'!$E$6:$E$95,'NERC source'!$B$6:$B$95,B44,'NERC source'!$C$6:$C$95,2026)</f>
        <v/>
      </c>
      <c r="F44" s="267">
        <f>'Power Market Assumptions'!F$8</f>
        <v/>
      </c>
      <c r="G44" s="96">
        <f>E44+(D44-E44)*F44</f>
        <v/>
      </c>
      <c r="H44" s="104">
        <f>'NERC source'!H44</f>
        <v/>
      </c>
      <c r="I44" s="96">
        <f>G44*(1+H44)</f>
        <v/>
      </c>
      <c r="J44" s="96">
        <f>D44*(1+'NERC source'!F44)</f>
        <v/>
      </c>
      <c r="K44" s="96">
        <f>'NERC source'!I44*'Power Market Assumptions'!F$18</f>
        <v/>
      </c>
      <c r="L44" s="96">
        <f>D44*('NERC source'!G44-'NERC source'!F44)*'Power Market Assumptions'!F$13</f>
        <v/>
      </c>
      <c r="M44" s="96">
        <f>SUMIFS('Power agreements'!T$6:T$72,'Power agreements'!$F$6:$F$72,B44,'Power agreements'!$P$6:$P$72,1)</f>
        <v/>
      </c>
      <c r="N44" s="96">
        <f>J44-K44+L44+M44</f>
        <v/>
      </c>
      <c r="O44" s="263">
        <f>MAX(0,I44-N44)/1000</f>
        <v/>
      </c>
    </row>
    <row r="45" ht="15" customHeight="1">
      <c r="A45" s="3" t="n"/>
      <c r="B45" s="3">
        <f>'NERC source'!B45</f>
        <v/>
      </c>
      <c r="C45" s="105">
        <f>'NERC source'!C45</f>
        <v/>
      </c>
      <c r="D45" s="96">
        <f>'NERC source'!E45</f>
        <v/>
      </c>
      <c r="E45" s="96">
        <f>SUMIFS('NERC source'!$E$6:$E$95,'NERC source'!$B$6:$B$95,B45,'NERC source'!$C$6:$C$95,2026)</f>
        <v/>
      </c>
      <c r="F45" s="267">
        <f>'Power Market Assumptions'!G$8</f>
        <v/>
      </c>
      <c r="G45" s="96">
        <f>E45+(D45-E45)*F45</f>
        <v/>
      </c>
      <c r="H45" s="104">
        <f>'NERC source'!H45</f>
        <v/>
      </c>
      <c r="I45" s="96">
        <f>G45*(1+H45)</f>
        <v/>
      </c>
      <c r="J45" s="96">
        <f>D45*(1+'NERC source'!F45)</f>
        <v/>
      </c>
      <c r="K45" s="96">
        <f>'NERC source'!I45*'Power Market Assumptions'!G$18</f>
        <v/>
      </c>
      <c r="L45" s="96">
        <f>D45*('NERC source'!G45-'NERC source'!F45)*'Power Market Assumptions'!G$13</f>
        <v/>
      </c>
      <c r="M45" s="96">
        <f>SUMIFS('Power agreements'!U$6:U$72,'Power agreements'!$F$6:$F$72,B45,'Power agreements'!$P$6:$P$72,1)</f>
        <v/>
      </c>
      <c r="N45" s="96">
        <f>J45-K45+L45+M45</f>
        <v/>
      </c>
      <c r="O45" s="263">
        <f>MAX(0,I45-N45)/1000</f>
        <v/>
      </c>
    </row>
    <row r="46" ht="15" customHeight="1">
      <c r="A46" s="3" t="n"/>
      <c r="B46" s="3">
        <f>'NERC source'!B46</f>
        <v/>
      </c>
      <c r="C46" s="105">
        <f>'NERC source'!C46</f>
        <v/>
      </c>
      <c r="D46" s="96">
        <f>'NERC source'!E46</f>
        <v/>
      </c>
      <c r="E46" s="96">
        <f>SUMIFS('NERC source'!$E$6:$E$95,'NERC source'!$B$6:$B$95,B46,'NERC source'!$C$6:$C$95,2026)</f>
        <v/>
      </c>
      <c r="F46" s="267">
        <f>'Power Market Assumptions'!H$8</f>
        <v/>
      </c>
      <c r="G46" s="96">
        <f>E46+(D46-E46)*F46</f>
        <v/>
      </c>
      <c r="H46" s="104">
        <f>'NERC source'!H46</f>
        <v/>
      </c>
      <c r="I46" s="96">
        <f>G46*(1+H46)</f>
        <v/>
      </c>
      <c r="J46" s="96">
        <f>D46*(1+'NERC source'!F46)</f>
        <v/>
      </c>
      <c r="K46" s="96">
        <f>'NERC source'!I46*'Power Market Assumptions'!H$18</f>
        <v/>
      </c>
      <c r="L46" s="96">
        <f>D46*('NERC source'!G46-'NERC source'!F46)*'Power Market Assumptions'!H$13</f>
        <v/>
      </c>
      <c r="M46" s="96">
        <f>SUMIFS('Power agreements'!V$6:V$72,'Power agreements'!$F$6:$F$72,B46,'Power agreements'!$P$6:$P$72,1)</f>
        <v/>
      </c>
      <c r="N46" s="96">
        <f>J46-K46+L46+M46</f>
        <v/>
      </c>
      <c r="O46" s="263">
        <f>MAX(0,I46-N46)/1000</f>
        <v/>
      </c>
    </row>
    <row r="47" ht="15" customHeight="1">
      <c r="A47" s="3" t="n"/>
      <c r="B47" s="3">
        <f>'NERC source'!B47</f>
        <v/>
      </c>
      <c r="C47" s="105">
        <f>'NERC source'!C47</f>
        <v/>
      </c>
      <c r="D47" s="96">
        <f>'NERC source'!E47</f>
        <v/>
      </c>
      <c r="E47" s="96">
        <f>SUMIFS('NERC source'!$E$6:$E$95,'NERC source'!$B$6:$B$95,B47,'NERC source'!$C$6:$C$95,2026)</f>
        <v/>
      </c>
      <c r="F47" s="267">
        <f>'Power Market Assumptions'!I$8</f>
        <v/>
      </c>
      <c r="G47" s="96">
        <f>E47+(D47-E47)*F47</f>
        <v/>
      </c>
      <c r="H47" s="104">
        <f>'NERC source'!H47</f>
        <v/>
      </c>
      <c r="I47" s="96">
        <f>G47*(1+H47)</f>
        <v/>
      </c>
      <c r="J47" s="96">
        <f>D47*(1+'NERC source'!F47)</f>
        <v/>
      </c>
      <c r="K47" s="96">
        <f>'NERC source'!I47*'Power Market Assumptions'!I$18</f>
        <v/>
      </c>
      <c r="L47" s="96">
        <f>D47*('NERC source'!G47-'NERC source'!F47)*'Power Market Assumptions'!I$13</f>
        <v/>
      </c>
      <c r="M47" s="96">
        <f>SUMIFS('Power agreements'!W$6:W$72,'Power agreements'!$F$6:$F$72,B47,'Power agreements'!$P$6:$P$72,1)</f>
        <v/>
      </c>
      <c r="N47" s="96">
        <f>J47-K47+L47+M47</f>
        <v/>
      </c>
      <c r="O47" s="263">
        <f>MAX(0,I47-N47)/1000</f>
        <v/>
      </c>
    </row>
    <row r="48" ht="15" customHeight="1">
      <c r="A48" s="3" t="n"/>
      <c r="B48" s="3">
        <f>'NERC source'!B48</f>
        <v/>
      </c>
      <c r="C48" s="105">
        <f>'NERC source'!C48</f>
        <v/>
      </c>
      <c r="D48" s="96">
        <f>'NERC source'!E48</f>
        <v/>
      </c>
      <c r="E48" s="96">
        <f>SUMIFS('NERC source'!$E$6:$E$95,'NERC source'!$B$6:$B$95,B48,'NERC source'!$C$6:$C$95,2026)</f>
        <v/>
      </c>
      <c r="F48" s="267">
        <f>'Power Market Assumptions'!D$8</f>
        <v/>
      </c>
      <c r="G48" s="96">
        <f>E48+(D48-E48)*F48</f>
        <v/>
      </c>
      <c r="H48" s="104">
        <f>'NERC source'!H48</f>
        <v/>
      </c>
      <c r="I48" s="96">
        <f>G48*(1+H48)</f>
        <v/>
      </c>
      <c r="J48" s="96">
        <f>D48*(1+'NERC source'!F48)</f>
        <v/>
      </c>
      <c r="K48" s="96">
        <f>'NERC source'!I48*'Power Market Assumptions'!D$18</f>
        <v/>
      </c>
      <c r="L48" s="96">
        <f>D48*('NERC source'!G48-'NERC source'!F48)*'Power Market Assumptions'!D$13</f>
        <v/>
      </c>
      <c r="M48" s="96">
        <f>SUMIFS('Power agreements'!R$6:R$72,'Power agreements'!$F$6:$F$72,B48,'Power agreements'!$P$6:$P$72,1)</f>
        <v/>
      </c>
      <c r="N48" s="96">
        <f>J48-K48+L48+M48</f>
        <v/>
      </c>
      <c r="O48" s="263">
        <f>MAX(0,I48-N48)/1000</f>
        <v/>
      </c>
    </row>
    <row r="49" ht="15" customHeight="1">
      <c r="A49" s="3" t="n"/>
      <c r="B49" s="3">
        <f>'NERC source'!B49</f>
        <v/>
      </c>
      <c r="C49" s="105">
        <f>'NERC source'!C49</f>
        <v/>
      </c>
      <c r="D49" s="96">
        <f>'NERC source'!E49</f>
        <v/>
      </c>
      <c r="E49" s="96">
        <f>SUMIFS('NERC source'!$E$6:$E$95,'NERC source'!$B$6:$B$95,B49,'NERC source'!$C$6:$C$95,2026)</f>
        <v/>
      </c>
      <c r="F49" s="267">
        <f>'Power Market Assumptions'!E$8</f>
        <v/>
      </c>
      <c r="G49" s="96">
        <f>E49+(D49-E49)*F49</f>
        <v/>
      </c>
      <c r="H49" s="104">
        <f>'NERC source'!H49</f>
        <v/>
      </c>
      <c r="I49" s="96">
        <f>G49*(1+H49)</f>
        <v/>
      </c>
      <c r="J49" s="96">
        <f>D49*(1+'NERC source'!F49)</f>
        <v/>
      </c>
      <c r="K49" s="96">
        <f>'NERC source'!I49*'Power Market Assumptions'!E$18</f>
        <v/>
      </c>
      <c r="L49" s="96">
        <f>D49*('NERC source'!G49-'NERC source'!F49)*'Power Market Assumptions'!E$13</f>
        <v/>
      </c>
      <c r="M49" s="96">
        <f>SUMIFS('Power agreements'!S$6:S$72,'Power agreements'!$F$6:$F$72,B49,'Power agreements'!$P$6:$P$72,1)</f>
        <v/>
      </c>
      <c r="N49" s="96">
        <f>J49-K49+L49+M49</f>
        <v/>
      </c>
      <c r="O49" s="263">
        <f>MAX(0,I49-N49)/1000</f>
        <v/>
      </c>
    </row>
    <row r="50" ht="15" customHeight="1">
      <c r="A50" s="3" t="n"/>
      <c r="B50" s="3">
        <f>'NERC source'!B50</f>
        <v/>
      </c>
      <c r="C50" s="105">
        <f>'NERC source'!C50</f>
        <v/>
      </c>
      <c r="D50" s="96">
        <f>'NERC source'!E50</f>
        <v/>
      </c>
      <c r="E50" s="96">
        <f>SUMIFS('NERC source'!$E$6:$E$95,'NERC source'!$B$6:$B$95,B50,'NERC source'!$C$6:$C$95,2026)</f>
        <v/>
      </c>
      <c r="F50" s="267">
        <f>'Power Market Assumptions'!F$8</f>
        <v/>
      </c>
      <c r="G50" s="96">
        <f>E50+(D50-E50)*F50</f>
        <v/>
      </c>
      <c r="H50" s="104">
        <f>'NERC source'!H50</f>
        <v/>
      </c>
      <c r="I50" s="96">
        <f>G50*(1+H50)</f>
        <v/>
      </c>
      <c r="J50" s="96">
        <f>D50*(1+'NERC source'!F50)</f>
        <v/>
      </c>
      <c r="K50" s="96">
        <f>'NERC source'!I50*'Power Market Assumptions'!F$18</f>
        <v/>
      </c>
      <c r="L50" s="96">
        <f>D50*('NERC source'!G50-'NERC source'!F50)*'Power Market Assumptions'!F$13</f>
        <v/>
      </c>
      <c r="M50" s="96">
        <f>SUMIFS('Power agreements'!T$6:T$72,'Power agreements'!$F$6:$F$72,B50,'Power agreements'!$P$6:$P$72,1)</f>
        <v/>
      </c>
      <c r="N50" s="96">
        <f>J50-K50+L50+M50</f>
        <v/>
      </c>
      <c r="O50" s="263">
        <f>MAX(0,I50-N50)/1000</f>
        <v/>
      </c>
    </row>
    <row r="51" ht="15" customHeight="1">
      <c r="A51" s="3" t="n"/>
      <c r="B51" s="3">
        <f>'NERC source'!B51</f>
        <v/>
      </c>
      <c r="C51" s="105">
        <f>'NERC source'!C51</f>
        <v/>
      </c>
      <c r="D51" s="96">
        <f>'NERC source'!E51</f>
        <v/>
      </c>
      <c r="E51" s="96">
        <f>SUMIFS('NERC source'!$E$6:$E$95,'NERC source'!$B$6:$B$95,B51,'NERC source'!$C$6:$C$95,2026)</f>
        <v/>
      </c>
      <c r="F51" s="267">
        <f>'Power Market Assumptions'!G$8</f>
        <v/>
      </c>
      <c r="G51" s="96">
        <f>E51+(D51-E51)*F51</f>
        <v/>
      </c>
      <c r="H51" s="104">
        <f>'NERC source'!H51</f>
        <v/>
      </c>
      <c r="I51" s="96">
        <f>G51*(1+H51)</f>
        <v/>
      </c>
      <c r="J51" s="96">
        <f>D51*(1+'NERC source'!F51)</f>
        <v/>
      </c>
      <c r="K51" s="96">
        <f>'NERC source'!I51*'Power Market Assumptions'!G$18</f>
        <v/>
      </c>
      <c r="L51" s="96">
        <f>D51*('NERC source'!G51-'NERC source'!F51)*'Power Market Assumptions'!G$13</f>
        <v/>
      </c>
      <c r="M51" s="96">
        <f>SUMIFS('Power agreements'!U$6:U$72,'Power agreements'!$F$6:$F$72,B51,'Power agreements'!$P$6:$P$72,1)</f>
        <v/>
      </c>
      <c r="N51" s="96">
        <f>J51-K51+L51+M51</f>
        <v/>
      </c>
      <c r="O51" s="263">
        <f>MAX(0,I51-N51)/1000</f>
        <v/>
      </c>
    </row>
    <row r="52" ht="15" customHeight="1">
      <c r="A52" s="3" t="n"/>
      <c r="B52" s="3">
        <f>'NERC source'!B52</f>
        <v/>
      </c>
      <c r="C52" s="105">
        <f>'NERC source'!C52</f>
        <v/>
      </c>
      <c r="D52" s="96">
        <f>'NERC source'!E52</f>
        <v/>
      </c>
      <c r="E52" s="96">
        <f>SUMIFS('NERC source'!$E$6:$E$95,'NERC source'!$B$6:$B$95,B52,'NERC source'!$C$6:$C$95,2026)</f>
        <v/>
      </c>
      <c r="F52" s="267">
        <f>'Power Market Assumptions'!H$8</f>
        <v/>
      </c>
      <c r="G52" s="96">
        <f>E52+(D52-E52)*F52</f>
        <v/>
      </c>
      <c r="H52" s="104">
        <f>'NERC source'!H52</f>
        <v/>
      </c>
      <c r="I52" s="96">
        <f>G52*(1+H52)</f>
        <v/>
      </c>
      <c r="J52" s="96">
        <f>D52*(1+'NERC source'!F52)</f>
        <v/>
      </c>
      <c r="K52" s="96">
        <f>'NERC source'!I52*'Power Market Assumptions'!H$18</f>
        <v/>
      </c>
      <c r="L52" s="96">
        <f>D52*('NERC source'!G52-'NERC source'!F52)*'Power Market Assumptions'!H$13</f>
        <v/>
      </c>
      <c r="M52" s="96">
        <f>SUMIFS('Power agreements'!V$6:V$72,'Power agreements'!$F$6:$F$72,B52,'Power agreements'!$P$6:$P$72,1)</f>
        <v/>
      </c>
      <c r="N52" s="96">
        <f>J52-K52+L52+M52</f>
        <v/>
      </c>
      <c r="O52" s="263">
        <f>MAX(0,I52-N52)/1000</f>
        <v/>
      </c>
    </row>
    <row r="53" ht="15" customHeight="1">
      <c r="A53" s="3" t="n"/>
      <c r="B53" s="3">
        <f>'NERC source'!B53</f>
        <v/>
      </c>
      <c r="C53" s="105">
        <f>'NERC source'!C53</f>
        <v/>
      </c>
      <c r="D53" s="96">
        <f>'NERC source'!E53</f>
        <v/>
      </c>
      <c r="E53" s="96">
        <f>SUMIFS('NERC source'!$E$6:$E$95,'NERC source'!$B$6:$B$95,B53,'NERC source'!$C$6:$C$95,2026)</f>
        <v/>
      </c>
      <c r="F53" s="267">
        <f>'Power Market Assumptions'!I$8</f>
        <v/>
      </c>
      <c r="G53" s="96">
        <f>E53+(D53-E53)*F53</f>
        <v/>
      </c>
      <c r="H53" s="104">
        <f>'NERC source'!H53</f>
        <v/>
      </c>
      <c r="I53" s="96">
        <f>G53*(1+H53)</f>
        <v/>
      </c>
      <c r="J53" s="96">
        <f>D53*(1+'NERC source'!F53)</f>
        <v/>
      </c>
      <c r="K53" s="96">
        <f>'NERC source'!I53*'Power Market Assumptions'!I$18</f>
        <v/>
      </c>
      <c r="L53" s="96">
        <f>D53*('NERC source'!G53-'NERC source'!F53)*'Power Market Assumptions'!I$13</f>
        <v/>
      </c>
      <c r="M53" s="96">
        <f>SUMIFS('Power agreements'!W$6:W$72,'Power agreements'!$F$6:$F$72,B53,'Power agreements'!$P$6:$P$72,1)</f>
        <v/>
      </c>
      <c r="N53" s="96">
        <f>J53-K53+L53+M53</f>
        <v/>
      </c>
      <c r="O53" s="263">
        <f>MAX(0,I53-N53)/1000</f>
        <v/>
      </c>
    </row>
    <row r="54" ht="15" customHeight="1">
      <c r="A54" s="3" t="n"/>
      <c r="B54" s="3">
        <f>'NERC source'!B54</f>
        <v/>
      </c>
      <c r="C54" s="105">
        <f>'NERC source'!C54</f>
        <v/>
      </c>
      <c r="D54" s="96">
        <f>'NERC source'!E54</f>
        <v/>
      </c>
      <c r="E54" s="96">
        <f>SUMIFS('NERC source'!$E$6:$E$95,'NERC source'!$B$6:$B$95,B54,'NERC source'!$C$6:$C$95,2026)</f>
        <v/>
      </c>
      <c r="F54" s="267">
        <f>'Power Market Assumptions'!D$8</f>
        <v/>
      </c>
      <c r="G54" s="96">
        <f>E54+(D54-E54)*F54</f>
        <v/>
      </c>
      <c r="H54" s="104">
        <f>'NERC source'!H54</f>
        <v/>
      </c>
      <c r="I54" s="96">
        <f>G54*(1+H54)</f>
        <v/>
      </c>
      <c r="J54" s="96">
        <f>D54*(1+'NERC source'!F54)</f>
        <v/>
      </c>
      <c r="K54" s="96">
        <f>'NERC source'!I54*'Power Market Assumptions'!D$18</f>
        <v/>
      </c>
      <c r="L54" s="96">
        <f>D54*('NERC source'!G54-'NERC source'!F54)*'Power Market Assumptions'!D$13</f>
        <v/>
      </c>
      <c r="M54" s="96">
        <f>SUMIFS('Power agreements'!R$6:R$72,'Power agreements'!$F$6:$F$72,B54,'Power agreements'!$P$6:$P$72,1)</f>
        <v/>
      </c>
      <c r="N54" s="96">
        <f>J54-K54+L54+M54</f>
        <v/>
      </c>
      <c r="O54" s="263">
        <f>MAX(0,I54-N54)/1000</f>
        <v/>
      </c>
    </row>
    <row r="55" ht="15" customHeight="1">
      <c r="A55" s="3" t="n"/>
      <c r="B55" s="3">
        <f>'NERC source'!B55</f>
        <v/>
      </c>
      <c r="C55" s="105">
        <f>'NERC source'!C55</f>
        <v/>
      </c>
      <c r="D55" s="96">
        <f>'NERC source'!E55</f>
        <v/>
      </c>
      <c r="E55" s="96">
        <f>SUMIFS('NERC source'!$E$6:$E$95,'NERC source'!$B$6:$B$95,B55,'NERC source'!$C$6:$C$95,2026)</f>
        <v/>
      </c>
      <c r="F55" s="267">
        <f>'Power Market Assumptions'!E$8</f>
        <v/>
      </c>
      <c r="G55" s="96">
        <f>E55+(D55-E55)*F55</f>
        <v/>
      </c>
      <c r="H55" s="104">
        <f>'NERC source'!H55</f>
        <v/>
      </c>
      <c r="I55" s="96">
        <f>G55*(1+H55)</f>
        <v/>
      </c>
      <c r="J55" s="96">
        <f>D55*(1+'NERC source'!F55)</f>
        <v/>
      </c>
      <c r="K55" s="96">
        <f>'NERC source'!I55*'Power Market Assumptions'!E$18</f>
        <v/>
      </c>
      <c r="L55" s="96">
        <f>D55*('NERC source'!G55-'NERC source'!F55)*'Power Market Assumptions'!E$13</f>
        <v/>
      </c>
      <c r="M55" s="96">
        <f>SUMIFS('Power agreements'!S$6:S$72,'Power agreements'!$F$6:$F$72,B55,'Power agreements'!$P$6:$P$72,1)</f>
        <v/>
      </c>
      <c r="N55" s="96">
        <f>J55-K55+L55+M55</f>
        <v/>
      </c>
      <c r="O55" s="263">
        <f>MAX(0,I55-N55)/1000</f>
        <v/>
      </c>
    </row>
    <row r="56" ht="15" customHeight="1">
      <c r="A56" s="3" t="n"/>
      <c r="B56" s="3">
        <f>'NERC source'!B56</f>
        <v/>
      </c>
      <c r="C56" s="105">
        <f>'NERC source'!C56</f>
        <v/>
      </c>
      <c r="D56" s="96">
        <f>'NERC source'!E56</f>
        <v/>
      </c>
      <c r="E56" s="96">
        <f>SUMIFS('NERC source'!$E$6:$E$95,'NERC source'!$B$6:$B$95,B56,'NERC source'!$C$6:$C$95,2026)</f>
        <v/>
      </c>
      <c r="F56" s="267">
        <f>'Power Market Assumptions'!F$8</f>
        <v/>
      </c>
      <c r="G56" s="96">
        <f>E56+(D56-E56)*F56</f>
        <v/>
      </c>
      <c r="H56" s="104">
        <f>'NERC source'!H56</f>
        <v/>
      </c>
      <c r="I56" s="96">
        <f>G56*(1+H56)</f>
        <v/>
      </c>
      <c r="J56" s="96">
        <f>D56*(1+'NERC source'!F56)</f>
        <v/>
      </c>
      <c r="K56" s="96">
        <f>'NERC source'!I56*'Power Market Assumptions'!F$18</f>
        <v/>
      </c>
      <c r="L56" s="96">
        <f>D56*('NERC source'!G56-'NERC source'!F56)*'Power Market Assumptions'!F$13</f>
        <v/>
      </c>
      <c r="M56" s="96">
        <f>SUMIFS('Power agreements'!T$6:T$72,'Power agreements'!$F$6:$F$72,B56,'Power agreements'!$P$6:$P$72,1)</f>
        <v/>
      </c>
      <c r="N56" s="96">
        <f>J56-K56+L56+M56</f>
        <v/>
      </c>
      <c r="O56" s="263">
        <f>MAX(0,I56-N56)/1000</f>
        <v/>
      </c>
    </row>
    <row r="57" ht="15" customHeight="1">
      <c r="A57" s="3" t="n"/>
      <c r="B57" s="3">
        <f>'NERC source'!B57</f>
        <v/>
      </c>
      <c r="C57" s="105">
        <f>'NERC source'!C57</f>
        <v/>
      </c>
      <c r="D57" s="96">
        <f>'NERC source'!E57</f>
        <v/>
      </c>
      <c r="E57" s="96">
        <f>SUMIFS('NERC source'!$E$6:$E$95,'NERC source'!$B$6:$B$95,B57,'NERC source'!$C$6:$C$95,2026)</f>
        <v/>
      </c>
      <c r="F57" s="267">
        <f>'Power Market Assumptions'!G$8</f>
        <v/>
      </c>
      <c r="G57" s="96">
        <f>E57+(D57-E57)*F57</f>
        <v/>
      </c>
      <c r="H57" s="104">
        <f>'NERC source'!H57</f>
        <v/>
      </c>
      <c r="I57" s="96">
        <f>G57*(1+H57)</f>
        <v/>
      </c>
      <c r="J57" s="96">
        <f>D57*(1+'NERC source'!F57)</f>
        <v/>
      </c>
      <c r="K57" s="96">
        <f>'NERC source'!I57*'Power Market Assumptions'!G$18</f>
        <v/>
      </c>
      <c r="L57" s="96">
        <f>D57*('NERC source'!G57-'NERC source'!F57)*'Power Market Assumptions'!G$13</f>
        <v/>
      </c>
      <c r="M57" s="96">
        <f>SUMIFS('Power agreements'!U$6:U$72,'Power agreements'!$F$6:$F$72,B57,'Power agreements'!$P$6:$P$72,1)</f>
        <v/>
      </c>
      <c r="N57" s="96">
        <f>J57-K57+L57+M57</f>
        <v/>
      </c>
      <c r="O57" s="263">
        <f>MAX(0,I57-N57)/1000</f>
        <v/>
      </c>
    </row>
    <row r="58" ht="15" customHeight="1">
      <c r="A58" s="3" t="n"/>
      <c r="B58" s="3">
        <f>'NERC source'!B58</f>
        <v/>
      </c>
      <c r="C58" s="105">
        <f>'NERC source'!C58</f>
        <v/>
      </c>
      <c r="D58" s="96">
        <f>'NERC source'!E58</f>
        <v/>
      </c>
      <c r="E58" s="96">
        <f>SUMIFS('NERC source'!$E$6:$E$95,'NERC source'!$B$6:$B$95,B58,'NERC source'!$C$6:$C$95,2026)</f>
        <v/>
      </c>
      <c r="F58" s="267">
        <f>'Power Market Assumptions'!H$8</f>
        <v/>
      </c>
      <c r="G58" s="96">
        <f>E58+(D58-E58)*F58</f>
        <v/>
      </c>
      <c r="H58" s="104">
        <f>'NERC source'!H58</f>
        <v/>
      </c>
      <c r="I58" s="96">
        <f>G58*(1+H58)</f>
        <v/>
      </c>
      <c r="J58" s="96">
        <f>D58*(1+'NERC source'!F58)</f>
        <v/>
      </c>
      <c r="K58" s="96">
        <f>'NERC source'!I58*'Power Market Assumptions'!H$18</f>
        <v/>
      </c>
      <c r="L58" s="96">
        <f>D58*('NERC source'!G58-'NERC source'!F58)*'Power Market Assumptions'!H$13</f>
        <v/>
      </c>
      <c r="M58" s="96">
        <f>SUMIFS('Power agreements'!V$6:V$72,'Power agreements'!$F$6:$F$72,B58,'Power agreements'!$P$6:$P$72,1)</f>
        <v/>
      </c>
      <c r="N58" s="96">
        <f>J58-K58+L58+M58</f>
        <v/>
      </c>
      <c r="O58" s="263">
        <f>MAX(0,I58-N58)/1000</f>
        <v/>
      </c>
    </row>
    <row r="59" ht="15" customHeight="1">
      <c r="A59" s="3" t="n"/>
      <c r="B59" s="3">
        <f>'NERC source'!B59</f>
        <v/>
      </c>
      <c r="C59" s="105">
        <f>'NERC source'!C59</f>
        <v/>
      </c>
      <c r="D59" s="96">
        <f>'NERC source'!E59</f>
        <v/>
      </c>
      <c r="E59" s="96">
        <f>SUMIFS('NERC source'!$E$6:$E$95,'NERC source'!$B$6:$B$95,B59,'NERC source'!$C$6:$C$95,2026)</f>
        <v/>
      </c>
      <c r="F59" s="267">
        <f>'Power Market Assumptions'!I$8</f>
        <v/>
      </c>
      <c r="G59" s="96">
        <f>E59+(D59-E59)*F59</f>
        <v/>
      </c>
      <c r="H59" s="104">
        <f>'NERC source'!H59</f>
        <v/>
      </c>
      <c r="I59" s="96">
        <f>G59*(1+H59)</f>
        <v/>
      </c>
      <c r="J59" s="96">
        <f>D59*(1+'NERC source'!F59)</f>
        <v/>
      </c>
      <c r="K59" s="96">
        <f>'NERC source'!I59*'Power Market Assumptions'!I$18</f>
        <v/>
      </c>
      <c r="L59" s="96">
        <f>D59*('NERC source'!G59-'NERC source'!F59)*'Power Market Assumptions'!I$13</f>
        <v/>
      </c>
      <c r="M59" s="96">
        <f>SUMIFS('Power agreements'!W$6:W$72,'Power agreements'!$F$6:$F$72,B59,'Power agreements'!$P$6:$P$72,1)</f>
        <v/>
      </c>
      <c r="N59" s="96">
        <f>J59-K59+L59+M59</f>
        <v/>
      </c>
      <c r="O59" s="263">
        <f>MAX(0,I59-N59)/1000</f>
        <v/>
      </c>
    </row>
    <row r="60" ht="15" customHeight="1">
      <c r="A60" s="3" t="n"/>
      <c r="B60" s="3">
        <f>'NERC source'!B60</f>
        <v/>
      </c>
      <c r="C60" s="105">
        <f>'NERC source'!C60</f>
        <v/>
      </c>
      <c r="D60" s="96">
        <f>'NERC source'!E60</f>
        <v/>
      </c>
      <c r="E60" s="96">
        <f>SUMIFS('NERC source'!$E$6:$E$95,'NERC source'!$B$6:$B$95,B60,'NERC source'!$C$6:$C$95,2026)</f>
        <v/>
      </c>
      <c r="F60" s="267">
        <f>'Power Market Assumptions'!D$8</f>
        <v/>
      </c>
      <c r="G60" s="96">
        <f>E60+(D60-E60)*F60</f>
        <v/>
      </c>
      <c r="H60" s="104">
        <f>'NERC source'!H60</f>
        <v/>
      </c>
      <c r="I60" s="96">
        <f>G60*(1+H60)</f>
        <v/>
      </c>
      <c r="J60" s="96">
        <f>D60*(1+'NERC source'!F60)</f>
        <v/>
      </c>
      <c r="K60" s="96">
        <f>'NERC source'!I60*'Power Market Assumptions'!D$18</f>
        <v/>
      </c>
      <c r="L60" s="96">
        <f>D60*('NERC source'!G60-'NERC source'!F60)*'Power Market Assumptions'!D$13</f>
        <v/>
      </c>
      <c r="M60" s="96">
        <f>SUMIFS('Power agreements'!R$6:R$72,'Power agreements'!$F$6:$F$72,B60,'Power agreements'!$P$6:$P$72,1)</f>
        <v/>
      </c>
      <c r="N60" s="96">
        <f>J60-K60+L60+M60</f>
        <v/>
      </c>
      <c r="O60" s="263">
        <f>MAX(0,I60-N60)/1000</f>
        <v/>
      </c>
    </row>
    <row r="61" ht="15" customHeight="1">
      <c r="A61" s="3" t="n"/>
      <c r="B61" s="3">
        <f>'NERC source'!B61</f>
        <v/>
      </c>
      <c r="C61" s="105">
        <f>'NERC source'!C61</f>
        <v/>
      </c>
      <c r="D61" s="96">
        <f>'NERC source'!E61</f>
        <v/>
      </c>
      <c r="E61" s="96">
        <f>SUMIFS('NERC source'!$E$6:$E$95,'NERC source'!$B$6:$B$95,B61,'NERC source'!$C$6:$C$95,2026)</f>
        <v/>
      </c>
      <c r="F61" s="267">
        <f>'Power Market Assumptions'!E$8</f>
        <v/>
      </c>
      <c r="G61" s="96">
        <f>E61+(D61-E61)*F61</f>
        <v/>
      </c>
      <c r="H61" s="104">
        <f>'NERC source'!H61</f>
        <v/>
      </c>
      <c r="I61" s="96">
        <f>G61*(1+H61)</f>
        <v/>
      </c>
      <c r="J61" s="96">
        <f>D61*(1+'NERC source'!F61)</f>
        <v/>
      </c>
      <c r="K61" s="96">
        <f>'NERC source'!I61*'Power Market Assumptions'!E$18</f>
        <v/>
      </c>
      <c r="L61" s="96">
        <f>D61*('NERC source'!G61-'NERC source'!F61)*'Power Market Assumptions'!E$13</f>
        <v/>
      </c>
      <c r="M61" s="96">
        <f>SUMIFS('Power agreements'!S$6:S$72,'Power agreements'!$F$6:$F$72,B61,'Power agreements'!$P$6:$P$72,1)</f>
        <v/>
      </c>
      <c r="N61" s="96">
        <f>J61-K61+L61+M61</f>
        <v/>
      </c>
      <c r="O61" s="263">
        <f>MAX(0,I61-N61)/1000</f>
        <v/>
      </c>
    </row>
    <row r="62" ht="15" customHeight="1">
      <c r="A62" s="3" t="n"/>
      <c r="B62" s="3">
        <f>'NERC source'!B62</f>
        <v/>
      </c>
      <c r="C62" s="105">
        <f>'NERC source'!C62</f>
        <v/>
      </c>
      <c r="D62" s="96">
        <f>'NERC source'!E62</f>
        <v/>
      </c>
      <c r="E62" s="96">
        <f>SUMIFS('NERC source'!$E$6:$E$95,'NERC source'!$B$6:$B$95,B62,'NERC source'!$C$6:$C$95,2026)</f>
        <v/>
      </c>
      <c r="F62" s="267">
        <f>'Power Market Assumptions'!F$8</f>
        <v/>
      </c>
      <c r="G62" s="96">
        <f>E62+(D62-E62)*F62</f>
        <v/>
      </c>
      <c r="H62" s="104">
        <f>'NERC source'!H62</f>
        <v/>
      </c>
      <c r="I62" s="96">
        <f>G62*(1+H62)</f>
        <v/>
      </c>
      <c r="J62" s="96">
        <f>D62*(1+'NERC source'!F62)</f>
        <v/>
      </c>
      <c r="K62" s="96">
        <f>'NERC source'!I62*'Power Market Assumptions'!F$18</f>
        <v/>
      </c>
      <c r="L62" s="96">
        <f>D62*('NERC source'!G62-'NERC source'!F62)*'Power Market Assumptions'!F$13</f>
        <v/>
      </c>
      <c r="M62" s="96">
        <f>SUMIFS('Power agreements'!T$6:T$72,'Power agreements'!$F$6:$F$72,B62,'Power agreements'!$P$6:$P$72,1)</f>
        <v/>
      </c>
      <c r="N62" s="96">
        <f>J62-K62+L62+M62</f>
        <v/>
      </c>
      <c r="O62" s="263">
        <f>MAX(0,I62-N62)/1000</f>
        <v/>
      </c>
    </row>
    <row r="63" ht="15" customHeight="1">
      <c r="A63" s="3" t="n"/>
      <c r="B63" s="3">
        <f>'NERC source'!B63</f>
        <v/>
      </c>
      <c r="C63" s="105">
        <f>'NERC source'!C63</f>
        <v/>
      </c>
      <c r="D63" s="96">
        <f>'NERC source'!E63</f>
        <v/>
      </c>
      <c r="E63" s="96">
        <f>SUMIFS('NERC source'!$E$6:$E$95,'NERC source'!$B$6:$B$95,B63,'NERC source'!$C$6:$C$95,2026)</f>
        <v/>
      </c>
      <c r="F63" s="267">
        <f>'Power Market Assumptions'!G$8</f>
        <v/>
      </c>
      <c r="G63" s="96">
        <f>E63+(D63-E63)*F63</f>
        <v/>
      </c>
      <c r="H63" s="104">
        <f>'NERC source'!H63</f>
        <v/>
      </c>
      <c r="I63" s="96">
        <f>G63*(1+H63)</f>
        <v/>
      </c>
      <c r="J63" s="96">
        <f>D63*(1+'NERC source'!F63)</f>
        <v/>
      </c>
      <c r="K63" s="96">
        <f>'NERC source'!I63*'Power Market Assumptions'!G$18</f>
        <v/>
      </c>
      <c r="L63" s="96">
        <f>D63*('NERC source'!G63-'NERC source'!F63)*'Power Market Assumptions'!G$13</f>
        <v/>
      </c>
      <c r="M63" s="96">
        <f>SUMIFS('Power agreements'!U$6:U$72,'Power agreements'!$F$6:$F$72,B63,'Power agreements'!$P$6:$P$72,1)</f>
        <v/>
      </c>
      <c r="N63" s="96">
        <f>J63-K63+L63+M63</f>
        <v/>
      </c>
      <c r="O63" s="263">
        <f>MAX(0,I63-N63)/1000</f>
        <v/>
      </c>
    </row>
    <row r="64" ht="15" customHeight="1">
      <c r="A64" s="3" t="n"/>
      <c r="B64" s="3">
        <f>'NERC source'!B64</f>
        <v/>
      </c>
      <c r="C64" s="105">
        <f>'NERC source'!C64</f>
        <v/>
      </c>
      <c r="D64" s="96">
        <f>'NERC source'!E64</f>
        <v/>
      </c>
      <c r="E64" s="96">
        <f>SUMIFS('NERC source'!$E$6:$E$95,'NERC source'!$B$6:$B$95,B64,'NERC source'!$C$6:$C$95,2026)</f>
        <v/>
      </c>
      <c r="F64" s="267">
        <f>'Power Market Assumptions'!H$8</f>
        <v/>
      </c>
      <c r="G64" s="96">
        <f>E64+(D64-E64)*F64</f>
        <v/>
      </c>
      <c r="H64" s="104">
        <f>'NERC source'!H64</f>
        <v/>
      </c>
      <c r="I64" s="96">
        <f>G64*(1+H64)</f>
        <v/>
      </c>
      <c r="J64" s="96">
        <f>D64*(1+'NERC source'!F64)</f>
        <v/>
      </c>
      <c r="K64" s="96">
        <f>'NERC source'!I64*'Power Market Assumptions'!H$18</f>
        <v/>
      </c>
      <c r="L64" s="96">
        <f>D64*('NERC source'!G64-'NERC source'!F64)*'Power Market Assumptions'!H$13</f>
        <v/>
      </c>
      <c r="M64" s="96">
        <f>SUMIFS('Power agreements'!V$6:V$72,'Power agreements'!$F$6:$F$72,B64,'Power agreements'!$P$6:$P$72,1)</f>
        <v/>
      </c>
      <c r="N64" s="96">
        <f>J64-K64+L64+M64</f>
        <v/>
      </c>
      <c r="O64" s="263">
        <f>MAX(0,I64-N64)/1000</f>
        <v/>
      </c>
    </row>
    <row r="65" ht="15" customHeight="1">
      <c r="A65" s="3" t="n"/>
      <c r="B65" s="3">
        <f>'NERC source'!B65</f>
        <v/>
      </c>
      <c r="C65" s="105">
        <f>'NERC source'!C65</f>
        <v/>
      </c>
      <c r="D65" s="96">
        <f>'NERC source'!E65</f>
        <v/>
      </c>
      <c r="E65" s="96">
        <f>SUMIFS('NERC source'!$E$6:$E$95,'NERC source'!$B$6:$B$95,B65,'NERC source'!$C$6:$C$95,2026)</f>
        <v/>
      </c>
      <c r="F65" s="267">
        <f>'Power Market Assumptions'!I$8</f>
        <v/>
      </c>
      <c r="G65" s="96">
        <f>E65+(D65-E65)*F65</f>
        <v/>
      </c>
      <c r="H65" s="104">
        <f>'NERC source'!H65</f>
        <v/>
      </c>
      <c r="I65" s="96">
        <f>G65*(1+H65)</f>
        <v/>
      </c>
      <c r="J65" s="96">
        <f>D65*(1+'NERC source'!F65)</f>
        <v/>
      </c>
      <c r="K65" s="96">
        <f>'NERC source'!I65*'Power Market Assumptions'!I$18</f>
        <v/>
      </c>
      <c r="L65" s="96">
        <f>D65*('NERC source'!G65-'NERC source'!F65)*'Power Market Assumptions'!I$13</f>
        <v/>
      </c>
      <c r="M65" s="96">
        <f>SUMIFS('Power agreements'!W$6:W$72,'Power agreements'!$F$6:$F$72,B65,'Power agreements'!$P$6:$P$72,1)</f>
        <v/>
      </c>
      <c r="N65" s="96">
        <f>J65-K65+L65+M65</f>
        <v/>
      </c>
      <c r="O65" s="263">
        <f>MAX(0,I65-N65)/1000</f>
        <v/>
      </c>
    </row>
    <row r="66" ht="15" customHeight="1">
      <c r="A66" s="3" t="n"/>
      <c r="B66" s="3">
        <f>'NERC source'!B66</f>
        <v/>
      </c>
      <c r="C66" s="105">
        <f>'NERC source'!C66</f>
        <v/>
      </c>
      <c r="D66" s="96">
        <f>'NERC source'!E66</f>
        <v/>
      </c>
      <c r="E66" s="96">
        <f>SUMIFS('NERC source'!$E$6:$E$95,'NERC source'!$B$6:$B$95,B66,'NERC source'!$C$6:$C$95,2026)</f>
        <v/>
      </c>
      <c r="F66" s="267">
        <f>'Power Market Assumptions'!D$8</f>
        <v/>
      </c>
      <c r="G66" s="96">
        <f>E66+(D66-E66)*F66</f>
        <v/>
      </c>
      <c r="H66" s="104">
        <f>'NERC source'!H66</f>
        <v/>
      </c>
      <c r="I66" s="96">
        <f>G66*(1+H66)</f>
        <v/>
      </c>
      <c r="J66" s="96">
        <f>D66*(1+'NERC source'!F66)</f>
        <v/>
      </c>
      <c r="K66" s="96">
        <f>'NERC source'!I66*'Power Market Assumptions'!D$18</f>
        <v/>
      </c>
      <c r="L66" s="96">
        <f>D66*('NERC source'!G66-'NERC source'!F66)*'Power Market Assumptions'!D$13</f>
        <v/>
      </c>
      <c r="M66" s="96">
        <f>SUMIFS('Power agreements'!R$6:R$72,'Power agreements'!$F$6:$F$72,B66,'Power agreements'!$P$6:$P$72,1)</f>
        <v/>
      </c>
      <c r="N66" s="96">
        <f>J66-K66+L66+M66</f>
        <v/>
      </c>
      <c r="O66" s="263">
        <f>MAX(0,I66-N66)/1000</f>
        <v/>
      </c>
    </row>
    <row r="67" ht="15" customHeight="1">
      <c r="A67" s="3" t="n"/>
      <c r="B67" s="3">
        <f>'NERC source'!B67</f>
        <v/>
      </c>
      <c r="C67" s="105">
        <f>'NERC source'!C67</f>
        <v/>
      </c>
      <c r="D67" s="96">
        <f>'NERC source'!E67</f>
        <v/>
      </c>
      <c r="E67" s="96">
        <f>SUMIFS('NERC source'!$E$6:$E$95,'NERC source'!$B$6:$B$95,B67,'NERC source'!$C$6:$C$95,2026)</f>
        <v/>
      </c>
      <c r="F67" s="267">
        <f>'Power Market Assumptions'!E$8</f>
        <v/>
      </c>
      <c r="G67" s="96">
        <f>E67+(D67-E67)*F67</f>
        <v/>
      </c>
      <c r="H67" s="104">
        <f>'NERC source'!H67</f>
        <v/>
      </c>
      <c r="I67" s="96">
        <f>G67*(1+H67)</f>
        <v/>
      </c>
      <c r="J67" s="96">
        <f>D67*(1+'NERC source'!F67)</f>
        <v/>
      </c>
      <c r="K67" s="96">
        <f>'NERC source'!I67*'Power Market Assumptions'!E$18</f>
        <v/>
      </c>
      <c r="L67" s="96">
        <f>D67*('NERC source'!G67-'NERC source'!F67)*'Power Market Assumptions'!E$13</f>
        <v/>
      </c>
      <c r="M67" s="96">
        <f>SUMIFS('Power agreements'!S$6:S$72,'Power agreements'!$F$6:$F$72,B67,'Power agreements'!$P$6:$P$72,1)</f>
        <v/>
      </c>
      <c r="N67" s="96">
        <f>J67-K67+L67+M67</f>
        <v/>
      </c>
      <c r="O67" s="263">
        <f>MAX(0,I67-N67)/1000</f>
        <v/>
      </c>
    </row>
    <row r="68" ht="15" customHeight="1">
      <c r="A68" s="3" t="n"/>
      <c r="B68" s="3">
        <f>'NERC source'!B68</f>
        <v/>
      </c>
      <c r="C68" s="105">
        <f>'NERC source'!C68</f>
        <v/>
      </c>
      <c r="D68" s="96">
        <f>'NERC source'!E68</f>
        <v/>
      </c>
      <c r="E68" s="96">
        <f>SUMIFS('NERC source'!$E$6:$E$95,'NERC source'!$B$6:$B$95,B68,'NERC source'!$C$6:$C$95,2026)</f>
        <v/>
      </c>
      <c r="F68" s="267">
        <f>'Power Market Assumptions'!F$8</f>
        <v/>
      </c>
      <c r="G68" s="96">
        <f>E68+(D68-E68)*F68</f>
        <v/>
      </c>
      <c r="H68" s="104">
        <f>'NERC source'!H68</f>
        <v/>
      </c>
      <c r="I68" s="96">
        <f>G68*(1+H68)</f>
        <v/>
      </c>
      <c r="J68" s="96">
        <f>D68*(1+'NERC source'!F68)</f>
        <v/>
      </c>
      <c r="K68" s="96">
        <f>'NERC source'!I68*'Power Market Assumptions'!F$18</f>
        <v/>
      </c>
      <c r="L68" s="96">
        <f>D68*('NERC source'!G68-'NERC source'!F68)*'Power Market Assumptions'!F$13</f>
        <v/>
      </c>
      <c r="M68" s="96">
        <f>SUMIFS('Power agreements'!T$6:T$72,'Power agreements'!$F$6:$F$72,B68,'Power agreements'!$P$6:$P$72,1)</f>
        <v/>
      </c>
      <c r="N68" s="96">
        <f>J68-K68+L68+M68</f>
        <v/>
      </c>
      <c r="O68" s="263">
        <f>MAX(0,I68-N68)/1000</f>
        <v/>
      </c>
    </row>
    <row r="69" ht="15" customHeight="1">
      <c r="A69" s="3" t="n"/>
      <c r="B69" s="3">
        <f>'NERC source'!B69</f>
        <v/>
      </c>
      <c r="C69" s="105">
        <f>'NERC source'!C69</f>
        <v/>
      </c>
      <c r="D69" s="96">
        <f>'NERC source'!E69</f>
        <v/>
      </c>
      <c r="E69" s="96">
        <f>SUMIFS('NERC source'!$E$6:$E$95,'NERC source'!$B$6:$B$95,B69,'NERC source'!$C$6:$C$95,2026)</f>
        <v/>
      </c>
      <c r="F69" s="267">
        <f>'Power Market Assumptions'!G$8</f>
        <v/>
      </c>
      <c r="G69" s="96">
        <f>E69+(D69-E69)*F69</f>
        <v/>
      </c>
      <c r="H69" s="104">
        <f>'NERC source'!H69</f>
        <v/>
      </c>
      <c r="I69" s="96">
        <f>G69*(1+H69)</f>
        <v/>
      </c>
      <c r="J69" s="96">
        <f>D69*(1+'NERC source'!F69)</f>
        <v/>
      </c>
      <c r="K69" s="96">
        <f>'NERC source'!I69*'Power Market Assumptions'!G$18</f>
        <v/>
      </c>
      <c r="L69" s="96">
        <f>D69*('NERC source'!G69-'NERC source'!F69)*'Power Market Assumptions'!G$13</f>
        <v/>
      </c>
      <c r="M69" s="96">
        <f>SUMIFS('Power agreements'!U$6:U$72,'Power agreements'!$F$6:$F$72,B69,'Power agreements'!$P$6:$P$72,1)</f>
        <v/>
      </c>
      <c r="N69" s="96">
        <f>J69-K69+L69+M69</f>
        <v/>
      </c>
      <c r="O69" s="263">
        <f>MAX(0,I69-N69)/1000</f>
        <v/>
      </c>
    </row>
    <row r="70" ht="15" customHeight="1">
      <c r="A70" s="3" t="n"/>
      <c r="B70" s="3">
        <f>'NERC source'!B70</f>
        <v/>
      </c>
      <c r="C70" s="105">
        <f>'NERC source'!C70</f>
        <v/>
      </c>
      <c r="D70" s="96">
        <f>'NERC source'!E70</f>
        <v/>
      </c>
      <c r="E70" s="96">
        <f>SUMIFS('NERC source'!$E$6:$E$95,'NERC source'!$B$6:$B$95,B70,'NERC source'!$C$6:$C$95,2026)</f>
        <v/>
      </c>
      <c r="F70" s="267">
        <f>'Power Market Assumptions'!H$8</f>
        <v/>
      </c>
      <c r="G70" s="96">
        <f>E70+(D70-E70)*F70</f>
        <v/>
      </c>
      <c r="H70" s="104">
        <f>'NERC source'!H70</f>
        <v/>
      </c>
      <c r="I70" s="96">
        <f>G70*(1+H70)</f>
        <v/>
      </c>
      <c r="J70" s="96">
        <f>D70*(1+'NERC source'!F70)</f>
        <v/>
      </c>
      <c r="K70" s="96">
        <f>'NERC source'!I70*'Power Market Assumptions'!H$18</f>
        <v/>
      </c>
      <c r="L70" s="96">
        <f>D70*('NERC source'!G70-'NERC source'!F70)*'Power Market Assumptions'!H$13</f>
        <v/>
      </c>
      <c r="M70" s="96">
        <f>SUMIFS('Power agreements'!V$6:V$72,'Power agreements'!$F$6:$F$72,B70,'Power agreements'!$P$6:$P$72,1)</f>
        <v/>
      </c>
      <c r="N70" s="96">
        <f>J70-K70+L70+M70</f>
        <v/>
      </c>
      <c r="O70" s="263">
        <f>MAX(0,I70-N70)/1000</f>
        <v/>
      </c>
    </row>
    <row r="71" ht="15" customHeight="1">
      <c r="A71" s="3" t="n"/>
      <c r="B71" s="3">
        <f>'NERC source'!B71</f>
        <v/>
      </c>
      <c r="C71" s="105">
        <f>'NERC source'!C71</f>
        <v/>
      </c>
      <c r="D71" s="96">
        <f>'NERC source'!E71</f>
        <v/>
      </c>
      <c r="E71" s="96">
        <f>SUMIFS('NERC source'!$E$6:$E$95,'NERC source'!$B$6:$B$95,B71,'NERC source'!$C$6:$C$95,2026)</f>
        <v/>
      </c>
      <c r="F71" s="267">
        <f>'Power Market Assumptions'!I$8</f>
        <v/>
      </c>
      <c r="G71" s="96">
        <f>E71+(D71-E71)*F71</f>
        <v/>
      </c>
      <c r="H71" s="104">
        <f>'NERC source'!H71</f>
        <v/>
      </c>
      <c r="I71" s="96">
        <f>G71*(1+H71)</f>
        <v/>
      </c>
      <c r="J71" s="96">
        <f>D71*(1+'NERC source'!F71)</f>
        <v/>
      </c>
      <c r="K71" s="96">
        <f>'NERC source'!I71*'Power Market Assumptions'!I$18</f>
        <v/>
      </c>
      <c r="L71" s="96">
        <f>D71*('NERC source'!G71-'NERC source'!F71)*'Power Market Assumptions'!I$13</f>
        <v/>
      </c>
      <c r="M71" s="96">
        <f>SUMIFS('Power agreements'!W$6:W$72,'Power agreements'!$F$6:$F$72,B71,'Power agreements'!$P$6:$P$72,1)</f>
        <v/>
      </c>
      <c r="N71" s="96">
        <f>J71-K71+L71+M71</f>
        <v/>
      </c>
      <c r="O71" s="263">
        <f>MAX(0,I71-N71)/1000</f>
        <v/>
      </c>
    </row>
    <row r="72" ht="15" customHeight="1">
      <c r="A72" s="3" t="n"/>
      <c r="B72" s="3">
        <f>'NERC source'!B72</f>
        <v/>
      </c>
      <c r="C72" s="105">
        <f>'NERC source'!C72</f>
        <v/>
      </c>
      <c r="D72" s="96">
        <f>'NERC source'!E72</f>
        <v/>
      </c>
      <c r="E72" s="96">
        <f>SUMIFS('NERC source'!$E$6:$E$95,'NERC source'!$B$6:$B$95,B72,'NERC source'!$C$6:$C$95,2026)</f>
        <v/>
      </c>
      <c r="F72" s="267">
        <f>'Power Market Assumptions'!D$8</f>
        <v/>
      </c>
      <c r="G72" s="96">
        <f>E72+(D72-E72)*F72</f>
        <v/>
      </c>
      <c r="H72" s="104">
        <f>'NERC source'!H72</f>
        <v/>
      </c>
      <c r="I72" s="96">
        <f>G72*(1+H72)</f>
        <v/>
      </c>
      <c r="J72" s="96">
        <f>D72*(1+'NERC source'!F72)</f>
        <v/>
      </c>
      <c r="K72" s="96">
        <f>'NERC source'!I72*'Power Market Assumptions'!D$18</f>
        <v/>
      </c>
      <c r="L72" s="96">
        <f>D72*('NERC source'!G72-'NERC source'!F72)*'Power Market Assumptions'!D$13</f>
        <v/>
      </c>
      <c r="M72" s="96">
        <f>SUMIFS('Power agreements'!R$6:R$72,'Power agreements'!$F$6:$F$72,B72,'Power agreements'!$P$6:$P$72,1)</f>
        <v/>
      </c>
      <c r="N72" s="96">
        <f>J72-K72+L72+M72</f>
        <v/>
      </c>
      <c r="O72" s="263">
        <f>MAX(0,I72-N72)/1000</f>
        <v/>
      </c>
    </row>
    <row r="73" ht="15" customHeight="1">
      <c r="A73" s="3" t="n"/>
      <c r="B73" s="3">
        <f>'NERC source'!B73</f>
        <v/>
      </c>
      <c r="C73" s="105">
        <f>'NERC source'!C73</f>
        <v/>
      </c>
      <c r="D73" s="96">
        <f>'NERC source'!E73</f>
        <v/>
      </c>
      <c r="E73" s="96">
        <f>SUMIFS('NERC source'!$E$6:$E$95,'NERC source'!$B$6:$B$95,B73,'NERC source'!$C$6:$C$95,2026)</f>
        <v/>
      </c>
      <c r="F73" s="267">
        <f>'Power Market Assumptions'!E$8</f>
        <v/>
      </c>
      <c r="G73" s="96">
        <f>E73+(D73-E73)*F73</f>
        <v/>
      </c>
      <c r="H73" s="104">
        <f>'NERC source'!H73</f>
        <v/>
      </c>
      <c r="I73" s="96">
        <f>G73*(1+H73)</f>
        <v/>
      </c>
      <c r="J73" s="96">
        <f>D73*(1+'NERC source'!F73)</f>
        <v/>
      </c>
      <c r="K73" s="96">
        <f>'NERC source'!I73*'Power Market Assumptions'!E$18</f>
        <v/>
      </c>
      <c r="L73" s="96">
        <f>D73*('NERC source'!G73-'NERC source'!F73)*'Power Market Assumptions'!E$13</f>
        <v/>
      </c>
      <c r="M73" s="96">
        <f>SUMIFS('Power agreements'!S$6:S$72,'Power agreements'!$F$6:$F$72,B73,'Power agreements'!$P$6:$P$72,1)</f>
        <v/>
      </c>
      <c r="N73" s="96">
        <f>J73-K73+L73+M73</f>
        <v/>
      </c>
      <c r="O73" s="263">
        <f>MAX(0,I73-N73)/1000</f>
        <v/>
      </c>
    </row>
    <row r="74" ht="15" customHeight="1">
      <c r="A74" s="3" t="n"/>
      <c r="B74" s="3">
        <f>'NERC source'!B74</f>
        <v/>
      </c>
      <c r="C74" s="105">
        <f>'NERC source'!C74</f>
        <v/>
      </c>
      <c r="D74" s="96">
        <f>'NERC source'!E74</f>
        <v/>
      </c>
      <c r="E74" s="96">
        <f>SUMIFS('NERC source'!$E$6:$E$95,'NERC source'!$B$6:$B$95,B74,'NERC source'!$C$6:$C$95,2026)</f>
        <v/>
      </c>
      <c r="F74" s="267">
        <f>'Power Market Assumptions'!F$8</f>
        <v/>
      </c>
      <c r="G74" s="96">
        <f>E74+(D74-E74)*F74</f>
        <v/>
      </c>
      <c r="H74" s="104">
        <f>'NERC source'!H74</f>
        <v/>
      </c>
      <c r="I74" s="96">
        <f>G74*(1+H74)</f>
        <v/>
      </c>
      <c r="J74" s="96">
        <f>D74*(1+'NERC source'!F74)</f>
        <v/>
      </c>
      <c r="K74" s="96">
        <f>'NERC source'!I74*'Power Market Assumptions'!F$18</f>
        <v/>
      </c>
      <c r="L74" s="96">
        <f>D74*('NERC source'!G74-'NERC source'!F74)*'Power Market Assumptions'!F$13</f>
        <v/>
      </c>
      <c r="M74" s="96">
        <f>SUMIFS('Power agreements'!T$6:T$72,'Power agreements'!$F$6:$F$72,B74,'Power agreements'!$P$6:$P$72,1)</f>
        <v/>
      </c>
      <c r="N74" s="96">
        <f>J74-K74+L74+M74</f>
        <v/>
      </c>
      <c r="O74" s="263">
        <f>MAX(0,I74-N74)/1000</f>
        <v/>
      </c>
    </row>
    <row r="75" ht="15" customHeight="1">
      <c r="A75" s="3" t="n"/>
      <c r="B75" s="3">
        <f>'NERC source'!B75</f>
        <v/>
      </c>
      <c r="C75" s="105">
        <f>'NERC source'!C75</f>
        <v/>
      </c>
      <c r="D75" s="96">
        <f>'NERC source'!E75</f>
        <v/>
      </c>
      <c r="E75" s="96">
        <f>SUMIFS('NERC source'!$E$6:$E$95,'NERC source'!$B$6:$B$95,B75,'NERC source'!$C$6:$C$95,2026)</f>
        <v/>
      </c>
      <c r="F75" s="267">
        <f>'Power Market Assumptions'!G$8</f>
        <v/>
      </c>
      <c r="G75" s="96">
        <f>E75+(D75-E75)*F75</f>
        <v/>
      </c>
      <c r="H75" s="104">
        <f>'NERC source'!H75</f>
        <v/>
      </c>
      <c r="I75" s="96">
        <f>G75*(1+H75)</f>
        <v/>
      </c>
      <c r="J75" s="96">
        <f>D75*(1+'NERC source'!F75)</f>
        <v/>
      </c>
      <c r="K75" s="96">
        <f>'NERC source'!I75*'Power Market Assumptions'!G$18</f>
        <v/>
      </c>
      <c r="L75" s="96">
        <f>D75*('NERC source'!G75-'NERC source'!F75)*'Power Market Assumptions'!G$13</f>
        <v/>
      </c>
      <c r="M75" s="96">
        <f>SUMIFS('Power agreements'!U$6:U$72,'Power agreements'!$F$6:$F$72,B75,'Power agreements'!$P$6:$P$72,1)</f>
        <v/>
      </c>
      <c r="N75" s="96">
        <f>J75-K75+L75+M75</f>
        <v/>
      </c>
      <c r="O75" s="263">
        <f>MAX(0,I75-N75)/1000</f>
        <v/>
      </c>
    </row>
    <row r="76" ht="15" customHeight="1">
      <c r="A76" s="3" t="n"/>
      <c r="B76" s="3">
        <f>'NERC source'!B76</f>
        <v/>
      </c>
      <c r="C76" s="105">
        <f>'NERC source'!C76</f>
        <v/>
      </c>
      <c r="D76" s="96">
        <f>'NERC source'!E76</f>
        <v/>
      </c>
      <c r="E76" s="96">
        <f>SUMIFS('NERC source'!$E$6:$E$95,'NERC source'!$B$6:$B$95,B76,'NERC source'!$C$6:$C$95,2026)</f>
        <v/>
      </c>
      <c r="F76" s="267">
        <f>'Power Market Assumptions'!H$8</f>
        <v/>
      </c>
      <c r="G76" s="96">
        <f>E76+(D76-E76)*F76</f>
        <v/>
      </c>
      <c r="H76" s="104">
        <f>'NERC source'!H76</f>
        <v/>
      </c>
      <c r="I76" s="96">
        <f>G76*(1+H76)</f>
        <v/>
      </c>
      <c r="J76" s="96">
        <f>D76*(1+'NERC source'!F76)</f>
        <v/>
      </c>
      <c r="K76" s="96">
        <f>'NERC source'!I76*'Power Market Assumptions'!H$18</f>
        <v/>
      </c>
      <c r="L76" s="96">
        <f>D76*('NERC source'!G76-'NERC source'!F76)*'Power Market Assumptions'!H$13</f>
        <v/>
      </c>
      <c r="M76" s="96">
        <f>SUMIFS('Power agreements'!V$6:V$72,'Power agreements'!$F$6:$F$72,B76,'Power agreements'!$P$6:$P$72,1)</f>
        <v/>
      </c>
      <c r="N76" s="96">
        <f>J76-K76+L76+M76</f>
        <v/>
      </c>
      <c r="O76" s="263">
        <f>MAX(0,I76-N76)/1000</f>
        <v/>
      </c>
    </row>
    <row r="77" ht="15" customHeight="1">
      <c r="A77" s="3" t="n"/>
      <c r="B77" s="3">
        <f>'NERC source'!B77</f>
        <v/>
      </c>
      <c r="C77" s="105">
        <f>'NERC source'!C77</f>
        <v/>
      </c>
      <c r="D77" s="96">
        <f>'NERC source'!E77</f>
        <v/>
      </c>
      <c r="E77" s="96">
        <f>SUMIFS('NERC source'!$E$6:$E$95,'NERC source'!$B$6:$B$95,B77,'NERC source'!$C$6:$C$95,2026)</f>
        <v/>
      </c>
      <c r="F77" s="267">
        <f>'Power Market Assumptions'!I$8</f>
        <v/>
      </c>
      <c r="G77" s="96">
        <f>E77+(D77-E77)*F77</f>
        <v/>
      </c>
      <c r="H77" s="104">
        <f>'NERC source'!H77</f>
        <v/>
      </c>
      <c r="I77" s="96">
        <f>G77*(1+H77)</f>
        <v/>
      </c>
      <c r="J77" s="96">
        <f>D77*(1+'NERC source'!F77)</f>
        <v/>
      </c>
      <c r="K77" s="96">
        <f>'NERC source'!I77*'Power Market Assumptions'!I$18</f>
        <v/>
      </c>
      <c r="L77" s="96">
        <f>D77*('NERC source'!G77-'NERC source'!F77)*'Power Market Assumptions'!I$13</f>
        <v/>
      </c>
      <c r="M77" s="96">
        <f>SUMIFS('Power agreements'!W$6:W$72,'Power agreements'!$F$6:$F$72,B77,'Power agreements'!$P$6:$P$72,1)</f>
        <v/>
      </c>
      <c r="N77" s="96">
        <f>J77-K77+L77+M77</f>
        <v/>
      </c>
      <c r="O77" s="263">
        <f>MAX(0,I77-N77)/1000</f>
        <v/>
      </c>
    </row>
    <row r="78" ht="15" customHeight="1">
      <c r="A78" s="3" t="n"/>
      <c r="B78" s="3">
        <f>'NERC source'!B78</f>
        <v/>
      </c>
      <c r="C78" s="105">
        <f>'NERC source'!C78</f>
        <v/>
      </c>
      <c r="D78" s="96">
        <f>'NERC source'!E78</f>
        <v/>
      </c>
      <c r="E78" s="96">
        <f>SUMIFS('NERC source'!$E$6:$E$95,'NERC source'!$B$6:$B$95,B78,'NERC source'!$C$6:$C$95,2026)</f>
        <v/>
      </c>
      <c r="F78" s="267">
        <f>'Power Market Assumptions'!D$8</f>
        <v/>
      </c>
      <c r="G78" s="96">
        <f>E78+(D78-E78)*F78</f>
        <v/>
      </c>
      <c r="H78" s="104">
        <f>'NERC source'!H78</f>
        <v/>
      </c>
      <c r="I78" s="96">
        <f>G78*(1+H78)</f>
        <v/>
      </c>
      <c r="J78" s="96">
        <f>D78*(1+'NERC source'!F78)</f>
        <v/>
      </c>
      <c r="K78" s="96">
        <f>'NERC source'!I78*'Power Market Assumptions'!D$18</f>
        <v/>
      </c>
      <c r="L78" s="96">
        <f>D78*('NERC source'!G78-'NERC source'!F78)*'Power Market Assumptions'!D$13</f>
        <v/>
      </c>
      <c r="M78" s="96">
        <f>SUMIFS('Power agreements'!R$6:R$72,'Power agreements'!$F$6:$F$72,B78,'Power agreements'!$P$6:$P$72,1)</f>
        <v/>
      </c>
      <c r="N78" s="96">
        <f>J78-K78+L78+M78</f>
        <v/>
      </c>
      <c r="O78" s="263">
        <f>MAX(0,I78-N78)/1000</f>
        <v/>
      </c>
    </row>
    <row r="79" ht="15" customHeight="1">
      <c r="A79" s="3" t="n"/>
      <c r="B79" s="3">
        <f>'NERC source'!B79</f>
        <v/>
      </c>
      <c r="C79" s="105">
        <f>'NERC source'!C79</f>
        <v/>
      </c>
      <c r="D79" s="96">
        <f>'NERC source'!E79</f>
        <v/>
      </c>
      <c r="E79" s="96">
        <f>SUMIFS('NERC source'!$E$6:$E$95,'NERC source'!$B$6:$B$95,B79,'NERC source'!$C$6:$C$95,2026)</f>
        <v/>
      </c>
      <c r="F79" s="267">
        <f>'Power Market Assumptions'!E$8</f>
        <v/>
      </c>
      <c r="G79" s="96">
        <f>E79+(D79-E79)*F79</f>
        <v/>
      </c>
      <c r="H79" s="104">
        <f>'NERC source'!H79</f>
        <v/>
      </c>
      <c r="I79" s="96">
        <f>G79*(1+H79)</f>
        <v/>
      </c>
      <c r="J79" s="96">
        <f>D79*(1+'NERC source'!F79)</f>
        <v/>
      </c>
      <c r="K79" s="96">
        <f>'NERC source'!I79*'Power Market Assumptions'!E$18</f>
        <v/>
      </c>
      <c r="L79" s="96">
        <f>D79*('NERC source'!G79-'NERC source'!F79)*'Power Market Assumptions'!E$13</f>
        <v/>
      </c>
      <c r="M79" s="96">
        <f>SUMIFS('Power agreements'!S$6:S$72,'Power agreements'!$F$6:$F$72,B79,'Power agreements'!$P$6:$P$72,1)</f>
        <v/>
      </c>
      <c r="N79" s="96">
        <f>J79-K79+L79+M79</f>
        <v/>
      </c>
      <c r="O79" s="263">
        <f>MAX(0,I79-N79)/1000</f>
        <v/>
      </c>
    </row>
    <row r="80" ht="15" customHeight="1">
      <c r="A80" s="3" t="n"/>
      <c r="B80" s="3">
        <f>'NERC source'!B80</f>
        <v/>
      </c>
      <c r="C80" s="105">
        <f>'NERC source'!C80</f>
        <v/>
      </c>
      <c r="D80" s="96">
        <f>'NERC source'!E80</f>
        <v/>
      </c>
      <c r="E80" s="96">
        <f>SUMIFS('NERC source'!$E$6:$E$95,'NERC source'!$B$6:$B$95,B80,'NERC source'!$C$6:$C$95,2026)</f>
        <v/>
      </c>
      <c r="F80" s="267">
        <f>'Power Market Assumptions'!F$8</f>
        <v/>
      </c>
      <c r="G80" s="96">
        <f>E80+(D80-E80)*F80</f>
        <v/>
      </c>
      <c r="H80" s="104">
        <f>'NERC source'!H80</f>
        <v/>
      </c>
      <c r="I80" s="96">
        <f>G80*(1+H80)</f>
        <v/>
      </c>
      <c r="J80" s="96">
        <f>D80*(1+'NERC source'!F80)</f>
        <v/>
      </c>
      <c r="K80" s="96">
        <f>'NERC source'!I80*'Power Market Assumptions'!F$18</f>
        <v/>
      </c>
      <c r="L80" s="96">
        <f>D80*('NERC source'!G80-'NERC source'!F80)*'Power Market Assumptions'!F$13</f>
        <v/>
      </c>
      <c r="M80" s="96">
        <f>SUMIFS('Power agreements'!T$6:T$72,'Power agreements'!$F$6:$F$72,B80,'Power agreements'!$P$6:$P$72,1)</f>
        <v/>
      </c>
      <c r="N80" s="96">
        <f>J80-K80+L80+M80</f>
        <v/>
      </c>
      <c r="O80" s="263">
        <f>MAX(0,I80-N80)/1000</f>
        <v/>
      </c>
    </row>
    <row r="81" ht="15" customHeight="1">
      <c r="A81" s="3" t="n"/>
      <c r="B81" s="3">
        <f>'NERC source'!B81</f>
        <v/>
      </c>
      <c r="C81" s="105">
        <f>'NERC source'!C81</f>
        <v/>
      </c>
      <c r="D81" s="96">
        <f>'NERC source'!E81</f>
        <v/>
      </c>
      <c r="E81" s="96">
        <f>SUMIFS('NERC source'!$E$6:$E$95,'NERC source'!$B$6:$B$95,B81,'NERC source'!$C$6:$C$95,2026)</f>
        <v/>
      </c>
      <c r="F81" s="267">
        <f>'Power Market Assumptions'!G$8</f>
        <v/>
      </c>
      <c r="G81" s="96">
        <f>E81+(D81-E81)*F81</f>
        <v/>
      </c>
      <c r="H81" s="104">
        <f>'NERC source'!H81</f>
        <v/>
      </c>
      <c r="I81" s="96">
        <f>G81*(1+H81)</f>
        <v/>
      </c>
      <c r="J81" s="96">
        <f>D81*(1+'NERC source'!F81)</f>
        <v/>
      </c>
      <c r="K81" s="96">
        <f>'NERC source'!I81*'Power Market Assumptions'!G$18</f>
        <v/>
      </c>
      <c r="L81" s="96">
        <f>D81*('NERC source'!G81-'NERC source'!F81)*'Power Market Assumptions'!G$13</f>
        <v/>
      </c>
      <c r="M81" s="96">
        <f>SUMIFS('Power agreements'!U$6:U$72,'Power agreements'!$F$6:$F$72,B81,'Power agreements'!$P$6:$P$72,1)</f>
        <v/>
      </c>
      <c r="N81" s="96">
        <f>J81-K81+L81+M81</f>
        <v/>
      </c>
      <c r="O81" s="263">
        <f>MAX(0,I81-N81)/1000</f>
        <v/>
      </c>
    </row>
    <row r="82" ht="15" customHeight="1">
      <c r="A82" s="3" t="n"/>
      <c r="B82" s="3">
        <f>'NERC source'!B82</f>
        <v/>
      </c>
      <c r="C82" s="105">
        <f>'NERC source'!C82</f>
        <v/>
      </c>
      <c r="D82" s="96">
        <f>'NERC source'!E82</f>
        <v/>
      </c>
      <c r="E82" s="96">
        <f>SUMIFS('NERC source'!$E$6:$E$95,'NERC source'!$B$6:$B$95,B82,'NERC source'!$C$6:$C$95,2026)</f>
        <v/>
      </c>
      <c r="F82" s="267">
        <f>'Power Market Assumptions'!H$8</f>
        <v/>
      </c>
      <c r="G82" s="96">
        <f>E82+(D82-E82)*F82</f>
        <v/>
      </c>
      <c r="H82" s="104">
        <f>'NERC source'!H82</f>
        <v/>
      </c>
      <c r="I82" s="96">
        <f>G82*(1+H82)</f>
        <v/>
      </c>
      <c r="J82" s="96">
        <f>D82*(1+'NERC source'!F82)</f>
        <v/>
      </c>
      <c r="K82" s="96">
        <f>'NERC source'!I82*'Power Market Assumptions'!H$18</f>
        <v/>
      </c>
      <c r="L82" s="96">
        <f>D82*('NERC source'!G82-'NERC source'!F82)*'Power Market Assumptions'!H$13</f>
        <v/>
      </c>
      <c r="M82" s="96">
        <f>SUMIFS('Power agreements'!V$6:V$72,'Power agreements'!$F$6:$F$72,B82,'Power agreements'!$P$6:$P$72,1)</f>
        <v/>
      </c>
      <c r="N82" s="96">
        <f>J82-K82+L82+M82</f>
        <v/>
      </c>
      <c r="O82" s="263">
        <f>MAX(0,I82-N82)/1000</f>
        <v/>
      </c>
    </row>
    <row r="83" ht="15" customHeight="1">
      <c r="A83" s="3" t="n"/>
      <c r="B83" s="3">
        <f>'NERC source'!B83</f>
        <v/>
      </c>
      <c r="C83" s="105">
        <f>'NERC source'!C83</f>
        <v/>
      </c>
      <c r="D83" s="96">
        <f>'NERC source'!E83</f>
        <v/>
      </c>
      <c r="E83" s="96">
        <f>SUMIFS('NERC source'!$E$6:$E$95,'NERC source'!$B$6:$B$95,B83,'NERC source'!$C$6:$C$95,2026)</f>
        <v/>
      </c>
      <c r="F83" s="267">
        <f>'Power Market Assumptions'!I$8</f>
        <v/>
      </c>
      <c r="G83" s="96">
        <f>E83+(D83-E83)*F83</f>
        <v/>
      </c>
      <c r="H83" s="104">
        <f>'NERC source'!H83</f>
        <v/>
      </c>
      <c r="I83" s="96">
        <f>G83*(1+H83)</f>
        <v/>
      </c>
      <c r="J83" s="96">
        <f>D83*(1+'NERC source'!F83)</f>
        <v/>
      </c>
      <c r="K83" s="96">
        <f>'NERC source'!I83*'Power Market Assumptions'!I$18</f>
        <v/>
      </c>
      <c r="L83" s="96">
        <f>D83*('NERC source'!G83-'NERC source'!F83)*'Power Market Assumptions'!I$13</f>
        <v/>
      </c>
      <c r="M83" s="96">
        <f>SUMIFS('Power agreements'!W$6:W$72,'Power agreements'!$F$6:$F$72,B83,'Power agreements'!$P$6:$P$72,1)</f>
        <v/>
      </c>
      <c r="N83" s="96">
        <f>J83-K83+L83+M83</f>
        <v/>
      </c>
      <c r="O83" s="263">
        <f>MAX(0,I83-N83)/1000</f>
        <v/>
      </c>
    </row>
    <row r="84" ht="15" customHeight="1">
      <c r="A84" s="3" t="n"/>
      <c r="B84" s="3">
        <f>'NERC source'!B84</f>
        <v/>
      </c>
      <c r="C84" s="105">
        <f>'NERC source'!C84</f>
        <v/>
      </c>
      <c r="D84" s="96">
        <f>'NERC source'!E84</f>
        <v/>
      </c>
      <c r="E84" s="96">
        <f>SUMIFS('NERC source'!$E$6:$E$95,'NERC source'!$B$6:$B$95,B84,'NERC source'!$C$6:$C$95,2026)</f>
        <v/>
      </c>
      <c r="F84" s="267">
        <f>'Power Market Assumptions'!D$8</f>
        <v/>
      </c>
      <c r="G84" s="96">
        <f>E84+(D84-E84)*F84</f>
        <v/>
      </c>
      <c r="H84" s="104">
        <f>'NERC source'!H84</f>
        <v/>
      </c>
      <c r="I84" s="96">
        <f>G84*(1+H84)</f>
        <v/>
      </c>
      <c r="J84" s="96">
        <f>D84*(1+'NERC source'!F84)</f>
        <v/>
      </c>
      <c r="K84" s="96">
        <f>'NERC source'!I84*'Power Market Assumptions'!D$18</f>
        <v/>
      </c>
      <c r="L84" s="96">
        <f>D84*('NERC source'!G84-'NERC source'!F84)*'Power Market Assumptions'!D$13</f>
        <v/>
      </c>
      <c r="M84" s="96">
        <f>SUMIFS('Power agreements'!R$6:R$72,'Power agreements'!$F$6:$F$72,B84,'Power agreements'!$P$6:$P$72,1)</f>
        <v/>
      </c>
      <c r="N84" s="96">
        <f>J84-K84+L84+M84</f>
        <v/>
      </c>
      <c r="O84" s="263">
        <f>MAX(0,I84-N84)/1000</f>
        <v/>
      </c>
    </row>
    <row r="85" ht="15" customHeight="1">
      <c r="A85" s="3" t="n"/>
      <c r="B85" s="3">
        <f>'NERC source'!B85</f>
        <v/>
      </c>
      <c r="C85" s="105">
        <f>'NERC source'!C85</f>
        <v/>
      </c>
      <c r="D85" s="96">
        <f>'NERC source'!E85</f>
        <v/>
      </c>
      <c r="E85" s="96">
        <f>SUMIFS('NERC source'!$E$6:$E$95,'NERC source'!$B$6:$B$95,B85,'NERC source'!$C$6:$C$95,2026)</f>
        <v/>
      </c>
      <c r="F85" s="267">
        <f>'Power Market Assumptions'!E$8</f>
        <v/>
      </c>
      <c r="G85" s="96">
        <f>E85+(D85-E85)*F85</f>
        <v/>
      </c>
      <c r="H85" s="104">
        <f>'NERC source'!H85</f>
        <v/>
      </c>
      <c r="I85" s="96">
        <f>G85*(1+H85)</f>
        <v/>
      </c>
      <c r="J85" s="96">
        <f>D85*(1+'NERC source'!F85)</f>
        <v/>
      </c>
      <c r="K85" s="96">
        <f>'NERC source'!I85*'Power Market Assumptions'!E$18</f>
        <v/>
      </c>
      <c r="L85" s="96">
        <f>D85*('NERC source'!G85-'NERC source'!F85)*'Power Market Assumptions'!E$13</f>
        <v/>
      </c>
      <c r="M85" s="96">
        <f>SUMIFS('Power agreements'!S$6:S$72,'Power agreements'!$F$6:$F$72,B85,'Power agreements'!$P$6:$P$72,1)</f>
        <v/>
      </c>
      <c r="N85" s="96">
        <f>J85-K85+L85+M85</f>
        <v/>
      </c>
      <c r="O85" s="263">
        <f>MAX(0,I85-N85)/1000</f>
        <v/>
      </c>
    </row>
    <row r="86" ht="15" customHeight="1">
      <c r="A86" s="3" t="n"/>
      <c r="B86" s="3">
        <f>'NERC source'!B86</f>
        <v/>
      </c>
      <c r="C86" s="105">
        <f>'NERC source'!C86</f>
        <v/>
      </c>
      <c r="D86" s="96">
        <f>'NERC source'!E86</f>
        <v/>
      </c>
      <c r="E86" s="96">
        <f>SUMIFS('NERC source'!$E$6:$E$95,'NERC source'!$B$6:$B$95,B86,'NERC source'!$C$6:$C$95,2026)</f>
        <v/>
      </c>
      <c r="F86" s="267">
        <f>'Power Market Assumptions'!F$8</f>
        <v/>
      </c>
      <c r="G86" s="96">
        <f>E86+(D86-E86)*F86</f>
        <v/>
      </c>
      <c r="H86" s="104">
        <f>'NERC source'!H86</f>
        <v/>
      </c>
      <c r="I86" s="96">
        <f>G86*(1+H86)</f>
        <v/>
      </c>
      <c r="J86" s="96">
        <f>D86*(1+'NERC source'!F86)</f>
        <v/>
      </c>
      <c r="K86" s="96">
        <f>'NERC source'!I86*'Power Market Assumptions'!F$18</f>
        <v/>
      </c>
      <c r="L86" s="96">
        <f>D86*('NERC source'!G86-'NERC source'!F86)*'Power Market Assumptions'!F$13</f>
        <v/>
      </c>
      <c r="M86" s="96">
        <f>SUMIFS('Power agreements'!T$6:T$72,'Power agreements'!$F$6:$F$72,B86,'Power agreements'!$P$6:$P$72,1)</f>
        <v/>
      </c>
      <c r="N86" s="96">
        <f>J86-K86+L86+M86</f>
        <v/>
      </c>
      <c r="O86" s="263">
        <f>MAX(0,I86-N86)/1000</f>
        <v/>
      </c>
    </row>
    <row r="87" ht="15" customHeight="1">
      <c r="A87" s="3" t="n"/>
      <c r="B87" s="3">
        <f>'NERC source'!B87</f>
        <v/>
      </c>
      <c r="C87" s="105">
        <f>'NERC source'!C87</f>
        <v/>
      </c>
      <c r="D87" s="96">
        <f>'NERC source'!E87</f>
        <v/>
      </c>
      <c r="E87" s="96">
        <f>SUMIFS('NERC source'!$E$6:$E$95,'NERC source'!$B$6:$B$95,B87,'NERC source'!$C$6:$C$95,2026)</f>
        <v/>
      </c>
      <c r="F87" s="267">
        <f>'Power Market Assumptions'!G$8</f>
        <v/>
      </c>
      <c r="G87" s="96">
        <f>E87+(D87-E87)*F87</f>
        <v/>
      </c>
      <c r="H87" s="104">
        <f>'NERC source'!H87</f>
        <v/>
      </c>
      <c r="I87" s="96">
        <f>G87*(1+H87)</f>
        <v/>
      </c>
      <c r="J87" s="96">
        <f>D87*(1+'NERC source'!F87)</f>
        <v/>
      </c>
      <c r="K87" s="96">
        <f>'NERC source'!I87*'Power Market Assumptions'!G$18</f>
        <v/>
      </c>
      <c r="L87" s="96">
        <f>D87*('NERC source'!G87-'NERC source'!F87)*'Power Market Assumptions'!G$13</f>
        <v/>
      </c>
      <c r="M87" s="96">
        <f>SUMIFS('Power agreements'!U$6:U$72,'Power agreements'!$F$6:$F$72,B87,'Power agreements'!$P$6:$P$72,1)</f>
        <v/>
      </c>
      <c r="N87" s="96">
        <f>J87-K87+L87+M87</f>
        <v/>
      </c>
      <c r="O87" s="263">
        <f>MAX(0,I87-N87)/1000</f>
        <v/>
      </c>
    </row>
    <row r="88" ht="15" customHeight="1">
      <c r="A88" s="3" t="n"/>
      <c r="B88" s="3">
        <f>'NERC source'!B88</f>
        <v/>
      </c>
      <c r="C88" s="105">
        <f>'NERC source'!C88</f>
        <v/>
      </c>
      <c r="D88" s="96">
        <f>'NERC source'!E88</f>
        <v/>
      </c>
      <c r="E88" s="96">
        <f>SUMIFS('NERC source'!$E$6:$E$95,'NERC source'!$B$6:$B$95,B88,'NERC source'!$C$6:$C$95,2026)</f>
        <v/>
      </c>
      <c r="F88" s="267">
        <f>'Power Market Assumptions'!H$8</f>
        <v/>
      </c>
      <c r="G88" s="96">
        <f>E88+(D88-E88)*F88</f>
        <v/>
      </c>
      <c r="H88" s="104">
        <f>'NERC source'!H88</f>
        <v/>
      </c>
      <c r="I88" s="96">
        <f>G88*(1+H88)</f>
        <v/>
      </c>
      <c r="J88" s="96">
        <f>D88*(1+'NERC source'!F88)</f>
        <v/>
      </c>
      <c r="K88" s="96">
        <f>'NERC source'!I88*'Power Market Assumptions'!H$18</f>
        <v/>
      </c>
      <c r="L88" s="96">
        <f>D88*('NERC source'!G88-'NERC source'!F88)*'Power Market Assumptions'!H$13</f>
        <v/>
      </c>
      <c r="M88" s="96">
        <f>SUMIFS('Power agreements'!V$6:V$72,'Power agreements'!$F$6:$F$72,B88,'Power agreements'!$P$6:$P$72,1)</f>
        <v/>
      </c>
      <c r="N88" s="96">
        <f>J88-K88+L88+M88</f>
        <v/>
      </c>
      <c r="O88" s="263">
        <f>MAX(0,I88-N88)/1000</f>
        <v/>
      </c>
    </row>
    <row r="89" ht="15" customHeight="1">
      <c r="A89" s="3" t="n"/>
      <c r="B89" s="3">
        <f>'NERC source'!B89</f>
        <v/>
      </c>
      <c r="C89" s="105">
        <f>'NERC source'!C89</f>
        <v/>
      </c>
      <c r="D89" s="96">
        <f>'NERC source'!E89</f>
        <v/>
      </c>
      <c r="E89" s="96">
        <f>SUMIFS('NERC source'!$E$6:$E$95,'NERC source'!$B$6:$B$95,B89,'NERC source'!$C$6:$C$95,2026)</f>
        <v/>
      </c>
      <c r="F89" s="267">
        <f>'Power Market Assumptions'!I$8</f>
        <v/>
      </c>
      <c r="G89" s="96">
        <f>E89+(D89-E89)*F89</f>
        <v/>
      </c>
      <c r="H89" s="104">
        <f>'NERC source'!H89</f>
        <v/>
      </c>
      <c r="I89" s="96">
        <f>G89*(1+H89)</f>
        <v/>
      </c>
      <c r="J89" s="96">
        <f>D89*(1+'NERC source'!F89)</f>
        <v/>
      </c>
      <c r="K89" s="96">
        <f>'NERC source'!I89*'Power Market Assumptions'!I$18</f>
        <v/>
      </c>
      <c r="L89" s="96">
        <f>D89*('NERC source'!G89-'NERC source'!F89)*'Power Market Assumptions'!I$13</f>
        <v/>
      </c>
      <c r="M89" s="96">
        <f>SUMIFS('Power agreements'!W$6:W$72,'Power agreements'!$F$6:$F$72,B89,'Power agreements'!$P$6:$P$72,1)</f>
        <v/>
      </c>
      <c r="N89" s="96">
        <f>J89-K89+L89+M89</f>
        <v/>
      </c>
      <c r="O89" s="263">
        <f>MAX(0,I89-N89)/1000</f>
        <v/>
      </c>
    </row>
    <row r="90" ht="15" customHeight="1">
      <c r="A90" s="3" t="n"/>
      <c r="B90" s="3">
        <f>'NERC source'!B90</f>
        <v/>
      </c>
      <c r="C90" s="105">
        <f>'NERC source'!C90</f>
        <v/>
      </c>
      <c r="D90" s="96">
        <f>'NERC source'!E90</f>
        <v/>
      </c>
      <c r="E90" s="96">
        <f>SUMIFS('NERC source'!$E$6:$E$95,'NERC source'!$B$6:$B$95,B90,'NERC source'!$C$6:$C$95,2026)</f>
        <v/>
      </c>
      <c r="F90" s="267">
        <f>'Power Market Assumptions'!D$8</f>
        <v/>
      </c>
      <c r="G90" s="96">
        <f>E90+(D90-E90)*F90</f>
        <v/>
      </c>
      <c r="H90" s="104">
        <f>'NERC source'!H90</f>
        <v/>
      </c>
      <c r="I90" s="96">
        <f>G90*(1+H90)</f>
        <v/>
      </c>
      <c r="J90" s="96">
        <f>D90*(1+'NERC source'!F90)</f>
        <v/>
      </c>
      <c r="K90" s="96">
        <f>'NERC source'!I90*'Power Market Assumptions'!D$18</f>
        <v/>
      </c>
      <c r="L90" s="96">
        <f>D90*('NERC source'!G90-'NERC source'!F90)*'Power Market Assumptions'!D$13</f>
        <v/>
      </c>
      <c r="M90" s="96">
        <f>SUMIFS('Power agreements'!R$6:R$72,'Power agreements'!$F$6:$F$72,B90,'Power agreements'!$P$6:$P$72,1)</f>
        <v/>
      </c>
      <c r="N90" s="96">
        <f>J90-K90+L90+M90</f>
        <v/>
      </c>
      <c r="O90" s="263">
        <f>MAX(0,I90-N90)/1000</f>
        <v/>
      </c>
    </row>
    <row r="91" ht="15" customHeight="1">
      <c r="A91" s="3" t="n"/>
      <c r="B91" s="3">
        <f>'NERC source'!B91</f>
        <v/>
      </c>
      <c r="C91" s="105">
        <f>'NERC source'!C91</f>
        <v/>
      </c>
      <c r="D91" s="96">
        <f>'NERC source'!E91</f>
        <v/>
      </c>
      <c r="E91" s="96">
        <f>SUMIFS('NERC source'!$E$6:$E$95,'NERC source'!$B$6:$B$95,B91,'NERC source'!$C$6:$C$95,2026)</f>
        <v/>
      </c>
      <c r="F91" s="267">
        <f>'Power Market Assumptions'!E$8</f>
        <v/>
      </c>
      <c r="G91" s="96">
        <f>E91+(D91-E91)*F91</f>
        <v/>
      </c>
      <c r="H91" s="104">
        <f>'NERC source'!H91</f>
        <v/>
      </c>
      <c r="I91" s="96">
        <f>G91*(1+H91)</f>
        <v/>
      </c>
      <c r="J91" s="96">
        <f>D91*(1+'NERC source'!F91)</f>
        <v/>
      </c>
      <c r="K91" s="96">
        <f>'NERC source'!I91*'Power Market Assumptions'!E$18</f>
        <v/>
      </c>
      <c r="L91" s="96">
        <f>D91*('NERC source'!G91-'NERC source'!F91)*'Power Market Assumptions'!E$13</f>
        <v/>
      </c>
      <c r="M91" s="96">
        <f>SUMIFS('Power agreements'!S$6:S$72,'Power agreements'!$F$6:$F$72,B91,'Power agreements'!$P$6:$P$72,1)</f>
        <v/>
      </c>
      <c r="N91" s="96">
        <f>J91-K91+L91+M91</f>
        <v/>
      </c>
      <c r="O91" s="263">
        <f>MAX(0,I91-N91)/1000</f>
        <v/>
      </c>
    </row>
    <row r="92" ht="15" customHeight="1">
      <c r="A92" s="3" t="n"/>
      <c r="B92" s="3">
        <f>'NERC source'!B92</f>
        <v/>
      </c>
      <c r="C92" s="105">
        <f>'NERC source'!C92</f>
        <v/>
      </c>
      <c r="D92" s="96">
        <f>'NERC source'!E92</f>
        <v/>
      </c>
      <c r="E92" s="96">
        <f>SUMIFS('NERC source'!$E$6:$E$95,'NERC source'!$B$6:$B$95,B92,'NERC source'!$C$6:$C$95,2026)</f>
        <v/>
      </c>
      <c r="F92" s="267">
        <f>'Power Market Assumptions'!F$8</f>
        <v/>
      </c>
      <c r="G92" s="96">
        <f>E92+(D92-E92)*F92</f>
        <v/>
      </c>
      <c r="H92" s="104">
        <f>'NERC source'!H92</f>
        <v/>
      </c>
      <c r="I92" s="96">
        <f>G92*(1+H92)</f>
        <v/>
      </c>
      <c r="J92" s="96">
        <f>D92*(1+'NERC source'!F92)</f>
        <v/>
      </c>
      <c r="K92" s="96">
        <f>'NERC source'!I92*'Power Market Assumptions'!F$18</f>
        <v/>
      </c>
      <c r="L92" s="96">
        <f>D92*('NERC source'!G92-'NERC source'!F92)*'Power Market Assumptions'!F$13</f>
        <v/>
      </c>
      <c r="M92" s="96">
        <f>SUMIFS('Power agreements'!T$6:T$72,'Power agreements'!$F$6:$F$72,B92,'Power agreements'!$P$6:$P$72,1)</f>
        <v/>
      </c>
      <c r="N92" s="96">
        <f>J92-K92+L92+M92</f>
        <v/>
      </c>
      <c r="O92" s="263">
        <f>MAX(0,I92-N92)/1000</f>
        <v/>
      </c>
    </row>
    <row r="93" ht="15" customHeight="1">
      <c r="A93" s="3" t="n"/>
      <c r="B93" s="3">
        <f>'NERC source'!B93</f>
        <v/>
      </c>
      <c r="C93" s="105">
        <f>'NERC source'!C93</f>
        <v/>
      </c>
      <c r="D93" s="96">
        <f>'NERC source'!E93</f>
        <v/>
      </c>
      <c r="E93" s="96">
        <f>SUMIFS('NERC source'!$E$6:$E$95,'NERC source'!$B$6:$B$95,B93,'NERC source'!$C$6:$C$95,2026)</f>
        <v/>
      </c>
      <c r="F93" s="267">
        <f>'Power Market Assumptions'!G$8</f>
        <v/>
      </c>
      <c r="G93" s="96">
        <f>E93+(D93-E93)*F93</f>
        <v/>
      </c>
      <c r="H93" s="104">
        <f>'NERC source'!H93</f>
        <v/>
      </c>
      <c r="I93" s="96">
        <f>G93*(1+H93)</f>
        <v/>
      </c>
      <c r="J93" s="96">
        <f>D93*(1+'NERC source'!F93)</f>
        <v/>
      </c>
      <c r="K93" s="96">
        <f>'NERC source'!I93*'Power Market Assumptions'!G$18</f>
        <v/>
      </c>
      <c r="L93" s="96">
        <f>D93*('NERC source'!G93-'NERC source'!F93)*'Power Market Assumptions'!G$13</f>
        <v/>
      </c>
      <c r="M93" s="96">
        <f>SUMIFS('Power agreements'!U$6:U$72,'Power agreements'!$F$6:$F$72,B93,'Power agreements'!$P$6:$P$72,1)</f>
        <v/>
      </c>
      <c r="N93" s="96">
        <f>J93-K93+L93+M93</f>
        <v/>
      </c>
      <c r="O93" s="263">
        <f>MAX(0,I93-N93)/1000</f>
        <v/>
      </c>
    </row>
    <row r="94" ht="15" customHeight="1">
      <c r="A94" s="3" t="n"/>
      <c r="B94" s="3">
        <f>'NERC source'!B94</f>
        <v/>
      </c>
      <c r="C94" s="105">
        <f>'NERC source'!C94</f>
        <v/>
      </c>
      <c r="D94" s="96">
        <f>'NERC source'!E94</f>
        <v/>
      </c>
      <c r="E94" s="96">
        <f>SUMIFS('NERC source'!$E$6:$E$95,'NERC source'!$B$6:$B$95,B94,'NERC source'!$C$6:$C$95,2026)</f>
        <v/>
      </c>
      <c r="F94" s="267">
        <f>'Power Market Assumptions'!H$8</f>
        <v/>
      </c>
      <c r="G94" s="96">
        <f>E94+(D94-E94)*F94</f>
        <v/>
      </c>
      <c r="H94" s="104">
        <f>'NERC source'!H94</f>
        <v/>
      </c>
      <c r="I94" s="96">
        <f>G94*(1+H94)</f>
        <v/>
      </c>
      <c r="J94" s="96">
        <f>D94*(1+'NERC source'!F94)</f>
        <v/>
      </c>
      <c r="K94" s="96">
        <f>'NERC source'!I94*'Power Market Assumptions'!H$18</f>
        <v/>
      </c>
      <c r="L94" s="96">
        <f>D94*('NERC source'!G94-'NERC source'!F94)*'Power Market Assumptions'!H$13</f>
        <v/>
      </c>
      <c r="M94" s="96">
        <f>SUMIFS('Power agreements'!V$6:V$72,'Power agreements'!$F$6:$F$72,B94,'Power agreements'!$P$6:$P$72,1)</f>
        <v/>
      </c>
      <c r="N94" s="96">
        <f>J94-K94+L94+M94</f>
        <v/>
      </c>
      <c r="O94" s="263">
        <f>MAX(0,I94-N94)/1000</f>
        <v/>
      </c>
    </row>
    <row r="95" ht="15" customHeight="1">
      <c r="A95" s="3" t="n"/>
      <c r="B95" s="3">
        <f>'NERC source'!B95</f>
        <v/>
      </c>
      <c r="C95" s="105">
        <f>'NERC source'!C95</f>
        <v/>
      </c>
      <c r="D95" s="96">
        <f>'NERC source'!E95</f>
        <v/>
      </c>
      <c r="E95" s="96">
        <f>SUMIFS('NERC source'!$E$6:$E$95,'NERC source'!$B$6:$B$95,B95,'NERC source'!$C$6:$C$95,2026)</f>
        <v/>
      </c>
      <c r="F95" s="267">
        <f>'Power Market Assumptions'!I$8</f>
        <v/>
      </c>
      <c r="G95" s="96">
        <f>E95+(D95-E95)*F95</f>
        <v/>
      </c>
      <c r="H95" s="104">
        <f>'NERC source'!H95</f>
        <v/>
      </c>
      <c r="I95" s="96">
        <f>G95*(1+H95)</f>
        <v/>
      </c>
      <c r="J95" s="96">
        <f>D95*(1+'NERC source'!F95)</f>
        <v/>
      </c>
      <c r="K95" s="96">
        <f>'NERC source'!I95*'Power Market Assumptions'!I$18</f>
        <v/>
      </c>
      <c r="L95" s="96">
        <f>D95*('NERC source'!G95-'NERC source'!F95)*'Power Market Assumptions'!I$13</f>
        <v/>
      </c>
      <c r="M95" s="96">
        <f>SUMIFS('Power agreements'!W$6:W$72,'Power agreements'!$F$6:$F$72,B95,'Power agreements'!$P$6:$P$72,1)</f>
        <v/>
      </c>
      <c r="N95" s="96">
        <f>J95-K95+L95+M95</f>
        <v/>
      </c>
      <c r="O95" s="263">
        <f>MAX(0,I95-N95)/1000</f>
        <v/>
      </c>
    </row>
    <row r="96" ht="1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 ht="1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 ht="15" customHeight="1">
      <c r="A98" s="3" t="n"/>
      <c r="B98" s="150" t="inlineStr">
        <is>
          <t>US Data Center Energy</t>
        </is>
      </c>
      <c r="C98" s="150" t="n"/>
      <c r="D98" s="150" t="n"/>
      <c r="E98" s="150" t="n"/>
      <c r="F98" s="150" t="n"/>
      <c r="G98" s="150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 ht="1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 ht="15" customHeight="1">
      <c r="A100" s="3" t="n"/>
      <c r="B100" s="152" t="inlineStr">
        <is>
          <t>Year</t>
        </is>
      </c>
      <c r="C100" s="153" t="inlineStr">
        <is>
          <t>Energy (TWh)</t>
        </is>
      </c>
      <c r="D100" s="153" t="inlineStr">
        <is>
          <t>Avg. GW</t>
        </is>
      </c>
      <c r="E100" s="153" t="inlineStr">
        <is>
          <t>Grid GW</t>
        </is>
      </c>
      <c r="F100" s="153" t="inlineStr">
        <is>
          <t>Δ Avg. GW</t>
        </is>
      </c>
      <c r="G100" s="153" t="inlineStr">
        <is>
          <t>Basis</t>
        </is>
      </c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 ht="15" customHeight="1">
      <c r="A101" s="3" t="n"/>
      <c r="B101" s="161" t="n">
        <v>2024</v>
      </c>
      <c r="C101" s="264">
        <f>'Power Market Assumptions'!D31</f>
        <v/>
      </c>
      <c r="D101" s="264">
        <f>C101/8.76</f>
        <v/>
      </c>
      <c r="E101" s="264">
        <f>D101/'Power Market Assumptions'!$D$36</f>
        <v/>
      </c>
      <c r="F101" s="264">
        <f>D101-$D$101</f>
        <v/>
      </c>
      <c r="G101" s="3" t="inlineStr">
        <is>
          <t>Source</t>
        </is>
      </c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 ht="15" customHeight="1">
      <c r="A102" s="3" t="n"/>
      <c r="B102" s="161" t="n">
        <v>2025</v>
      </c>
      <c r="C102" s="264">
        <f>'Power Market Assumptions'!$D$31*('Power Market Assumptions'!$D$32/'Power Market Assumptions'!$D$31)^((2025-2024)/4)</f>
        <v/>
      </c>
      <c r="D102" s="264">
        <f>C102/8.76</f>
        <v/>
      </c>
      <c r="E102" s="264">
        <f>D102/'Power Market Assumptions'!$D$36</f>
        <v/>
      </c>
      <c r="F102" s="264">
        <f>D102-$D$101</f>
        <v/>
      </c>
      <c r="G102" s="3" t="inlineStr">
        <is>
          <t>Interpolated</t>
        </is>
      </c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 ht="15" customHeight="1">
      <c r="A103" s="3" t="n"/>
      <c r="B103" s="161" t="n">
        <v>2026</v>
      </c>
      <c r="C103" s="264">
        <f>'Power Market Assumptions'!$D$31*('Power Market Assumptions'!$D$32/'Power Market Assumptions'!$D$31)^((2026-2024)/4)</f>
        <v/>
      </c>
      <c r="D103" s="264">
        <f>C103/8.76</f>
        <v/>
      </c>
      <c r="E103" s="264">
        <f>D103/'Power Market Assumptions'!$D$36</f>
        <v/>
      </c>
      <c r="F103" s="264">
        <f>D103-$D$101</f>
        <v/>
      </c>
      <c r="G103" s="3" t="inlineStr">
        <is>
          <t>Interpolated</t>
        </is>
      </c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 ht="15" customHeight="1">
      <c r="A104" s="3" t="n"/>
      <c r="B104" s="161" t="n">
        <v>2027</v>
      </c>
      <c r="C104" s="264">
        <f>'Power Market Assumptions'!$D$31*('Power Market Assumptions'!$D$32/'Power Market Assumptions'!$D$31)^((2027-2024)/4)</f>
        <v/>
      </c>
      <c r="D104" s="264">
        <f>C104/8.76</f>
        <v/>
      </c>
      <c r="E104" s="264">
        <f>D104/'Power Market Assumptions'!$D$36</f>
        <v/>
      </c>
      <c r="F104" s="264">
        <f>D104-$D$101</f>
        <v/>
      </c>
      <c r="G104" s="3" t="inlineStr">
        <is>
          <t>Interpolated</t>
        </is>
      </c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 ht="15" customHeight="1">
      <c r="A105" s="3" t="n"/>
      <c r="B105" s="161" t="n">
        <v>2028</v>
      </c>
      <c r="C105" s="264">
        <f>'Power Market Assumptions'!D32</f>
        <v/>
      </c>
      <c r="D105" s="264">
        <f>C105/8.76</f>
        <v/>
      </c>
      <c r="E105" s="264">
        <f>D105/'Power Market Assumptions'!$D$36</f>
        <v/>
      </c>
      <c r="F105" s="264">
        <f>D105-$D$101</f>
        <v/>
      </c>
      <c r="G105" s="3" t="inlineStr">
        <is>
          <t>Source</t>
        </is>
      </c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 ht="15" customHeight="1">
      <c r="A106" s="3" t="n"/>
      <c r="B106" s="161" t="n">
        <v>2029</v>
      </c>
      <c r="C106" s="264">
        <f>'Power Market Assumptions'!D32*('Power Market Assumptions'!D33/'Power Market Assumptions'!D32)^0.5</f>
        <v/>
      </c>
      <c r="D106" s="264">
        <f>C106/8.76</f>
        <v/>
      </c>
      <c r="E106" s="264">
        <f>D106/'Power Market Assumptions'!$D$36</f>
        <v/>
      </c>
      <c r="F106" s="264">
        <f>D106-$D$101</f>
        <v/>
      </c>
      <c r="G106" s="3" t="inlineStr">
        <is>
          <t>Interpolated</t>
        </is>
      </c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 ht="15" customHeight="1">
      <c r="A107" s="3" t="n"/>
      <c r="B107" s="161" t="n">
        <v>2030</v>
      </c>
      <c r="C107" s="264">
        <f>'Power Market Assumptions'!D33</f>
        <v/>
      </c>
      <c r="D107" s="264">
        <f>C107/8.76</f>
        <v/>
      </c>
      <c r="E107" s="264">
        <f>D107/'Power Market Assumptions'!$D$36</f>
        <v/>
      </c>
      <c r="F107" s="264">
        <f>D107-$D$101</f>
        <v/>
      </c>
      <c r="G107" s="3" t="inlineStr">
        <is>
          <t>Source</t>
        </is>
      </c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 ht="15" customHeight="1">
      <c r="A108" s="3" t="n"/>
      <c r="B108" s="161" t="n">
        <v>2031</v>
      </c>
      <c r="C108" s="264">
        <f>C107*(1+'Power Market Assumptions'!D35)</f>
        <v/>
      </c>
      <c r="D108" s="264">
        <f>C108/8.76</f>
        <v/>
      </c>
      <c r="E108" s="264">
        <f>D108/'Power Market Assumptions'!$D$36</f>
        <v/>
      </c>
      <c r="F108" s="264">
        <f>D108-$D$101</f>
        <v/>
      </c>
      <c r="G108" s="3" t="inlineStr">
        <is>
          <t>Extended</t>
        </is>
      </c>
      <c r="H108" s="3" t="n"/>
      <c r="I108" s="3" t="n"/>
      <c r="J108" s="3" t="n"/>
      <c r="K108" s="3" t="n"/>
      <c r="L108" s="3" t="n"/>
      <c r="M108" s="3" t="n"/>
      <c r="N108" s="3" t="n"/>
      <c r="O108" s="3" t="n"/>
    </row>
  </sheetData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72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ColWidth="8.85546875" defaultRowHeight="15"/>
  <cols>
    <col width="2.7109375" customWidth="1" min="1" max="1"/>
    <col width="9" customWidth="1" min="2" max="2"/>
    <col width="12" customWidth="1" min="3" max="3"/>
    <col width="18" customWidth="1" min="4" max="4"/>
    <col width="35.7109375" customWidth="1" min="5" max="5"/>
    <col width="23" customWidth="1" min="6" max="6"/>
    <col width="27" customWidth="1" min="7" max="7"/>
    <col width="18" customWidth="1" min="8" max="8"/>
    <col width="12" customWidth="1" min="9" max="9"/>
    <col width="17" customWidth="1" min="10" max="10"/>
    <col width="12" customWidth="1" min="11" max="11"/>
    <col width="9" customWidth="1" min="12" max="14"/>
    <col width="12" customWidth="1" min="15" max="16"/>
    <col width="9" customWidth="1" min="17" max="17"/>
    <col width="9.140625" customWidth="1" min="18" max="23"/>
  </cols>
  <sheetData>
    <row r="1" ht="18.95" customHeight="1">
      <c r="A1" s="3" t="n"/>
      <c r="B1" s="30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 ht="18.95" customHeight="1">
      <c r="A2" s="3" t="n"/>
      <c r="B2" s="30" t="inlineStr">
        <is>
          <t>Power Agreements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 ht="15" customHeight="1">
      <c r="A3" s="3" t="n"/>
      <c r="B3" s="23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 ht="15" customHeight="1">
      <c r="A4" s="3" t="n"/>
      <c r="B4" s="150" t="inlineStr">
        <is>
          <t>Public Power Agreements</t>
        </is>
      </c>
      <c r="C4" s="150" t="n"/>
      <c r="D4" s="150" t="n"/>
      <c r="E4" s="150" t="n"/>
      <c r="F4" s="150" t="n"/>
      <c r="G4" s="150" t="n"/>
      <c r="H4" s="150" t="n"/>
      <c r="I4" s="150" t="n"/>
      <c r="J4" s="150" t="n"/>
      <c r="K4" s="150" t="n"/>
      <c r="L4" s="150" t="n"/>
      <c r="M4" s="150" t="n"/>
      <c r="N4" s="150" t="n"/>
      <c r="O4" s="150" t="n"/>
      <c r="P4" s="150" t="n"/>
      <c r="Q4" s="150" t="n"/>
      <c r="R4" s="150" t="n"/>
      <c r="S4" s="150" t="n"/>
      <c r="T4" s="150" t="n"/>
      <c r="U4" s="150" t="n"/>
      <c r="V4" s="150" t="n"/>
      <c r="W4" s="150" t="n"/>
    </row>
    <row r="5" ht="15" customHeight="1">
      <c r="A5" s="3" t="n"/>
      <c r="B5" s="152" t="inlineStr">
        <is>
          <t>ID</t>
        </is>
      </c>
      <c r="C5" s="152" t="inlineStr">
        <is>
          <t>Announced</t>
        </is>
      </c>
      <c r="D5" s="152" t="inlineStr">
        <is>
          <t>Buyer</t>
        </is>
      </c>
      <c r="E5" s="152" t="inlineStr">
        <is>
          <t>Project</t>
        </is>
      </c>
      <c r="F5" s="152" t="inlineStr">
        <is>
          <t>Region</t>
        </is>
      </c>
      <c r="G5" s="152" t="inlineStr">
        <is>
          <t>Status</t>
        </is>
      </c>
      <c r="H5" s="152" t="inlineStr">
        <is>
          <t>Technology</t>
        </is>
      </c>
      <c r="I5" s="153" t="inlineStr">
        <is>
          <t>Headline MW</t>
        </is>
      </c>
      <c r="J5" s="152" t="inlineStr">
        <is>
          <t>Basis</t>
        </is>
      </c>
      <c r="K5" s="153" t="inlineStr">
        <is>
          <t>New / Restart</t>
        </is>
      </c>
      <c r="L5" s="153" t="inlineStr">
        <is>
          <t>Include</t>
        </is>
      </c>
      <c r="M5" s="153" t="inlineStr">
        <is>
          <t>First COD</t>
        </is>
      </c>
      <c r="N5" s="153" t="inlineStr">
        <is>
          <t>Full COD</t>
        </is>
      </c>
      <c r="O5" s="153" t="inlineStr">
        <is>
          <t>Delivery (%)</t>
        </is>
      </c>
      <c r="P5" s="153" t="inlineStr">
        <is>
          <t>Add to NERC</t>
        </is>
      </c>
      <c r="Q5" s="152" t="inlineStr">
        <is>
          <t>Source</t>
        </is>
      </c>
      <c r="R5" s="153" t="n">
        <v>2026</v>
      </c>
      <c r="S5" s="153" t="n">
        <v>2027</v>
      </c>
      <c r="T5" s="153" t="n">
        <v>2028</v>
      </c>
      <c r="U5" s="153" t="n">
        <v>2029</v>
      </c>
      <c r="V5" s="153" t="n">
        <v>2030</v>
      </c>
      <c r="W5" s="153" t="n">
        <v>2031</v>
      </c>
    </row>
    <row r="6" ht="15" customHeight="1">
      <c r="A6" s="3" t="n"/>
      <c r="B6" s="3" t="inlineStr">
        <is>
          <t>P001</t>
        </is>
      </c>
      <c r="C6" s="3" t="inlineStr">
        <is>
          <t>2026-10</t>
        </is>
      </c>
      <c r="D6" s="3" t="inlineStr">
        <is>
          <t>Google</t>
        </is>
      </c>
      <c r="E6" s="3" t="inlineStr">
        <is>
          <t>Constellation: 11 reactor uprates</t>
        </is>
      </c>
      <c r="F6" s="3" t="inlineStr">
        <is>
          <t>PJM</t>
        </is>
      </c>
      <c r="G6" s="3" t="inlineStr">
        <is>
          <t>Signed PPA</t>
        </is>
      </c>
      <c r="H6" s="3" t="inlineStr">
        <is>
          <t>Nuclear</t>
        </is>
      </c>
      <c r="I6" s="164" t="n">
        <v>890</v>
      </c>
      <c r="J6" s="3" t="inlineStr">
        <is>
          <t>MW</t>
        </is>
      </c>
      <c r="K6" s="164" t="n">
        <v>890</v>
      </c>
      <c r="L6" s="161" t="n">
        <v>1</v>
      </c>
      <c r="M6" s="161" t="n">
        <v>2028</v>
      </c>
      <c r="N6" s="161" t="n">
        <v>2031</v>
      </c>
      <c r="O6" s="158" t="n">
        <v>1</v>
      </c>
      <c r="P6" s="161" t="n">
        <v>0</v>
      </c>
      <c r="Q6" s="3" t="inlineStr">
        <is>
          <t>S001</t>
        </is>
      </c>
      <c r="R6" s="264">
        <f>IF(OR($K6="",$L6=0),0,$K6*$L6*$O6*VLOOKUP($H6,'Power Market Assumptions'!$B$41:$D$52,3,FALSE)*MAX(0,MIN(1,(R$5-'Power Market Assumptions'!D$23-$M6+1)/($N6-$M6+1))))</f>
        <v/>
      </c>
      <c r="S6" s="264">
        <f>IF(OR($K6="",$L6=0),0,$K6*$L6*$O6*VLOOKUP($H6,'Power Market Assumptions'!$B$41:$D$52,3,FALSE)*MAX(0,MIN(1,(S$5-'Power Market Assumptions'!E$23-$M6+1)/($N6-$M6+1))))</f>
        <v/>
      </c>
      <c r="T6" s="264">
        <f>IF(OR($K6="",$L6=0),0,$K6*$L6*$O6*VLOOKUP($H6,'Power Market Assumptions'!$B$41:$D$52,3,FALSE)*MAX(0,MIN(1,(T$5-'Power Market Assumptions'!F$23-$M6+1)/($N6-$M6+1))))</f>
        <v/>
      </c>
      <c r="U6" s="264">
        <f>IF(OR($K6="",$L6=0),0,$K6*$L6*$O6*VLOOKUP($H6,'Power Market Assumptions'!$B$41:$D$52,3,FALSE)*MAX(0,MIN(1,(U$5-'Power Market Assumptions'!G$23-$M6+1)/($N6-$M6+1))))</f>
        <v/>
      </c>
      <c r="V6" s="264">
        <f>IF(OR($K6="",$L6=0),0,$K6*$L6*$O6*VLOOKUP($H6,'Power Market Assumptions'!$B$41:$D$52,3,FALSE)*MAX(0,MIN(1,(V$5-'Power Market Assumptions'!H$23-$M6+1)/($N6-$M6+1))))</f>
        <v/>
      </c>
      <c r="W6" s="264">
        <f>IF(OR($K6="",$L6=0),0,$K6*$L6*$O6*VLOOKUP($H6,'Power Market Assumptions'!$B$41:$D$52,3,FALSE)*MAX(0,MIN(1,(W$5-'Power Market Assumptions'!I$23-$M6+1)/($N6-$M6+1))))</f>
        <v/>
      </c>
    </row>
    <row r="7" ht="15" customHeight="1">
      <c r="A7" s="3" t="n"/>
      <c r="B7" s="3" t="inlineStr">
        <is>
          <t>P002</t>
        </is>
      </c>
      <c r="C7" s="3" t="inlineStr">
        <is>
          <t>2026-10</t>
        </is>
      </c>
      <c r="D7" s="3" t="inlineStr">
        <is>
          <t>Google</t>
        </is>
      </c>
      <c r="E7" s="3" t="inlineStr">
        <is>
          <t>Constellation: existing fleet</t>
        </is>
      </c>
      <c r="F7" s="3" t="inlineStr">
        <is>
          <t>PJM</t>
        </is>
      </c>
      <c r="G7" s="3" t="inlineStr">
        <is>
          <t>Signed PPA / existing</t>
        </is>
      </c>
      <c r="H7" s="3" t="inlineStr">
        <is>
          <t>Nuclear</t>
        </is>
      </c>
      <c r="I7" s="164" t="n">
        <v>2700</v>
      </c>
      <c r="J7" s="3" t="inlineStr">
        <is>
          <t>MW</t>
        </is>
      </c>
      <c r="K7" s="164" t="n">
        <v>0</v>
      </c>
      <c r="L7" s="161" t="n">
        <v>1</v>
      </c>
      <c r="M7" s="161" t="n">
        <v>2026</v>
      </c>
      <c r="N7" s="161" t="n">
        <v>2026</v>
      </c>
      <c r="O7" s="158" t="n">
        <v>1</v>
      </c>
      <c r="P7" s="161" t="n">
        <v>0</v>
      </c>
      <c r="Q7" s="3" t="inlineStr">
        <is>
          <t>S001</t>
        </is>
      </c>
      <c r="R7" s="264">
        <f>IF(OR($K7="",$L7=0),0,$K7*$L7*$O7*VLOOKUP($H7,'Power Market Assumptions'!$B$41:$D$52,3,FALSE)*MAX(0,MIN(1,(R$5-'Power Market Assumptions'!D$23-$M7+1)/($N7-$M7+1))))</f>
        <v/>
      </c>
      <c r="S7" s="264">
        <f>IF(OR($K7="",$L7=0),0,$K7*$L7*$O7*VLOOKUP($H7,'Power Market Assumptions'!$B$41:$D$52,3,FALSE)*MAX(0,MIN(1,(S$5-'Power Market Assumptions'!E$23-$M7+1)/($N7-$M7+1))))</f>
        <v/>
      </c>
      <c r="T7" s="264">
        <f>IF(OR($K7="",$L7=0),0,$K7*$L7*$O7*VLOOKUP($H7,'Power Market Assumptions'!$B$41:$D$52,3,FALSE)*MAX(0,MIN(1,(T$5-'Power Market Assumptions'!F$23-$M7+1)/($N7-$M7+1))))</f>
        <v/>
      </c>
      <c r="U7" s="264">
        <f>IF(OR($K7="",$L7=0),0,$K7*$L7*$O7*VLOOKUP($H7,'Power Market Assumptions'!$B$41:$D$52,3,FALSE)*MAX(0,MIN(1,(U$5-'Power Market Assumptions'!G$23-$M7+1)/($N7-$M7+1))))</f>
        <v/>
      </c>
      <c r="V7" s="264">
        <f>IF(OR($K7="",$L7=0),0,$K7*$L7*$O7*VLOOKUP($H7,'Power Market Assumptions'!$B$41:$D$52,3,FALSE)*MAX(0,MIN(1,(V$5-'Power Market Assumptions'!H$23-$M7+1)/($N7-$M7+1))))</f>
        <v/>
      </c>
      <c r="W7" s="264">
        <f>IF(OR($K7="",$L7=0),0,$K7*$L7*$O7*VLOOKUP($H7,'Power Market Assumptions'!$B$41:$D$52,3,FALSE)*MAX(0,MIN(1,(W$5-'Power Market Assumptions'!I$23-$M7+1)/($N7-$M7+1))))</f>
        <v/>
      </c>
    </row>
    <row r="8" ht="15" customHeight="1">
      <c r="A8" s="3" t="n"/>
      <c r="B8" s="3" t="inlineStr">
        <is>
          <t>P003</t>
        </is>
      </c>
      <c r="C8" s="3" t="inlineStr">
        <is>
          <t>2026-09</t>
        </is>
      </c>
      <c r="D8" s="3" t="inlineStr">
        <is>
          <t>Amazon</t>
        </is>
      </c>
      <c r="E8" s="3" t="inlineStr">
        <is>
          <t>Calvert Cliffs: uprate</t>
        </is>
      </c>
      <c r="F8" s="3" t="inlineStr">
        <is>
          <t>PJM</t>
        </is>
      </c>
      <c r="G8" s="3" t="inlineStr">
        <is>
          <t>Signed PPA</t>
        </is>
      </c>
      <c r="H8" s="3" t="inlineStr">
        <is>
          <t>Nuclear</t>
        </is>
      </c>
      <c r="I8" s="164" t="n">
        <v>190</v>
      </c>
      <c r="J8" s="3" t="inlineStr">
        <is>
          <t>MW</t>
        </is>
      </c>
      <c r="K8" s="164" t="n">
        <v>190</v>
      </c>
      <c r="L8" s="161" t="n">
        <v>1</v>
      </c>
      <c r="M8" s="161" t="n">
        <v>2030</v>
      </c>
      <c r="N8" s="161" t="n">
        <v>2032</v>
      </c>
      <c r="O8" s="158" t="n">
        <v>1</v>
      </c>
      <c r="P8" s="161" t="n">
        <v>0</v>
      </c>
      <c r="Q8" s="3" t="inlineStr">
        <is>
          <t>S002</t>
        </is>
      </c>
      <c r="R8" s="264">
        <f>IF(OR($K8="",$L8=0),0,$K8*$L8*$O8*VLOOKUP($H8,'Power Market Assumptions'!$B$41:$D$52,3,FALSE)*MAX(0,MIN(1,(R$5-'Power Market Assumptions'!D$23-$M8+1)/($N8-$M8+1))))</f>
        <v/>
      </c>
      <c r="S8" s="264">
        <f>IF(OR($K8="",$L8=0),0,$K8*$L8*$O8*VLOOKUP($H8,'Power Market Assumptions'!$B$41:$D$52,3,FALSE)*MAX(0,MIN(1,(S$5-'Power Market Assumptions'!E$23-$M8+1)/($N8-$M8+1))))</f>
        <v/>
      </c>
      <c r="T8" s="264">
        <f>IF(OR($K8="",$L8=0),0,$K8*$L8*$O8*VLOOKUP($H8,'Power Market Assumptions'!$B$41:$D$52,3,FALSE)*MAX(0,MIN(1,(T$5-'Power Market Assumptions'!F$23-$M8+1)/($N8-$M8+1))))</f>
        <v/>
      </c>
      <c r="U8" s="264">
        <f>IF(OR($K8="",$L8=0),0,$K8*$L8*$O8*VLOOKUP($H8,'Power Market Assumptions'!$B$41:$D$52,3,FALSE)*MAX(0,MIN(1,(U$5-'Power Market Assumptions'!G$23-$M8+1)/($N8-$M8+1))))</f>
        <v/>
      </c>
      <c r="V8" s="264">
        <f>IF(OR($K8="",$L8=0),0,$K8*$L8*$O8*VLOOKUP($H8,'Power Market Assumptions'!$B$41:$D$52,3,FALSE)*MAX(0,MIN(1,(V$5-'Power Market Assumptions'!H$23-$M8+1)/($N8-$M8+1))))</f>
        <v/>
      </c>
      <c r="W8" s="264">
        <f>IF(OR($K8="",$L8=0),0,$K8*$L8*$O8*VLOOKUP($H8,'Power Market Assumptions'!$B$41:$D$52,3,FALSE)*MAX(0,MIN(1,(W$5-'Power Market Assumptions'!I$23-$M8+1)/($N8-$M8+1))))</f>
        <v/>
      </c>
    </row>
    <row r="9" ht="15" customHeight="1">
      <c r="A9" s="3" t="n"/>
      <c r="B9" s="3" t="inlineStr">
        <is>
          <t>P004</t>
        </is>
      </c>
      <c r="C9" s="3" t="inlineStr">
        <is>
          <t>2026-09</t>
        </is>
      </c>
      <c r="D9" s="3" t="inlineStr">
        <is>
          <t>Amazon</t>
        </is>
      </c>
      <c r="E9" s="3" t="inlineStr">
        <is>
          <t>Calvert Cliffs: existing output</t>
        </is>
      </c>
      <c r="F9" s="3" t="inlineStr">
        <is>
          <t>PJM</t>
        </is>
      </c>
      <c r="G9" s="3" t="inlineStr">
        <is>
          <t>Signed PPA / existing</t>
        </is>
      </c>
      <c r="H9" s="3" t="inlineStr">
        <is>
          <t>Nuclear</t>
        </is>
      </c>
      <c r="I9" s="164" t="n">
        <v>500</v>
      </c>
      <c r="J9" s="3" t="inlineStr">
        <is>
          <t>MW</t>
        </is>
      </c>
      <c r="K9" s="164" t="n">
        <v>0</v>
      </c>
      <c r="L9" s="161" t="n">
        <v>1</v>
      </c>
      <c r="M9" s="161" t="n">
        <v>2026</v>
      </c>
      <c r="N9" s="161" t="n">
        <v>2026</v>
      </c>
      <c r="O9" s="158" t="n">
        <v>1</v>
      </c>
      <c r="P9" s="161" t="n">
        <v>0</v>
      </c>
      <c r="Q9" s="3" t="inlineStr">
        <is>
          <t>S002</t>
        </is>
      </c>
      <c r="R9" s="264">
        <f>IF(OR($K9="",$L9=0),0,$K9*$L9*$O9*VLOOKUP($H9,'Power Market Assumptions'!$B$41:$D$52,3,FALSE)*MAX(0,MIN(1,(R$5-'Power Market Assumptions'!D$23-$M9+1)/($N9-$M9+1))))</f>
        <v/>
      </c>
      <c r="S9" s="264">
        <f>IF(OR($K9="",$L9=0),0,$K9*$L9*$O9*VLOOKUP($H9,'Power Market Assumptions'!$B$41:$D$52,3,FALSE)*MAX(0,MIN(1,(S$5-'Power Market Assumptions'!E$23-$M9+1)/($N9-$M9+1))))</f>
        <v/>
      </c>
      <c r="T9" s="264">
        <f>IF(OR($K9="",$L9=0),0,$K9*$L9*$O9*VLOOKUP($H9,'Power Market Assumptions'!$B$41:$D$52,3,FALSE)*MAX(0,MIN(1,(T$5-'Power Market Assumptions'!F$23-$M9+1)/($N9-$M9+1))))</f>
        <v/>
      </c>
      <c r="U9" s="264">
        <f>IF(OR($K9="",$L9=0),0,$K9*$L9*$O9*VLOOKUP($H9,'Power Market Assumptions'!$B$41:$D$52,3,FALSE)*MAX(0,MIN(1,(U$5-'Power Market Assumptions'!G$23-$M9+1)/($N9-$M9+1))))</f>
        <v/>
      </c>
      <c r="V9" s="264">
        <f>IF(OR($K9="",$L9=0),0,$K9*$L9*$O9*VLOOKUP($H9,'Power Market Assumptions'!$B$41:$D$52,3,FALSE)*MAX(0,MIN(1,(V$5-'Power Market Assumptions'!H$23-$M9+1)/($N9-$M9+1))))</f>
        <v/>
      </c>
      <c r="W9" s="264">
        <f>IF(OR($K9="",$L9=0),0,$K9*$L9*$O9*VLOOKUP($H9,'Power Market Assumptions'!$B$41:$D$52,3,FALSE)*MAX(0,MIN(1,(W$5-'Power Market Assumptions'!I$23-$M9+1)/($N9-$M9+1))))</f>
        <v/>
      </c>
    </row>
    <row r="10" ht="15" customHeight="1">
      <c r="A10" s="3" t="n"/>
      <c r="B10" s="3" t="inlineStr">
        <is>
          <t>P005</t>
        </is>
      </c>
      <c r="C10" s="3" t="inlineStr">
        <is>
          <t>2026-01</t>
        </is>
      </c>
      <c r="D10" s="3" t="inlineStr">
        <is>
          <t>Meta</t>
        </is>
      </c>
      <c r="E10" s="3" t="inlineStr">
        <is>
          <t>Vistra: three plant uprates</t>
        </is>
      </c>
      <c r="F10" s="3" t="inlineStr">
        <is>
          <t>PJM</t>
        </is>
      </c>
      <c r="G10" s="3" t="inlineStr">
        <is>
          <t>Signed PPA</t>
        </is>
      </c>
      <c r="H10" s="3" t="inlineStr">
        <is>
          <t>Nuclear</t>
        </is>
      </c>
      <c r="I10" s="164" t="n">
        <v>433</v>
      </c>
      <c r="J10" s="3" t="inlineStr">
        <is>
          <t>MW</t>
        </is>
      </c>
      <c r="K10" s="164" t="n">
        <v>433</v>
      </c>
      <c r="L10" s="161" t="n">
        <v>1</v>
      </c>
      <c r="M10" s="161" t="n">
        <v>2031</v>
      </c>
      <c r="N10" s="161" t="n">
        <v>2034</v>
      </c>
      <c r="O10" s="158" t="n">
        <v>1</v>
      </c>
      <c r="P10" s="161" t="n">
        <v>0</v>
      </c>
      <c r="Q10" s="3" t="inlineStr">
        <is>
          <t>S003</t>
        </is>
      </c>
      <c r="R10" s="264">
        <f>IF(OR($K10="",$L10=0),0,$K10*$L10*$O10*VLOOKUP($H10,'Power Market Assumptions'!$B$41:$D$52,3,FALSE)*MAX(0,MIN(1,(R$5-'Power Market Assumptions'!D$23-$M10+1)/($N10-$M10+1))))</f>
        <v/>
      </c>
      <c r="S10" s="264">
        <f>IF(OR($K10="",$L10=0),0,$K10*$L10*$O10*VLOOKUP($H10,'Power Market Assumptions'!$B$41:$D$52,3,FALSE)*MAX(0,MIN(1,(S$5-'Power Market Assumptions'!E$23-$M10+1)/($N10-$M10+1))))</f>
        <v/>
      </c>
      <c r="T10" s="264">
        <f>IF(OR($K10="",$L10=0),0,$K10*$L10*$O10*VLOOKUP($H10,'Power Market Assumptions'!$B$41:$D$52,3,FALSE)*MAX(0,MIN(1,(T$5-'Power Market Assumptions'!F$23-$M10+1)/($N10-$M10+1))))</f>
        <v/>
      </c>
      <c r="U10" s="264">
        <f>IF(OR($K10="",$L10=0),0,$K10*$L10*$O10*VLOOKUP($H10,'Power Market Assumptions'!$B$41:$D$52,3,FALSE)*MAX(0,MIN(1,(U$5-'Power Market Assumptions'!G$23-$M10+1)/($N10-$M10+1))))</f>
        <v/>
      </c>
      <c r="V10" s="264">
        <f>IF(OR($K10="",$L10=0),0,$K10*$L10*$O10*VLOOKUP($H10,'Power Market Assumptions'!$B$41:$D$52,3,FALSE)*MAX(0,MIN(1,(V$5-'Power Market Assumptions'!H$23-$M10+1)/($N10-$M10+1))))</f>
        <v/>
      </c>
      <c r="W10" s="264">
        <f>IF(OR($K10="",$L10=0),0,$K10*$L10*$O10*VLOOKUP($H10,'Power Market Assumptions'!$B$41:$D$52,3,FALSE)*MAX(0,MIN(1,(W$5-'Power Market Assumptions'!I$23-$M10+1)/($N10-$M10+1))))</f>
        <v/>
      </c>
    </row>
    <row r="11" ht="15" customHeight="1">
      <c r="A11" s="3" t="n"/>
      <c r="B11" s="3" t="inlineStr">
        <is>
          <t>P006</t>
        </is>
      </c>
      <c r="C11" s="3" t="inlineStr">
        <is>
          <t>2026-01</t>
        </is>
      </c>
      <c r="D11" s="3" t="inlineStr">
        <is>
          <t>Meta</t>
        </is>
      </c>
      <c r="E11" s="3" t="inlineStr">
        <is>
          <t>Vistra: Perry / Davis-Besse existing</t>
        </is>
      </c>
      <c r="F11" s="3" t="inlineStr">
        <is>
          <t>PJM</t>
        </is>
      </c>
      <c r="G11" s="3" t="inlineStr">
        <is>
          <t>Signed PPA / existing</t>
        </is>
      </c>
      <c r="H11" s="3" t="inlineStr">
        <is>
          <t>Nuclear</t>
        </is>
      </c>
      <c r="I11" s="164" t="n">
        <v>2176</v>
      </c>
      <c r="J11" s="3" t="inlineStr">
        <is>
          <t>MW</t>
        </is>
      </c>
      <c r="K11" s="164" t="n">
        <v>0</v>
      </c>
      <c r="L11" s="161" t="n">
        <v>1</v>
      </c>
      <c r="M11" s="161" t="n">
        <v>2026</v>
      </c>
      <c r="N11" s="161" t="n">
        <v>2026</v>
      </c>
      <c r="O11" s="158" t="n">
        <v>1</v>
      </c>
      <c r="P11" s="161" t="n">
        <v>0</v>
      </c>
      <c r="Q11" s="3" t="inlineStr">
        <is>
          <t>S003</t>
        </is>
      </c>
      <c r="R11" s="264">
        <f>IF(OR($K11="",$L11=0),0,$K11*$L11*$O11*VLOOKUP($H11,'Power Market Assumptions'!$B$41:$D$52,3,FALSE)*MAX(0,MIN(1,(R$5-'Power Market Assumptions'!D$23-$M11+1)/($N11-$M11+1))))</f>
        <v/>
      </c>
      <c r="S11" s="264">
        <f>IF(OR($K11="",$L11=0),0,$K11*$L11*$O11*VLOOKUP($H11,'Power Market Assumptions'!$B$41:$D$52,3,FALSE)*MAX(0,MIN(1,(S$5-'Power Market Assumptions'!E$23-$M11+1)/($N11-$M11+1))))</f>
        <v/>
      </c>
      <c r="T11" s="264">
        <f>IF(OR($K11="",$L11=0),0,$K11*$L11*$O11*VLOOKUP($H11,'Power Market Assumptions'!$B$41:$D$52,3,FALSE)*MAX(0,MIN(1,(T$5-'Power Market Assumptions'!F$23-$M11+1)/($N11-$M11+1))))</f>
        <v/>
      </c>
      <c r="U11" s="264">
        <f>IF(OR($K11="",$L11=0),0,$K11*$L11*$O11*VLOOKUP($H11,'Power Market Assumptions'!$B$41:$D$52,3,FALSE)*MAX(0,MIN(1,(U$5-'Power Market Assumptions'!G$23-$M11+1)/($N11-$M11+1))))</f>
        <v/>
      </c>
      <c r="V11" s="264">
        <f>IF(OR($K11="",$L11=0),0,$K11*$L11*$O11*VLOOKUP($H11,'Power Market Assumptions'!$B$41:$D$52,3,FALSE)*MAX(0,MIN(1,(V$5-'Power Market Assumptions'!H$23-$M11+1)/($N11-$M11+1))))</f>
        <v/>
      </c>
      <c r="W11" s="264">
        <f>IF(OR($K11="",$L11=0),0,$K11*$L11*$O11*VLOOKUP($H11,'Power Market Assumptions'!$B$41:$D$52,3,FALSE)*MAX(0,MIN(1,(W$5-'Power Market Assumptions'!I$23-$M11+1)/($N11-$M11+1))))</f>
        <v/>
      </c>
    </row>
    <row r="12" ht="15" customHeight="1">
      <c r="A12" s="3" t="n"/>
      <c r="B12" s="3" t="inlineStr">
        <is>
          <t>P007</t>
        </is>
      </c>
      <c r="C12" s="3" t="inlineStr">
        <is>
          <t>2025-06</t>
        </is>
      </c>
      <c r="D12" s="3" t="inlineStr">
        <is>
          <t>Meta</t>
        </is>
      </c>
      <c r="E12" s="3" t="inlineStr">
        <is>
          <t>Constellation: Clinton plus uprate</t>
        </is>
      </c>
      <c r="F12" s="3" t="inlineStr">
        <is>
          <t>MISO</t>
        </is>
      </c>
      <c r="G12" s="3" t="inlineStr">
        <is>
          <t>Signed PPA / existing + uprate</t>
        </is>
      </c>
      <c r="H12" s="3" t="inlineStr">
        <is>
          <t>Nuclear</t>
        </is>
      </c>
      <c r="I12" s="164" t="n">
        <v>1121</v>
      </c>
      <c r="J12" s="3" t="inlineStr">
        <is>
          <t>Reported PPA MW</t>
        </is>
      </c>
      <c r="K12" s="164" t="n">
        <v>30</v>
      </c>
      <c r="L12" s="161" t="n">
        <v>1</v>
      </c>
      <c r="M12" s="161" t="n">
        <v>2027</v>
      </c>
      <c r="N12" s="161" t="n">
        <v>2027</v>
      </c>
      <c r="O12" s="158" t="n">
        <v>1</v>
      </c>
      <c r="P12" s="161" t="n">
        <v>0</v>
      </c>
      <c r="Q12" s="3" t="inlineStr">
        <is>
          <t>S004</t>
        </is>
      </c>
      <c r="R12" s="264">
        <f>IF(OR($K12="",$L12=0),0,$K12*$L12*$O12*VLOOKUP($H12,'Power Market Assumptions'!$B$41:$D$52,3,FALSE)*MAX(0,MIN(1,(R$5-'Power Market Assumptions'!D$23-$M12+1)/($N12-$M12+1))))</f>
        <v/>
      </c>
      <c r="S12" s="264">
        <f>IF(OR($K12="",$L12=0),0,$K12*$L12*$O12*VLOOKUP($H12,'Power Market Assumptions'!$B$41:$D$52,3,FALSE)*MAX(0,MIN(1,(S$5-'Power Market Assumptions'!E$23-$M12+1)/($N12-$M12+1))))</f>
        <v/>
      </c>
      <c r="T12" s="264">
        <f>IF(OR($K12="",$L12=0),0,$K12*$L12*$O12*VLOOKUP($H12,'Power Market Assumptions'!$B$41:$D$52,3,FALSE)*MAX(0,MIN(1,(T$5-'Power Market Assumptions'!F$23-$M12+1)/($N12-$M12+1))))</f>
        <v/>
      </c>
      <c r="U12" s="264">
        <f>IF(OR($K12="",$L12=0),0,$K12*$L12*$O12*VLOOKUP($H12,'Power Market Assumptions'!$B$41:$D$52,3,FALSE)*MAX(0,MIN(1,(U$5-'Power Market Assumptions'!G$23-$M12+1)/($N12-$M12+1))))</f>
        <v/>
      </c>
      <c r="V12" s="264">
        <f>IF(OR($K12="",$L12=0),0,$K12*$L12*$O12*VLOOKUP($H12,'Power Market Assumptions'!$B$41:$D$52,3,FALSE)*MAX(0,MIN(1,(V$5-'Power Market Assumptions'!H$23-$M12+1)/($N12-$M12+1))))</f>
        <v/>
      </c>
      <c r="W12" s="264">
        <f>IF(OR($K12="",$L12=0),0,$K12*$L12*$O12*VLOOKUP($H12,'Power Market Assumptions'!$B$41:$D$52,3,FALSE)*MAX(0,MIN(1,(W$5-'Power Market Assumptions'!I$23-$M12+1)/($N12-$M12+1))))</f>
        <v/>
      </c>
    </row>
    <row r="13" ht="15" customHeight="1">
      <c r="A13" s="3" t="n"/>
      <c r="B13" s="3" t="inlineStr">
        <is>
          <t>P008</t>
        </is>
      </c>
      <c r="C13" s="3" t="inlineStr">
        <is>
          <t>2025-10</t>
        </is>
      </c>
      <c r="D13" s="3" t="inlineStr">
        <is>
          <t>Google</t>
        </is>
      </c>
      <c r="E13" s="3" t="inlineStr">
        <is>
          <t>NextEra: Duane Arnold restart</t>
        </is>
      </c>
      <c r="F13" s="3" t="inlineStr">
        <is>
          <t>MISO</t>
        </is>
      </c>
      <c r="G13" s="3" t="inlineStr">
        <is>
          <t>Signed PPA / restart</t>
        </is>
      </c>
      <c r="H13" s="3" t="inlineStr">
        <is>
          <t>Nuclear</t>
        </is>
      </c>
      <c r="I13" s="164" t="n">
        <v>615</v>
      </c>
      <c r="J13" s="3" t="inlineStr">
        <is>
          <t>MW</t>
        </is>
      </c>
      <c r="K13" s="164" t="n">
        <v>615</v>
      </c>
      <c r="L13" s="161" t="n">
        <v>1</v>
      </c>
      <c r="M13" s="161" t="n">
        <v>2029</v>
      </c>
      <c r="N13" s="161" t="n">
        <v>2029</v>
      </c>
      <c r="O13" s="158" t="n">
        <v>1</v>
      </c>
      <c r="P13" s="161" t="n">
        <v>0</v>
      </c>
      <c r="Q13" s="3" t="inlineStr">
        <is>
          <t>S005</t>
        </is>
      </c>
      <c r="R13" s="264">
        <f>IF(OR($K13="",$L13=0),0,$K13*$L13*$O13*VLOOKUP($H13,'Power Market Assumptions'!$B$41:$D$52,3,FALSE)*MAX(0,MIN(1,(R$5-'Power Market Assumptions'!D$23-$M13+1)/($N13-$M13+1))))</f>
        <v/>
      </c>
      <c r="S13" s="264">
        <f>IF(OR($K13="",$L13=0),0,$K13*$L13*$O13*VLOOKUP($H13,'Power Market Assumptions'!$B$41:$D$52,3,FALSE)*MAX(0,MIN(1,(S$5-'Power Market Assumptions'!E$23-$M13+1)/($N13-$M13+1))))</f>
        <v/>
      </c>
      <c r="T13" s="264">
        <f>IF(OR($K13="",$L13=0),0,$K13*$L13*$O13*VLOOKUP($H13,'Power Market Assumptions'!$B$41:$D$52,3,FALSE)*MAX(0,MIN(1,(T$5-'Power Market Assumptions'!F$23-$M13+1)/($N13-$M13+1))))</f>
        <v/>
      </c>
      <c r="U13" s="264">
        <f>IF(OR($K13="",$L13=0),0,$K13*$L13*$O13*VLOOKUP($H13,'Power Market Assumptions'!$B$41:$D$52,3,FALSE)*MAX(0,MIN(1,(U$5-'Power Market Assumptions'!G$23-$M13+1)/($N13-$M13+1))))</f>
        <v/>
      </c>
      <c r="V13" s="264">
        <f>IF(OR($K13="",$L13=0),0,$K13*$L13*$O13*VLOOKUP($H13,'Power Market Assumptions'!$B$41:$D$52,3,FALSE)*MAX(0,MIN(1,(V$5-'Power Market Assumptions'!H$23-$M13+1)/($N13-$M13+1))))</f>
        <v/>
      </c>
      <c r="W13" s="264">
        <f>IF(OR($K13="",$L13=0),0,$K13*$L13*$O13*VLOOKUP($H13,'Power Market Assumptions'!$B$41:$D$52,3,FALSE)*MAX(0,MIN(1,(W$5-'Power Market Assumptions'!I$23-$M13+1)/($N13-$M13+1))))</f>
        <v/>
      </c>
    </row>
    <row r="14" ht="15" customHeight="1">
      <c r="A14" s="3" t="n"/>
      <c r="B14" s="3" t="inlineStr">
        <is>
          <t>P009</t>
        </is>
      </c>
      <c r="C14" s="3" t="inlineStr">
        <is>
          <t>2024-09</t>
        </is>
      </c>
      <c r="D14" s="3" t="inlineStr">
        <is>
          <t>Microsoft</t>
        </is>
      </c>
      <c r="E14" s="3" t="inlineStr">
        <is>
          <t>Constellation: Crane restart</t>
        </is>
      </c>
      <c r="F14" s="3" t="inlineStr">
        <is>
          <t>PJM</t>
        </is>
      </c>
      <c r="G14" s="3" t="inlineStr">
        <is>
          <t>Signed PPA / restart</t>
        </is>
      </c>
      <c r="H14" s="3" t="inlineStr">
        <is>
          <t>Nuclear</t>
        </is>
      </c>
      <c r="I14" s="164" t="n">
        <v>835</v>
      </c>
      <c r="J14" s="3" t="inlineStr">
        <is>
          <t>MW</t>
        </is>
      </c>
      <c r="K14" s="164" t="n">
        <v>835</v>
      </c>
      <c r="L14" s="161" t="n">
        <v>1</v>
      </c>
      <c r="M14" s="161" t="n">
        <v>2027</v>
      </c>
      <c r="N14" s="161" t="n">
        <v>2027</v>
      </c>
      <c r="O14" s="158" t="n">
        <v>1</v>
      </c>
      <c r="P14" s="161" t="n">
        <v>0</v>
      </c>
      <c r="Q14" s="3" t="inlineStr">
        <is>
          <t>S006</t>
        </is>
      </c>
      <c r="R14" s="264">
        <f>IF(OR($K14="",$L14=0),0,$K14*$L14*$O14*VLOOKUP($H14,'Power Market Assumptions'!$B$41:$D$52,3,FALSE)*MAX(0,MIN(1,(R$5-'Power Market Assumptions'!D$23-$M14+1)/($N14-$M14+1))))</f>
        <v/>
      </c>
      <c r="S14" s="264">
        <f>IF(OR($K14="",$L14=0),0,$K14*$L14*$O14*VLOOKUP($H14,'Power Market Assumptions'!$B$41:$D$52,3,FALSE)*MAX(0,MIN(1,(S$5-'Power Market Assumptions'!E$23-$M14+1)/($N14-$M14+1))))</f>
        <v/>
      </c>
      <c r="T14" s="264">
        <f>IF(OR($K14="",$L14=0),0,$K14*$L14*$O14*VLOOKUP($H14,'Power Market Assumptions'!$B$41:$D$52,3,FALSE)*MAX(0,MIN(1,(T$5-'Power Market Assumptions'!F$23-$M14+1)/($N14-$M14+1))))</f>
        <v/>
      </c>
      <c r="U14" s="264">
        <f>IF(OR($K14="",$L14=0),0,$K14*$L14*$O14*VLOOKUP($H14,'Power Market Assumptions'!$B$41:$D$52,3,FALSE)*MAX(0,MIN(1,(U$5-'Power Market Assumptions'!G$23-$M14+1)/($N14-$M14+1))))</f>
        <v/>
      </c>
      <c r="V14" s="264">
        <f>IF(OR($K14="",$L14=0),0,$K14*$L14*$O14*VLOOKUP($H14,'Power Market Assumptions'!$B$41:$D$52,3,FALSE)*MAX(0,MIN(1,(V$5-'Power Market Assumptions'!H$23-$M14+1)/($N14-$M14+1))))</f>
        <v/>
      </c>
      <c r="W14" s="264">
        <f>IF(OR($K14="",$L14=0),0,$K14*$L14*$O14*VLOOKUP($H14,'Power Market Assumptions'!$B$41:$D$52,3,FALSE)*MAX(0,MIN(1,(W$5-'Power Market Assumptions'!I$23-$M14+1)/($N14-$M14+1))))</f>
        <v/>
      </c>
    </row>
    <row r="15" ht="15" customHeight="1">
      <c r="A15" s="3" t="n"/>
      <c r="B15" s="3" t="inlineStr">
        <is>
          <t>P010</t>
        </is>
      </c>
      <c r="C15" s="3" t="inlineStr">
        <is>
          <t>2025-06</t>
        </is>
      </c>
      <c r="D15" s="3" t="inlineStr">
        <is>
          <t>Amazon</t>
        </is>
      </c>
      <c r="E15" s="3" t="inlineStr">
        <is>
          <t>Talen: Susquehanna</t>
        </is>
      </c>
      <c r="F15" s="3" t="inlineStr">
        <is>
          <t>PJM</t>
        </is>
      </c>
      <c r="G15" s="3" t="inlineStr">
        <is>
          <t>Signed PPA / existing</t>
        </is>
      </c>
      <c r="H15" s="3" t="inlineStr">
        <is>
          <t>Nuclear</t>
        </is>
      </c>
      <c r="I15" s="164" t="n">
        <v>1920</v>
      </c>
      <c r="J15" s="3" t="inlineStr">
        <is>
          <t>MW</t>
        </is>
      </c>
      <c r="K15" s="164" t="n">
        <v>0</v>
      </c>
      <c r="L15" s="161" t="n">
        <v>1</v>
      </c>
      <c r="M15" s="161" t="n">
        <v>2026</v>
      </c>
      <c r="N15" s="161" t="n">
        <v>2032</v>
      </c>
      <c r="O15" s="158" t="n">
        <v>1</v>
      </c>
      <c r="P15" s="161" t="n">
        <v>0</v>
      </c>
      <c r="Q15" s="3" t="inlineStr">
        <is>
          <t>S007</t>
        </is>
      </c>
      <c r="R15" s="264">
        <f>IF(OR($K15="",$L15=0),0,$K15*$L15*$O15*VLOOKUP($H15,'Power Market Assumptions'!$B$41:$D$52,3,FALSE)*MAX(0,MIN(1,(R$5-'Power Market Assumptions'!D$23-$M15+1)/($N15-$M15+1))))</f>
        <v/>
      </c>
      <c r="S15" s="264">
        <f>IF(OR($K15="",$L15=0),0,$K15*$L15*$O15*VLOOKUP($H15,'Power Market Assumptions'!$B$41:$D$52,3,FALSE)*MAX(0,MIN(1,(S$5-'Power Market Assumptions'!E$23-$M15+1)/($N15-$M15+1))))</f>
        <v/>
      </c>
      <c r="T15" s="264">
        <f>IF(OR($K15="",$L15=0),0,$K15*$L15*$O15*VLOOKUP($H15,'Power Market Assumptions'!$B$41:$D$52,3,FALSE)*MAX(0,MIN(1,(T$5-'Power Market Assumptions'!F$23-$M15+1)/($N15-$M15+1))))</f>
        <v/>
      </c>
      <c r="U15" s="264">
        <f>IF(OR($K15="",$L15=0),0,$K15*$L15*$O15*VLOOKUP($H15,'Power Market Assumptions'!$B$41:$D$52,3,FALSE)*MAX(0,MIN(1,(U$5-'Power Market Assumptions'!G$23-$M15+1)/($N15-$M15+1))))</f>
        <v/>
      </c>
      <c r="V15" s="264">
        <f>IF(OR($K15="",$L15=0),0,$K15*$L15*$O15*VLOOKUP($H15,'Power Market Assumptions'!$B$41:$D$52,3,FALSE)*MAX(0,MIN(1,(V$5-'Power Market Assumptions'!H$23-$M15+1)/($N15-$M15+1))))</f>
        <v/>
      </c>
      <c r="W15" s="264">
        <f>IF(OR($K15="",$L15=0),0,$K15*$L15*$O15*VLOOKUP($H15,'Power Market Assumptions'!$B$41:$D$52,3,FALSE)*MAX(0,MIN(1,(W$5-'Power Market Assumptions'!I$23-$M15+1)/($N15-$M15+1))))</f>
        <v/>
      </c>
    </row>
    <row r="16" ht="15" customHeight="1">
      <c r="A16" s="3" t="n"/>
      <c r="B16" s="3" t="inlineStr">
        <is>
          <t>P011</t>
        </is>
      </c>
      <c r="C16" s="3" t="inlineStr">
        <is>
          <t>2025-09</t>
        </is>
      </c>
      <c r="D16" s="3" t="inlineStr">
        <is>
          <t>Amazon</t>
        </is>
      </c>
      <c r="E16" s="3" t="inlineStr">
        <is>
          <t>Vistra: Comanche Peak</t>
        </is>
      </c>
      <c r="F16" s="3" t="inlineStr">
        <is>
          <t>Texas RE-ERCOT</t>
        </is>
      </c>
      <c r="G16" s="3" t="inlineStr">
        <is>
          <t>Signed PPA / existing</t>
        </is>
      </c>
      <c r="H16" s="3" t="inlineStr">
        <is>
          <t>Nuclear</t>
        </is>
      </c>
      <c r="I16" s="164" t="n">
        <v>1200</v>
      </c>
      <c r="J16" s="3" t="inlineStr">
        <is>
          <t>MW</t>
        </is>
      </c>
      <c r="K16" s="164" t="n">
        <v>0</v>
      </c>
      <c r="L16" s="161" t="n">
        <v>1</v>
      </c>
      <c r="M16" s="161" t="n">
        <v>2027</v>
      </c>
      <c r="N16" s="161" t="n">
        <v>2027</v>
      </c>
      <c r="O16" s="158" t="n">
        <v>1</v>
      </c>
      <c r="P16" s="161" t="n">
        <v>0</v>
      </c>
      <c r="Q16" s="3" t="inlineStr">
        <is>
          <t>S008</t>
        </is>
      </c>
      <c r="R16" s="264">
        <f>IF(OR($K16="",$L16=0),0,$K16*$L16*$O16*VLOOKUP($H16,'Power Market Assumptions'!$B$41:$D$52,3,FALSE)*MAX(0,MIN(1,(R$5-'Power Market Assumptions'!D$23-$M16+1)/($N16-$M16+1))))</f>
        <v/>
      </c>
      <c r="S16" s="264">
        <f>IF(OR($K16="",$L16=0),0,$K16*$L16*$O16*VLOOKUP($H16,'Power Market Assumptions'!$B$41:$D$52,3,FALSE)*MAX(0,MIN(1,(S$5-'Power Market Assumptions'!E$23-$M16+1)/($N16-$M16+1))))</f>
        <v/>
      </c>
      <c r="T16" s="264">
        <f>IF(OR($K16="",$L16=0),0,$K16*$L16*$O16*VLOOKUP($H16,'Power Market Assumptions'!$B$41:$D$52,3,FALSE)*MAX(0,MIN(1,(T$5-'Power Market Assumptions'!F$23-$M16+1)/($N16-$M16+1))))</f>
        <v/>
      </c>
      <c r="U16" s="264">
        <f>IF(OR($K16="",$L16=0),0,$K16*$L16*$O16*VLOOKUP($H16,'Power Market Assumptions'!$B$41:$D$52,3,FALSE)*MAX(0,MIN(1,(U$5-'Power Market Assumptions'!G$23-$M16+1)/($N16-$M16+1))))</f>
        <v/>
      </c>
      <c r="V16" s="264">
        <f>IF(OR($K16="",$L16=0),0,$K16*$L16*$O16*VLOOKUP($H16,'Power Market Assumptions'!$B$41:$D$52,3,FALSE)*MAX(0,MIN(1,(V$5-'Power Market Assumptions'!H$23-$M16+1)/($N16-$M16+1))))</f>
        <v/>
      </c>
      <c r="W16" s="264">
        <f>IF(OR($K16="",$L16=0),0,$K16*$L16*$O16*VLOOKUP($H16,'Power Market Assumptions'!$B$41:$D$52,3,FALSE)*MAX(0,MIN(1,(W$5-'Power Market Assumptions'!I$23-$M16+1)/($N16-$M16+1))))</f>
        <v/>
      </c>
    </row>
    <row r="17" ht="15" customHeight="1">
      <c r="A17" s="3" t="n"/>
      <c r="B17" s="3" t="inlineStr">
        <is>
          <t>P012</t>
        </is>
      </c>
      <c r="C17" s="3" t="inlineStr">
        <is>
          <t>2026-01</t>
        </is>
      </c>
      <c r="D17" s="3" t="inlineStr">
        <is>
          <t>Meta</t>
        </is>
      </c>
      <c r="E17" s="3" t="inlineStr">
        <is>
          <t>TerraPower: first two Natrium units</t>
        </is>
      </c>
      <c r="F17" s="3" t="inlineStr">
        <is>
          <t>US unallocated</t>
        </is>
      </c>
      <c r="G17" s="3" t="inlineStr">
        <is>
          <t>Development agreement</t>
        </is>
      </c>
      <c r="H17" s="3" t="inlineStr">
        <is>
          <t>Advanced nuclear</t>
        </is>
      </c>
      <c r="I17" s="164" t="n">
        <v>690</v>
      </c>
      <c r="J17" s="3" t="inlineStr">
        <is>
          <t>MW</t>
        </is>
      </c>
      <c r="K17" s="164" t="n">
        <v>690</v>
      </c>
      <c r="L17" s="161" t="n">
        <v>1</v>
      </c>
      <c r="M17" s="161" t="n">
        <v>2032</v>
      </c>
      <c r="N17" s="161" t="n">
        <v>2032</v>
      </c>
      <c r="O17" s="158" t="n">
        <v>0.5</v>
      </c>
      <c r="P17" s="161" t="n">
        <v>0</v>
      </c>
      <c r="Q17" s="3" t="inlineStr">
        <is>
          <t>S009</t>
        </is>
      </c>
      <c r="R17" s="264">
        <f>IF(OR($K17="",$L17=0),0,$K17*$L17*$O17*VLOOKUP($H17,'Power Market Assumptions'!$B$41:$D$52,3,FALSE)*MAX(0,MIN(1,(R$5-'Power Market Assumptions'!D$23-$M17+1)/($N17-$M17+1))))</f>
        <v/>
      </c>
      <c r="S17" s="264">
        <f>IF(OR($K17="",$L17=0),0,$K17*$L17*$O17*VLOOKUP($H17,'Power Market Assumptions'!$B$41:$D$52,3,FALSE)*MAX(0,MIN(1,(S$5-'Power Market Assumptions'!E$23-$M17+1)/($N17-$M17+1))))</f>
        <v/>
      </c>
      <c r="T17" s="264">
        <f>IF(OR($K17="",$L17=0),0,$K17*$L17*$O17*VLOOKUP($H17,'Power Market Assumptions'!$B$41:$D$52,3,FALSE)*MAX(0,MIN(1,(T$5-'Power Market Assumptions'!F$23-$M17+1)/($N17-$M17+1))))</f>
        <v/>
      </c>
      <c r="U17" s="264">
        <f>IF(OR($K17="",$L17=0),0,$K17*$L17*$O17*VLOOKUP($H17,'Power Market Assumptions'!$B$41:$D$52,3,FALSE)*MAX(0,MIN(1,(U$5-'Power Market Assumptions'!G$23-$M17+1)/($N17-$M17+1))))</f>
        <v/>
      </c>
      <c r="V17" s="264">
        <f>IF(OR($K17="",$L17=0),0,$K17*$L17*$O17*VLOOKUP($H17,'Power Market Assumptions'!$B$41:$D$52,3,FALSE)*MAX(0,MIN(1,(V$5-'Power Market Assumptions'!H$23-$M17+1)/($N17-$M17+1))))</f>
        <v/>
      </c>
      <c r="W17" s="264">
        <f>IF(OR($K17="",$L17=0),0,$K17*$L17*$O17*VLOOKUP($H17,'Power Market Assumptions'!$B$41:$D$52,3,FALSE)*MAX(0,MIN(1,(W$5-'Power Market Assumptions'!I$23-$M17+1)/($N17-$M17+1))))</f>
        <v/>
      </c>
    </row>
    <row r="18" ht="15" customHeight="1">
      <c r="A18" s="3" t="n"/>
      <c r="B18" s="3" t="inlineStr">
        <is>
          <t>P013</t>
        </is>
      </c>
      <c r="C18" s="3" t="inlineStr">
        <is>
          <t>2026-01</t>
        </is>
      </c>
      <c r="D18" s="3" t="inlineStr">
        <is>
          <t>Meta</t>
        </is>
      </c>
      <c r="E18" s="3" t="inlineStr">
        <is>
          <t>TerraPower: six additional units</t>
        </is>
      </c>
      <c r="F18" s="3" t="inlineStr">
        <is>
          <t>US unallocated</t>
        </is>
      </c>
      <c r="G18" s="3" t="inlineStr">
        <is>
          <t>Option</t>
        </is>
      </c>
      <c r="H18" s="3" t="inlineStr">
        <is>
          <t>Advanced nuclear</t>
        </is>
      </c>
      <c r="I18" s="164" t="n">
        <v>2100</v>
      </c>
      <c r="J18" s="3" t="inlineStr">
        <is>
          <t>MW</t>
        </is>
      </c>
      <c r="K18" s="164" t="n">
        <v>2100</v>
      </c>
      <c r="L18" s="161" t="n">
        <v>0</v>
      </c>
      <c r="M18" s="161" t="n">
        <v>2035</v>
      </c>
      <c r="N18" s="161" t="n">
        <v>2035</v>
      </c>
      <c r="O18" s="158" t="n">
        <v>0</v>
      </c>
      <c r="P18" s="161" t="n">
        <v>0</v>
      </c>
      <c r="Q18" s="3" t="inlineStr">
        <is>
          <t>S009</t>
        </is>
      </c>
      <c r="R18" s="264">
        <f>IF(OR($K18="",$L18=0),0,$K18*$L18*$O18*VLOOKUP($H18,'Power Market Assumptions'!$B$41:$D$52,3,FALSE)*MAX(0,MIN(1,(R$5-'Power Market Assumptions'!D$23-$M18+1)/($N18-$M18+1))))</f>
        <v/>
      </c>
      <c r="S18" s="264">
        <f>IF(OR($K18="",$L18=0),0,$K18*$L18*$O18*VLOOKUP($H18,'Power Market Assumptions'!$B$41:$D$52,3,FALSE)*MAX(0,MIN(1,(S$5-'Power Market Assumptions'!E$23-$M18+1)/($N18-$M18+1))))</f>
        <v/>
      </c>
      <c r="T18" s="264">
        <f>IF(OR($K18="",$L18=0),0,$K18*$L18*$O18*VLOOKUP($H18,'Power Market Assumptions'!$B$41:$D$52,3,FALSE)*MAX(0,MIN(1,(T$5-'Power Market Assumptions'!F$23-$M18+1)/($N18-$M18+1))))</f>
        <v/>
      </c>
      <c r="U18" s="264">
        <f>IF(OR($K18="",$L18=0),0,$K18*$L18*$O18*VLOOKUP($H18,'Power Market Assumptions'!$B$41:$D$52,3,FALSE)*MAX(0,MIN(1,(U$5-'Power Market Assumptions'!G$23-$M18+1)/($N18-$M18+1))))</f>
        <v/>
      </c>
      <c r="V18" s="264">
        <f>IF(OR($K18="",$L18=0),0,$K18*$L18*$O18*VLOOKUP($H18,'Power Market Assumptions'!$B$41:$D$52,3,FALSE)*MAX(0,MIN(1,(V$5-'Power Market Assumptions'!H$23-$M18+1)/($N18-$M18+1))))</f>
        <v/>
      </c>
      <c r="W18" s="264">
        <f>IF(OR($K18="",$L18=0),0,$K18*$L18*$O18*VLOOKUP($H18,'Power Market Assumptions'!$B$41:$D$52,3,FALSE)*MAX(0,MIN(1,(W$5-'Power Market Assumptions'!I$23-$M18+1)/($N18-$M18+1))))</f>
        <v/>
      </c>
    </row>
    <row r="19" ht="15" customHeight="1">
      <c r="A19" s="3" t="n"/>
      <c r="B19" s="3" t="inlineStr">
        <is>
          <t>P014</t>
        </is>
      </c>
      <c r="C19" s="3" t="inlineStr">
        <is>
          <t>2026-01</t>
        </is>
      </c>
      <c r="D19" s="3" t="inlineStr">
        <is>
          <t>Meta</t>
        </is>
      </c>
      <c r="E19" s="3" t="inlineStr">
        <is>
          <t>Oklo: Pike County development</t>
        </is>
      </c>
      <c r="F19" s="3" t="inlineStr">
        <is>
          <t>PJM</t>
        </is>
      </c>
      <c r="G19" s="3" t="inlineStr">
        <is>
          <t>Development agreement</t>
        </is>
      </c>
      <c r="H19" s="3" t="inlineStr">
        <is>
          <t>Advanced nuclear</t>
        </is>
      </c>
      <c r="I19" s="164" t="n">
        <v>1200</v>
      </c>
      <c r="J19" s="3" t="inlineStr">
        <is>
          <t>MW</t>
        </is>
      </c>
      <c r="K19" s="164" t="n">
        <v>1200</v>
      </c>
      <c r="L19" s="161" t="n">
        <v>1</v>
      </c>
      <c r="M19" s="161" t="n">
        <v>2030</v>
      </c>
      <c r="N19" s="161" t="n">
        <v>2035</v>
      </c>
      <c r="O19" s="158" t="n">
        <v>0.25</v>
      </c>
      <c r="P19" s="161" t="n">
        <v>0</v>
      </c>
      <c r="Q19" s="3" t="inlineStr">
        <is>
          <t>S009</t>
        </is>
      </c>
      <c r="R19" s="264">
        <f>IF(OR($K19="",$L19=0),0,$K19*$L19*$O19*VLOOKUP($H19,'Power Market Assumptions'!$B$41:$D$52,3,FALSE)*MAX(0,MIN(1,(R$5-'Power Market Assumptions'!D$23-$M19+1)/($N19-$M19+1))))</f>
        <v/>
      </c>
      <c r="S19" s="264">
        <f>IF(OR($K19="",$L19=0),0,$K19*$L19*$O19*VLOOKUP($H19,'Power Market Assumptions'!$B$41:$D$52,3,FALSE)*MAX(0,MIN(1,(S$5-'Power Market Assumptions'!E$23-$M19+1)/($N19-$M19+1))))</f>
        <v/>
      </c>
      <c r="T19" s="264">
        <f>IF(OR($K19="",$L19=0),0,$K19*$L19*$O19*VLOOKUP($H19,'Power Market Assumptions'!$B$41:$D$52,3,FALSE)*MAX(0,MIN(1,(T$5-'Power Market Assumptions'!F$23-$M19+1)/($N19-$M19+1))))</f>
        <v/>
      </c>
      <c r="U19" s="264">
        <f>IF(OR($K19="",$L19=0),0,$K19*$L19*$O19*VLOOKUP($H19,'Power Market Assumptions'!$B$41:$D$52,3,FALSE)*MAX(0,MIN(1,(U$5-'Power Market Assumptions'!G$23-$M19+1)/($N19-$M19+1))))</f>
        <v/>
      </c>
      <c r="V19" s="264">
        <f>IF(OR($K19="",$L19=0),0,$K19*$L19*$O19*VLOOKUP($H19,'Power Market Assumptions'!$B$41:$D$52,3,FALSE)*MAX(0,MIN(1,(V$5-'Power Market Assumptions'!H$23-$M19+1)/($N19-$M19+1))))</f>
        <v/>
      </c>
      <c r="W19" s="264">
        <f>IF(OR($K19="",$L19=0),0,$K19*$L19*$O19*VLOOKUP($H19,'Power Market Assumptions'!$B$41:$D$52,3,FALSE)*MAX(0,MIN(1,(W$5-'Power Market Assumptions'!I$23-$M19+1)/($N19-$M19+1))))</f>
        <v/>
      </c>
    </row>
    <row r="20" ht="15" customHeight="1">
      <c r="A20" s="3" t="n"/>
      <c r="B20" s="3" t="inlineStr">
        <is>
          <t>P015</t>
        </is>
      </c>
      <c r="C20" s="3" t="inlineStr">
        <is>
          <t>2024-10</t>
        </is>
      </c>
      <c r="D20" s="3" t="inlineStr">
        <is>
          <t>Amazon</t>
        </is>
      </c>
      <c r="E20" s="3" t="inlineStr">
        <is>
          <t>Energy Northwest: initial reactors</t>
        </is>
      </c>
      <c r="F20" s="3" t="inlineStr">
        <is>
          <t>WECC-Northwest</t>
        </is>
      </c>
      <c r="G20" s="3" t="inlineStr">
        <is>
          <t>Development agreement</t>
        </is>
      </c>
      <c r="H20" s="3" t="inlineStr">
        <is>
          <t>Advanced nuclear</t>
        </is>
      </c>
      <c r="I20" s="164" t="n">
        <v>320</v>
      </c>
      <c r="J20" s="3" t="inlineStr">
        <is>
          <t>MW</t>
        </is>
      </c>
      <c r="K20" s="164" t="n">
        <v>320</v>
      </c>
      <c r="L20" s="161" t="n">
        <v>1</v>
      </c>
      <c r="M20" s="161" t="n">
        <v>2032</v>
      </c>
      <c r="N20" s="161" t="n">
        <v>2032</v>
      </c>
      <c r="O20" s="158" t="n">
        <v>0.5</v>
      </c>
      <c r="P20" s="161" t="n">
        <v>0</v>
      </c>
      <c r="Q20" s="3" t="inlineStr">
        <is>
          <t>S010</t>
        </is>
      </c>
      <c r="R20" s="264">
        <f>IF(OR($K20="",$L20=0),0,$K20*$L20*$O20*VLOOKUP($H20,'Power Market Assumptions'!$B$41:$D$52,3,FALSE)*MAX(0,MIN(1,(R$5-'Power Market Assumptions'!D$23-$M20+1)/($N20-$M20+1))))</f>
        <v/>
      </c>
      <c r="S20" s="264">
        <f>IF(OR($K20="",$L20=0),0,$K20*$L20*$O20*VLOOKUP($H20,'Power Market Assumptions'!$B$41:$D$52,3,FALSE)*MAX(0,MIN(1,(S$5-'Power Market Assumptions'!E$23-$M20+1)/($N20-$M20+1))))</f>
        <v/>
      </c>
      <c r="T20" s="264">
        <f>IF(OR($K20="",$L20=0),0,$K20*$L20*$O20*VLOOKUP($H20,'Power Market Assumptions'!$B$41:$D$52,3,FALSE)*MAX(0,MIN(1,(T$5-'Power Market Assumptions'!F$23-$M20+1)/($N20-$M20+1))))</f>
        <v/>
      </c>
      <c r="U20" s="264">
        <f>IF(OR($K20="",$L20=0),0,$K20*$L20*$O20*VLOOKUP($H20,'Power Market Assumptions'!$B$41:$D$52,3,FALSE)*MAX(0,MIN(1,(U$5-'Power Market Assumptions'!G$23-$M20+1)/($N20-$M20+1))))</f>
        <v/>
      </c>
      <c r="V20" s="264">
        <f>IF(OR($K20="",$L20=0),0,$K20*$L20*$O20*VLOOKUP($H20,'Power Market Assumptions'!$B$41:$D$52,3,FALSE)*MAX(0,MIN(1,(V$5-'Power Market Assumptions'!H$23-$M20+1)/($N20-$M20+1))))</f>
        <v/>
      </c>
      <c r="W20" s="264">
        <f>IF(OR($K20="",$L20=0),0,$K20*$L20*$O20*VLOOKUP($H20,'Power Market Assumptions'!$B$41:$D$52,3,FALSE)*MAX(0,MIN(1,(W$5-'Power Market Assumptions'!I$23-$M20+1)/($N20-$M20+1))))</f>
        <v/>
      </c>
    </row>
    <row r="21" ht="15" customHeight="1">
      <c r="A21" s="3" t="n"/>
      <c r="B21" s="3" t="inlineStr">
        <is>
          <t>P016</t>
        </is>
      </c>
      <c r="C21" s="3" t="inlineStr">
        <is>
          <t>2024-10</t>
        </is>
      </c>
      <c r="D21" s="3" t="inlineStr">
        <is>
          <t>Amazon</t>
        </is>
      </c>
      <c r="E21" s="3" t="inlineStr">
        <is>
          <t>Energy Northwest: additional reactors</t>
        </is>
      </c>
      <c r="F21" s="3" t="inlineStr">
        <is>
          <t>WECC-Northwest</t>
        </is>
      </c>
      <c r="G21" s="3" t="inlineStr">
        <is>
          <t>Option</t>
        </is>
      </c>
      <c r="H21" s="3" t="inlineStr">
        <is>
          <t>Advanced nuclear</t>
        </is>
      </c>
      <c r="I21" s="164" t="n">
        <v>640</v>
      </c>
      <c r="J21" s="3" t="inlineStr">
        <is>
          <t>MW</t>
        </is>
      </c>
      <c r="K21" s="164" t="n">
        <v>640</v>
      </c>
      <c r="L21" s="161" t="n">
        <v>0</v>
      </c>
      <c r="M21" s="161" t="n">
        <v>2035</v>
      </c>
      <c r="N21" s="161" t="n">
        <v>2035</v>
      </c>
      <c r="O21" s="158" t="n">
        <v>0</v>
      </c>
      <c r="P21" s="161" t="n">
        <v>0</v>
      </c>
      <c r="Q21" s="3" t="inlineStr">
        <is>
          <t>S010</t>
        </is>
      </c>
      <c r="R21" s="264">
        <f>IF(OR($K21="",$L21=0),0,$K21*$L21*$O21*VLOOKUP($H21,'Power Market Assumptions'!$B$41:$D$52,3,FALSE)*MAX(0,MIN(1,(R$5-'Power Market Assumptions'!D$23-$M21+1)/($N21-$M21+1))))</f>
        <v/>
      </c>
      <c r="S21" s="264">
        <f>IF(OR($K21="",$L21=0),0,$K21*$L21*$O21*VLOOKUP($H21,'Power Market Assumptions'!$B$41:$D$52,3,FALSE)*MAX(0,MIN(1,(S$5-'Power Market Assumptions'!E$23-$M21+1)/($N21-$M21+1))))</f>
        <v/>
      </c>
      <c r="T21" s="264">
        <f>IF(OR($K21="",$L21=0),0,$K21*$L21*$O21*VLOOKUP($H21,'Power Market Assumptions'!$B$41:$D$52,3,FALSE)*MAX(0,MIN(1,(T$5-'Power Market Assumptions'!F$23-$M21+1)/($N21-$M21+1))))</f>
        <v/>
      </c>
      <c r="U21" s="264">
        <f>IF(OR($K21="",$L21=0),0,$K21*$L21*$O21*VLOOKUP($H21,'Power Market Assumptions'!$B$41:$D$52,3,FALSE)*MAX(0,MIN(1,(U$5-'Power Market Assumptions'!G$23-$M21+1)/($N21-$M21+1))))</f>
        <v/>
      </c>
      <c r="V21" s="264">
        <f>IF(OR($K21="",$L21=0),0,$K21*$L21*$O21*VLOOKUP($H21,'Power Market Assumptions'!$B$41:$D$52,3,FALSE)*MAX(0,MIN(1,(V$5-'Power Market Assumptions'!H$23-$M21+1)/($N21-$M21+1))))</f>
        <v/>
      </c>
      <c r="W21" s="264">
        <f>IF(OR($K21="",$L21=0),0,$K21*$L21*$O21*VLOOKUP($H21,'Power Market Assumptions'!$B$41:$D$52,3,FALSE)*MAX(0,MIN(1,(W$5-'Power Market Assumptions'!I$23-$M21+1)/($N21-$M21+1))))</f>
        <v/>
      </c>
    </row>
    <row r="22" ht="15" customHeight="1">
      <c r="A22" s="3" t="n"/>
      <c r="B22" s="3" t="inlineStr">
        <is>
          <t>P017</t>
        </is>
      </c>
      <c r="C22" s="3" t="inlineStr">
        <is>
          <t>2024-10</t>
        </is>
      </c>
      <c r="D22" s="3" t="inlineStr">
        <is>
          <t>Amazon</t>
        </is>
      </c>
      <c r="E22" s="3" t="inlineStr">
        <is>
          <t>Dominion: North Anna exploration</t>
        </is>
      </c>
      <c r="F22" s="3" t="inlineStr">
        <is>
          <t>PJM</t>
        </is>
      </c>
      <c r="G22" s="3" t="inlineStr">
        <is>
          <t>Exploration</t>
        </is>
      </c>
      <c r="H22" s="3" t="inlineStr">
        <is>
          <t>Advanced nuclear</t>
        </is>
      </c>
      <c r="I22" s="164" t="n">
        <v>300</v>
      </c>
      <c r="J22" s="3" t="inlineStr">
        <is>
          <t>MW</t>
        </is>
      </c>
      <c r="K22" s="164" t="n">
        <v>300</v>
      </c>
      <c r="L22" s="161" t="n">
        <v>0</v>
      </c>
      <c r="M22" s="161" t="n">
        <v>2035</v>
      </c>
      <c r="N22" s="161" t="n">
        <v>2035</v>
      </c>
      <c r="O22" s="158" t="n">
        <v>0</v>
      </c>
      <c r="P22" s="161" t="n">
        <v>0</v>
      </c>
      <c r="Q22" s="3" t="inlineStr">
        <is>
          <t>S010</t>
        </is>
      </c>
      <c r="R22" s="264">
        <f>IF(OR($K22="",$L22=0),0,$K22*$L22*$O22*VLOOKUP($H22,'Power Market Assumptions'!$B$41:$D$52,3,FALSE)*MAX(0,MIN(1,(R$5-'Power Market Assumptions'!D$23-$M22+1)/($N22-$M22+1))))</f>
        <v/>
      </c>
      <c r="S22" s="264">
        <f>IF(OR($K22="",$L22=0),0,$K22*$L22*$O22*VLOOKUP($H22,'Power Market Assumptions'!$B$41:$D$52,3,FALSE)*MAX(0,MIN(1,(S$5-'Power Market Assumptions'!E$23-$M22+1)/($N22-$M22+1))))</f>
        <v/>
      </c>
      <c r="T22" s="264">
        <f>IF(OR($K22="",$L22=0),0,$K22*$L22*$O22*VLOOKUP($H22,'Power Market Assumptions'!$B$41:$D$52,3,FALSE)*MAX(0,MIN(1,(T$5-'Power Market Assumptions'!F$23-$M22+1)/($N22-$M22+1))))</f>
        <v/>
      </c>
      <c r="U22" s="264">
        <f>IF(OR($K22="",$L22=0),0,$K22*$L22*$O22*VLOOKUP($H22,'Power Market Assumptions'!$B$41:$D$52,3,FALSE)*MAX(0,MIN(1,(U$5-'Power Market Assumptions'!G$23-$M22+1)/($N22-$M22+1))))</f>
        <v/>
      </c>
      <c r="V22" s="264">
        <f>IF(OR($K22="",$L22=0),0,$K22*$L22*$O22*VLOOKUP($H22,'Power Market Assumptions'!$B$41:$D$52,3,FALSE)*MAX(0,MIN(1,(V$5-'Power Market Assumptions'!H$23-$M22+1)/($N22-$M22+1))))</f>
        <v/>
      </c>
      <c r="W22" s="264">
        <f>IF(OR($K22="",$L22=0),0,$K22*$L22*$O22*VLOOKUP($H22,'Power Market Assumptions'!$B$41:$D$52,3,FALSE)*MAX(0,MIN(1,(W$5-'Power Market Assumptions'!I$23-$M22+1)/($N22-$M22+1))))</f>
        <v/>
      </c>
    </row>
    <row r="23" ht="15" customHeight="1">
      <c r="A23" s="3" t="n"/>
      <c r="B23" s="3" t="inlineStr">
        <is>
          <t>P018</t>
        </is>
      </c>
      <c r="C23" s="3" t="inlineStr">
        <is>
          <t>2025-08</t>
        </is>
      </c>
      <c r="D23" s="3" t="inlineStr">
        <is>
          <t>Google / TVA</t>
        </is>
      </c>
      <c r="E23" s="3" t="inlineStr">
        <is>
          <t>Kairos: Hermes 2</t>
        </is>
      </c>
      <c r="F23" s="3" t="inlineStr">
        <is>
          <t>SERC-Central</t>
        </is>
      </c>
      <c r="G23" s="3" t="inlineStr">
        <is>
          <t>Signed PPA</t>
        </is>
      </c>
      <c r="H23" s="3" t="inlineStr">
        <is>
          <t>Advanced nuclear</t>
        </is>
      </c>
      <c r="I23" s="164" t="n">
        <v>50</v>
      </c>
      <c r="J23" s="3" t="inlineStr">
        <is>
          <t>MW</t>
        </is>
      </c>
      <c r="K23" s="164" t="n">
        <v>50</v>
      </c>
      <c r="L23" s="161" t="n">
        <v>1</v>
      </c>
      <c r="M23" s="161" t="n">
        <v>2030</v>
      </c>
      <c r="N23" s="161" t="n">
        <v>2030</v>
      </c>
      <c r="O23" s="158" t="n">
        <v>0.5</v>
      </c>
      <c r="P23" s="161" t="n">
        <v>0</v>
      </c>
      <c r="Q23" s="3" t="inlineStr">
        <is>
          <t>S011</t>
        </is>
      </c>
      <c r="R23" s="264">
        <f>IF(OR($K23="",$L23=0),0,$K23*$L23*$O23*VLOOKUP($H23,'Power Market Assumptions'!$B$41:$D$52,3,FALSE)*MAX(0,MIN(1,(R$5-'Power Market Assumptions'!D$23-$M23+1)/($N23-$M23+1))))</f>
        <v/>
      </c>
      <c r="S23" s="264">
        <f>IF(OR($K23="",$L23=0),0,$K23*$L23*$O23*VLOOKUP($H23,'Power Market Assumptions'!$B$41:$D$52,3,FALSE)*MAX(0,MIN(1,(S$5-'Power Market Assumptions'!E$23-$M23+1)/($N23-$M23+1))))</f>
        <v/>
      </c>
      <c r="T23" s="264">
        <f>IF(OR($K23="",$L23=0),0,$K23*$L23*$O23*VLOOKUP($H23,'Power Market Assumptions'!$B$41:$D$52,3,FALSE)*MAX(0,MIN(1,(T$5-'Power Market Assumptions'!F$23-$M23+1)/($N23-$M23+1))))</f>
        <v/>
      </c>
      <c r="U23" s="264">
        <f>IF(OR($K23="",$L23=0),0,$K23*$L23*$O23*VLOOKUP($H23,'Power Market Assumptions'!$B$41:$D$52,3,FALSE)*MAX(0,MIN(1,(U$5-'Power Market Assumptions'!G$23-$M23+1)/($N23-$M23+1))))</f>
        <v/>
      </c>
      <c r="V23" s="264">
        <f>IF(OR($K23="",$L23=0),0,$K23*$L23*$O23*VLOOKUP($H23,'Power Market Assumptions'!$B$41:$D$52,3,FALSE)*MAX(0,MIN(1,(V$5-'Power Market Assumptions'!H$23-$M23+1)/($N23-$M23+1))))</f>
        <v/>
      </c>
      <c r="W23" s="264">
        <f>IF(OR($K23="",$L23=0),0,$K23*$L23*$O23*VLOOKUP($H23,'Power Market Assumptions'!$B$41:$D$52,3,FALSE)*MAX(0,MIN(1,(W$5-'Power Market Assumptions'!I$23-$M23+1)/($N23-$M23+1))))</f>
        <v/>
      </c>
    </row>
    <row r="24" ht="15" customHeight="1">
      <c r="A24" s="3" t="n"/>
      <c r="B24" s="3" t="inlineStr">
        <is>
          <t>P019</t>
        </is>
      </c>
      <c r="C24" s="3" t="inlineStr">
        <is>
          <t>2024-10</t>
        </is>
      </c>
      <c r="D24" s="3" t="inlineStr">
        <is>
          <t>Google</t>
        </is>
      </c>
      <c r="E24" s="3" t="inlineStr">
        <is>
          <t>Kairos: remaining framework</t>
        </is>
      </c>
      <c r="F24" s="3" t="inlineStr">
        <is>
          <t>US unallocated</t>
        </is>
      </c>
      <c r="G24" s="3" t="inlineStr">
        <is>
          <t>Framework</t>
        </is>
      </c>
      <c r="H24" s="3" t="inlineStr">
        <is>
          <t>Advanced nuclear</t>
        </is>
      </c>
      <c r="I24" s="164" t="n">
        <v>450</v>
      </c>
      <c r="J24" s="3" t="inlineStr">
        <is>
          <t>MW</t>
        </is>
      </c>
      <c r="K24" s="164" t="n">
        <v>450</v>
      </c>
      <c r="L24" s="161" t="n">
        <v>0</v>
      </c>
      <c r="M24" s="161" t="n">
        <v>2035</v>
      </c>
      <c r="N24" s="161" t="n">
        <v>2035</v>
      </c>
      <c r="O24" s="158" t="n">
        <v>0</v>
      </c>
      <c r="P24" s="161" t="n">
        <v>0</v>
      </c>
      <c r="Q24" s="3" t="inlineStr">
        <is>
          <t>S011</t>
        </is>
      </c>
      <c r="R24" s="264">
        <f>IF(OR($K24="",$L24=0),0,$K24*$L24*$O24*VLOOKUP($H24,'Power Market Assumptions'!$B$41:$D$52,3,FALSE)*MAX(0,MIN(1,(R$5-'Power Market Assumptions'!D$23-$M24+1)/($N24-$M24+1))))</f>
        <v/>
      </c>
      <c r="S24" s="264">
        <f>IF(OR($K24="",$L24=0),0,$K24*$L24*$O24*VLOOKUP($H24,'Power Market Assumptions'!$B$41:$D$52,3,FALSE)*MAX(0,MIN(1,(S$5-'Power Market Assumptions'!E$23-$M24+1)/($N24-$M24+1))))</f>
        <v/>
      </c>
      <c r="T24" s="264">
        <f>IF(OR($K24="",$L24=0),0,$K24*$L24*$O24*VLOOKUP($H24,'Power Market Assumptions'!$B$41:$D$52,3,FALSE)*MAX(0,MIN(1,(T$5-'Power Market Assumptions'!F$23-$M24+1)/($N24-$M24+1))))</f>
        <v/>
      </c>
      <c r="U24" s="264">
        <f>IF(OR($K24="",$L24=0),0,$K24*$L24*$O24*VLOOKUP($H24,'Power Market Assumptions'!$B$41:$D$52,3,FALSE)*MAX(0,MIN(1,(U$5-'Power Market Assumptions'!G$23-$M24+1)/($N24-$M24+1))))</f>
        <v/>
      </c>
      <c r="V24" s="264">
        <f>IF(OR($K24="",$L24=0),0,$K24*$L24*$O24*VLOOKUP($H24,'Power Market Assumptions'!$B$41:$D$52,3,FALSE)*MAX(0,MIN(1,(V$5-'Power Market Assumptions'!H$23-$M24+1)/($N24-$M24+1))))</f>
        <v/>
      </c>
      <c r="W24" s="264">
        <f>IF(OR($K24="",$L24=0),0,$K24*$L24*$O24*VLOOKUP($H24,'Power Market Assumptions'!$B$41:$D$52,3,FALSE)*MAX(0,MIN(1,(W$5-'Power Market Assumptions'!I$23-$M24+1)/($N24-$M24+1))))</f>
        <v/>
      </c>
    </row>
    <row r="25" ht="15" customHeight="1">
      <c r="A25" s="3" t="n"/>
      <c r="B25" s="3" t="inlineStr">
        <is>
          <t>P020</t>
        </is>
      </c>
      <c r="C25" s="3" t="inlineStr">
        <is>
          <t>2026-09</t>
        </is>
      </c>
      <c r="D25" s="3" t="inlineStr">
        <is>
          <t>Google</t>
        </is>
      </c>
      <c r="E25" s="3" t="inlineStr">
        <is>
          <t>Fervo: Cape Station offtake</t>
        </is>
      </c>
      <c r="F25" s="3" t="inlineStr">
        <is>
          <t>WECC-Basin</t>
        </is>
      </c>
      <c r="G25" s="3" t="inlineStr">
        <is>
          <t>Signed PPA</t>
        </is>
      </c>
      <c r="H25" s="3" t="inlineStr">
        <is>
          <t>Geothermal</t>
        </is>
      </c>
      <c r="I25" s="164" t="n">
        <v>396</v>
      </c>
      <c r="J25" s="3" t="inlineStr">
        <is>
          <t>MW</t>
        </is>
      </c>
      <c r="K25" s="164" t="n">
        <v>396</v>
      </c>
      <c r="L25" s="161" t="n">
        <v>1</v>
      </c>
      <c r="M25" s="161" t="n">
        <v>2028</v>
      </c>
      <c r="N25" s="161" t="n">
        <v>2028</v>
      </c>
      <c r="O25" s="158" t="n">
        <v>1</v>
      </c>
      <c r="P25" s="161" t="n">
        <v>0</v>
      </c>
      <c r="Q25" s="3" t="inlineStr">
        <is>
          <t>S012</t>
        </is>
      </c>
      <c r="R25" s="264">
        <f>IF(OR($K25="",$L25=0),0,$K25*$L25*$O25*VLOOKUP($H25,'Power Market Assumptions'!$B$41:$D$52,3,FALSE)*MAX(0,MIN(1,(R$5-'Power Market Assumptions'!D$23-$M25+1)/($N25-$M25+1))))</f>
        <v/>
      </c>
      <c r="S25" s="264">
        <f>IF(OR($K25="",$L25=0),0,$K25*$L25*$O25*VLOOKUP($H25,'Power Market Assumptions'!$B$41:$D$52,3,FALSE)*MAX(0,MIN(1,(S$5-'Power Market Assumptions'!E$23-$M25+1)/($N25-$M25+1))))</f>
        <v/>
      </c>
      <c r="T25" s="264">
        <f>IF(OR($K25="",$L25=0),0,$K25*$L25*$O25*VLOOKUP($H25,'Power Market Assumptions'!$B$41:$D$52,3,FALSE)*MAX(0,MIN(1,(T$5-'Power Market Assumptions'!F$23-$M25+1)/($N25-$M25+1))))</f>
        <v/>
      </c>
      <c r="U25" s="264">
        <f>IF(OR($K25="",$L25=0),0,$K25*$L25*$O25*VLOOKUP($H25,'Power Market Assumptions'!$B$41:$D$52,3,FALSE)*MAX(0,MIN(1,(U$5-'Power Market Assumptions'!G$23-$M25+1)/($N25-$M25+1))))</f>
        <v/>
      </c>
      <c r="V25" s="264">
        <f>IF(OR($K25="",$L25=0),0,$K25*$L25*$O25*VLOOKUP($H25,'Power Market Assumptions'!$B$41:$D$52,3,FALSE)*MAX(0,MIN(1,(V$5-'Power Market Assumptions'!H$23-$M25+1)/($N25-$M25+1))))</f>
        <v/>
      </c>
      <c r="W25" s="264">
        <f>IF(OR($K25="",$L25=0),0,$K25*$L25*$O25*VLOOKUP($H25,'Power Market Assumptions'!$B$41:$D$52,3,FALSE)*MAX(0,MIN(1,(W$5-'Power Market Assumptions'!I$23-$M25+1)/($N25-$M25+1))))</f>
        <v/>
      </c>
    </row>
    <row r="26" ht="15" customHeight="1">
      <c r="A26" s="3" t="n"/>
      <c r="B26" s="3" t="inlineStr">
        <is>
          <t>P021</t>
        </is>
      </c>
      <c r="C26" s="3" t="inlineStr">
        <is>
          <t>2026-09</t>
        </is>
      </c>
      <c r="D26" s="3" t="inlineStr">
        <is>
          <t>Google</t>
        </is>
      </c>
      <c r="E26" s="3" t="inlineStr">
        <is>
          <t>Fervo: additional option</t>
        </is>
      </c>
      <c r="F26" s="3" t="inlineStr">
        <is>
          <t>US unallocated</t>
        </is>
      </c>
      <c r="G26" s="3" t="inlineStr">
        <is>
          <t>Option</t>
        </is>
      </c>
      <c r="H26" s="3" t="inlineStr">
        <is>
          <t>Geothermal</t>
        </is>
      </c>
      <c r="I26" s="164" t="n">
        <v>600</v>
      </c>
      <c r="J26" s="3" t="inlineStr">
        <is>
          <t>MW</t>
        </is>
      </c>
      <c r="K26" s="164" t="n">
        <v>600</v>
      </c>
      <c r="L26" s="161" t="n">
        <v>0</v>
      </c>
      <c r="M26" s="161" t="n">
        <v>2030</v>
      </c>
      <c r="N26" s="161" t="n">
        <v>2030</v>
      </c>
      <c r="O26" s="158" t="n">
        <v>0</v>
      </c>
      <c r="P26" s="161" t="n">
        <v>0</v>
      </c>
      <c r="Q26" s="3" t="inlineStr">
        <is>
          <t>S012</t>
        </is>
      </c>
      <c r="R26" s="264">
        <f>IF(OR($K26="",$L26=0),0,$K26*$L26*$O26*VLOOKUP($H26,'Power Market Assumptions'!$B$41:$D$52,3,FALSE)*MAX(0,MIN(1,(R$5-'Power Market Assumptions'!D$23-$M26+1)/($N26-$M26+1))))</f>
        <v/>
      </c>
      <c r="S26" s="264">
        <f>IF(OR($K26="",$L26=0),0,$K26*$L26*$O26*VLOOKUP($H26,'Power Market Assumptions'!$B$41:$D$52,3,FALSE)*MAX(0,MIN(1,(S$5-'Power Market Assumptions'!E$23-$M26+1)/($N26-$M26+1))))</f>
        <v/>
      </c>
      <c r="T26" s="264">
        <f>IF(OR($K26="",$L26=0),0,$K26*$L26*$O26*VLOOKUP($H26,'Power Market Assumptions'!$B$41:$D$52,3,FALSE)*MAX(0,MIN(1,(T$5-'Power Market Assumptions'!F$23-$M26+1)/($N26-$M26+1))))</f>
        <v/>
      </c>
      <c r="U26" s="264">
        <f>IF(OR($K26="",$L26=0),0,$K26*$L26*$O26*VLOOKUP($H26,'Power Market Assumptions'!$B$41:$D$52,3,FALSE)*MAX(0,MIN(1,(U$5-'Power Market Assumptions'!G$23-$M26+1)/($N26-$M26+1))))</f>
        <v/>
      </c>
      <c r="V26" s="264">
        <f>IF(OR($K26="",$L26=0),0,$K26*$L26*$O26*VLOOKUP($H26,'Power Market Assumptions'!$B$41:$D$52,3,FALSE)*MAX(0,MIN(1,(V$5-'Power Market Assumptions'!H$23-$M26+1)/($N26-$M26+1))))</f>
        <v/>
      </c>
      <c r="W26" s="264">
        <f>IF(OR($K26="",$L26=0),0,$K26*$L26*$O26*VLOOKUP($H26,'Power Market Assumptions'!$B$41:$D$52,3,FALSE)*MAX(0,MIN(1,(W$5-'Power Market Assumptions'!I$23-$M26+1)/($N26-$M26+1))))</f>
        <v/>
      </c>
    </row>
    <row r="27" ht="15" customHeight="1">
      <c r="A27" s="3" t="n"/>
      <c r="B27" s="3" t="inlineStr">
        <is>
          <t>P022</t>
        </is>
      </c>
      <c r="C27" s="3" t="inlineStr">
        <is>
          <t>2024-08</t>
        </is>
      </c>
      <c r="D27" s="3" t="inlineStr">
        <is>
          <t>Meta</t>
        </is>
      </c>
      <c r="E27" s="3" t="inlineStr">
        <is>
          <t>Sage: geothermal development</t>
        </is>
      </c>
      <c r="F27" s="3" t="inlineStr">
        <is>
          <t>US unallocated</t>
        </is>
      </c>
      <c r="G27" s="3" t="inlineStr">
        <is>
          <t>Development agreement</t>
        </is>
      </c>
      <c r="H27" s="3" t="inlineStr">
        <is>
          <t>Geothermal</t>
        </is>
      </c>
      <c r="I27" s="164" t="n">
        <v>150</v>
      </c>
      <c r="J27" s="3" t="inlineStr">
        <is>
          <t>MW</t>
        </is>
      </c>
      <c r="K27" s="164" t="n">
        <v>150</v>
      </c>
      <c r="L27" s="161" t="n">
        <v>1</v>
      </c>
      <c r="M27" s="161" t="n">
        <v>2027</v>
      </c>
      <c r="N27" s="161" t="n">
        <v>2029</v>
      </c>
      <c r="O27" s="158" t="n">
        <v>0.5</v>
      </c>
      <c r="P27" s="161" t="n">
        <v>0</v>
      </c>
      <c r="Q27" s="3" t="inlineStr">
        <is>
          <t>S013</t>
        </is>
      </c>
      <c r="R27" s="264">
        <f>IF(OR($K27="",$L27=0),0,$K27*$L27*$O27*VLOOKUP($H27,'Power Market Assumptions'!$B$41:$D$52,3,FALSE)*MAX(0,MIN(1,(R$5-'Power Market Assumptions'!D$23-$M27+1)/($N27-$M27+1))))</f>
        <v/>
      </c>
      <c r="S27" s="264">
        <f>IF(OR($K27="",$L27=0),0,$K27*$L27*$O27*VLOOKUP($H27,'Power Market Assumptions'!$B$41:$D$52,3,FALSE)*MAX(0,MIN(1,(S$5-'Power Market Assumptions'!E$23-$M27+1)/($N27-$M27+1))))</f>
        <v/>
      </c>
      <c r="T27" s="264">
        <f>IF(OR($K27="",$L27=0),0,$K27*$L27*$O27*VLOOKUP($H27,'Power Market Assumptions'!$B$41:$D$52,3,FALSE)*MAX(0,MIN(1,(T$5-'Power Market Assumptions'!F$23-$M27+1)/($N27-$M27+1))))</f>
        <v/>
      </c>
      <c r="U27" s="264">
        <f>IF(OR($K27="",$L27=0),0,$K27*$L27*$O27*VLOOKUP($H27,'Power Market Assumptions'!$B$41:$D$52,3,FALSE)*MAX(0,MIN(1,(U$5-'Power Market Assumptions'!G$23-$M27+1)/($N27-$M27+1))))</f>
        <v/>
      </c>
      <c r="V27" s="264">
        <f>IF(OR($K27="",$L27=0),0,$K27*$L27*$O27*VLOOKUP($H27,'Power Market Assumptions'!$B$41:$D$52,3,FALSE)*MAX(0,MIN(1,(V$5-'Power Market Assumptions'!H$23-$M27+1)/($N27-$M27+1))))</f>
        <v/>
      </c>
      <c r="W27" s="264">
        <f>IF(OR($K27="",$L27=0),0,$K27*$L27*$O27*VLOOKUP($H27,'Power Market Assumptions'!$B$41:$D$52,3,FALSE)*MAX(0,MIN(1,(W$5-'Power Market Assumptions'!I$23-$M27+1)/($N27-$M27+1))))</f>
        <v/>
      </c>
    </row>
    <row r="28" ht="15" customHeight="1">
      <c r="A28" s="3" t="n"/>
      <c r="B28" s="3" t="inlineStr">
        <is>
          <t>P023</t>
        </is>
      </c>
      <c r="C28" s="3" t="inlineStr">
        <is>
          <t>2025-06</t>
        </is>
      </c>
      <c r="D28" s="3" t="inlineStr">
        <is>
          <t>Meta</t>
        </is>
      </c>
      <c r="E28" s="3" t="inlineStr">
        <is>
          <t>XGS: New Mexico geothermal</t>
        </is>
      </c>
      <c r="F28" s="3" t="inlineStr">
        <is>
          <t>WECC-Southwest</t>
        </is>
      </c>
      <c r="G28" s="3" t="inlineStr">
        <is>
          <t>Development agreement</t>
        </is>
      </c>
      <c r="H28" s="3" t="inlineStr">
        <is>
          <t>Geothermal</t>
        </is>
      </c>
      <c r="I28" s="164" t="n">
        <v>150</v>
      </c>
      <c r="J28" s="3" t="inlineStr">
        <is>
          <t>MW</t>
        </is>
      </c>
      <c r="K28" s="164" t="n">
        <v>150</v>
      </c>
      <c r="L28" s="161" t="n">
        <v>1</v>
      </c>
      <c r="M28" s="161" t="n">
        <v>2030</v>
      </c>
      <c r="N28" s="161" t="n">
        <v>2030</v>
      </c>
      <c r="O28" s="158" t="n">
        <v>0.5</v>
      </c>
      <c r="P28" s="161" t="n">
        <v>0</v>
      </c>
      <c r="Q28" s="3" t="inlineStr">
        <is>
          <t>S014</t>
        </is>
      </c>
      <c r="R28" s="264">
        <f>IF(OR($K28="",$L28=0),0,$K28*$L28*$O28*VLOOKUP($H28,'Power Market Assumptions'!$B$41:$D$52,3,FALSE)*MAX(0,MIN(1,(R$5-'Power Market Assumptions'!D$23-$M28+1)/($N28-$M28+1))))</f>
        <v/>
      </c>
      <c r="S28" s="264">
        <f>IF(OR($K28="",$L28=0),0,$K28*$L28*$O28*VLOOKUP($H28,'Power Market Assumptions'!$B$41:$D$52,3,FALSE)*MAX(0,MIN(1,(S$5-'Power Market Assumptions'!E$23-$M28+1)/($N28-$M28+1))))</f>
        <v/>
      </c>
      <c r="T28" s="264">
        <f>IF(OR($K28="",$L28=0),0,$K28*$L28*$O28*VLOOKUP($H28,'Power Market Assumptions'!$B$41:$D$52,3,FALSE)*MAX(0,MIN(1,(T$5-'Power Market Assumptions'!F$23-$M28+1)/($N28-$M28+1))))</f>
        <v/>
      </c>
      <c r="U28" s="264">
        <f>IF(OR($K28="",$L28=0),0,$K28*$L28*$O28*VLOOKUP($H28,'Power Market Assumptions'!$B$41:$D$52,3,FALSE)*MAX(0,MIN(1,(U$5-'Power Market Assumptions'!G$23-$M28+1)/($N28-$M28+1))))</f>
        <v/>
      </c>
      <c r="V28" s="264">
        <f>IF(OR($K28="",$L28=0),0,$K28*$L28*$O28*VLOOKUP($H28,'Power Market Assumptions'!$B$41:$D$52,3,FALSE)*MAX(0,MIN(1,(V$5-'Power Market Assumptions'!H$23-$M28+1)/($N28-$M28+1))))</f>
        <v/>
      </c>
      <c r="W28" s="264">
        <f>IF(OR($K28="",$L28=0),0,$K28*$L28*$O28*VLOOKUP($H28,'Power Market Assumptions'!$B$41:$D$52,3,FALSE)*MAX(0,MIN(1,(W$5-'Power Market Assumptions'!I$23-$M28+1)/($N28-$M28+1))))</f>
        <v/>
      </c>
    </row>
    <row r="29" ht="15" customHeight="1">
      <c r="A29" s="3" t="n"/>
      <c r="B29" s="3" t="inlineStr">
        <is>
          <t>P024</t>
        </is>
      </c>
      <c r="C29" s="3" t="inlineStr">
        <is>
          <t>2025-10</t>
        </is>
      </c>
      <c r="D29" s="3" t="inlineStr">
        <is>
          <t>Google</t>
        </is>
      </c>
      <c r="E29" s="3" t="inlineStr">
        <is>
          <t>Broadwing: gas with CCS</t>
        </is>
      </c>
      <c r="F29" s="3" t="inlineStr">
        <is>
          <t>MISO</t>
        </is>
      </c>
      <c r="G29" s="3" t="inlineStr">
        <is>
          <t>Development agreement</t>
        </is>
      </c>
      <c r="H29" s="3" t="inlineStr">
        <is>
          <t>Gas</t>
        </is>
      </c>
      <c r="I29" s="164" t="n">
        <v>400</v>
      </c>
      <c r="J29" s="3" t="inlineStr">
        <is>
          <t>Project MW, not contracted MW</t>
        </is>
      </c>
      <c r="K29" s="164" t="n">
        <v>400</v>
      </c>
      <c r="L29" s="161" t="n">
        <v>1</v>
      </c>
      <c r="M29" s="161" t="n">
        <v>2030</v>
      </c>
      <c r="N29" s="161" t="n">
        <v>2030</v>
      </c>
      <c r="O29" s="158" t="n">
        <v>0.5</v>
      </c>
      <c r="P29" s="161" t="n">
        <v>0</v>
      </c>
      <c r="Q29" s="3" t="inlineStr">
        <is>
          <t>S015</t>
        </is>
      </c>
      <c r="R29" s="264">
        <f>IF(OR($K29="",$L29=0),0,$K29*$L29*$O29*VLOOKUP($H29,'Power Market Assumptions'!$B$41:$D$52,3,FALSE)*MAX(0,MIN(1,(R$5-'Power Market Assumptions'!D$23-$M29+1)/($N29-$M29+1))))</f>
        <v/>
      </c>
      <c r="S29" s="264">
        <f>IF(OR($K29="",$L29=0),0,$K29*$L29*$O29*VLOOKUP($H29,'Power Market Assumptions'!$B$41:$D$52,3,FALSE)*MAX(0,MIN(1,(S$5-'Power Market Assumptions'!E$23-$M29+1)/($N29-$M29+1))))</f>
        <v/>
      </c>
      <c r="T29" s="264">
        <f>IF(OR($K29="",$L29=0),0,$K29*$L29*$O29*VLOOKUP($H29,'Power Market Assumptions'!$B$41:$D$52,3,FALSE)*MAX(0,MIN(1,(T$5-'Power Market Assumptions'!F$23-$M29+1)/($N29-$M29+1))))</f>
        <v/>
      </c>
      <c r="U29" s="264">
        <f>IF(OR($K29="",$L29=0),0,$K29*$L29*$O29*VLOOKUP($H29,'Power Market Assumptions'!$B$41:$D$52,3,FALSE)*MAX(0,MIN(1,(U$5-'Power Market Assumptions'!G$23-$M29+1)/($N29-$M29+1))))</f>
        <v/>
      </c>
      <c r="V29" s="264">
        <f>IF(OR($K29="",$L29=0),0,$K29*$L29*$O29*VLOOKUP($H29,'Power Market Assumptions'!$B$41:$D$52,3,FALSE)*MAX(0,MIN(1,(V$5-'Power Market Assumptions'!H$23-$M29+1)/($N29-$M29+1))))</f>
        <v/>
      </c>
      <c r="W29" s="264">
        <f>IF(OR($K29="",$L29=0),0,$K29*$L29*$O29*VLOOKUP($H29,'Power Market Assumptions'!$B$41:$D$52,3,FALSE)*MAX(0,MIN(1,(W$5-'Power Market Assumptions'!I$23-$M29+1)/($N29-$M29+1))))</f>
        <v/>
      </c>
    </row>
    <row r="30" ht="15" customHeight="1">
      <c r="A30" s="3" t="n"/>
      <c r="B30" s="3" t="inlineStr">
        <is>
          <t>P025</t>
        </is>
      </c>
      <c r="C30" s="3" t="inlineStr">
        <is>
          <t>2025-06</t>
        </is>
      </c>
      <c r="D30" s="3" t="inlineStr">
        <is>
          <t>Google</t>
        </is>
      </c>
      <c r="E30" s="3" t="inlineStr">
        <is>
          <t>CFS: ARC fusion</t>
        </is>
      </c>
      <c r="F30" s="3" t="inlineStr">
        <is>
          <t>PJM</t>
        </is>
      </c>
      <c r="G30" s="3" t="inlineStr">
        <is>
          <t>Signed PPA / demonstration</t>
        </is>
      </c>
      <c r="H30" s="3" t="inlineStr">
        <is>
          <t>Fusion</t>
        </is>
      </c>
      <c r="I30" s="164" t="n">
        <v>200</v>
      </c>
      <c r="J30" s="3" t="inlineStr">
        <is>
          <t>MW</t>
        </is>
      </c>
      <c r="K30" s="164" t="n">
        <v>200</v>
      </c>
      <c r="L30" s="161" t="n">
        <v>1</v>
      </c>
      <c r="M30" s="161" t="n">
        <v>2033</v>
      </c>
      <c r="N30" s="161" t="n">
        <v>2033</v>
      </c>
      <c r="O30" s="158" t="n">
        <v>0</v>
      </c>
      <c r="P30" s="161" t="n">
        <v>0</v>
      </c>
      <c r="Q30" s="3" t="inlineStr">
        <is>
          <t>S016</t>
        </is>
      </c>
      <c r="R30" s="264">
        <f>IF(OR($K30="",$L30=0),0,$K30*$L30*$O30*VLOOKUP($H30,'Power Market Assumptions'!$B$41:$D$52,3,FALSE)*MAX(0,MIN(1,(R$5-'Power Market Assumptions'!D$23-$M30+1)/($N30-$M30+1))))</f>
        <v/>
      </c>
      <c r="S30" s="264">
        <f>IF(OR($K30="",$L30=0),0,$K30*$L30*$O30*VLOOKUP($H30,'Power Market Assumptions'!$B$41:$D$52,3,FALSE)*MAX(0,MIN(1,(S$5-'Power Market Assumptions'!E$23-$M30+1)/($N30-$M30+1))))</f>
        <v/>
      </c>
      <c r="T30" s="264">
        <f>IF(OR($K30="",$L30=0),0,$K30*$L30*$O30*VLOOKUP($H30,'Power Market Assumptions'!$B$41:$D$52,3,FALSE)*MAX(0,MIN(1,(T$5-'Power Market Assumptions'!F$23-$M30+1)/($N30-$M30+1))))</f>
        <v/>
      </c>
      <c r="U30" s="264">
        <f>IF(OR($K30="",$L30=0),0,$K30*$L30*$O30*VLOOKUP($H30,'Power Market Assumptions'!$B$41:$D$52,3,FALSE)*MAX(0,MIN(1,(U$5-'Power Market Assumptions'!G$23-$M30+1)/($N30-$M30+1))))</f>
        <v/>
      </c>
      <c r="V30" s="264">
        <f>IF(OR($K30="",$L30=0),0,$K30*$L30*$O30*VLOOKUP($H30,'Power Market Assumptions'!$B$41:$D$52,3,FALSE)*MAX(0,MIN(1,(V$5-'Power Market Assumptions'!H$23-$M30+1)/($N30-$M30+1))))</f>
        <v/>
      </c>
      <c r="W30" s="264">
        <f>IF(OR($K30="",$L30=0),0,$K30*$L30*$O30*VLOOKUP($H30,'Power Market Assumptions'!$B$41:$D$52,3,FALSE)*MAX(0,MIN(1,(W$5-'Power Market Assumptions'!I$23-$M30+1)/($N30-$M30+1))))</f>
        <v/>
      </c>
    </row>
    <row r="31" ht="15" customHeight="1">
      <c r="A31" s="3" t="n"/>
      <c r="B31" s="3" t="inlineStr">
        <is>
          <t>P026</t>
        </is>
      </c>
      <c r="C31" s="3" t="inlineStr">
        <is>
          <t>2023-05</t>
        </is>
      </c>
      <c r="D31" s="3" t="inlineStr">
        <is>
          <t>Microsoft</t>
        </is>
      </c>
      <c r="E31" s="3" t="inlineStr">
        <is>
          <t>Helion: first fusion plant</t>
        </is>
      </c>
      <c r="F31" s="3" t="inlineStr">
        <is>
          <t>WECC-Northwest</t>
        </is>
      </c>
      <c r="G31" s="3" t="inlineStr">
        <is>
          <t>Signed PPA / demonstration</t>
        </is>
      </c>
      <c r="H31" s="3" t="inlineStr">
        <is>
          <t>Fusion</t>
        </is>
      </c>
      <c r="I31" s="164" t="n">
        <v>50</v>
      </c>
      <c r="J31" s="3" t="inlineStr">
        <is>
          <t>MW</t>
        </is>
      </c>
      <c r="K31" s="164" t="n">
        <v>50</v>
      </c>
      <c r="L31" s="161" t="n">
        <v>1</v>
      </c>
      <c r="M31" s="161" t="n">
        <v>2028</v>
      </c>
      <c r="N31" s="161" t="n">
        <v>2029</v>
      </c>
      <c r="O31" s="158" t="n">
        <v>0</v>
      </c>
      <c r="P31" s="161" t="n">
        <v>0</v>
      </c>
      <c r="Q31" s="3" t="inlineStr">
        <is>
          <t>S017</t>
        </is>
      </c>
      <c r="R31" s="264">
        <f>IF(OR($K31="",$L31=0),0,$K31*$L31*$O31*VLOOKUP($H31,'Power Market Assumptions'!$B$41:$D$52,3,FALSE)*MAX(0,MIN(1,(R$5-'Power Market Assumptions'!D$23-$M31+1)/($N31-$M31+1))))</f>
        <v/>
      </c>
      <c r="S31" s="264">
        <f>IF(OR($K31="",$L31=0),0,$K31*$L31*$O31*VLOOKUP($H31,'Power Market Assumptions'!$B$41:$D$52,3,FALSE)*MAX(0,MIN(1,(S$5-'Power Market Assumptions'!E$23-$M31+1)/($N31-$M31+1))))</f>
        <v/>
      </c>
      <c r="T31" s="264">
        <f>IF(OR($K31="",$L31=0),0,$K31*$L31*$O31*VLOOKUP($H31,'Power Market Assumptions'!$B$41:$D$52,3,FALSE)*MAX(0,MIN(1,(T$5-'Power Market Assumptions'!F$23-$M31+1)/($N31-$M31+1))))</f>
        <v/>
      </c>
      <c r="U31" s="264">
        <f>IF(OR($K31="",$L31=0),0,$K31*$L31*$O31*VLOOKUP($H31,'Power Market Assumptions'!$B$41:$D$52,3,FALSE)*MAX(0,MIN(1,(U$5-'Power Market Assumptions'!G$23-$M31+1)/($N31-$M31+1))))</f>
        <v/>
      </c>
      <c r="V31" s="264">
        <f>IF(OR($K31="",$L31=0),0,$K31*$L31*$O31*VLOOKUP($H31,'Power Market Assumptions'!$B$41:$D$52,3,FALSE)*MAX(0,MIN(1,(V$5-'Power Market Assumptions'!H$23-$M31+1)/($N31-$M31+1))))</f>
        <v/>
      </c>
      <c r="W31" s="264">
        <f>IF(OR($K31="",$L31=0),0,$K31*$L31*$O31*VLOOKUP($H31,'Power Market Assumptions'!$B$41:$D$52,3,FALSE)*MAX(0,MIN(1,(W$5-'Power Market Assumptions'!I$23-$M31+1)/($N31-$M31+1))))</f>
        <v/>
      </c>
    </row>
    <row r="32" ht="15" customHeight="1">
      <c r="A32" s="3" t="n"/>
      <c r="B32" s="3" t="inlineStr">
        <is>
          <t>P027</t>
        </is>
      </c>
      <c r="C32" s="3" t="inlineStr">
        <is>
          <t>2025-07</t>
        </is>
      </c>
      <c r="D32" s="3" t="inlineStr">
        <is>
          <t>Google</t>
        </is>
      </c>
      <c r="E32" s="3" t="inlineStr">
        <is>
          <t>Brookfield: Pennsylvania hydro</t>
        </is>
      </c>
      <c r="F32" s="3" t="inlineStr">
        <is>
          <t>PJM</t>
        </is>
      </c>
      <c r="G32" s="3" t="inlineStr">
        <is>
          <t>Signed PPA / existing</t>
        </is>
      </c>
      <c r="H32" s="3" t="inlineStr">
        <is>
          <t>Hydro</t>
        </is>
      </c>
      <c r="I32" s="164" t="n">
        <v>665</v>
      </c>
      <c r="J32" s="3" t="inlineStr">
        <is>
          <t>MW</t>
        </is>
      </c>
      <c r="K32" s="164" t="n">
        <v>0</v>
      </c>
      <c r="L32" s="161" t="n">
        <v>1</v>
      </c>
      <c r="M32" s="161" t="n">
        <v>2026</v>
      </c>
      <c r="N32" s="161" t="n">
        <v>2026</v>
      </c>
      <c r="O32" s="158" t="n">
        <v>1</v>
      </c>
      <c r="P32" s="161" t="n">
        <v>0</v>
      </c>
      <c r="Q32" s="3" t="inlineStr">
        <is>
          <t>S018</t>
        </is>
      </c>
      <c r="R32" s="264">
        <f>IF(OR($K32="",$L32=0),0,$K32*$L32*$O32*VLOOKUP($H32,'Power Market Assumptions'!$B$41:$D$52,3,FALSE)*MAX(0,MIN(1,(R$5-'Power Market Assumptions'!D$23-$M32+1)/($N32-$M32+1))))</f>
        <v/>
      </c>
      <c r="S32" s="264">
        <f>IF(OR($K32="",$L32=0),0,$K32*$L32*$O32*VLOOKUP($H32,'Power Market Assumptions'!$B$41:$D$52,3,FALSE)*MAX(0,MIN(1,(S$5-'Power Market Assumptions'!E$23-$M32+1)/($N32-$M32+1))))</f>
        <v/>
      </c>
      <c r="T32" s="264">
        <f>IF(OR($K32="",$L32=0),0,$K32*$L32*$O32*VLOOKUP($H32,'Power Market Assumptions'!$B$41:$D$52,3,FALSE)*MAX(0,MIN(1,(T$5-'Power Market Assumptions'!F$23-$M32+1)/($N32-$M32+1))))</f>
        <v/>
      </c>
      <c r="U32" s="264">
        <f>IF(OR($K32="",$L32=0),0,$K32*$L32*$O32*VLOOKUP($H32,'Power Market Assumptions'!$B$41:$D$52,3,FALSE)*MAX(0,MIN(1,(U$5-'Power Market Assumptions'!G$23-$M32+1)/($N32-$M32+1))))</f>
        <v/>
      </c>
      <c r="V32" s="264">
        <f>IF(OR($K32="",$L32=0),0,$K32*$L32*$O32*VLOOKUP($H32,'Power Market Assumptions'!$B$41:$D$52,3,FALSE)*MAX(0,MIN(1,(V$5-'Power Market Assumptions'!H$23-$M32+1)/($N32-$M32+1))))</f>
        <v/>
      </c>
      <c r="W32" s="264">
        <f>IF(OR($K32="",$L32=0),0,$K32*$L32*$O32*VLOOKUP($H32,'Power Market Assumptions'!$B$41:$D$52,3,FALSE)*MAX(0,MIN(1,(W$5-'Power Market Assumptions'!I$23-$M32+1)/($N32-$M32+1))))</f>
        <v/>
      </c>
    </row>
    <row r="33" ht="15" customHeight="1">
      <c r="A33" s="3" t="n"/>
      <c r="B33" s="3" t="inlineStr">
        <is>
          <t>P028</t>
        </is>
      </c>
      <c r="C33" s="3" t="inlineStr">
        <is>
          <t>2025-07</t>
        </is>
      </c>
      <c r="D33" s="3" t="inlineStr">
        <is>
          <t>Google</t>
        </is>
      </c>
      <c r="E33" s="3" t="inlineStr">
        <is>
          <t>Brookfield: remaining hydro framework</t>
        </is>
      </c>
      <c r="F33" s="3" t="inlineStr">
        <is>
          <t>US unallocated</t>
        </is>
      </c>
      <c r="G33" s="3" t="inlineStr">
        <is>
          <t>Framework</t>
        </is>
      </c>
      <c r="H33" s="3" t="inlineStr">
        <is>
          <t>Hydro</t>
        </is>
      </c>
      <c r="I33" s="164" t="n">
        <v>2335</v>
      </c>
      <c r="J33" s="3" t="inlineStr">
        <is>
          <t>MW</t>
        </is>
      </c>
      <c r="K33" s="27" t="n"/>
      <c r="L33" s="161" t="n">
        <v>0</v>
      </c>
      <c r="M33" s="161" t="n">
        <v>2035</v>
      </c>
      <c r="N33" s="161" t="n">
        <v>2035</v>
      </c>
      <c r="O33" s="158" t="n">
        <v>0</v>
      </c>
      <c r="P33" s="161" t="n">
        <v>0</v>
      </c>
      <c r="Q33" s="3" t="inlineStr">
        <is>
          <t>S018</t>
        </is>
      </c>
      <c r="R33" s="264">
        <f>IF(OR($K33="",$L33=0),0,$K33*$L33*$O33*VLOOKUP($H33,'Power Market Assumptions'!$B$41:$D$52,3,FALSE)*MAX(0,MIN(1,(R$5-'Power Market Assumptions'!D$23-$M33+1)/($N33-$M33+1))))</f>
        <v/>
      </c>
      <c r="S33" s="264">
        <f>IF(OR($K33="",$L33=0),0,$K33*$L33*$O33*VLOOKUP($H33,'Power Market Assumptions'!$B$41:$D$52,3,FALSE)*MAX(0,MIN(1,(S$5-'Power Market Assumptions'!E$23-$M33+1)/($N33-$M33+1))))</f>
        <v/>
      </c>
      <c r="T33" s="264">
        <f>IF(OR($K33="",$L33=0),0,$K33*$L33*$O33*VLOOKUP($H33,'Power Market Assumptions'!$B$41:$D$52,3,FALSE)*MAX(0,MIN(1,(T$5-'Power Market Assumptions'!F$23-$M33+1)/($N33-$M33+1))))</f>
        <v/>
      </c>
      <c r="U33" s="264">
        <f>IF(OR($K33="",$L33=0),0,$K33*$L33*$O33*VLOOKUP($H33,'Power Market Assumptions'!$B$41:$D$52,3,FALSE)*MAX(0,MIN(1,(U$5-'Power Market Assumptions'!G$23-$M33+1)/($N33-$M33+1))))</f>
        <v/>
      </c>
      <c r="V33" s="264">
        <f>IF(OR($K33="",$L33=0),0,$K33*$L33*$O33*VLOOKUP($H33,'Power Market Assumptions'!$B$41:$D$52,3,FALSE)*MAX(0,MIN(1,(V$5-'Power Market Assumptions'!H$23-$M33+1)/($N33-$M33+1))))</f>
        <v/>
      </c>
      <c r="W33" s="264">
        <f>IF(OR($K33="",$L33=0),0,$K33*$L33*$O33*VLOOKUP($H33,'Power Market Assumptions'!$B$41:$D$52,3,FALSE)*MAX(0,MIN(1,(W$5-'Power Market Assumptions'!I$23-$M33+1)/($N33-$M33+1))))</f>
        <v/>
      </c>
    </row>
    <row r="34" ht="15" customHeight="1">
      <c r="A34" s="3" t="n"/>
      <c r="B34" s="3" t="inlineStr">
        <is>
          <t>P029</t>
        </is>
      </c>
      <c r="C34" s="3" t="inlineStr">
        <is>
          <t>2024-05</t>
        </is>
      </c>
      <c r="D34" s="3" t="inlineStr">
        <is>
          <t>Microsoft</t>
        </is>
      </c>
      <c r="E34" s="3" t="inlineStr">
        <is>
          <t>Brookfield: global renewables framework</t>
        </is>
      </c>
      <c r="F34" s="3" t="inlineStr">
        <is>
          <t>US / Europe unallocated</t>
        </is>
      </c>
      <c r="G34" s="3" t="inlineStr">
        <is>
          <t>Framework</t>
        </is>
      </c>
      <c r="H34" s="3" t="inlineStr">
        <is>
          <t>Mixed renewables</t>
        </is>
      </c>
      <c r="I34" s="164" t="n">
        <v>10500</v>
      </c>
      <c r="J34" s="3" t="inlineStr">
        <is>
          <t>MW</t>
        </is>
      </c>
      <c r="K34" s="27" t="n"/>
      <c r="L34" s="161" t="n">
        <v>0</v>
      </c>
      <c r="M34" s="161" t="n">
        <v>2026</v>
      </c>
      <c r="N34" s="161" t="n">
        <v>2030</v>
      </c>
      <c r="O34" s="158" t="n">
        <v>0</v>
      </c>
      <c r="P34" s="161" t="n">
        <v>0</v>
      </c>
      <c r="Q34" s="3" t="inlineStr">
        <is>
          <t>S019</t>
        </is>
      </c>
      <c r="R34" s="264">
        <f>IF(OR($K34="",$L34=0),0,$K34*$L34*$O34*VLOOKUP($H34,'Power Market Assumptions'!$B$41:$D$52,3,FALSE)*MAX(0,MIN(1,(R$5-'Power Market Assumptions'!D$23-$M34+1)/($N34-$M34+1))))</f>
        <v/>
      </c>
      <c r="S34" s="264">
        <f>IF(OR($K34="",$L34=0),0,$K34*$L34*$O34*VLOOKUP($H34,'Power Market Assumptions'!$B$41:$D$52,3,FALSE)*MAX(0,MIN(1,(S$5-'Power Market Assumptions'!E$23-$M34+1)/($N34-$M34+1))))</f>
        <v/>
      </c>
      <c r="T34" s="264">
        <f>IF(OR($K34="",$L34=0),0,$K34*$L34*$O34*VLOOKUP($H34,'Power Market Assumptions'!$B$41:$D$52,3,FALSE)*MAX(0,MIN(1,(T$5-'Power Market Assumptions'!F$23-$M34+1)/($N34-$M34+1))))</f>
        <v/>
      </c>
      <c r="U34" s="264">
        <f>IF(OR($K34="",$L34=0),0,$K34*$L34*$O34*VLOOKUP($H34,'Power Market Assumptions'!$B$41:$D$52,3,FALSE)*MAX(0,MIN(1,(U$5-'Power Market Assumptions'!G$23-$M34+1)/($N34-$M34+1))))</f>
        <v/>
      </c>
      <c r="V34" s="264">
        <f>IF(OR($K34="",$L34=0),0,$K34*$L34*$O34*VLOOKUP($H34,'Power Market Assumptions'!$B$41:$D$52,3,FALSE)*MAX(0,MIN(1,(V$5-'Power Market Assumptions'!H$23-$M34+1)/($N34-$M34+1))))</f>
        <v/>
      </c>
      <c r="W34" s="264">
        <f>IF(OR($K34="",$L34=0),0,$K34*$L34*$O34*VLOOKUP($H34,'Power Market Assumptions'!$B$41:$D$52,3,FALSE)*MAX(0,MIN(1,(W$5-'Power Market Assumptions'!I$23-$M34+1)/($N34-$M34+1))))</f>
        <v/>
      </c>
    </row>
    <row r="35" ht="15" customHeight="1">
      <c r="A35" s="3" t="n"/>
      <c r="B35" s="3" t="inlineStr">
        <is>
          <t>P030</t>
        </is>
      </c>
      <c r="C35" s="3" t="inlineStr">
        <is>
          <t>2025-08</t>
        </is>
      </c>
      <c r="D35" s="3" t="inlineStr">
        <is>
          <t>Meta</t>
        </is>
      </c>
      <c r="E35" s="3" t="inlineStr">
        <is>
          <t>Entergy: three Louisiana gas plants</t>
        </is>
      </c>
      <c r="F35" s="3" t="inlineStr">
        <is>
          <t>MISO</t>
        </is>
      </c>
      <c r="G35" s="3" t="inlineStr">
        <is>
          <t>Approved utility service</t>
        </is>
      </c>
      <c r="H35" s="3" t="inlineStr">
        <is>
          <t>Gas</t>
        </is>
      </c>
      <c r="I35" s="164" t="n">
        <v>2262</v>
      </c>
      <c r="J35" s="3" t="inlineStr">
        <is>
          <t>MW</t>
        </is>
      </c>
      <c r="K35" s="164" t="n">
        <v>2262</v>
      </c>
      <c r="L35" s="161" t="n">
        <v>1</v>
      </c>
      <c r="M35" s="161" t="n">
        <v>2028</v>
      </c>
      <c r="N35" s="161" t="n">
        <v>2029</v>
      </c>
      <c r="O35" s="158" t="n">
        <v>1</v>
      </c>
      <c r="P35" s="161" t="n">
        <v>0</v>
      </c>
      <c r="Q35" s="3" t="inlineStr">
        <is>
          <t>S020</t>
        </is>
      </c>
      <c r="R35" s="264">
        <f>IF(OR($K35="",$L35=0),0,$K35*$L35*$O35*VLOOKUP($H35,'Power Market Assumptions'!$B$41:$D$52,3,FALSE)*MAX(0,MIN(1,(R$5-'Power Market Assumptions'!D$23-$M35+1)/($N35-$M35+1))))</f>
        <v/>
      </c>
      <c r="S35" s="264">
        <f>IF(OR($K35="",$L35=0),0,$K35*$L35*$O35*VLOOKUP($H35,'Power Market Assumptions'!$B$41:$D$52,3,FALSE)*MAX(0,MIN(1,(S$5-'Power Market Assumptions'!E$23-$M35+1)/($N35-$M35+1))))</f>
        <v/>
      </c>
      <c r="T35" s="264">
        <f>IF(OR($K35="",$L35=0),0,$K35*$L35*$O35*VLOOKUP($H35,'Power Market Assumptions'!$B$41:$D$52,3,FALSE)*MAX(0,MIN(1,(T$5-'Power Market Assumptions'!F$23-$M35+1)/($N35-$M35+1))))</f>
        <v/>
      </c>
      <c r="U35" s="264">
        <f>IF(OR($K35="",$L35=0),0,$K35*$L35*$O35*VLOOKUP($H35,'Power Market Assumptions'!$B$41:$D$52,3,FALSE)*MAX(0,MIN(1,(U$5-'Power Market Assumptions'!G$23-$M35+1)/($N35-$M35+1))))</f>
        <v/>
      </c>
      <c r="V35" s="264">
        <f>IF(OR($K35="",$L35=0),0,$K35*$L35*$O35*VLOOKUP($H35,'Power Market Assumptions'!$B$41:$D$52,3,FALSE)*MAX(0,MIN(1,(V$5-'Power Market Assumptions'!H$23-$M35+1)/($N35-$M35+1))))</f>
        <v/>
      </c>
      <c r="W35" s="264">
        <f>IF(OR($K35="",$L35=0),0,$K35*$L35*$O35*VLOOKUP($H35,'Power Market Assumptions'!$B$41:$D$52,3,FALSE)*MAX(0,MIN(1,(W$5-'Power Market Assumptions'!I$23-$M35+1)/($N35-$M35+1))))</f>
        <v/>
      </c>
    </row>
    <row r="36" ht="15" customHeight="1">
      <c r="A36" s="3" t="n"/>
      <c r="B36" s="3" t="inlineStr">
        <is>
          <t>P031</t>
        </is>
      </c>
      <c r="C36" s="3" t="inlineStr">
        <is>
          <t>2026-03</t>
        </is>
      </c>
      <c r="D36" s="3" t="inlineStr">
        <is>
          <t>Meta</t>
        </is>
      </c>
      <c r="E36" s="3" t="inlineStr">
        <is>
          <t>Entergy: seven additional gas plants</t>
        </is>
      </c>
      <c r="F36" s="3" t="inlineStr">
        <is>
          <t>MISO</t>
        </is>
      </c>
      <c r="G36" s="3" t="inlineStr">
        <is>
          <t>Utility service / proposed</t>
        </is>
      </c>
      <c r="H36" s="3" t="inlineStr">
        <is>
          <t>Gas</t>
        </is>
      </c>
      <c r="I36" s="164" t="n">
        <v>5278</v>
      </c>
      <c r="J36" s="3" t="inlineStr">
        <is>
          <t>MW</t>
        </is>
      </c>
      <c r="K36" s="164" t="n">
        <v>5278</v>
      </c>
      <c r="L36" s="161" t="n">
        <v>1</v>
      </c>
      <c r="M36" s="161" t="n">
        <v>2030</v>
      </c>
      <c r="N36" s="161" t="n">
        <v>2031</v>
      </c>
      <c r="O36" s="158" t="n">
        <v>0.5</v>
      </c>
      <c r="P36" s="161" t="n">
        <v>0</v>
      </c>
      <c r="Q36" s="3" t="inlineStr">
        <is>
          <t>S021</t>
        </is>
      </c>
      <c r="R36" s="264">
        <f>IF(OR($K36="",$L36=0),0,$K36*$L36*$O36*VLOOKUP($H36,'Power Market Assumptions'!$B$41:$D$52,3,FALSE)*MAX(0,MIN(1,(R$5-'Power Market Assumptions'!D$23-$M36+1)/($N36-$M36+1))))</f>
        <v/>
      </c>
      <c r="S36" s="264">
        <f>IF(OR($K36="",$L36=0),0,$K36*$L36*$O36*VLOOKUP($H36,'Power Market Assumptions'!$B$41:$D$52,3,FALSE)*MAX(0,MIN(1,(S$5-'Power Market Assumptions'!E$23-$M36+1)/($N36-$M36+1))))</f>
        <v/>
      </c>
      <c r="T36" s="264">
        <f>IF(OR($K36="",$L36=0),0,$K36*$L36*$O36*VLOOKUP($H36,'Power Market Assumptions'!$B$41:$D$52,3,FALSE)*MAX(0,MIN(1,(T$5-'Power Market Assumptions'!F$23-$M36+1)/($N36-$M36+1))))</f>
        <v/>
      </c>
      <c r="U36" s="264">
        <f>IF(OR($K36="",$L36=0),0,$K36*$L36*$O36*VLOOKUP($H36,'Power Market Assumptions'!$B$41:$D$52,3,FALSE)*MAX(0,MIN(1,(U$5-'Power Market Assumptions'!G$23-$M36+1)/($N36-$M36+1))))</f>
        <v/>
      </c>
      <c r="V36" s="264">
        <f>IF(OR($K36="",$L36=0),0,$K36*$L36*$O36*VLOOKUP($H36,'Power Market Assumptions'!$B$41:$D$52,3,FALSE)*MAX(0,MIN(1,(V$5-'Power Market Assumptions'!H$23-$M36+1)/($N36-$M36+1))))</f>
        <v/>
      </c>
      <c r="W36" s="264">
        <f>IF(OR($K36="",$L36=0),0,$K36*$L36*$O36*VLOOKUP($H36,'Power Market Assumptions'!$B$41:$D$52,3,FALSE)*MAX(0,MIN(1,(W$5-'Power Market Assumptions'!I$23-$M36+1)/($N36-$M36+1))))</f>
        <v/>
      </c>
    </row>
    <row r="37" ht="15" customHeight="1">
      <c r="A37" s="3" t="n"/>
      <c r="B37" s="3" t="inlineStr">
        <is>
          <t>P032</t>
        </is>
      </c>
      <c r="C37" s="3" t="inlineStr">
        <is>
          <t>2026-03</t>
        </is>
      </c>
      <c r="D37" s="3" t="inlineStr">
        <is>
          <t>Meta</t>
        </is>
      </c>
      <c r="E37" s="3" t="inlineStr">
        <is>
          <t>Entergy: additional solar procurement</t>
        </is>
      </c>
      <c r="F37" s="3" t="inlineStr">
        <is>
          <t>MISO</t>
        </is>
      </c>
      <c r="G37" s="3" t="inlineStr">
        <is>
          <t>Procurement support / RFP</t>
        </is>
      </c>
      <c r="H37" s="3" t="inlineStr">
        <is>
          <t>Solar</t>
        </is>
      </c>
      <c r="I37" s="164" t="n">
        <v>2500</v>
      </c>
      <c r="J37" s="3" t="inlineStr">
        <is>
          <t>MW</t>
        </is>
      </c>
      <c r="K37" s="164" t="n">
        <v>2500</v>
      </c>
      <c r="L37" s="161" t="n">
        <v>0</v>
      </c>
      <c r="M37" s="161" t="n">
        <v>2030</v>
      </c>
      <c r="N37" s="161" t="n">
        <v>2031</v>
      </c>
      <c r="O37" s="158" t="n">
        <v>0</v>
      </c>
      <c r="P37" s="161" t="n">
        <v>0</v>
      </c>
      <c r="Q37" s="3" t="inlineStr">
        <is>
          <t>S022</t>
        </is>
      </c>
      <c r="R37" s="264">
        <f>IF(OR($K37="",$L37=0),0,$K37*$L37*$O37*VLOOKUP($H37,'Power Market Assumptions'!$B$41:$D$52,3,FALSE)*MAX(0,MIN(1,(R$5-'Power Market Assumptions'!D$23-$M37+1)/($N37-$M37+1))))</f>
        <v/>
      </c>
      <c r="S37" s="264">
        <f>IF(OR($K37="",$L37=0),0,$K37*$L37*$O37*VLOOKUP($H37,'Power Market Assumptions'!$B$41:$D$52,3,FALSE)*MAX(0,MIN(1,(S$5-'Power Market Assumptions'!E$23-$M37+1)/($N37-$M37+1))))</f>
        <v/>
      </c>
      <c r="T37" s="264">
        <f>IF(OR($K37="",$L37=0),0,$K37*$L37*$O37*VLOOKUP($H37,'Power Market Assumptions'!$B$41:$D$52,3,FALSE)*MAX(0,MIN(1,(T$5-'Power Market Assumptions'!F$23-$M37+1)/($N37-$M37+1))))</f>
        <v/>
      </c>
      <c r="U37" s="264">
        <f>IF(OR($K37="",$L37=0),0,$K37*$L37*$O37*VLOOKUP($H37,'Power Market Assumptions'!$B$41:$D$52,3,FALSE)*MAX(0,MIN(1,(U$5-'Power Market Assumptions'!G$23-$M37+1)/($N37-$M37+1))))</f>
        <v/>
      </c>
      <c r="V37" s="264">
        <f>IF(OR($K37="",$L37=0),0,$K37*$L37*$O37*VLOOKUP($H37,'Power Market Assumptions'!$B$41:$D$52,3,FALSE)*MAX(0,MIN(1,(V$5-'Power Market Assumptions'!H$23-$M37+1)/($N37-$M37+1))))</f>
        <v/>
      </c>
      <c r="W37" s="264">
        <f>IF(OR($K37="",$L37=0),0,$K37*$L37*$O37*VLOOKUP($H37,'Power Market Assumptions'!$B$41:$D$52,3,FALSE)*MAX(0,MIN(1,(W$5-'Power Market Assumptions'!I$23-$M37+1)/($N37-$M37+1))))</f>
        <v/>
      </c>
    </row>
    <row r="38" ht="15" customHeight="1">
      <c r="A38" s="3" t="n"/>
      <c r="B38" s="3" t="inlineStr">
        <is>
          <t>P033</t>
        </is>
      </c>
      <c r="C38" s="3" t="inlineStr">
        <is>
          <t>2026-04</t>
        </is>
      </c>
      <c r="D38" s="3" t="inlineStr">
        <is>
          <t>Oracle</t>
        </is>
      </c>
      <c r="E38" s="3" t="inlineStr">
        <is>
          <t>Bloom: contracted fuel cells</t>
        </is>
      </c>
      <c r="F38" s="3" t="inlineStr">
        <is>
          <t>US unallocated</t>
        </is>
      </c>
      <c r="G38" s="3" t="inlineStr">
        <is>
          <t>Equipment / deployment order</t>
        </is>
      </c>
      <c r="H38" s="3" t="inlineStr">
        <is>
          <t>Fuel cells</t>
        </is>
      </c>
      <c r="I38" s="164" t="n">
        <v>1200</v>
      </c>
      <c r="J38" s="3" t="inlineStr">
        <is>
          <t>MW</t>
        </is>
      </c>
      <c r="K38" s="164" t="n">
        <v>1200</v>
      </c>
      <c r="L38" s="161" t="n">
        <v>1</v>
      </c>
      <c r="M38" s="161" t="n">
        <v>2026</v>
      </c>
      <c r="N38" s="161" t="n">
        <v>2027</v>
      </c>
      <c r="O38" s="158" t="n">
        <v>1</v>
      </c>
      <c r="P38" s="161" t="n">
        <v>0</v>
      </c>
      <c r="Q38" s="3" t="inlineStr">
        <is>
          <t>S023</t>
        </is>
      </c>
      <c r="R38" s="264">
        <f>IF(OR($K38="",$L38=0),0,$K38*$L38*$O38*VLOOKUP($H38,'Power Market Assumptions'!$B$41:$D$52,3,FALSE)*MAX(0,MIN(1,(R$5-'Power Market Assumptions'!D$23-$M38+1)/($N38-$M38+1))))</f>
        <v/>
      </c>
      <c r="S38" s="264">
        <f>IF(OR($K38="",$L38=0),0,$K38*$L38*$O38*VLOOKUP($H38,'Power Market Assumptions'!$B$41:$D$52,3,FALSE)*MAX(0,MIN(1,(S$5-'Power Market Assumptions'!E$23-$M38+1)/($N38-$M38+1))))</f>
        <v/>
      </c>
      <c r="T38" s="264">
        <f>IF(OR($K38="",$L38=0),0,$K38*$L38*$O38*VLOOKUP($H38,'Power Market Assumptions'!$B$41:$D$52,3,FALSE)*MAX(0,MIN(1,(T$5-'Power Market Assumptions'!F$23-$M38+1)/($N38-$M38+1))))</f>
        <v/>
      </c>
      <c r="U38" s="264">
        <f>IF(OR($K38="",$L38=0),0,$K38*$L38*$O38*VLOOKUP($H38,'Power Market Assumptions'!$B$41:$D$52,3,FALSE)*MAX(0,MIN(1,(U$5-'Power Market Assumptions'!G$23-$M38+1)/($N38-$M38+1))))</f>
        <v/>
      </c>
      <c r="V38" s="264">
        <f>IF(OR($K38="",$L38=0),0,$K38*$L38*$O38*VLOOKUP($H38,'Power Market Assumptions'!$B$41:$D$52,3,FALSE)*MAX(0,MIN(1,(V$5-'Power Market Assumptions'!H$23-$M38+1)/($N38-$M38+1))))</f>
        <v/>
      </c>
      <c r="W38" s="264">
        <f>IF(OR($K38="",$L38=0),0,$K38*$L38*$O38*VLOOKUP($H38,'Power Market Assumptions'!$B$41:$D$52,3,FALSE)*MAX(0,MIN(1,(W$5-'Power Market Assumptions'!I$23-$M38+1)/($N38-$M38+1))))</f>
        <v/>
      </c>
    </row>
    <row r="39" ht="15" customHeight="1">
      <c r="A39" s="3" t="n"/>
      <c r="B39" s="3" t="inlineStr">
        <is>
          <t>P034</t>
        </is>
      </c>
      <c r="C39" s="3" t="inlineStr">
        <is>
          <t>2026-04</t>
        </is>
      </c>
      <c r="D39" s="3" t="inlineStr">
        <is>
          <t>Oracle</t>
        </is>
      </c>
      <c r="E39" s="3" t="inlineStr">
        <is>
          <t>Bloom: remaining framework</t>
        </is>
      </c>
      <c r="F39" s="3" t="inlineStr">
        <is>
          <t>US unallocated</t>
        </is>
      </c>
      <c r="G39" s="3" t="inlineStr">
        <is>
          <t>Option</t>
        </is>
      </c>
      <c r="H39" s="3" t="inlineStr">
        <is>
          <t>Fuel cells</t>
        </is>
      </c>
      <c r="I39" s="164" t="n">
        <v>1600</v>
      </c>
      <c r="J39" s="3" t="inlineStr">
        <is>
          <t>MW</t>
        </is>
      </c>
      <c r="K39" s="164" t="n">
        <v>1600</v>
      </c>
      <c r="L39" s="161" t="n">
        <v>0</v>
      </c>
      <c r="M39" s="161" t="n">
        <v>2028</v>
      </c>
      <c r="N39" s="161" t="n">
        <v>2028</v>
      </c>
      <c r="O39" s="158" t="n">
        <v>0</v>
      </c>
      <c r="P39" s="161" t="n">
        <v>0</v>
      </c>
      <c r="Q39" s="3" t="inlineStr">
        <is>
          <t>S023</t>
        </is>
      </c>
      <c r="R39" s="264">
        <f>IF(OR($K39="",$L39=0),0,$K39*$L39*$O39*VLOOKUP($H39,'Power Market Assumptions'!$B$41:$D$52,3,FALSE)*MAX(0,MIN(1,(R$5-'Power Market Assumptions'!D$23-$M39+1)/($N39-$M39+1))))</f>
        <v/>
      </c>
      <c r="S39" s="264">
        <f>IF(OR($K39="",$L39=0),0,$K39*$L39*$O39*VLOOKUP($H39,'Power Market Assumptions'!$B$41:$D$52,3,FALSE)*MAX(0,MIN(1,(S$5-'Power Market Assumptions'!E$23-$M39+1)/($N39-$M39+1))))</f>
        <v/>
      </c>
      <c r="T39" s="264">
        <f>IF(OR($K39="",$L39=0),0,$K39*$L39*$O39*VLOOKUP($H39,'Power Market Assumptions'!$B$41:$D$52,3,FALSE)*MAX(0,MIN(1,(T$5-'Power Market Assumptions'!F$23-$M39+1)/($N39-$M39+1))))</f>
        <v/>
      </c>
      <c r="U39" s="264">
        <f>IF(OR($K39="",$L39=0),0,$K39*$L39*$O39*VLOOKUP($H39,'Power Market Assumptions'!$B$41:$D$52,3,FALSE)*MAX(0,MIN(1,(U$5-'Power Market Assumptions'!G$23-$M39+1)/($N39-$M39+1))))</f>
        <v/>
      </c>
      <c r="V39" s="264">
        <f>IF(OR($K39="",$L39=0),0,$K39*$L39*$O39*VLOOKUP($H39,'Power Market Assumptions'!$B$41:$D$52,3,FALSE)*MAX(0,MIN(1,(V$5-'Power Market Assumptions'!H$23-$M39+1)/($N39-$M39+1))))</f>
        <v/>
      </c>
      <c r="W39" s="264">
        <f>IF(OR($K39="",$L39=0),0,$K39*$L39*$O39*VLOOKUP($H39,'Power Market Assumptions'!$B$41:$D$52,3,FALSE)*MAX(0,MIN(1,(W$5-'Power Market Assumptions'!I$23-$M39+1)/($N39-$M39+1))))</f>
        <v/>
      </c>
    </row>
    <row r="40" ht="15" customHeight="1">
      <c r="A40" s="3" t="n"/>
      <c r="B40" s="3" t="inlineStr">
        <is>
          <t>P035</t>
        </is>
      </c>
      <c r="C40" s="3" t="inlineStr">
        <is>
          <t>2025-07</t>
        </is>
      </c>
      <c r="D40" s="3" t="inlineStr">
        <is>
          <t>Crusoe</t>
        </is>
      </c>
      <c r="E40" s="3" t="inlineStr">
        <is>
          <t>GE Vernova: 29 LM2500XPRESS</t>
        </is>
      </c>
      <c r="F40" s="3" t="inlineStr">
        <is>
          <t>US unallocated</t>
        </is>
      </c>
      <c r="G40" s="3" t="inlineStr">
        <is>
          <t>Equipment order</t>
        </is>
      </c>
      <c r="H40" s="3" t="inlineStr">
        <is>
          <t>Gas</t>
        </is>
      </c>
      <c r="I40" s="164" t="n">
        <v>1000</v>
      </c>
      <c r="J40" s="3" t="inlineStr">
        <is>
          <t>Approximate MW</t>
        </is>
      </c>
      <c r="K40" s="164" t="n">
        <v>1000</v>
      </c>
      <c r="L40" s="161" t="n">
        <v>1</v>
      </c>
      <c r="M40" s="161" t="n">
        <v>2026</v>
      </c>
      <c r="N40" s="161" t="n">
        <v>2027</v>
      </c>
      <c r="O40" s="158" t="n">
        <v>1</v>
      </c>
      <c r="P40" s="161" t="n">
        <v>0</v>
      </c>
      <c r="Q40" s="3" t="inlineStr">
        <is>
          <t>S024</t>
        </is>
      </c>
      <c r="R40" s="264">
        <f>IF(OR($K40="",$L40=0),0,$K40*$L40*$O40*VLOOKUP($H40,'Power Market Assumptions'!$B$41:$D$52,3,FALSE)*MAX(0,MIN(1,(R$5-'Power Market Assumptions'!D$23-$M40+1)/($N40-$M40+1))))</f>
        <v/>
      </c>
      <c r="S40" s="264">
        <f>IF(OR($K40="",$L40=0),0,$K40*$L40*$O40*VLOOKUP($H40,'Power Market Assumptions'!$B$41:$D$52,3,FALSE)*MAX(0,MIN(1,(S$5-'Power Market Assumptions'!E$23-$M40+1)/($N40-$M40+1))))</f>
        <v/>
      </c>
      <c r="T40" s="264">
        <f>IF(OR($K40="",$L40=0),0,$K40*$L40*$O40*VLOOKUP($H40,'Power Market Assumptions'!$B$41:$D$52,3,FALSE)*MAX(0,MIN(1,(T$5-'Power Market Assumptions'!F$23-$M40+1)/($N40-$M40+1))))</f>
        <v/>
      </c>
      <c r="U40" s="264">
        <f>IF(OR($K40="",$L40=0),0,$K40*$L40*$O40*VLOOKUP($H40,'Power Market Assumptions'!$B$41:$D$52,3,FALSE)*MAX(0,MIN(1,(U$5-'Power Market Assumptions'!G$23-$M40+1)/($N40-$M40+1))))</f>
        <v/>
      </c>
      <c r="V40" s="264">
        <f>IF(OR($K40="",$L40=0),0,$K40*$L40*$O40*VLOOKUP($H40,'Power Market Assumptions'!$B$41:$D$52,3,FALSE)*MAX(0,MIN(1,(V$5-'Power Market Assumptions'!H$23-$M40+1)/($N40-$M40+1))))</f>
        <v/>
      </c>
      <c r="W40" s="264">
        <f>IF(OR($K40="",$L40=0),0,$K40*$L40*$O40*VLOOKUP($H40,'Power Market Assumptions'!$B$41:$D$52,3,FALSE)*MAX(0,MIN(1,(W$5-'Power Market Assumptions'!I$23-$M40+1)/($N40-$M40+1))))</f>
        <v/>
      </c>
    </row>
    <row r="41" ht="15" customHeight="1">
      <c r="A41" s="3" t="n"/>
      <c r="B41" s="3" t="inlineStr">
        <is>
          <t>P036</t>
        </is>
      </c>
      <c r="C41" s="3" t="inlineStr">
        <is>
          <t>2026-06</t>
        </is>
      </c>
      <c r="D41" s="3" t="inlineStr">
        <is>
          <t>Crusoe</t>
        </is>
      </c>
      <c r="E41" s="3" t="inlineStr">
        <is>
          <t>Bergen: initial contracted gensets</t>
        </is>
      </c>
      <c r="F41" s="3" t="inlineStr">
        <is>
          <t>US unallocated</t>
        </is>
      </c>
      <c r="G41" s="3" t="inlineStr">
        <is>
          <t>Equipment order</t>
        </is>
      </c>
      <c r="H41" s="3" t="inlineStr">
        <is>
          <t>Gas</t>
        </is>
      </c>
      <c r="I41" s="164" t="n">
        <v>438</v>
      </c>
      <c r="J41" s="3" t="inlineStr">
        <is>
          <t>MW</t>
        </is>
      </c>
      <c r="K41" s="164" t="n">
        <v>438</v>
      </c>
      <c r="L41" s="161" t="n">
        <v>1</v>
      </c>
      <c r="M41" s="161" t="n">
        <v>2026</v>
      </c>
      <c r="N41" s="161" t="n">
        <v>2027</v>
      </c>
      <c r="O41" s="158" t="n">
        <v>1</v>
      </c>
      <c r="P41" s="161" t="n">
        <v>0</v>
      </c>
      <c r="Q41" s="3" t="inlineStr">
        <is>
          <t>S025</t>
        </is>
      </c>
      <c r="R41" s="264">
        <f>IF(OR($K41="",$L41=0),0,$K41*$L41*$O41*VLOOKUP($H41,'Power Market Assumptions'!$B$41:$D$52,3,FALSE)*MAX(0,MIN(1,(R$5-'Power Market Assumptions'!D$23-$M41+1)/($N41-$M41+1))))</f>
        <v/>
      </c>
      <c r="S41" s="264">
        <f>IF(OR($K41="",$L41=0),0,$K41*$L41*$O41*VLOOKUP($H41,'Power Market Assumptions'!$B$41:$D$52,3,FALSE)*MAX(0,MIN(1,(S$5-'Power Market Assumptions'!E$23-$M41+1)/($N41-$M41+1))))</f>
        <v/>
      </c>
      <c r="T41" s="264">
        <f>IF(OR($K41="",$L41=0),0,$K41*$L41*$O41*VLOOKUP($H41,'Power Market Assumptions'!$B$41:$D$52,3,FALSE)*MAX(0,MIN(1,(T$5-'Power Market Assumptions'!F$23-$M41+1)/($N41-$M41+1))))</f>
        <v/>
      </c>
      <c r="U41" s="264">
        <f>IF(OR($K41="",$L41=0),0,$K41*$L41*$O41*VLOOKUP($H41,'Power Market Assumptions'!$B$41:$D$52,3,FALSE)*MAX(0,MIN(1,(U$5-'Power Market Assumptions'!G$23-$M41+1)/($N41-$M41+1))))</f>
        <v/>
      </c>
      <c r="V41" s="264">
        <f>IF(OR($K41="",$L41=0),0,$K41*$L41*$O41*VLOOKUP($H41,'Power Market Assumptions'!$B$41:$D$52,3,FALSE)*MAX(0,MIN(1,(V$5-'Power Market Assumptions'!H$23-$M41+1)/($N41-$M41+1))))</f>
        <v/>
      </c>
      <c r="W41" s="264">
        <f>IF(OR($K41="",$L41=0),0,$K41*$L41*$O41*VLOOKUP($H41,'Power Market Assumptions'!$B$41:$D$52,3,FALSE)*MAX(0,MIN(1,(W$5-'Power Market Assumptions'!I$23-$M41+1)/($N41-$M41+1))))</f>
        <v/>
      </c>
    </row>
    <row r="42" ht="15" customHeight="1">
      <c r="A42" s="3" t="n"/>
      <c r="B42" s="3" t="inlineStr">
        <is>
          <t>P037</t>
        </is>
      </c>
      <c r="C42" s="3" t="inlineStr">
        <is>
          <t>2026-06</t>
        </is>
      </c>
      <c r="D42" s="3" t="inlineStr">
        <is>
          <t>Crusoe</t>
        </is>
      </c>
      <c r="E42" s="3" t="inlineStr">
        <is>
          <t>Bergen: remaining LOI</t>
        </is>
      </c>
      <c r="F42" s="3" t="inlineStr">
        <is>
          <t>US unallocated</t>
        </is>
      </c>
      <c r="G42" s="3" t="inlineStr">
        <is>
          <t>LOI</t>
        </is>
      </c>
      <c r="H42" s="3" t="inlineStr">
        <is>
          <t>Gas</t>
        </is>
      </c>
      <c r="I42" s="164" t="n">
        <v>310</v>
      </c>
      <c r="J42" s="3" t="inlineStr">
        <is>
          <t>MW</t>
        </is>
      </c>
      <c r="K42" s="164" t="n">
        <v>310</v>
      </c>
      <c r="L42" s="161" t="n">
        <v>0</v>
      </c>
      <c r="M42" s="161" t="n">
        <v>2028</v>
      </c>
      <c r="N42" s="161" t="n">
        <v>2028</v>
      </c>
      <c r="O42" s="158" t="n">
        <v>0</v>
      </c>
      <c r="P42" s="161" t="n">
        <v>0</v>
      </c>
      <c r="Q42" s="3" t="inlineStr">
        <is>
          <t>S025</t>
        </is>
      </c>
      <c r="R42" s="264">
        <f>IF(OR($K42="",$L42=0),0,$K42*$L42*$O42*VLOOKUP($H42,'Power Market Assumptions'!$B$41:$D$52,3,FALSE)*MAX(0,MIN(1,(R$5-'Power Market Assumptions'!D$23-$M42+1)/($N42-$M42+1))))</f>
        <v/>
      </c>
      <c r="S42" s="264">
        <f>IF(OR($K42="",$L42=0),0,$K42*$L42*$O42*VLOOKUP($H42,'Power Market Assumptions'!$B$41:$D$52,3,FALSE)*MAX(0,MIN(1,(S$5-'Power Market Assumptions'!E$23-$M42+1)/($N42-$M42+1))))</f>
        <v/>
      </c>
      <c r="T42" s="264">
        <f>IF(OR($K42="",$L42=0),0,$K42*$L42*$O42*VLOOKUP($H42,'Power Market Assumptions'!$B$41:$D$52,3,FALSE)*MAX(0,MIN(1,(T$5-'Power Market Assumptions'!F$23-$M42+1)/($N42-$M42+1))))</f>
        <v/>
      </c>
      <c r="U42" s="264">
        <f>IF(OR($K42="",$L42=0),0,$K42*$L42*$O42*VLOOKUP($H42,'Power Market Assumptions'!$B$41:$D$52,3,FALSE)*MAX(0,MIN(1,(U$5-'Power Market Assumptions'!G$23-$M42+1)/($N42-$M42+1))))</f>
        <v/>
      </c>
      <c r="V42" s="264">
        <f>IF(OR($K42="",$L42=0),0,$K42*$L42*$O42*VLOOKUP($H42,'Power Market Assumptions'!$B$41:$D$52,3,FALSE)*MAX(0,MIN(1,(V$5-'Power Market Assumptions'!H$23-$M42+1)/($N42-$M42+1))))</f>
        <v/>
      </c>
      <c r="W42" s="264">
        <f>IF(OR($K42="",$L42=0),0,$K42*$L42*$O42*VLOOKUP($H42,'Power Market Assumptions'!$B$41:$D$52,3,FALSE)*MAX(0,MIN(1,(W$5-'Power Market Assumptions'!I$23-$M42+1)/($N42-$M42+1))))</f>
        <v/>
      </c>
    </row>
    <row r="43" ht="15" customHeight="1">
      <c r="A43" s="3" t="n"/>
      <c r="B43" s="3" t="inlineStr">
        <is>
          <t>P038</t>
        </is>
      </c>
      <c r="C43" s="3" t="inlineStr">
        <is>
          <t>2025-10</t>
        </is>
      </c>
      <c r="D43" s="3" t="inlineStr">
        <is>
          <t>Crusoe</t>
        </is>
      </c>
      <c r="E43" s="3" t="inlineStr">
        <is>
          <t>Blue Energy: Port Victoria site</t>
        </is>
      </c>
      <c r="F43" s="3" t="inlineStr">
        <is>
          <t>Texas RE-ERCOT</t>
        </is>
      </c>
      <c r="G43" s="3" t="inlineStr">
        <is>
          <t>Framework</t>
        </is>
      </c>
      <c r="H43" s="3" t="inlineStr">
        <is>
          <t>Advanced nuclear</t>
        </is>
      </c>
      <c r="I43" s="164" t="n">
        <v>1500</v>
      </c>
      <c r="J43" s="3" t="inlineStr">
        <is>
          <t>MW</t>
        </is>
      </c>
      <c r="K43" s="164" t="n">
        <v>1500</v>
      </c>
      <c r="L43" s="161" t="n">
        <v>0</v>
      </c>
      <c r="M43" s="161" t="n">
        <v>2031</v>
      </c>
      <c r="N43" s="161" t="n">
        <v>2031</v>
      </c>
      <c r="O43" s="158" t="n">
        <v>0</v>
      </c>
      <c r="P43" s="161" t="n">
        <v>0</v>
      </c>
      <c r="Q43" s="3" t="inlineStr">
        <is>
          <t>S026</t>
        </is>
      </c>
      <c r="R43" s="264">
        <f>IF(OR($K43="",$L43=0),0,$K43*$L43*$O43*VLOOKUP($H43,'Power Market Assumptions'!$B$41:$D$52,3,FALSE)*MAX(0,MIN(1,(R$5-'Power Market Assumptions'!D$23-$M43+1)/($N43-$M43+1))))</f>
        <v/>
      </c>
      <c r="S43" s="264">
        <f>IF(OR($K43="",$L43=0),0,$K43*$L43*$O43*VLOOKUP($H43,'Power Market Assumptions'!$B$41:$D$52,3,FALSE)*MAX(0,MIN(1,(S$5-'Power Market Assumptions'!E$23-$M43+1)/($N43-$M43+1))))</f>
        <v/>
      </c>
      <c r="T43" s="264">
        <f>IF(OR($K43="",$L43=0),0,$K43*$L43*$O43*VLOOKUP($H43,'Power Market Assumptions'!$B$41:$D$52,3,FALSE)*MAX(0,MIN(1,(T$5-'Power Market Assumptions'!F$23-$M43+1)/($N43-$M43+1))))</f>
        <v/>
      </c>
      <c r="U43" s="264">
        <f>IF(OR($K43="",$L43=0),0,$K43*$L43*$O43*VLOOKUP($H43,'Power Market Assumptions'!$B$41:$D$52,3,FALSE)*MAX(0,MIN(1,(U$5-'Power Market Assumptions'!G$23-$M43+1)/($N43-$M43+1))))</f>
        <v/>
      </c>
      <c r="V43" s="264">
        <f>IF(OR($K43="",$L43=0),0,$K43*$L43*$O43*VLOOKUP($H43,'Power Market Assumptions'!$B$41:$D$52,3,FALSE)*MAX(0,MIN(1,(V$5-'Power Market Assumptions'!H$23-$M43+1)/($N43-$M43+1))))</f>
        <v/>
      </c>
      <c r="W43" s="264">
        <f>IF(OR($K43="",$L43=0),0,$K43*$L43*$O43*VLOOKUP($H43,'Power Market Assumptions'!$B$41:$D$52,3,FALSE)*MAX(0,MIN(1,(W$5-'Power Market Assumptions'!I$23-$M43+1)/($N43-$M43+1))))</f>
        <v/>
      </c>
    </row>
    <row r="44" ht="15" customHeight="1">
      <c r="A44" s="3" t="n"/>
      <c r="B44" s="3" t="inlineStr">
        <is>
          <t>P039</t>
        </is>
      </c>
      <c r="C44" s="3" t="inlineStr">
        <is>
          <t>2026-07</t>
        </is>
      </c>
      <c r="D44" s="3" t="inlineStr">
        <is>
          <t>Undisclosed cloud customer</t>
        </is>
      </c>
      <c r="E44" s="3" t="inlineStr">
        <is>
          <t>FTAI: turbine initial order</t>
        </is>
      </c>
      <c r="F44" s="3" t="inlineStr">
        <is>
          <t>Geography undisclosed</t>
        </is>
      </c>
      <c r="G44" s="3" t="inlineStr">
        <is>
          <t>Equipment order</t>
        </is>
      </c>
      <c r="H44" s="3" t="inlineStr">
        <is>
          <t>Gas</t>
        </is>
      </c>
      <c r="I44" s="27" t="n"/>
      <c r="J44" s="3" t="inlineStr">
        <is>
          <t>MW undisclosed</t>
        </is>
      </c>
      <c r="K44" s="27" t="n"/>
      <c r="L44" s="161" t="n">
        <v>1</v>
      </c>
      <c r="M44" s="161" t="n">
        <v>2026</v>
      </c>
      <c r="N44" s="161" t="n">
        <v>2027</v>
      </c>
      <c r="O44" s="158" t="n">
        <v>1</v>
      </c>
      <c r="P44" s="161" t="n">
        <v>0</v>
      </c>
      <c r="Q44" s="3" t="inlineStr">
        <is>
          <t>S027</t>
        </is>
      </c>
      <c r="R44" s="264">
        <f>IF(OR($K44="",$L44=0),0,$K44*$L44*$O44*VLOOKUP($H44,'Power Market Assumptions'!$B$41:$D$52,3,FALSE)*MAX(0,MIN(1,(R$5-'Power Market Assumptions'!D$23-$M44+1)/($N44-$M44+1))))</f>
        <v/>
      </c>
      <c r="S44" s="264">
        <f>IF(OR($K44="",$L44=0),0,$K44*$L44*$O44*VLOOKUP($H44,'Power Market Assumptions'!$B$41:$D$52,3,FALSE)*MAX(0,MIN(1,(S$5-'Power Market Assumptions'!E$23-$M44+1)/($N44-$M44+1))))</f>
        <v/>
      </c>
      <c r="T44" s="264">
        <f>IF(OR($K44="",$L44=0),0,$K44*$L44*$O44*VLOOKUP($H44,'Power Market Assumptions'!$B$41:$D$52,3,FALSE)*MAX(0,MIN(1,(T$5-'Power Market Assumptions'!F$23-$M44+1)/($N44-$M44+1))))</f>
        <v/>
      </c>
      <c r="U44" s="264">
        <f>IF(OR($K44="",$L44=0),0,$K44*$L44*$O44*VLOOKUP($H44,'Power Market Assumptions'!$B$41:$D$52,3,FALSE)*MAX(0,MIN(1,(U$5-'Power Market Assumptions'!G$23-$M44+1)/($N44-$M44+1))))</f>
        <v/>
      </c>
      <c r="V44" s="264">
        <f>IF(OR($K44="",$L44=0),0,$K44*$L44*$O44*VLOOKUP($H44,'Power Market Assumptions'!$B$41:$D$52,3,FALSE)*MAX(0,MIN(1,(V$5-'Power Market Assumptions'!H$23-$M44+1)/($N44-$M44+1))))</f>
        <v/>
      </c>
      <c r="W44" s="264">
        <f>IF(OR($K44="",$L44=0),0,$K44*$L44*$O44*VLOOKUP($H44,'Power Market Assumptions'!$B$41:$D$52,3,FALSE)*MAX(0,MIN(1,(W$5-'Power Market Assumptions'!I$23-$M44+1)/($N44-$M44+1))))</f>
        <v/>
      </c>
    </row>
    <row r="45" ht="15" customHeight="1">
      <c r="A45" s="3" t="n"/>
      <c r="B45" s="3" t="inlineStr">
        <is>
          <t>P040</t>
        </is>
      </c>
      <c r="C45" s="3" t="inlineStr">
        <is>
          <t>2026-02</t>
        </is>
      </c>
      <c r="D45" s="3" t="inlineStr">
        <is>
          <t>Google</t>
        </is>
      </c>
      <c r="E45" s="3" t="inlineStr">
        <is>
          <t>TotalEnergies: Wichita / Mustang Creek</t>
        </is>
      </c>
      <c r="F45" s="3" t="inlineStr">
        <is>
          <t>Texas RE-ERCOT</t>
        </is>
      </c>
      <c r="G45" s="3" t="inlineStr">
        <is>
          <t>Signed PPA</t>
        </is>
      </c>
      <c r="H45" s="3" t="inlineStr">
        <is>
          <t>Solar</t>
        </is>
      </c>
      <c r="I45" s="164" t="n">
        <v>1000</v>
      </c>
      <c r="J45" s="3" t="inlineStr">
        <is>
          <t>MWp</t>
        </is>
      </c>
      <c r="K45" s="164" t="n">
        <v>769.2307692307692</v>
      </c>
      <c r="L45" s="161" t="n">
        <v>1</v>
      </c>
      <c r="M45" s="161" t="n">
        <v>2028</v>
      </c>
      <c r="N45" s="161" t="n">
        <v>2028</v>
      </c>
      <c r="O45" s="158" t="n">
        <v>1</v>
      </c>
      <c r="P45" s="161" t="n">
        <v>0</v>
      </c>
      <c r="Q45" s="3" t="inlineStr">
        <is>
          <t>S028</t>
        </is>
      </c>
      <c r="R45" s="264">
        <f>IF(OR($K45="",$L45=0),0,$K45*$L45*$O45*VLOOKUP($H45,'Power Market Assumptions'!$B$41:$D$52,3,FALSE)*MAX(0,MIN(1,(R$5-'Power Market Assumptions'!D$23-$M45+1)/($N45-$M45+1))))</f>
        <v/>
      </c>
      <c r="S45" s="264">
        <f>IF(OR($K45="",$L45=0),0,$K45*$L45*$O45*VLOOKUP($H45,'Power Market Assumptions'!$B$41:$D$52,3,FALSE)*MAX(0,MIN(1,(S$5-'Power Market Assumptions'!E$23-$M45+1)/($N45-$M45+1))))</f>
        <v/>
      </c>
      <c r="T45" s="264">
        <f>IF(OR($K45="",$L45=0),0,$K45*$L45*$O45*VLOOKUP($H45,'Power Market Assumptions'!$B$41:$D$52,3,FALSE)*MAX(0,MIN(1,(T$5-'Power Market Assumptions'!F$23-$M45+1)/($N45-$M45+1))))</f>
        <v/>
      </c>
      <c r="U45" s="264">
        <f>IF(OR($K45="",$L45=0),0,$K45*$L45*$O45*VLOOKUP($H45,'Power Market Assumptions'!$B$41:$D$52,3,FALSE)*MAX(0,MIN(1,(U$5-'Power Market Assumptions'!G$23-$M45+1)/($N45-$M45+1))))</f>
        <v/>
      </c>
      <c r="V45" s="264">
        <f>IF(OR($K45="",$L45=0),0,$K45*$L45*$O45*VLOOKUP($H45,'Power Market Assumptions'!$B$41:$D$52,3,FALSE)*MAX(0,MIN(1,(V$5-'Power Market Assumptions'!H$23-$M45+1)/($N45-$M45+1))))</f>
        <v/>
      </c>
      <c r="W45" s="264">
        <f>IF(OR($K45="",$L45=0),0,$K45*$L45*$O45*VLOOKUP($H45,'Power Market Assumptions'!$B$41:$D$52,3,FALSE)*MAX(0,MIN(1,(W$5-'Power Market Assumptions'!I$23-$M45+1)/($N45-$M45+1))))</f>
        <v/>
      </c>
    </row>
    <row r="46" ht="15" customHeight="1">
      <c r="A46" s="3" t="n"/>
      <c r="B46" s="3" t="inlineStr">
        <is>
          <t>P041</t>
        </is>
      </c>
      <c r="C46" s="3" t="inlineStr">
        <is>
          <t>2026-01</t>
        </is>
      </c>
      <c r="D46" s="3" t="inlineStr">
        <is>
          <t>Google</t>
        </is>
      </c>
      <c r="E46" s="3" t="inlineStr">
        <is>
          <t>Clearway: three-state portfolio</t>
        </is>
      </c>
      <c r="F46" s="3" t="inlineStr">
        <is>
          <t>US unallocated</t>
        </is>
      </c>
      <c r="G46" s="3" t="inlineStr">
        <is>
          <t>Signed PPA</t>
        </is>
      </c>
      <c r="H46" s="3" t="inlineStr">
        <is>
          <t>Mixed renewables</t>
        </is>
      </c>
      <c r="I46" s="164" t="n">
        <v>1170</v>
      </c>
      <c r="J46" s="3" t="inlineStr">
        <is>
          <t>MW</t>
        </is>
      </c>
      <c r="K46" s="164" t="n">
        <v>1170</v>
      </c>
      <c r="L46" s="161" t="n">
        <v>1</v>
      </c>
      <c r="M46" s="161" t="n">
        <v>2027</v>
      </c>
      <c r="N46" s="161" t="n">
        <v>2028</v>
      </c>
      <c r="O46" s="158" t="n">
        <v>1</v>
      </c>
      <c r="P46" s="161" t="n">
        <v>0</v>
      </c>
      <c r="Q46" s="3" t="inlineStr">
        <is>
          <t>S029</t>
        </is>
      </c>
      <c r="R46" s="264">
        <f>IF(OR($K46="",$L46=0),0,$K46*$L46*$O46*VLOOKUP($H46,'Power Market Assumptions'!$B$41:$D$52,3,FALSE)*MAX(0,MIN(1,(R$5-'Power Market Assumptions'!D$23-$M46+1)/($N46-$M46+1))))</f>
        <v/>
      </c>
      <c r="S46" s="264">
        <f>IF(OR($K46="",$L46=0),0,$K46*$L46*$O46*VLOOKUP($H46,'Power Market Assumptions'!$B$41:$D$52,3,FALSE)*MAX(0,MIN(1,(S$5-'Power Market Assumptions'!E$23-$M46+1)/($N46-$M46+1))))</f>
        <v/>
      </c>
      <c r="T46" s="264">
        <f>IF(OR($K46="",$L46=0),0,$K46*$L46*$O46*VLOOKUP($H46,'Power Market Assumptions'!$B$41:$D$52,3,FALSE)*MAX(0,MIN(1,(T$5-'Power Market Assumptions'!F$23-$M46+1)/($N46-$M46+1))))</f>
        <v/>
      </c>
      <c r="U46" s="264">
        <f>IF(OR($K46="",$L46=0),0,$K46*$L46*$O46*VLOOKUP($H46,'Power Market Assumptions'!$B$41:$D$52,3,FALSE)*MAX(0,MIN(1,(U$5-'Power Market Assumptions'!G$23-$M46+1)/($N46-$M46+1))))</f>
        <v/>
      </c>
      <c r="V46" s="264">
        <f>IF(OR($K46="",$L46=0),0,$K46*$L46*$O46*VLOOKUP($H46,'Power Market Assumptions'!$B$41:$D$52,3,FALSE)*MAX(0,MIN(1,(V$5-'Power Market Assumptions'!H$23-$M46+1)/($N46-$M46+1))))</f>
        <v/>
      </c>
      <c r="W46" s="264">
        <f>IF(OR($K46="",$L46=0),0,$K46*$L46*$O46*VLOOKUP($H46,'Power Market Assumptions'!$B$41:$D$52,3,FALSE)*MAX(0,MIN(1,(W$5-'Power Market Assumptions'!I$23-$M46+1)/($N46-$M46+1))))</f>
        <v/>
      </c>
    </row>
    <row r="47" ht="15" customHeight="1">
      <c r="A47" s="3" t="n"/>
      <c r="B47" s="3" t="inlineStr">
        <is>
          <t>P042</t>
        </is>
      </c>
      <c r="C47" s="3" t="inlineStr">
        <is>
          <t>2026-05</t>
        </is>
      </c>
      <c r="D47" s="3" t="inlineStr">
        <is>
          <t>Google</t>
        </is>
      </c>
      <c r="E47" s="3" t="inlineStr">
        <is>
          <t>Linea: Duffy Solar, Texas</t>
        </is>
      </c>
      <c r="F47" s="3" t="inlineStr">
        <is>
          <t>Texas RE-ERCOT</t>
        </is>
      </c>
      <c r="G47" s="3" t="inlineStr">
        <is>
          <t>Signed PPA</t>
        </is>
      </c>
      <c r="H47" s="3" t="inlineStr">
        <is>
          <t>Solar</t>
        </is>
      </c>
      <c r="I47" s="164" t="n">
        <v>500</v>
      </c>
      <c r="J47" s="3" t="inlineStr">
        <is>
          <t>MW unspecified</t>
        </is>
      </c>
      <c r="K47" s="164" t="n">
        <v>500</v>
      </c>
      <c r="L47" s="161" t="n">
        <v>1</v>
      </c>
      <c r="M47" s="161" t="n">
        <v>2028</v>
      </c>
      <c r="N47" s="161" t="n">
        <v>2028</v>
      </c>
      <c r="O47" s="158" t="n">
        <v>1</v>
      </c>
      <c r="P47" s="161" t="n">
        <v>0</v>
      </c>
      <c r="Q47" s="3" t="inlineStr">
        <is>
          <t>S030</t>
        </is>
      </c>
      <c r="R47" s="264">
        <f>IF(OR($K47="",$L47=0),0,$K47*$L47*$O47*VLOOKUP($H47,'Power Market Assumptions'!$B$41:$D$52,3,FALSE)*MAX(0,MIN(1,(R$5-'Power Market Assumptions'!D$23-$M47+1)/($N47-$M47+1))))</f>
        <v/>
      </c>
      <c r="S47" s="264">
        <f>IF(OR($K47="",$L47=0),0,$K47*$L47*$O47*VLOOKUP($H47,'Power Market Assumptions'!$B$41:$D$52,3,FALSE)*MAX(0,MIN(1,(S$5-'Power Market Assumptions'!E$23-$M47+1)/($N47-$M47+1))))</f>
        <v/>
      </c>
      <c r="T47" s="264">
        <f>IF(OR($K47="",$L47=0),0,$K47*$L47*$O47*VLOOKUP($H47,'Power Market Assumptions'!$B$41:$D$52,3,FALSE)*MAX(0,MIN(1,(T$5-'Power Market Assumptions'!F$23-$M47+1)/($N47-$M47+1))))</f>
        <v/>
      </c>
      <c r="U47" s="264">
        <f>IF(OR($K47="",$L47=0),0,$K47*$L47*$O47*VLOOKUP($H47,'Power Market Assumptions'!$B$41:$D$52,3,FALSE)*MAX(0,MIN(1,(U$5-'Power Market Assumptions'!G$23-$M47+1)/($N47-$M47+1))))</f>
        <v/>
      </c>
      <c r="V47" s="264">
        <f>IF(OR($K47="",$L47=0),0,$K47*$L47*$O47*VLOOKUP($H47,'Power Market Assumptions'!$B$41:$D$52,3,FALSE)*MAX(0,MIN(1,(V$5-'Power Market Assumptions'!H$23-$M47+1)/($N47-$M47+1))))</f>
        <v/>
      </c>
      <c r="W47" s="264">
        <f>IF(OR($K47="",$L47=0),0,$K47*$L47*$O47*VLOOKUP($H47,'Power Market Assumptions'!$B$41:$D$52,3,FALSE)*MAX(0,MIN(1,(W$5-'Power Market Assumptions'!I$23-$M47+1)/($N47-$M47+1))))</f>
        <v/>
      </c>
    </row>
    <row r="48" ht="15" customHeight="1">
      <c r="A48" s="3" t="n"/>
      <c r="B48" s="3" t="inlineStr">
        <is>
          <t>P043</t>
        </is>
      </c>
      <c r="C48" s="3" t="inlineStr">
        <is>
          <t>2025-10</t>
        </is>
      </c>
      <c r="D48" s="3" t="inlineStr">
        <is>
          <t>Meta</t>
        </is>
      </c>
      <c r="E48" s="3" t="inlineStr">
        <is>
          <t>ENGIE: Swenson Ranch</t>
        </is>
      </c>
      <c r="F48" s="3" t="inlineStr">
        <is>
          <t>Texas RE-ERCOT</t>
        </is>
      </c>
      <c r="G48" s="3" t="inlineStr">
        <is>
          <t>Signed PPA</t>
        </is>
      </c>
      <c r="H48" s="3" t="inlineStr">
        <is>
          <t>Solar</t>
        </is>
      </c>
      <c r="I48" s="164" t="n">
        <v>600</v>
      </c>
      <c r="J48" s="3" t="inlineStr">
        <is>
          <t>MW</t>
        </is>
      </c>
      <c r="K48" s="164" t="n">
        <v>600</v>
      </c>
      <c r="L48" s="161" t="n">
        <v>1</v>
      </c>
      <c r="M48" s="161" t="n">
        <v>2027</v>
      </c>
      <c r="N48" s="161" t="n">
        <v>2027</v>
      </c>
      <c r="O48" s="158" t="n">
        <v>1</v>
      </c>
      <c r="P48" s="161" t="n">
        <v>0</v>
      </c>
      <c r="Q48" s="3" t="inlineStr">
        <is>
          <t>S031</t>
        </is>
      </c>
      <c r="R48" s="264">
        <f>IF(OR($K48="",$L48=0),0,$K48*$L48*$O48*VLOOKUP($H48,'Power Market Assumptions'!$B$41:$D$52,3,FALSE)*MAX(0,MIN(1,(R$5-'Power Market Assumptions'!D$23-$M48+1)/($N48-$M48+1))))</f>
        <v/>
      </c>
      <c r="S48" s="264">
        <f>IF(OR($K48="",$L48=0),0,$K48*$L48*$O48*VLOOKUP($H48,'Power Market Assumptions'!$B$41:$D$52,3,FALSE)*MAX(0,MIN(1,(S$5-'Power Market Assumptions'!E$23-$M48+1)/($N48-$M48+1))))</f>
        <v/>
      </c>
      <c r="T48" s="264">
        <f>IF(OR($K48="",$L48=0),0,$K48*$L48*$O48*VLOOKUP($H48,'Power Market Assumptions'!$B$41:$D$52,3,FALSE)*MAX(0,MIN(1,(T$5-'Power Market Assumptions'!F$23-$M48+1)/($N48-$M48+1))))</f>
        <v/>
      </c>
      <c r="U48" s="264">
        <f>IF(OR($K48="",$L48=0),0,$K48*$L48*$O48*VLOOKUP($H48,'Power Market Assumptions'!$B$41:$D$52,3,FALSE)*MAX(0,MIN(1,(U$5-'Power Market Assumptions'!G$23-$M48+1)/($N48-$M48+1))))</f>
        <v/>
      </c>
      <c r="V48" s="264">
        <f>IF(OR($K48="",$L48=0),0,$K48*$L48*$O48*VLOOKUP($H48,'Power Market Assumptions'!$B$41:$D$52,3,FALSE)*MAX(0,MIN(1,(V$5-'Power Market Assumptions'!H$23-$M48+1)/($N48-$M48+1))))</f>
        <v/>
      </c>
      <c r="W48" s="264">
        <f>IF(OR($K48="",$L48=0),0,$K48*$L48*$O48*VLOOKUP($H48,'Power Market Assumptions'!$B$41:$D$52,3,FALSE)*MAX(0,MIN(1,(W$5-'Power Market Assumptions'!I$23-$M48+1)/($N48-$M48+1))))</f>
        <v/>
      </c>
    </row>
    <row r="49" ht="15" customHeight="1">
      <c r="A49" s="3" t="n"/>
      <c r="B49" s="3" t="inlineStr">
        <is>
          <t>P044</t>
        </is>
      </c>
      <c r="C49" s="3" t="inlineStr">
        <is>
          <t>2024-10</t>
        </is>
      </c>
      <c r="D49" s="3" t="inlineStr">
        <is>
          <t>Meta</t>
        </is>
      </c>
      <c r="E49" s="3" t="inlineStr">
        <is>
          <t>ENGIE: Sypert Branch</t>
        </is>
      </c>
      <c r="F49" s="3" t="inlineStr">
        <is>
          <t>Texas RE-ERCOT</t>
        </is>
      </c>
      <c r="G49" s="3" t="inlineStr">
        <is>
          <t>Signed EAPA</t>
        </is>
      </c>
      <c r="H49" s="3" t="inlineStr">
        <is>
          <t>Solar</t>
        </is>
      </c>
      <c r="I49" s="164" t="n">
        <v>260</v>
      </c>
      <c r="J49" s="3" t="inlineStr">
        <is>
          <t>MW</t>
        </is>
      </c>
      <c r="K49" s="164" t="n">
        <v>260</v>
      </c>
      <c r="L49" s="161" t="n">
        <v>1</v>
      </c>
      <c r="M49" s="161" t="n">
        <v>2025</v>
      </c>
      <c r="N49" s="161" t="n">
        <v>2025</v>
      </c>
      <c r="O49" s="158" t="n">
        <v>1</v>
      </c>
      <c r="P49" s="161" t="n">
        <v>0</v>
      </c>
      <c r="Q49" s="3" t="inlineStr">
        <is>
          <t>S032</t>
        </is>
      </c>
      <c r="R49" s="264">
        <f>IF(OR($K49="",$L49=0),0,$K49*$L49*$O49*VLOOKUP($H49,'Power Market Assumptions'!$B$41:$D$52,3,FALSE)*MAX(0,MIN(1,(R$5-'Power Market Assumptions'!D$23-$M49+1)/($N49-$M49+1))))</f>
        <v/>
      </c>
      <c r="S49" s="264">
        <f>IF(OR($K49="",$L49=0),0,$K49*$L49*$O49*VLOOKUP($H49,'Power Market Assumptions'!$B$41:$D$52,3,FALSE)*MAX(0,MIN(1,(S$5-'Power Market Assumptions'!E$23-$M49+1)/($N49-$M49+1))))</f>
        <v/>
      </c>
      <c r="T49" s="264">
        <f>IF(OR($K49="",$L49=0),0,$K49*$L49*$O49*VLOOKUP($H49,'Power Market Assumptions'!$B$41:$D$52,3,FALSE)*MAX(0,MIN(1,(T$5-'Power Market Assumptions'!F$23-$M49+1)/($N49-$M49+1))))</f>
        <v/>
      </c>
      <c r="U49" s="264">
        <f>IF(OR($K49="",$L49=0),0,$K49*$L49*$O49*VLOOKUP($H49,'Power Market Assumptions'!$B$41:$D$52,3,FALSE)*MAX(0,MIN(1,(U$5-'Power Market Assumptions'!G$23-$M49+1)/($N49-$M49+1))))</f>
        <v/>
      </c>
      <c r="V49" s="264">
        <f>IF(OR($K49="",$L49=0),0,$K49*$L49*$O49*VLOOKUP($H49,'Power Market Assumptions'!$B$41:$D$52,3,FALSE)*MAX(0,MIN(1,(V$5-'Power Market Assumptions'!H$23-$M49+1)/($N49-$M49+1))))</f>
        <v/>
      </c>
      <c r="W49" s="264">
        <f>IF(OR($K49="",$L49=0),0,$K49*$L49*$O49*VLOOKUP($H49,'Power Market Assumptions'!$B$41:$D$52,3,FALSE)*MAX(0,MIN(1,(W$5-'Power Market Assumptions'!I$23-$M49+1)/($N49-$M49+1))))</f>
        <v/>
      </c>
    </row>
    <row r="50" ht="15" customHeight="1">
      <c r="A50" s="3" t="n"/>
      <c r="B50" s="3" t="inlineStr">
        <is>
          <t>P045</t>
        </is>
      </c>
      <c r="C50" s="3" t="inlineStr">
        <is>
          <t>2025-02</t>
        </is>
      </c>
      <c r="D50" s="3" t="inlineStr">
        <is>
          <t>Meta</t>
        </is>
      </c>
      <c r="E50" s="3" t="inlineStr">
        <is>
          <t>ENGIE: Anson 2</t>
        </is>
      </c>
      <c r="F50" s="3" t="inlineStr">
        <is>
          <t>Texas RE-ERCOT</t>
        </is>
      </c>
      <c r="G50" s="3" t="inlineStr">
        <is>
          <t>Signed EAPA</t>
        </is>
      </c>
      <c r="H50" s="3" t="inlineStr">
        <is>
          <t>Solar</t>
        </is>
      </c>
      <c r="I50" s="164" t="n">
        <v>200</v>
      </c>
      <c r="J50" s="3" t="inlineStr">
        <is>
          <t>MW</t>
        </is>
      </c>
      <c r="K50" s="164" t="n">
        <v>200</v>
      </c>
      <c r="L50" s="161" t="n">
        <v>1</v>
      </c>
      <c r="M50" s="161" t="n">
        <v>2025</v>
      </c>
      <c r="N50" s="161" t="n">
        <v>2025</v>
      </c>
      <c r="O50" s="158" t="n">
        <v>1</v>
      </c>
      <c r="P50" s="161" t="n">
        <v>0</v>
      </c>
      <c r="Q50" s="3" t="inlineStr">
        <is>
          <t>S033</t>
        </is>
      </c>
      <c r="R50" s="264">
        <f>IF(OR($K50="",$L50=0),0,$K50*$L50*$O50*VLOOKUP($H50,'Power Market Assumptions'!$B$41:$D$52,3,FALSE)*MAX(0,MIN(1,(R$5-'Power Market Assumptions'!D$23-$M50+1)/($N50-$M50+1))))</f>
        <v/>
      </c>
      <c r="S50" s="264">
        <f>IF(OR($K50="",$L50=0),0,$K50*$L50*$O50*VLOOKUP($H50,'Power Market Assumptions'!$B$41:$D$52,3,FALSE)*MAX(0,MIN(1,(S$5-'Power Market Assumptions'!E$23-$M50+1)/($N50-$M50+1))))</f>
        <v/>
      </c>
      <c r="T50" s="264">
        <f>IF(OR($K50="",$L50=0),0,$K50*$L50*$O50*VLOOKUP($H50,'Power Market Assumptions'!$B$41:$D$52,3,FALSE)*MAX(0,MIN(1,(T$5-'Power Market Assumptions'!F$23-$M50+1)/($N50-$M50+1))))</f>
        <v/>
      </c>
      <c r="U50" s="264">
        <f>IF(OR($K50="",$L50=0),0,$K50*$L50*$O50*VLOOKUP($H50,'Power Market Assumptions'!$B$41:$D$52,3,FALSE)*MAX(0,MIN(1,(U$5-'Power Market Assumptions'!G$23-$M50+1)/($N50-$M50+1))))</f>
        <v/>
      </c>
      <c r="V50" s="264">
        <f>IF(OR($K50="",$L50=0),0,$K50*$L50*$O50*VLOOKUP($H50,'Power Market Assumptions'!$B$41:$D$52,3,FALSE)*MAX(0,MIN(1,(V$5-'Power Market Assumptions'!H$23-$M50+1)/($N50-$M50+1))))</f>
        <v/>
      </c>
      <c r="W50" s="264">
        <f>IF(OR($K50="",$L50=0),0,$K50*$L50*$O50*VLOOKUP($H50,'Power Market Assumptions'!$B$41:$D$52,3,FALSE)*MAX(0,MIN(1,(W$5-'Power Market Assumptions'!I$23-$M50+1)/($N50-$M50+1))))</f>
        <v/>
      </c>
    </row>
    <row r="51" ht="15" customHeight="1">
      <c r="A51" s="3" t="n"/>
      <c r="B51" s="3" t="inlineStr">
        <is>
          <t>P046</t>
        </is>
      </c>
      <c r="C51" s="3" t="inlineStr">
        <is>
          <t>2026-06</t>
        </is>
      </c>
      <c r="D51" s="3" t="inlineStr">
        <is>
          <t>Meta</t>
        </is>
      </c>
      <c r="E51" s="3" t="inlineStr">
        <is>
          <t>RWE: Rabbit Foot</t>
        </is>
      </c>
      <c r="F51" s="3" t="inlineStr">
        <is>
          <t>Texas RE-ERCOT</t>
        </is>
      </c>
      <c r="G51" s="3" t="inlineStr">
        <is>
          <t>Signed PPA</t>
        </is>
      </c>
      <c r="H51" s="3" t="inlineStr">
        <is>
          <t>Solar</t>
        </is>
      </c>
      <c r="I51" s="164" t="n">
        <v>298</v>
      </c>
      <c r="J51" s="3" t="inlineStr">
        <is>
          <t>MWac</t>
        </is>
      </c>
      <c r="K51" s="164" t="n">
        <v>298</v>
      </c>
      <c r="L51" s="161" t="n">
        <v>1</v>
      </c>
      <c r="M51" s="161" t="n">
        <v>2027</v>
      </c>
      <c r="N51" s="161" t="n">
        <v>2027</v>
      </c>
      <c r="O51" s="158" t="n">
        <v>1</v>
      </c>
      <c r="P51" s="161" t="n">
        <v>0</v>
      </c>
      <c r="Q51" s="3" t="inlineStr">
        <is>
          <t>S034</t>
        </is>
      </c>
      <c r="R51" s="264">
        <f>IF(OR($K51="",$L51=0),0,$K51*$L51*$O51*VLOOKUP($H51,'Power Market Assumptions'!$B$41:$D$52,3,FALSE)*MAX(0,MIN(1,(R$5-'Power Market Assumptions'!D$23-$M51+1)/($N51-$M51+1))))</f>
        <v/>
      </c>
      <c r="S51" s="264">
        <f>IF(OR($K51="",$L51=0),0,$K51*$L51*$O51*VLOOKUP($H51,'Power Market Assumptions'!$B$41:$D$52,3,FALSE)*MAX(0,MIN(1,(S$5-'Power Market Assumptions'!E$23-$M51+1)/($N51-$M51+1))))</f>
        <v/>
      </c>
      <c r="T51" s="264">
        <f>IF(OR($K51="",$L51=0),0,$K51*$L51*$O51*VLOOKUP($H51,'Power Market Assumptions'!$B$41:$D$52,3,FALSE)*MAX(0,MIN(1,(T$5-'Power Market Assumptions'!F$23-$M51+1)/($N51-$M51+1))))</f>
        <v/>
      </c>
      <c r="U51" s="264">
        <f>IF(OR($K51="",$L51=0),0,$K51*$L51*$O51*VLOOKUP($H51,'Power Market Assumptions'!$B$41:$D$52,3,FALSE)*MAX(0,MIN(1,(U$5-'Power Market Assumptions'!G$23-$M51+1)/($N51-$M51+1))))</f>
        <v/>
      </c>
      <c r="V51" s="264">
        <f>IF(OR($K51="",$L51=0),0,$K51*$L51*$O51*VLOOKUP($H51,'Power Market Assumptions'!$B$41:$D$52,3,FALSE)*MAX(0,MIN(1,(V$5-'Power Market Assumptions'!H$23-$M51+1)/($N51-$M51+1))))</f>
        <v/>
      </c>
      <c r="W51" s="264">
        <f>IF(OR($K51="",$L51=0),0,$K51*$L51*$O51*VLOOKUP($H51,'Power Market Assumptions'!$B$41:$D$52,3,FALSE)*MAX(0,MIN(1,(W$5-'Power Market Assumptions'!I$23-$M51+1)/($N51-$M51+1))))</f>
        <v/>
      </c>
    </row>
    <row r="52" ht="15" customHeight="1">
      <c r="A52" s="3" t="n"/>
      <c r="B52" s="3" t="inlineStr">
        <is>
          <t>P047</t>
        </is>
      </c>
      <c r="C52" s="3" t="inlineStr">
        <is>
          <t>2024-08</t>
        </is>
      </c>
      <c r="D52" s="3" t="inlineStr">
        <is>
          <t>Meta</t>
        </is>
      </c>
      <c r="E52" s="3" t="inlineStr">
        <is>
          <t>RWE: County Run</t>
        </is>
      </c>
      <c r="F52" s="3" t="inlineStr">
        <is>
          <t>MISO</t>
        </is>
      </c>
      <c r="G52" s="3" t="inlineStr">
        <is>
          <t>Signed PPA</t>
        </is>
      </c>
      <c r="H52" s="3" t="inlineStr">
        <is>
          <t>Solar</t>
        </is>
      </c>
      <c r="I52" s="164" t="n">
        <v>274</v>
      </c>
      <c r="J52" s="3" t="inlineStr">
        <is>
          <t>MWac</t>
        </is>
      </c>
      <c r="K52" s="164" t="n">
        <v>274</v>
      </c>
      <c r="L52" s="161" t="n">
        <v>1</v>
      </c>
      <c r="M52" s="161" t="n">
        <v>2025</v>
      </c>
      <c r="N52" s="161" t="n">
        <v>2025</v>
      </c>
      <c r="O52" s="158" t="n">
        <v>1</v>
      </c>
      <c r="P52" s="161" t="n">
        <v>0</v>
      </c>
      <c r="Q52" s="3" t="inlineStr">
        <is>
          <t>S035</t>
        </is>
      </c>
      <c r="R52" s="264">
        <f>IF(OR($K52="",$L52=0),0,$K52*$L52*$O52*VLOOKUP($H52,'Power Market Assumptions'!$B$41:$D$52,3,FALSE)*MAX(0,MIN(1,(R$5-'Power Market Assumptions'!D$23-$M52+1)/($N52-$M52+1))))</f>
        <v/>
      </c>
      <c r="S52" s="264">
        <f>IF(OR($K52="",$L52=0),0,$K52*$L52*$O52*VLOOKUP($H52,'Power Market Assumptions'!$B$41:$D$52,3,FALSE)*MAX(0,MIN(1,(S$5-'Power Market Assumptions'!E$23-$M52+1)/($N52-$M52+1))))</f>
        <v/>
      </c>
      <c r="T52" s="264">
        <f>IF(OR($K52="",$L52=0),0,$K52*$L52*$O52*VLOOKUP($H52,'Power Market Assumptions'!$B$41:$D$52,3,FALSE)*MAX(0,MIN(1,(T$5-'Power Market Assumptions'!F$23-$M52+1)/($N52-$M52+1))))</f>
        <v/>
      </c>
      <c r="U52" s="264">
        <f>IF(OR($K52="",$L52=0),0,$K52*$L52*$O52*VLOOKUP($H52,'Power Market Assumptions'!$B$41:$D$52,3,FALSE)*MAX(0,MIN(1,(U$5-'Power Market Assumptions'!G$23-$M52+1)/($N52-$M52+1))))</f>
        <v/>
      </c>
      <c r="V52" s="264">
        <f>IF(OR($K52="",$L52=0),0,$K52*$L52*$O52*VLOOKUP($H52,'Power Market Assumptions'!$B$41:$D$52,3,FALSE)*MAX(0,MIN(1,(V$5-'Power Market Assumptions'!H$23-$M52+1)/($N52-$M52+1))))</f>
        <v/>
      </c>
      <c r="W52" s="264">
        <f>IF(OR($K52="",$L52=0),0,$K52*$L52*$O52*VLOOKUP($H52,'Power Market Assumptions'!$B$41:$D$52,3,FALSE)*MAX(0,MIN(1,(W$5-'Power Market Assumptions'!I$23-$M52+1)/($N52-$M52+1))))</f>
        <v/>
      </c>
    </row>
    <row r="53" ht="15" customHeight="1">
      <c r="A53" s="3" t="n"/>
      <c r="B53" s="3" t="inlineStr">
        <is>
          <t>P048</t>
        </is>
      </c>
      <c r="C53" s="3" t="inlineStr">
        <is>
          <t>2024-08</t>
        </is>
      </c>
      <c r="D53" s="3" t="inlineStr">
        <is>
          <t>Meta</t>
        </is>
      </c>
      <c r="E53" s="3" t="inlineStr">
        <is>
          <t>RWE: Lafitte</t>
        </is>
      </c>
      <c r="F53" s="3" t="inlineStr">
        <is>
          <t>MISO</t>
        </is>
      </c>
      <c r="G53" s="3" t="inlineStr">
        <is>
          <t>Signed PPA</t>
        </is>
      </c>
      <c r="H53" s="3" t="inlineStr">
        <is>
          <t>Solar</t>
        </is>
      </c>
      <c r="I53" s="164" t="n">
        <v>100</v>
      </c>
      <c r="J53" s="3" t="inlineStr">
        <is>
          <t>MWac</t>
        </is>
      </c>
      <c r="K53" s="164" t="n">
        <v>100</v>
      </c>
      <c r="L53" s="161" t="n">
        <v>1</v>
      </c>
      <c r="M53" s="161" t="n">
        <v>2025</v>
      </c>
      <c r="N53" s="161" t="n">
        <v>2025</v>
      </c>
      <c r="O53" s="158" t="n">
        <v>1</v>
      </c>
      <c r="P53" s="161" t="n">
        <v>0</v>
      </c>
      <c r="Q53" s="3" t="inlineStr">
        <is>
          <t>S035</t>
        </is>
      </c>
      <c r="R53" s="264">
        <f>IF(OR($K53="",$L53=0),0,$K53*$L53*$O53*VLOOKUP($H53,'Power Market Assumptions'!$B$41:$D$52,3,FALSE)*MAX(0,MIN(1,(R$5-'Power Market Assumptions'!D$23-$M53+1)/($N53-$M53+1))))</f>
        <v/>
      </c>
      <c r="S53" s="264">
        <f>IF(OR($K53="",$L53=0),0,$K53*$L53*$O53*VLOOKUP($H53,'Power Market Assumptions'!$B$41:$D$52,3,FALSE)*MAX(0,MIN(1,(S$5-'Power Market Assumptions'!E$23-$M53+1)/($N53-$M53+1))))</f>
        <v/>
      </c>
      <c r="T53" s="264">
        <f>IF(OR($K53="",$L53=0),0,$K53*$L53*$O53*VLOOKUP($H53,'Power Market Assumptions'!$B$41:$D$52,3,FALSE)*MAX(0,MIN(1,(T$5-'Power Market Assumptions'!F$23-$M53+1)/($N53-$M53+1))))</f>
        <v/>
      </c>
      <c r="U53" s="264">
        <f>IF(OR($K53="",$L53=0),0,$K53*$L53*$O53*VLOOKUP($H53,'Power Market Assumptions'!$B$41:$D$52,3,FALSE)*MAX(0,MIN(1,(U$5-'Power Market Assumptions'!G$23-$M53+1)/($N53-$M53+1))))</f>
        <v/>
      </c>
      <c r="V53" s="264">
        <f>IF(OR($K53="",$L53=0),0,$K53*$L53*$O53*VLOOKUP($H53,'Power Market Assumptions'!$B$41:$D$52,3,FALSE)*MAX(0,MIN(1,(V$5-'Power Market Assumptions'!H$23-$M53+1)/($N53-$M53+1))))</f>
        <v/>
      </c>
      <c r="W53" s="264">
        <f>IF(OR($K53="",$L53=0),0,$K53*$L53*$O53*VLOOKUP($H53,'Power Market Assumptions'!$B$41:$D$52,3,FALSE)*MAX(0,MIN(1,(W$5-'Power Market Assumptions'!I$23-$M53+1)/($N53-$M53+1))))</f>
        <v/>
      </c>
    </row>
    <row r="54" ht="15" customHeight="1">
      <c r="A54" s="3" t="n"/>
      <c r="B54" s="3" t="inlineStr">
        <is>
          <t>P049</t>
        </is>
      </c>
      <c r="C54" s="3" t="inlineStr">
        <is>
          <t>2025-03</t>
        </is>
      </c>
      <c r="D54" s="3" t="inlineStr">
        <is>
          <t>Meta</t>
        </is>
      </c>
      <c r="E54" s="3" t="inlineStr">
        <is>
          <t>RWE: Waterloo</t>
        </is>
      </c>
      <c r="F54" s="3" t="inlineStr">
        <is>
          <t>Texas RE-ERCOT</t>
        </is>
      </c>
      <c r="G54" s="3" t="inlineStr">
        <is>
          <t>Signed PPA</t>
        </is>
      </c>
      <c r="H54" s="3" t="inlineStr">
        <is>
          <t>Solar</t>
        </is>
      </c>
      <c r="I54" s="164" t="n">
        <v>200</v>
      </c>
      <c r="J54" s="3" t="inlineStr">
        <is>
          <t>MWac</t>
        </is>
      </c>
      <c r="K54" s="164" t="n">
        <v>200</v>
      </c>
      <c r="L54" s="161" t="n">
        <v>1</v>
      </c>
      <c r="M54" s="161" t="n">
        <v>2027</v>
      </c>
      <c r="N54" s="161" t="n">
        <v>2027</v>
      </c>
      <c r="O54" s="158" t="n">
        <v>1</v>
      </c>
      <c r="P54" s="161" t="n">
        <v>0</v>
      </c>
      <c r="Q54" s="3" t="inlineStr">
        <is>
          <t>S036</t>
        </is>
      </c>
      <c r="R54" s="264">
        <f>IF(OR($K54="",$L54=0),0,$K54*$L54*$O54*VLOOKUP($H54,'Power Market Assumptions'!$B$41:$D$52,3,FALSE)*MAX(0,MIN(1,(R$5-'Power Market Assumptions'!D$23-$M54+1)/($N54-$M54+1))))</f>
        <v/>
      </c>
      <c r="S54" s="264">
        <f>IF(OR($K54="",$L54=0),0,$K54*$L54*$O54*VLOOKUP($H54,'Power Market Assumptions'!$B$41:$D$52,3,FALSE)*MAX(0,MIN(1,(S$5-'Power Market Assumptions'!E$23-$M54+1)/($N54-$M54+1))))</f>
        <v/>
      </c>
      <c r="T54" s="264">
        <f>IF(OR($K54="",$L54=0),0,$K54*$L54*$O54*VLOOKUP($H54,'Power Market Assumptions'!$B$41:$D$52,3,FALSE)*MAX(0,MIN(1,(T$5-'Power Market Assumptions'!F$23-$M54+1)/($N54-$M54+1))))</f>
        <v/>
      </c>
      <c r="U54" s="264">
        <f>IF(OR($K54="",$L54=0),0,$K54*$L54*$O54*VLOOKUP($H54,'Power Market Assumptions'!$B$41:$D$52,3,FALSE)*MAX(0,MIN(1,(U$5-'Power Market Assumptions'!G$23-$M54+1)/($N54-$M54+1))))</f>
        <v/>
      </c>
      <c r="V54" s="264">
        <f>IF(OR($K54="",$L54=0),0,$K54*$L54*$O54*VLOOKUP($H54,'Power Market Assumptions'!$B$41:$D$52,3,FALSE)*MAX(0,MIN(1,(V$5-'Power Market Assumptions'!H$23-$M54+1)/($N54-$M54+1))))</f>
        <v/>
      </c>
      <c r="W54" s="264">
        <f>IF(OR($K54="",$L54=0),0,$K54*$L54*$O54*VLOOKUP($H54,'Power Market Assumptions'!$B$41:$D$52,3,FALSE)*MAX(0,MIN(1,(W$5-'Power Market Assumptions'!I$23-$M54+1)/($N54-$M54+1))))</f>
        <v/>
      </c>
    </row>
    <row r="55" ht="15" customHeight="1">
      <c r="A55" s="3" t="n"/>
      <c r="B55" s="3" t="inlineStr">
        <is>
          <t>P050</t>
        </is>
      </c>
      <c r="C55" s="3" t="inlineStr">
        <is>
          <t>2026-09</t>
        </is>
      </c>
      <c r="D55" s="3" t="inlineStr">
        <is>
          <t>Oracle</t>
        </is>
      </c>
      <c r="E55" s="3" t="inlineStr">
        <is>
          <t>RWE: Panther Creek I / II / III</t>
        </is>
      </c>
      <c r="F55" s="3" t="inlineStr">
        <is>
          <t>Texas RE-ERCOT</t>
        </is>
      </c>
      <c r="G55" s="3" t="inlineStr">
        <is>
          <t>Signed PPA / existing</t>
        </is>
      </c>
      <c r="H55" s="3" t="inlineStr">
        <is>
          <t>Wind</t>
        </is>
      </c>
      <c r="I55" s="164" t="n">
        <v>433</v>
      </c>
      <c r="J55" s="3" t="inlineStr">
        <is>
          <t>MW</t>
        </is>
      </c>
      <c r="K55" s="164" t="n">
        <v>0</v>
      </c>
      <c r="L55" s="161" t="n">
        <v>1</v>
      </c>
      <c r="M55" s="161" t="n">
        <v>2026</v>
      </c>
      <c r="N55" s="161" t="n">
        <v>2026</v>
      </c>
      <c r="O55" s="158" t="n">
        <v>1</v>
      </c>
      <c r="P55" s="161" t="n">
        <v>0</v>
      </c>
      <c r="Q55" s="3" t="inlineStr">
        <is>
          <t>S037</t>
        </is>
      </c>
      <c r="R55" s="264">
        <f>IF(OR($K55="",$L55=0),0,$K55*$L55*$O55*VLOOKUP($H55,'Power Market Assumptions'!$B$41:$D$52,3,FALSE)*MAX(0,MIN(1,(R$5-'Power Market Assumptions'!D$23-$M55+1)/($N55-$M55+1))))</f>
        <v/>
      </c>
      <c r="S55" s="264">
        <f>IF(OR($K55="",$L55=0),0,$K55*$L55*$O55*VLOOKUP($H55,'Power Market Assumptions'!$B$41:$D$52,3,FALSE)*MAX(0,MIN(1,(S$5-'Power Market Assumptions'!E$23-$M55+1)/($N55-$M55+1))))</f>
        <v/>
      </c>
      <c r="T55" s="264">
        <f>IF(OR($K55="",$L55=0),0,$K55*$L55*$O55*VLOOKUP($H55,'Power Market Assumptions'!$B$41:$D$52,3,FALSE)*MAX(0,MIN(1,(T$5-'Power Market Assumptions'!F$23-$M55+1)/($N55-$M55+1))))</f>
        <v/>
      </c>
      <c r="U55" s="264">
        <f>IF(OR($K55="",$L55=0),0,$K55*$L55*$O55*VLOOKUP($H55,'Power Market Assumptions'!$B$41:$D$52,3,FALSE)*MAX(0,MIN(1,(U$5-'Power Market Assumptions'!G$23-$M55+1)/($N55-$M55+1))))</f>
        <v/>
      </c>
      <c r="V55" s="264">
        <f>IF(OR($K55="",$L55=0),0,$K55*$L55*$O55*VLOOKUP($H55,'Power Market Assumptions'!$B$41:$D$52,3,FALSE)*MAX(0,MIN(1,(V$5-'Power Market Assumptions'!H$23-$M55+1)/($N55-$M55+1))))</f>
        <v/>
      </c>
      <c r="W55" s="264">
        <f>IF(OR($K55="",$L55=0),0,$K55*$L55*$O55*VLOOKUP($H55,'Power Market Assumptions'!$B$41:$D$52,3,FALSE)*MAX(0,MIN(1,(W$5-'Power Market Assumptions'!I$23-$M55+1)/($N55-$M55+1))))</f>
        <v/>
      </c>
    </row>
    <row r="56" ht="15" customHeight="1">
      <c r="A56" s="3" t="n"/>
      <c r="B56" s="3" t="inlineStr">
        <is>
          <t>P051</t>
        </is>
      </c>
      <c r="C56" s="3" t="inlineStr">
        <is>
          <t>2026-09</t>
        </is>
      </c>
      <c r="D56" s="3" t="inlineStr">
        <is>
          <t>Oracle</t>
        </is>
      </c>
      <c r="E56" s="3" t="inlineStr">
        <is>
          <t>ENGIE: Texas wind portfolio</t>
        </is>
      </c>
      <c r="F56" s="3" t="inlineStr">
        <is>
          <t>Texas RE-ERCOT</t>
        </is>
      </c>
      <c r="G56" s="3" t="inlineStr">
        <is>
          <t>Power supply agreement</t>
        </is>
      </c>
      <c r="H56" s="3" t="inlineStr">
        <is>
          <t>Wind</t>
        </is>
      </c>
      <c r="I56" s="164" t="n">
        <v>568</v>
      </c>
      <c r="J56" s="3" t="inlineStr">
        <is>
          <t>MW</t>
        </is>
      </c>
      <c r="K56" s="27" t="n"/>
      <c r="L56" s="161" t="n">
        <v>1</v>
      </c>
      <c r="M56" s="161" t="n">
        <v>2026</v>
      </c>
      <c r="N56" s="161" t="n">
        <v>2026</v>
      </c>
      <c r="O56" s="158" t="n">
        <v>1</v>
      </c>
      <c r="P56" s="161" t="n">
        <v>0</v>
      </c>
      <c r="Q56" s="3" t="inlineStr">
        <is>
          <t>S038</t>
        </is>
      </c>
      <c r="R56" s="264">
        <f>IF(OR($K56="",$L56=0),0,$K56*$L56*$O56*VLOOKUP($H56,'Power Market Assumptions'!$B$41:$D$52,3,FALSE)*MAX(0,MIN(1,(R$5-'Power Market Assumptions'!D$23-$M56+1)/($N56-$M56+1))))</f>
        <v/>
      </c>
      <c r="S56" s="264">
        <f>IF(OR($K56="",$L56=0),0,$K56*$L56*$O56*VLOOKUP($H56,'Power Market Assumptions'!$B$41:$D$52,3,FALSE)*MAX(0,MIN(1,(S$5-'Power Market Assumptions'!E$23-$M56+1)/($N56-$M56+1))))</f>
        <v/>
      </c>
      <c r="T56" s="264">
        <f>IF(OR($K56="",$L56=0),0,$K56*$L56*$O56*VLOOKUP($H56,'Power Market Assumptions'!$B$41:$D$52,3,FALSE)*MAX(0,MIN(1,(T$5-'Power Market Assumptions'!F$23-$M56+1)/($N56-$M56+1))))</f>
        <v/>
      </c>
      <c r="U56" s="264">
        <f>IF(OR($K56="",$L56=0),0,$K56*$L56*$O56*VLOOKUP($H56,'Power Market Assumptions'!$B$41:$D$52,3,FALSE)*MAX(0,MIN(1,(U$5-'Power Market Assumptions'!G$23-$M56+1)/($N56-$M56+1))))</f>
        <v/>
      </c>
      <c r="V56" s="264">
        <f>IF(OR($K56="",$L56=0),0,$K56*$L56*$O56*VLOOKUP($H56,'Power Market Assumptions'!$B$41:$D$52,3,FALSE)*MAX(0,MIN(1,(V$5-'Power Market Assumptions'!H$23-$M56+1)/($N56-$M56+1))))</f>
        <v/>
      </c>
      <c r="W56" s="264">
        <f>IF(OR($K56="",$L56=0),0,$K56*$L56*$O56*VLOOKUP($H56,'Power Market Assumptions'!$B$41:$D$52,3,FALSE)*MAX(0,MIN(1,(W$5-'Power Market Assumptions'!I$23-$M56+1)/($N56-$M56+1))))</f>
        <v/>
      </c>
    </row>
    <row r="57" ht="15" customHeight="1">
      <c r="A57" s="3" t="n"/>
      <c r="B57" s="3" t="inlineStr">
        <is>
          <t>P052</t>
        </is>
      </c>
      <c r="C57" s="3" t="inlineStr">
        <is>
          <t>2026-06</t>
        </is>
      </c>
      <c r="D57" s="3" t="inlineStr">
        <is>
          <t>Meta</t>
        </is>
      </c>
      <c r="E57" s="3" t="inlineStr">
        <is>
          <t>Zelestra: Palmera</t>
        </is>
      </c>
      <c r="F57" s="3" t="inlineStr">
        <is>
          <t>Texas RE-ERCOT</t>
        </is>
      </c>
      <c r="G57" s="3" t="inlineStr">
        <is>
          <t>Signed PPA</t>
        </is>
      </c>
      <c r="H57" s="3" t="inlineStr">
        <is>
          <t>Solar</t>
        </is>
      </c>
      <c r="I57" s="164" t="n">
        <v>180</v>
      </c>
      <c r="J57" s="3" t="inlineStr">
        <is>
          <t>MWdc</t>
        </is>
      </c>
      <c r="K57" s="164" t="n">
        <v>140</v>
      </c>
      <c r="L57" s="161" t="n">
        <v>1</v>
      </c>
      <c r="M57" s="161" t="n">
        <v>2028</v>
      </c>
      <c r="N57" s="161" t="n">
        <v>2028</v>
      </c>
      <c r="O57" s="158" t="n">
        <v>1</v>
      </c>
      <c r="P57" s="161" t="n">
        <v>0</v>
      </c>
      <c r="Q57" s="3" t="inlineStr">
        <is>
          <t>S039</t>
        </is>
      </c>
      <c r="R57" s="264">
        <f>IF(OR($K57="",$L57=0),0,$K57*$L57*$O57*VLOOKUP($H57,'Power Market Assumptions'!$B$41:$D$52,3,FALSE)*MAX(0,MIN(1,(R$5-'Power Market Assumptions'!D$23-$M57+1)/($N57-$M57+1))))</f>
        <v/>
      </c>
      <c r="S57" s="264">
        <f>IF(OR($K57="",$L57=0),0,$K57*$L57*$O57*VLOOKUP($H57,'Power Market Assumptions'!$B$41:$D$52,3,FALSE)*MAX(0,MIN(1,(S$5-'Power Market Assumptions'!E$23-$M57+1)/($N57-$M57+1))))</f>
        <v/>
      </c>
      <c r="T57" s="264">
        <f>IF(OR($K57="",$L57=0),0,$K57*$L57*$O57*VLOOKUP($H57,'Power Market Assumptions'!$B$41:$D$52,3,FALSE)*MAX(0,MIN(1,(T$5-'Power Market Assumptions'!F$23-$M57+1)/($N57-$M57+1))))</f>
        <v/>
      </c>
      <c r="U57" s="264">
        <f>IF(OR($K57="",$L57=0),0,$K57*$L57*$O57*VLOOKUP($H57,'Power Market Assumptions'!$B$41:$D$52,3,FALSE)*MAX(0,MIN(1,(U$5-'Power Market Assumptions'!G$23-$M57+1)/($N57-$M57+1))))</f>
        <v/>
      </c>
      <c r="V57" s="264">
        <f>IF(OR($K57="",$L57=0),0,$K57*$L57*$O57*VLOOKUP($H57,'Power Market Assumptions'!$B$41:$D$52,3,FALSE)*MAX(0,MIN(1,(V$5-'Power Market Assumptions'!H$23-$M57+1)/($N57-$M57+1))))</f>
        <v/>
      </c>
      <c r="W57" s="264">
        <f>IF(OR($K57="",$L57=0),0,$K57*$L57*$O57*VLOOKUP($H57,'Power Market Assumptions'!$B$41:$D$52,3,FALSE)*MAX(0,MIN(1,(W$5-'Power Market Assumptions'!I$23-$M57+1)/($N57-$M57+1))))</f>
        <v/>
      </c>
    </row>
    <row r="58" ht="15" customHeight="1">
      <c r="A58" s="3" t="n"/>
      <c r="B58" s="3" t="inlineStr">
        <is>
          <t>P053</t>
        </is>
      </c>
      <c r="C58" s="3" t="inlineStr">
        <is>
          <t>2026-02</t>
        </is>
      </c>
      <c r="D58" s="3" t="inlineStr">
        <is>
          <t>Meta</t>
        </is>
      </c>
      <c r="E58" s="3" t="inlineStr">
        <is>
          <t>Zelestra: Skull Creek</t>
        </is>
      </c>
      <c r="F58" s="3" t="inlineStr">
        <is>
          <t>Texas RE-ERCOT</t>
        </is>
      </c>
      <c r="G58" s="3" t="inlineStr">
        <is>
          <t>Signed PPA</t>
        </is>
      </c>
      <c r="H58" s="3" t="inlineStr">
        <is>
          <t>Solar</t>
        </is>
      </c>
      <c r="I58" s="164" t="n">
        <v>176</v>
      </c>
      <c r="J58" s="3" t="inlineStr">
        <is>
          <t>MWdc</t>
        </is>
      </c>
      <c r="K58" s="164" t="n">
        <v>136</v>
      </c>
      <c r="L58" s="161" t="n">
        <v>1</v>
      </c>
      <c r="M58" s="161" t="n">
        <v>2028</v>
      </c>
      <c r="N58" s="161" t="n">
        <v>2028</v>
      </c>
      <c r="O58" s="158" t="n">
        <v>1</v>
      </c>
      <c r="P58" s="161" t="n">
        <v>0</v>
      </c>
      <c r="Q58" s="3" t="inlineStr">
        <is>
          <t>S040</t>
        </is>
      </c>
      <c r="R58" s="264">
        <f>IF(OR($K58="",$L58=0),0,$K58*$L58*$O58*VLOOKUP($H58,'Power Market Assumptions'!$B$41:$D$52,3,FALSE)*MAX(0,MIN(1,(R$5-'Power Market Assumptions'!D$23-$M58+1)/($N58-$M58+1))))</f>
        <v/>
      </c>
      <c r="S58" s="264">
        <f>IF(OR($K58="",$L58=0),0,$K58*$L58*$O58*VLOOKUP($H58,'Power Market Assumptions'!$B$41:$D$52,3,FALSE)*MAX(0,MIN(1,(S$5-'Power Market Assumptions'!E$23-$M58+1)/($N58-$M58+1))))</f>
        <v/>
      </c>
      <c r="T58" s="264">
        <f>IF(OR($K58="",$L58=0),0,$K58*$L58*$O58*VLOOKUP($H58,'Power Market Assumptions'!$B$41:$D$52,3,FALSE)*MAX(0,MIN(1,(T$5-'Power Market Assumptions'!F$23-$M58+1)/($N58-$M58+1))))</f>
        <v/>
      </c>
      <c r="U58" s="264">
        <f>IF(OR($K58="",$L58=0),0,$K58*$L58*$O58*VLOOKUP($H58,'Power Market Assumptions'!$B$41:$D$52,3,FALSE)*MAX(0,MIN(1,(U$5-'Power Market Assumptions'!G$23-$M58+1)/($N58-$M58+1))))</f>
        <v/>
      </c>
      <c r="V58" s="264">
        <f>IF(OR($K58="",$L58=0),0,$K58*$L58*$O58*VLOOKUP($H58,'Power Market Assumptions'!$B$41:$D$52,3,FALSE)*MAX(0,MIN(1,(V$5-'Power Market Assumptions'!H$23-$M58+1)/($N58-$M58+1))))</f>
        <v/>
      </c>
      <c r="W58" s="264">
        <f>IF(OR($K58="",$L58=0),0,$K58*$L58*$O58*VLOOKUP($H58,'Power Market Assumptions'!$B$41:$D$52,3,FALSE)*MAX(0,MIN(1,(W$5-'Power Market Assumptions'!I$23-$M58+1)/($N58-$M58+1))))</f>
        <v/>
      </c>
    </row>
    <row r="59" ht="15" customHeight="1">
      <c r="A59" s="3" t="n"/>
      <c r="B59" s="3" t="inlineStr">
        <is>
          <t>P054</t>
        </is>
      </c>
      <c r="C59" s="3" t="inlineStr">
        <is>
          <t>2026-10</t>
        </is>
      </c>
      <c r="D59" s="3" t="inlineStr">
        <is>
          <t>Meta</t>
        </is>
      </c>
      <c r="E59" s="3" t="inlineStr">
        <is>
          <t>Zelestra: Reclamation</t>
        </is>
      </c>
      <c r="F59" s="3" t="inlineStr">
        <is>
          <t>MISO</t>
        </is>
      </c>
      <c r="G59" s="3" t="inlineStr">
        <is>
          <t>PPA / financing update</t>
        </is>
      </c>
      <c r="H59" s="3" t="inlineStr">
        <is>
          <t>Solar</t>
        </is>
      </c>
      <c r="I59" s="164" t="n">
        <v>203</v>
      </c>
      <c r="J59" s="3" t="inlineStr">
        <is>
          <t>MWdc</t>
        </is>
      </c>
      <c r="K59" s="164" t="n">
        <v>156.1538461538462</v>
      </c>
      <c r="L59" s="161" t="n">
        <v>1</v>
      </c>
      <c r="M59" s="161" t="n">
        <v>2027</v>
      </c>
      <c r="N59" s="161" t="n">
        <v>2027</v>
      </c>
      <c r="O59" s="158" t="n">
        <v>1</v>
      </c>
      <c r="P59" s="161" t="n">
        <v>0</v>
      </c>
      <c r="Q59" s="3" t="inlineStr">
        <is>
          <t>S041</t>
        </is>
      </c>
      <c r="R59" s="264">
        <f>IF(OR($K59="",$L59=0),0,$K59*$L59*$O59*VLOOKUP($H59,'Power Market Assumptions'!$B$41:$D$52,3,FALSE)*MAX(0,MIN(1,(R$5-'Power Market Assumptions'!D$23-$M59+1)/($N59-$M59+1))))</f>
        <v/>
      </c>
      <c r="S59" s="264">
        <f>IF(OR($K59="",$L59=0),0,$K59*$L59*$O59*VLOOKUP($H59,'Power Market Assumptions'!$B$41:$D$52,3,FALSE)*MAX(0,MIN(1,(S$5-'Power Market Assumptions'!E$23-$M59+1)/($N59-$M59+1))))</f>
        <v/>
      </c>
      <c r="T59" s="264">
        <f>IF(OR($K59="",$L59=0),0,$K59*$L59*$O59*VLOOKUP($H59,'Power Market Assumptions'!$B$41:$D$52,3,FALSE)*MAX(0,MIN(1,(T$5-'Power Market Assumptions'!F$23-$M59+1)/($N59-$M59+1))))</f>
        <v/>
      </c>
      <c r="U59" s="264">
        <f>IF(OR($K59="",$L59=0),0,$K59*$L59*$O59*VLOOKUP($H59,'Power Market Assumptions'!$B$41:$D$52,3,FALSE)*MAX(0,MIN(1,(U$5-'Power Market Assumptions'!G$23-$M59+1)/($N59-$M59+1))))</f>
        <v/>
      </c>
      <c r="V59" s="264">
        <f>IF(OR($K59="",$L59=0),0,$K59*$L59*$O59*VLOOKUP($H59,'Power Market Assumptions'!$B$41:$D$52,3,FALSE)*MAX(0,MIN(1,(V$5-'Power Market Assumptions'!H$23-$M59+1)/($N59-$M59+1))))</f>
        <v/>
      </c>
      <c r="W59" s="264">
        <f>IF(OR($K59="",$L59=0),0,$K59*$L59*$O59*VLOOKUP($H59,'Power Market Assumptions'!$B$41:$D$52,3,FALSE)*MAX(0,MIN(1,(W$5-'Power Market Assumptions'!I$23-$M59+1)/($N59-$M59+1))))</f>
        <v/>
      </c>
    </row>
    <row r="60" ht="15" customHeight="1">
      <c r="A60" s="3" t="n"/>
      <c r="B60" s="3" t="inlineStr">
        <is>
          <t>P055</t>
        </is>
      </c>
      <c r="C60" s="3" t="inlineStr">
        <is>
          <t>2025-06</t>
        </is>
      </c>
      <c r="D60" s="3" t="inlineStr">
        <is>
          <t>Meta</t>
        </is>
      </c>
      <c r="E60" s="3" t="inlineStr">
        <is>
          <t>Invenergy: Yellow Wood</t>
        </is>
      </c>
      <c r="F60" s="3" t="inlineStr">
        <is>
          <t>PJM</t>
        </is>
      </c>
      <c r="G60" s="3" t="inlineStr">
        <is>
          <t>Signed energy / attributes</t>
        </is>
      </c>
      <c r="H60" s="3" t="inlineStr">
        <is>
          <t>Solar</t>
        </is>
      </c>
      <c r="I60" s="164" t="n">
        <v>300</v>
      </c>
      <c r="J60" s="3" t="inlineStr">
        <is>
          <t>MW</t>
        </is>
      </c>
      <c r="K60" s="164" t="n">
        <v>300</v>
      </c>
      <c r="L60" s="161" t="n">
        <v>1</v>
      </c>
      <c r="M60" s="161" t="n">
        <v>2027</v>
      </c>
      <c r="N60" s="161" t="n">
        <v>2027</v>
      </c>
      <c r="O60" s="158" t="n">
        <v>1</v>
      </c>
      <c r="P60" s="161" t="n">
        <v>0</v>
      </c>
      <c r="Q60" s="3" t="inlineStr">
        <is>
          <t>S042</t>
        </is>
      </c>
      <c r="R60" s="264">
        <f>IF(OR($K60="",$L60=0),0,$K60*$L60*$O60*VLOOKUP($H60,'Power Market Assumptions'!$B$41:$D$52,3,FALSE)*MAX(0,MIN(1,(R$5-'Power Market Assumptions'!D$23-$M60+1)/($N60-$M60+1))))</f>
        <v/>
      </c>
      <c r="S60" s="264">
        <f>IF(OR($K60="",$L60=0),0,$K60*$L60*$O60*VLOOKUP($H60,'Power Market Assumptions'!$B$41:$D$52,3,FALSE)*MAX(0,MIN(1,(S$5-'Power Market Assumptions'!E$23-$M60+1)/($N60-$M60+1))))</f>
        <v/>
      </c>
      <c r="T60" s="264">
        <f>IF(OR($K60="",$L60=0),0,$K60*$L60*$O60*VLOOKUP($H60,'Power Market Assumptions'!$B$41:$D$52,3,FALSE)*MAX(0,MIN(1,(T$5-'Power Market Assumptions'!F$23-$M60+1)/($N60-$M60+1))))</f>
        <v/>
      </c>
      <c r="U60" s="264">
        <f>IF(OR($K60="",$L60=0),0,$K60*$L60*$O60*VLOOKUP($H60,'Power Market Assumptions'!$B$41:$D$52,3,FALSE)*MAX(0,MIN(1,(U$5-'Power Market Assumptions'!G$23-$M60+1)/($N60-$M60+1))))</f>
        <v/>
      </c>
      <c r="V60" s="264">
        <f>IF(OR($K60="",$L60=0),0,$K60*$L60*$O60*VLOOKUP($H60,'Power Market Assumptions'!$B$41:$D$52,3,FALSE)*MAX(0,MIN(1,(V$5-'Power Market Assumptions'!H$23-$M60+1)/($N60-$M60+1))))</f>
        <v/>
      </c>
      <c r="W60" s="264">
        <f>IF(OR($K60="",$L60=0),0,$K60*$L60*$O60*VLOOKUP($H60,'Power Market Assumptions'!$B$41:$D$52,3,FALSE)*MAX(0,MIN(1,(W$5-'Power Market Assumptions'!I$23-$M60+1)/($N60-$M60+1))))</f>
        <v/>
      </c>
    </row>
    <row r="61" ht="15" customHeight="1">
      <c r="A61" s="3" t="n"/>
      <c r="B61" s="3" t="inlineStr">
        <is>
          <t>P056</t>
        </is>
      </c>
      <c r="C61" s="3" t="inlineStr">
        <is>
          <t>2025-06</t>
        </is>
      </c>
      <c r="D61" s="3" t="inlineStr">
        <is>
          <t>Meta</t>
        </is>
      </c>
      <c r="E61" s="3" t="inlineStr">
        <is>
          <t>Invenergy: Pleasant Prairie</t>
        </is>
      </c>
      <c r="F61" s="3" t="inlineStr">
        <is>
          <t>PJM</t>
        </is>
      </c>
      <c r="G61" s="3" t="inlineStr">
        <is>
          <t>Signed energy / attributes</t>
        </is>
      </c>
      <c r="H61" s="3" t="inlineStr">
        <is>
          <t>Solar</t>
        </is>
      </c>
      <c r="I61" s="164" t="n">
        <v>140</v>
      </c>
      <c r="J61" s="3" t="inlineStr">
        <is>
          <t>MW</t>
        </is>
      </c>
      <c r="K61" s="164" t="n">
        <v>140</v>
      </c>
      <c r="L61" s="161" t="n">
        <v>1</v>
      </c>
      <c r="M61" s="161" t="n">
        <v>2027</v>
      </c>
      <c r="N61" s="161" t="n">
        <v>2027</v>
      </c>
      <c r="O61" s="158" t="n">
        <v>1</v>
      </c>
      <c r="P61" s="161" t="n">
        <v>0</v>
      </c>
      <c r="Q61" s="3" t="inlineStr">
        <is>
          <t>S042</t>
        </is>
      </c>
      <c r="R61" s="264">
        <f>IF(OR($K61="",$L61=0),0,$K61*$L61*$O61*VLOOKUP($H61,'Power Market Assumptions'!$B$41:$D$52,3,FALSE)*MAX(0,MIN(1,(R$5-'Power Market Assumptions'!D$23-$M61+1)/($N61-$M61+1))))</f>
        <v/>
      </c>
      <c r="S61" s="264">
        <f>IF(OR($K61="",$L61=0),0,$K61*$L61*$O61*VLOOKUP($H61,'Power Market Assumptions'!$B$41:$D$52,3,FALSE)*MAX(0,MIN(1,(S$5-'Power Market Assumptions'!E$23-$M61+1)/($N61-$M61+1))))</f>
        <v/>
      </c>
      <c r="T61" s="264">
        <f>IF(OR($K61="",$L61=0),0,$K61*$L61*$O61*VLOOKUP($H61,'Power Market Assumptions'!$B$41:$D$52,3,FALSE)*MAX(0,MIN(1,(T$5-'Power Market Assumptions'!F$23-$M61+1)/($N61-$M61+1))))</f>
        <v/>
      </c>
      <c r="U61" s="264">
        <f>IF(OR($K61="",$L61=0),0,$K61*$L61*$O61*VLOOKUP($H61,'Power Market Assumptions'!$B$41:$D$52,3,FALSE)*MAX(0,MIN(1,(U$5-'Power Market Assumptions'!G$23-$M61+1)/($N61-$M61+1))))</f>
        <v/>
      </c>
      <c r="V61" s="264">
        <f>IF(OR($K61="",$L61=0),0,$K61*$L61*$O61*VLOOKUP($H61,'Power Market Assumptions'!$B$41:$D$52,3,FALSE)*MAX(0,MIN(1,(V$5-'Power Market Assumptions'!H$23-$M61+1)/($N61-$M61+1))))</f>
        <v/>
      </c>
      <c r="W61" s="264">
        <f>IF(OR($K61="",$L61=0),0,$K61*$L61*$O61*VLOOKUP($H61,'Power Market Assumptions'!$B$41:$D$52,3,FALSE)*MAX(0,MIN(1,(W$5-'Power Market Assumptions'!I$23-$M61+1)/($N61-$M61+1))))</f>
        <v/>
      </c>
    </row>
    <row r="62" ht="15" customHeight="1">
      <c r="A62" s="3" t="n"/>
      <c r="B62" s="3" t="inlineStr">
        <is>
          <t>P057</t>
        </is>
      </c>
      <c r="C62" s="3" t="inlineStr">
        <is>
          <t>2025-06</t>
        </is>
      </c>
      <c r="D62" s="3" t="inlineStr">
        <is>
          <t>Meta</t>
        </is>
      </c>
      <c r="E62" s="3" t="inlineStr">
        <is>
          <t>Invenergy: Decoy</t>
        </is>
      </c>
      <c r="F62" s="3" t="inlineStr">
        <is>
          <t>MISO</t>
        </is>
      </c>
      <c r="G62" s="3" t="inlineStr">
        <is>
          <t>Signed energy / attributes</t>
        </is>
      </c>
      <c r="H62" s="3" t="inlineStr">
        <is>
          <t>Solar</t>
        </is>
      </c>
      <c r="I62" s="164" t="n">
        <v>155</v>
      </c>
      <c r="J62" s="3" t="inlineStr">
        <is>
          <t>MW</t>
        </is>
      </c>
      <c r="K62" s="164" t="n">
        <v>155</v>
      </c>
      <c r="L62" s="161" t="n">
        <v>1</v>
      </c>
      <c r="M62" s="161" t="n">
        <v>2027</v>
      </c>
      <c r="N62" s="161" t="n">
        <v>2027</v>
      </c>
      <c r="O62" s="158" t="n">
        <v>1</v>
      </c>
      <c r="P62" s="161" t="n">
        <v>0</v>
      </c>
      <c r="Q62" s="3" t="inlineStr">
        <is>
          <t>S042</t>
        </is>
      </c>
      <c r="R62" s="264">
        <f>IF(OR($K62="",$L62=0),0,$K62*$L62*$O62*VLOOKUP($H62,'Power Market Assumptions'!$B$41:$D$52,3,FALSE)*MAX(0,MIN(1,(R$5-'Power Market Assumptions'!D$23-$M62+1)/($N62-$M62+1))))</f>
        <v/>
      </c>
      <c r="S62" s="264">
        <f>IF(OR($K62="",$L62=0),0,$K62*$L62*$O62*VLOOKUP($H62,'Power Market Assumptions'!$B$41:$D$52,3,FALSE)*MAX(0,MIN(1,(S$5-'Power Market Assumptions'!E$23-$M62+1)/($N62-$M62+1))))</f>
        <v/>
      </c>
      <c r="T62" s="264">
        <f>IF(OR($K62="",$L62=0),0,$K62*$L62*$O62*VLOOKUP($H62,'Power Market Assumptions'!$B$41:$D$52,3,FALSE)*MAX(0,MIN(1,(T$5-'Power Market Assumptions'!F$23-$M62+1)/($N62-$M62+1))))</f>
        <v/>
      </c>
      <c r="U62" s="264">
        <f>IF(OR($K62="",$L62=0),0,$K62*$L62*$O62*VLOOKUP($H62,'Power Market Assumptions'!$B$41:$D$52,3,FALSE)*MAX(0,MIN(1,(U$5-'Power Market Assumptions'!G$23-$M62+1)/($N62-$M62+1))))</f>
        <v/>
      </c>
      <c r="V62" s="264">
        <f>IF(OR($K62="",$L62=0),0,$K62*$L62*$O62*VLOOKUP($H62,'Power Market Assumptions'!$B$41:$D$52,3,FALSE)*MAX(0,MIN(1,(V$5-'Power Market Assumptions'!H$23-$M62+1)/($N62-$M62+1))))</f>
        <v/>
      </c>
      <c r="W62" s="264">
        <f>IF(OR($K62="",$L62=0),0,$K62*$L62*$O62*VLOOKUP($H62,'Power Market Assumptions'!$B$41:$D$52,3,FALSE)*MAX(0,MIN(1,(W$5-'Power Market Assumptions'!I$23-$M62+1)/($N62-$M62+1))))</f>
        <v/>
      </c>
    </row>
    <row r="63" ht="15" customHeight="1">
      <c r="A63" s="3" t="n"/>
      <c r="B63" s="3" t="inlineStr">
        <is>
          <t>P058</t>
        </is>
      </c>
      <c r="C63" s="3" t="inlineStr">
        <is>
          <t>2025-06</t>
        </is>
      </c>
      <c r="D63" s="3" t="inlineStr">
        <is>
          <t>Meta</t>
        </is>
      </c>
      <c r="E63" s="3" t="inlineStr">
        <is>
          <t>Invenergy: Seaway</t>
        </is>
      </c>
      <c r="F63" s="3" t="inlineStr">
        <is>
          <t>Texas RE-ERCOT</t>
        </is>
      </c>
      <c r="G63" s="3" t="inlineStr">
        <is>
          <t>Signed energy / attributes</t>
        </is>
      </c>
      <c r="H63" s="3" t="inlineStr">
        <is>
          <t>Wind</t>
        </is>
      </c>
      <c r="I63" s="164" t="n">
        <v>196</v>
      </c>
      <c r="J63" s="3" t="inlineStr">
        <is>
          <t>MW</t>
        </is>
      </c>
      <c r="K63" s="164" t="n">
        <v>196</v>
      </c>
      <c r="L63" s="161" t="n">
        <v>1</v>
      </c>
      <c r="M63" s="161" t="n">
        <v>2028</v>
      </c>
      <c r="N63" s="161" t="n">
        <v>2028</v>
      </c>
      <c r="O63" s="158" t="n">
        <v>1</v>
      </c>
      <c r="P63" s="161" t="n">
        <v>0</v>
      </c>
      <c r="Q63" s="3" t="inlineStr">
        <is>
          <t>S042</t>
        </is>
      </c>
      <c r="R63" s="264">
        <f>IF(OR($K63="",$L63=0),0,$K63*$L63*$O63*VLOOKUP($H63,'Power Market Assumptions'!$B$41:$D$52,3,FALSE)*MAX(0,MIN(1,(R$5-'Power Market Assumptions'!D$23-$M63+1)/($N63-$M63+1))))</f>
        <v/>
      </c>
      <c r="S63" s="264">
        <f>IF(OR($K63="",$L63=0),0,$K63*$L63*$O63*VLOOKUP($H63,'Power Market Assumptions'!$B$41:$D$52,3,FALSE)*MAX(0,MIN(1,(S$5-'Power Market Assumptions'!E$23-$M63+1)/($N63-$M63+1))))</f>
        <v/>
      </c>
      <c r="T63" s="264">
        <f>IF(OR($K63="",$L63=0),0,$K63*$L63*$O63*VLOOKUP($H63,'Power Market Assumptions'!$B$41:$D$52,3,FALSE)*MAX(0,MIN(1,(T$5-'Power Market Assumptions'!F$23-$M63+1)/($N63-$M63+1))))</f>
        <v/>
      </c>
      <c r="U63" s="264">
        <f>IF(OR($K63="",$L63=0),0,$K63*$L63*$O63*VLOOKUP($H63,'Power Market Assumptions'!$B$41:$D$52,3,FALSE)*MAX(0,MIN(1,(U$5-'Power Market Assumptions'!G$23-$M63+1)/($N63-$M63+1))))</f>
        <v/>
      </c>
      <c r="V63" s="264">
        <f>IF(OR($K63="",$L63=0),0,$K63*$L63*$O63*VLOOKUP($H63,'Power Market Assumptions'!$B$41:$D$52,3,FALSE)*MAX(0,MIN(1,(V$5-'Power Market Assumptions'!H$23-$M63+1)/($N63-$M63+1))))</f>
        <v/>
      </c>
      <c r="W63" s="264">
        <f>IF(OR($K63="",$L63=0),0,$K63*$L63*$O63*VLOOKUP($H63,'Power Market Assumptions'!$B$41:$D$52,3,FALSE)*MAX(0,MIN(1,(W$5-'Power Market Assumptions'!I$23-$M63+1)/($N63-$M63+1))))</f>
        <v/>
      </c>
    </row>
    <row r="64" ht="15" customHeight="1">
      <c r="A64" s="3" t="n"/>
      <c r="B64" s="3" t="inlineStr">
        <is>
          <t>P059</t>
        </is>
      </c>
      <c r="C64" s="3" t="inlineStr">
        <is>
          <t>2024-12</t>
        </is>
      </c>
      <c r="D64" s="3" t="inlineStr">
        <is>
          <t>Meta</t>
        </is>
      </c>
      <c r="E64" s="3" t="inlineStr">
        <is>
          <t>Invenergy: Hardin II</t>
        </is>
      </c>
      <c r="F64" s="3" t="inlineStr">
        <is>
          <t>PJM</t>
        </is>
      </c>
      <c r="G64" s="3" t="inlineStr">
        <is>
          <t>Signed EAPA</t>
        </is>
      </c>
      <c r="H64" s="3" t="inlineStr">
        <is>
          <t>Solar</t>
        </is>
      </c>
      <c r="I64" s="164" t="n">
        <v>150</v>
      </c>
      <c r="J64" s="3" t="inlineStr">
        <is>
          <t>MW</t>
        </is>
      </c>
      <c r="K64" s="164" t="n">
        <v>150</v>
      </c>
      <c r="L64" s="161" t="n">
        <v>1</v>
      </c>
      <c r="M64" s="161" t="n">
        <v>2024</v>
      </c>
      <c r="N64" s="161" t="n">
        <v>2024</v>
      </c>
      <c r="O64" s="158" t="n">
        <v>1</v>
      </c>
      <c r="P64" s="161" t="n">
        <v>0</v>
      </c>
      <c r="Q64" s="3" t="inlineStr">
        <is>
          <t>S043</t>
        </is>
      </c>
      <c r="R64" s="264">
        <f>IF(OR($K64="",$L64=0),0,$K64*$L64*$O64*VLOOKUP($H64,'Power Market Assumptions'!$B$41:$D$52,3,FALSE)*MAX(0,MIN(1,(R$5-'Power Market Assumptions'!D$23-$M64+1)/($N64-$M64+1))))</f>
        <v/>
      </c>
      <c r="S64" s="264">
        <f>IF(OR($K64="",$L64=0),0,$K64*$L64*$O64*VLOOKUP($H64,'Power Market Assumptions'!$B$41:$D$52,3,FALSE)*MAX(0,MIN(1,(S$5-'Power Market Assumptions'!E$23-$M64+1)/($N64-$M64+1))))</f>
        <v/>
      </c>
      <c r="T64" s="264">
        <f>IF(OR($K64="",$L64=0),0,$K64*$L64*$O64*VLOOKUP($H64,'Power Market Assumptions'!$B$41:$D$52,3,FALSE)*MAX(0,MIN(1,(T$5-'Power Market Assumptions'!F$23-$M64+1)/($N64-$M64+1))))</f>
        <v/>
      </c>
      <c r="U64" s="264">
        <f>IF(OR($K64="",$L64=0),0,$K64*$L64*$O64*VLOOKUP($H64,'Power Market Assumptions'!$B$41:$D$52,3,FALSE)*MAX(0,MIN(1,(U$5-'Power Market Assumptions'!G$23-$M64+1)/($N64-$M64+1))))</f>
        <v/>
      </c>
      <c r="V64" s="264">
        <f>IF(OR($K64="",$L64=0),0,$K64*$L64*$O64*VLOOKUP($H64,'Power Market Assumptions'!$B$41:$D$52,3,FALSE)*MAX(0,MIN(1,(V$5-'Power Market Assumptions'!H$23-$M64+1)/($N64-$M64+1))))</f>
        <v/>
      </c>
      <c r="W64" s="264">
        <f>IF(OR($K64="",$L64=0),0,$K64*$L64*$O64*VLOOKUP($H64,'Power Market Assumptions'!$B$41:$D$52,3,FALSE)*MAX(0,MIN(1,(W$5-'Power Market Assumptions'!I$23-$M64+1)/($N64-$M64+1))))</f>
        <v/>
      </c>
    </row>
    <row r="65" ht="15" customHeight="1">
      <c r="A65" s="3" t="n"/>
      <c r="B65" s="3" t="inlineStr">
        <is>
          <t>P060</t>
        </is>
      </c>
      <c r="C65" s="3" t="inlineStr">
        <is>
          <t>2024-12</t>
        </is>
      </c>
      <c r="D65" s="3" t="inlineStr">
        <is>
          <t>Meta</t>
        </is>
      </c>
      <c r="E65" s="3" t="inlineStr">
        <is>
          <t>Invenergy: Delilah II</t>
        </is>
      </c>
      <c r="F65" s="3" t="inlineStr">
        <is>
          <t>Texas RE-ERCOT</t>
        </is>
      </c>
      <c r="G65" s="3" t="inlineStr">
        <is>
          <t>Signed EAPA</t>
        </is>
      </c>
      <c r="H65" s="3" t="inlineStr">
        <is>
          <t>Solar</t>
        </is>
      </c>
      <c r="I65" s="164" t="n">
        <v>150</v>
      </c>
      <c r="J65" s="3" t="inlineStr">
        <is>
          <t>MW</t>
        </is>
      </c>
      <c r="K65" s="164" t="n">
        <v>150</v>
      </c>
      <c r="L65" s="161" t="n">
        <v>1</v>
      </c>
      <c r="M65" s="161" t="n">
        <v>2025</v>
      </c>
      <c r="N65" s="161" t="n">
        <v>2025</v>
      </c>
      <c r="O65" s="158" t="n">
        <v>1</v>
      </c>
      <c r="P65" s="161" t="n">
        <v>0</v>
      </c>
      <c r="Q65" s="3" t="inlineStr">
        <is>
          <t>S043</t>
        </is>
      </c>
      <c r="R65" s="264">
        <f>IF(OR($K65="",$L65=0),0,$K65*$L65*$O65*VLOOKUP($H65,'Power Market Assumptions'!$B$41:$D$52,3,FALSE)*MAX(0,MIN(1,(R$5-'Power Market Assumptions'!D$23-$M65+1)/($N65-$M65+1))))</f>
        <v/>
      </c>
      <c r="S65" s="264">
        <f>IF(OR($K65="",$L65=0),0,$K65*$L65*$O65*VLOOKUP($H65,'Power Market Assumptions'!$B$41:$D$52,3,FALSE)*MAX(0,MIN(1,(S$5-'Power Market Assumptions'!E$23-$M65+1)/($N65-$M65+1))))</f>
        <v/>
      </c>
      <c r="T65" s="264">
        <f>IF(OR($K65="",$L65=0),0,$K65*$L65*$O65*VLOOKUP($H65,'Power Market Assumptions'!$B$41:$D$52,3,FALSE)*MAX(0,MIN(1,(T$5-'Power Market Assumptions'!F$23-$M65+1)/($N65-$M65+1))))</f>
        <v/>
      </c>
      <c r="U65" s="264">
        <f>IF(OR($K65="",$L65=0),0,$K65*$L65*$O65*VLOOKUP($H65,'Power Market Assumptions'!$B$41:$D$52,3,FALSE)*MAX(0,MIN(1,(U$5-'Power Market Assumptions'!G$23-$M65+1)/($N65-$M65+1))))</f>
        <v/>
      </c>
      <c r="V65" s="264">
        <f>IF(OR($K65="",$L65=0),0,$K65*$L65*$O65*VLOOKUP($H65,'Power Market Assumptions'!$B$41:$D$52,3,FALSE)*MAX(0,MIN(1,(V$5-'Power Market Assumptions'!H$23-$M65+1)/($N65-$M65+1))))</f>
        <v/>
      </c>
      <c r="W65" s="264">
        <f>IF(OR($K65="",$L65=0),0,$K65*$L65*$O65*VLOOKUP($H65,'Power Market Assumptions'!$B$41:$D$52,3,FALSE)*MAX(0,MIN(1,(W$5-'Power Market Assumptions'!I$23-$M65+1)/($N65-$M65+1))))</f>
        <v/>
      </c>
    </row>
    <row r="66" ht="15" customHeight="1">
      <c r="A66" s="3" t="n"/>
      <c r="B66" s="3" t="inlineStr">
        <is>
          <t>P061</t>
        </is>
      </c>
      <c r="C66" s="3" t="inlineStr">
        <is>
          <t>2024-12</t>
        </is>
      </c>
      <c r="D66" s="3" t="inlineStr">
        <is>
          <t>Meta</t>
        </is>
      </c>
      <c r="E66" s="3" t="inlineStr">
        <is>
          <t>Invenergy: Tip Top</t>
        </is>
      </c>
      <c r="F66" s="3" t="inlineStr">
        <is>
          <t>WECC-Southwest</t>
        </is>
      </c>
      <c r="G66" s="3" t="inlineStr">
        <is>
          <t>Signed EAPA</t>
        </is>
      </c>
      <c r="H66" s="3" t="inlineStr">
        <is>
          <t>Solar</t>
        </is>
      </c>
      <c r="I66" s="164" t="n">
        <v>110</v>
      </c>
      <c r="J66" s="3" t="inlineStr">
        <is>
          <t>MW</t>
        </is>
      </c>
      <c r="K66" s="164" t="n">
        <v>110</v>
      </c>
      <c r="L66" s="161" t="n">
        <v>1</v>
      </c>
      <c r="M66" s="161" t="n">
        <v>2026</v>
      </c>
      <c r="N66" s="161" t="n">
        <v>2026</v>
      </c>
      <c r="O66" s="158" t="n">
        <v>1</v>
      </c>
      <c r="P66" s="161" t="n">
        <v>0</v>
      </c>
      <c r="Q66" s="3" t="inlineStr">
        <is>
          <t>S043</t>
        </is>
      </c>
      <c r="R66" s="264">
        <f>IF(OR($K66="",$L66=0),0,$K66*$L66*$O66*VLOOKUP($H66,'Power Market Assumptions'!$B$41:$D$52,3,FALSE)*MAX(0,MIN(1,(R$5-'Power Market Assumptions'!D$23-$M66+1)/($N66-$M66+1))))</f>
        <v/>
      </c>
      <c r="S66" s="264">
        <f>IF(OR($K66="",$L66=0),0,$K66*$L66*$O66*VLOOKUP($H66,'Power Market Assumptions'!$B$41:$D$52,3,FALSE)*MAX(0,MIN(1,(S$5-'Power Market Assumptions'!E$23-$M66+1)/($N66-$M66+1))))</f>
        <v/>
      </c>
      <c r="T66" s="264">
        <f>IF(OR($K66="",$L66=0),0,$K66*$L66*$O66*VLOOKUP($H66,'Power Market Assumptions'!$B$41:$D$52,3,FALSE)*MAX(0,MIN(1,(T$5-'Power Market Assumptions'!F$23-$M66+1)/($N66-$M66+1))))</f>
        <v/>
      </c>
      <c r="U66" s="264">
        <f>IF(OR($K66="",$L66=0),0,$K66*$L66*$O66*VLOOKUP($H66,'Power Market Assumptions'!$B$41:$D$52,3,FALSE)*MAX(0,MIN(1,(U$5-'Power Market Assumptions'!G$23-$M66+1)/($N66-$M66+1))))</f>
        <v/>
      </c>
      <c r="V66" s="264">
        <f>IF(OR($K66="",$L66=0),0,$K66*$L66*$O66*VLOOKUP($H66,'Power Market Assumptions'!$B$41:$D$52,3,FALSE)*MAX(0,MIN(1,(V$5-'Power Market Assumptions'!H$23-$M66+1)/($N66-$M66+1))))</f>
        <v/>
      </c>
      <c r="W66" s="264">
        <f>IF(OR($K66="",$L66=0),0,$K66*$L66*$O66*VLOOKUP($H66,'Power Market Assumptions'!$B$41:$D$52,3,FALSE)*MAX(0,MIN(1,(W$5-'Power Market Assumptions'!I$23-$M66+1)/($N66-$M66+1))))</f>
        <v/>
      </c>
    </row>
    <row r="67" ht="15" customHeight="1">
      <c r="A67" s="3" t="n"/>
      <c r="B67" s="3" t="inlineStr">
        <is>
          <t>P062</t>
        </is>
      </c>
      <c r="C67" s="3" t="inlineStr">
        <is>
          <t>2024-12</t>
        </is>
      </c>
      <c r="D67" s="3" t="inlineStr">
        <is>
          <t>Meta</t>
        </is>
      </c>
      <c r="E67" s="3" t="inlineStr">
        <is>
          <t>Invenergy: Chalk Bluff</t>
        </is>
      </c>
      <c r="F67" s="3" t="inlineStr">
        <is>
          <t>MISO</t>
        </is>
      </c>
      <c r="G67" s="3" t="inlineStr">
        <is>
          <t>Signed EAPA</t>
        </is>
      </c>
      <c r="H67" s="3" t="inlineStr">
        <is>
          <t>Solar</t>
        </is>
      </c>
      <c r="I67" s="164" t="n">
        <v>350</v>
      </c>
      <c r="J67" s="3" t="inlineStr">
        <is>
          <t>MW</t>
        </is>
      </c>
      <c r="K67" s="164" t="n">
        <v>350</v>
      </c>
      <c r="L67" s="161" t="n">
        <v>1</v>
      </c>
      <c r="M67" s="161" t="n">
        <v>2027</v>
      </c>
      <c r="N67" s="161" t="n">
        <v>2027</v>
      </c>
      <c r="O67" s="158" t="n">
        <v>1</v>
      </c>
      <c r="P67" s="161" t="n">
        <v>0</v>
      </c>
      <c r="Q67" s="3" t="inlineStr">
        <is>
          <t>S043</t>
        </is>
      </c>
      <c r="R67" s="264">
        <f>IF(OR($K67="",$L67=0),0,$K67*$L67*$O67*VLOOKUP($H67,'Power Market Assumptions'!$B$41:$D$52,3,FALSE)*MAX(0,MIN(1,(R$5-'Power Market Assumptions'!D$23-$M67+1)/($N67-$M67+1))))</f>
        <v/>
      </c>
      <c r="S67" s="264">
        <f>IF(OR($K67="",$L67=0),0,$K67*$L67*$O67*VLOOKUP($H67,'Power Market Assumptions'!$B$41:$D$52,3,FALSE)*MAX(0,MIN(1,(S$5-'Power Market Assumptions'!E$23-$M67+1)/($N67-$M67+1))))</f>
        <v/>
      </c>
      <c r="T67" s="264">
        <f>IF(OR($K67="",$L67=0),0,$K67*$L67*$O67*VLOOKUP($H67,'Power Market Assumptions'!$B$41:$D$52,3,FALSE)*MAX(0,MIN(1,(T$5-'Power Market Assumptions'!F$23-$M67+1)/($N67-$M67+1))))</f>
        <v/>
      </c>
      <c r="U67" s="264">
        <f>IF(OR($K67="",$L67=0),0,$K67*$L67*$O67*VLOOKUP($H67,'Power Market Assumptions'!$B$41:$D$52,3,FALSE)*MAX(0,MIN(1,(U$5-'Power Market Assumptions'!G$23-$M67+1)/($N67-$M67+1))))</f>
        <v/>
      </c>
      <c r="V67" s="264">
        <f>IF(OR($K67="",$L67=0),0,$K67*$L67*$O67*VLOOKUP($H67,'Power Market Assumptions'!$B$41:$D$52,3,FALSE)*MAX(0,MIN(1,(V$5-'Power Market Assumptions'!H$23-$M67+1)/($N67-$M67+1))))</f>
        <v/>
      </c>
      <c r="W67" s="264">
        <f>IF(OR($K67="",$L67=0),0,$K67*$L67*$O67*VLOOKUP($H67,'Power Market Assumptions'!$B$41:$D$52,3,FALSE)*MAX(0,MIN(1,(W$5-'Power Market Assumptions'!I$23-$M67+1)/($N67-$M67+1))))</f>
        <v/>
      </c>
    </row>
    <row r="68" ht="15" customHeight="1">
      <c r="A68" s="3" t="n"/>
      <c r="B68" s="3" t="inlineStr">
        <is>
          <t>P063</t>
        </is>
      </c>
      <c r="C68" s="3" t="inlineStr">
        <is>
          <t>2024-05</t>
        </is>
      </c>
      <c r="D68" s="3" t="inlineStr">
        <is>
          <t>Microsoft</t>
        </is>
      </c>
      <c r="E68" s="3" t="inlineStr">
        <is>
          <t>RWE: two Texas wind farms</t>
        </is>
      </c>
      <c r="F68" s="3" t="inlineStr">
        <is>
          <t>Texas RE-ERCOT</t>
        </is>
      </c>
      <c r="G68" s="3" t="inlineStr">
        <is>
          <t>Signed PPA</t>
        </is>
      </c>
      <c r="H68" s="3" t="inlineStr">
        <is>
          <t>Wind</t>
        </is>
      </c>
      <c r="I68" s="164" t="n">
        <v>446</v>
      </c>
      <c r="J68" s="3" t="inlineStr">
        <is>
          <t>MW</t>
        </is>
      </c>
      <c r="K68" s="164" t="n">
        <v>446</v>
      </c>
      <c r="L68" s="161" t="n">
        <v>1</v>
      </c>
      <c r="M68" s="161" t="n">
        <v>2026</v>
      </c>
      <c r="N68" s="161" t="n">
        <v>2026</v>
      </c>
      <c r="O68" s="158" t="n">
        <v>1</v>
      </c>
      <c r="P68" s="161" t="n">
        <v>0</v>
      </c>
      <c r="Q68" s="3" t="inlineStr">
        <is>
          <t>S044</t>
        </is>
      </c>
      <c r="R68" s="264">
        <f>IF(OR($K68="",$L68=0),0,$K68*$L68*$O68*VLOOKUP($H68,'Power Market Assumptions'!$B$41:$D$52,3,FALSE)*MAX(0,MIN(1,(R$5-'Power Market Assumptions'!D$23-$M68+1)/($N68-$M68+1))))</f>
        <v/>
      </c>
      <c r="S68" s="264">
        <f>IF(OR($K68="",$L68=0),0,$K68*$L68*$O68*VLOOKUP($H68,'Power Market Assumptions'!$B$41:$D$52,3,FALSE)*MAX(0,MIN(1,(S$5-'Power Market Assumptions'!E$23-$M68+1)/($N68-$M68+1))))</f>
        <v/>
      </c>
      <c r="T68" s="264">
        <f>IF(OR($K68="",$L68=0),0,$K68*$L68*$O68*VLOOKUP($H68,'Power Market Assumptions'!$B$41:$D$52,3,FALSE)*MAX(0,MIN(1,(T$5-'Power Market Assumptions'!F$23-$M68+1)/($N68-$M68+1))))</f>
        <v/>
      </c>
      <c r="U68" s="264">
        <f>IF(OR($K68="",$L68=0),0,$K68*$L68*$O68*VLOOKUP($H68,'Power Market Assumptions'!$B$41:$D$52,3,FALSE)*MAX(0,MIN(1,(U$5-'Power Market Assumptions'!G$23-$M68+1)/($N68-$M68+1))))</f>
        <v/>
      </c>
      <c r="V68" s="264">
        <f>IF(OR($K68="",$L68=0),0,$K68*$L68*$O68*VLOOKUP($H68,'Power Market Assumptions'!$B$41:$D$52,3,FALSE)*MAX(0,MIN(1,(V$5-'Power Market Assumptions'!H$23-$M68+1)/($N68-$M68+1))))</f>
        <v/>
      </c>
      <c r="W68" s="264">
        <f>IF(OR($K68="",$L68=0),0,$K68*$L68*$O68*VLOOKUP($H68,'Power Market Assumptions'!$B$41:$D$52,3,FALSE)*MAX(0,MIN(1,(W$5-'Power Market Assumptions'!I$23-$M68+1)/($N68-$M68+1))))</f>
        <v/>
      </c>
    </row>
    <row r="69" ht="15" customHeight="1">
      <c r="A69" s="3" t="n"/>
      <c r="B69" s="3" t="inlineStr">
        <is>
          <t>P064</t>
        </is>
      </c>
      <c r="C69" s="3" t="inlineStr">
        <is>
          <t>2024-06</t>
        </is>
      </c>
      <c r="D69" s="3" t="inlineStr">
        <is>
          <t>Google</t>
        </is>
      </c>
      <c r="E69" s="3" t="inlineStr">
        <is>
          <t>NV Energy / Fervo: geothermal tariff</t>
        </is>
      </c>
      <c r="F69" s="3" t="inlineStr">
        <is>
          <t>WECC-Basin</t>
        </is>
      </c>
      <c r="G69" s="3" t="inlineStr">
        <is>
          <t>Approved utility supply</t>
        </is>
      </c>
      <c r="H69" s="3" t="inlineStr">
        <is>
          <t>Geothermal</t>
        </is>
      </c>
      <c r="I69" s="164" t="n">
        <v>115</v>
      </c>
      <c r="J69" s="3" t="inlineStr">
        <is>
          <t>MW</t>
        </is>
      </c>
      <c r="K69" s="164" t="n">
        <v>115</v>
      </c>
      <c r="L69" s="161" t="n">
        <v>1</v>
      </c>
      <c r="M69" s="161" t="n">
        <v>2026</v>
      </c>
      <c r="N69" s="161" t="n">
        <v>2026</v>
      </c>
      <c r="O69" s="158" t="n">
        <v>1</v>
      </c>
      <c r="P69" s="161" t="n">
        <v>0</v>
      </c>
      <c r="Q69" s="3" t="inlineStr">
        <is>
          <t>S045</t>
        </is>
      </c>
      <c r="R69" s="264">
        <f>IF(OR($K69="",$L69=0),0,$K69*$L69*$O69*VLOOKUP($H69,'Power Market Assumptions'!$B$41:$D$52,3,FALSE)*MAX(0,MIN(1,(R$5-'Power Market Assumptions'!D$23-$M69+1)/($N69-$M69+1))))</f>
        <v/>
      </c>
      <c r="S69" s="264">
        <f>IF(OR($K69="",$L69=0),0,$K69*$L69*$O69*VLOOKUP($H69,'Power Market Assumptions'!$B$41:$D$52,3,FALSE)*MAX(0,MIN(1,(S$5-'Power Market Assumptions'!E$23-$M69+1)/($N69-$M69+1))))</f>
        <v/>
      </c>
      <c r="T69" s="264">
        <f>IF(OR($K69="",$L69=0),0,$K69*$L69*$O69*VLOOKUP($H69,'Power Market Assumptions'!$B$41:$D$52,3,FALSE)*MAX(0,MIN(1,(T$5-'Power Market Assumptions'!F$23-$M69+1)/($N69-$M69+1))))</f>
        <v/>
      </c>
      <c r="U69" s="264">
        <f>IF(OR($K69="",$L69=0),0,$K69*$L69*$O69*VLOOKUP($H69,'Power Market Assumptions'!$B$41:$D$52,3,FALSE)*MAX(0,MIN(1,(U$5-'Power Market Assumptions'!G$23-$M69+1)/($N69-$M69+1))))</f>
        <v/>
      </c>
      <c r="V69" s="264">
        <f>IF(OR($K69="",$L69=0),0,$K69*$L69*$O69*VLOOKUP($H69,'Power Market Assumptions'!$B$41:$D$52,3,FALSE)*MAX(0,MIN(1,(V$5-'Power Market Assumptions'!H$23-$M69+1)/($N69-$M69+1))))</f>
        <v/>
      </c>
      <c r="W69" s="264">
        <f>IF(OR($K69="",$L69=0),0,$K69*$L69*$O69*VLOOKUP($H69,'Power Market Assumptions'!$B$41:$D$52,3,FALSE)*MAX(0,MIN(1,(W$5-'Power Market Assumptions'!I$23-$M69+1)/($N69-$M69+1))))</f>
        <v/>
      </c>
    </row>
    <row r="70" ht="15" customHeight="1">
      <c r="A70" s="3" t="n"/>
      <c r="B70" s="3" t="inlineStr">
        <is>
          <t>P065</t>
        </is>
      </c>
      <c r="C70" s="3" t="inlineStr">
        <is>
          <t>2026-02</t>
        </is>
      </c>
      <c r="D70" s="3" t="inlineStr">
        <is>
          <t>Google</t>
        </is>
      </c>
      <c r="E70" s="3" t="inlineStr">
        <is>
          <t>Xcel: Pine Island wind / solar</t>
        </is>
      </c>
      <c r="F70" s="3" t="inlineStr">
        <is>
          <t>MISO</t>
        </is>
      </c>
      <c r="G70" s="3" t="inlineStr">
        <is>
          <t>Utility service agreement</t>
        </is>
      </c>
      <c r="H70" s="3" t="inlineStr">
        <is>
          <t>Mixed renewables</t>
        </is>
      </c>
      <c r="I70" s="164" t="n">
        <v>1600</v>
      </c>
      <c r="J70" s="3" t="inlineStr">
        <is>
          <t>MW</t>
        </is>
      </c>
      <c r="K70" s="164" t="n">
        <v>1600</v>
      </c>
      <c r="L70" s="161" t="n">
        <v>1</v>
      </c>
      <c r="M70" s="161" t="n">
        <v>2028</v>
      </c>
      <c r="N70" s="161" t="n">
        <v>2030</v>
      </c>
      <c r="O70" s="158" t="n">
        <v>0.75</v>
      </c>
      <c r="P70" s="161" t="n">
        <v>0</v>
      </c>
      <c r="Q70" s="3" t="inlineStr">
        <is>
          <t>S046</t>
        </is>
      </c>
      <c r="R70" s="264">
        <f>IF(OR($K70="",$L70=0),0,$K70*$L70*$O70*VLOOKUP($H70,'Power Market Assumptions'!$B$41:$D$52,3,FALSE)*MAX(0,MIN(1,(R$5-'Power Market Assumptions'!D$23-$M70+1)/($N70-$M70+1))))</f>
        <v/>
      </c>
      <c r="S70" s="264">
        <f>IF(OR($K70="",$L70=0),0,$K70*$L70*$O70*VLOOKUP($H70,'Power Market Assumptions'!$B$41:$D$52,3,FALSE)*MAX(0,MIN(1,(S$5-'Power Market Assumptions'!E$23-$M70+1)/($N70-$M70+1))))</f>
        <v/>
      </c>
      <c r="T70" s="264">
        <f>IF(OR($K70="",$L70=0),0,$K70*$L70*$O70*VLOOKUP($H70,'Power Market Assumptions'!$B$41:$D$52,3,FALSE)*MAX(0,MIN(1,(T$5-'Power Market Assumptions'!F$23-$M70+1)/($N70-$M70+1))))</f>
        <v/>
      </c>
      <c r="U70" s="264">
        <f>IF(OR($K70="",$L70=0),0,$K70*$L70*$O70*VLOOKUP($H70,'Power Market Assumptions'!$B$41:$D$52,3,FALSE)*MAX(0,MIN(1,(U$5-'Power Market Assumptions'!G$23-$M70+1)/($N70-$M70+1))))</f>
        <v/>
      </c>
      <c r="V70" s="264">
        <f>IF(OR($K70="",$L70=0),0,$K70*$L70*$O70*VLOOKUP($H70,'Power Market Assumptions'!$B$41:$D$52,3,FALSE)*MAX(0,MIN(1,(V$5-'Power Market Assumptions'!H$23-$M70+1)/($N70-$M70+1))))</f>
        <v/>
      </c>
      <c r="W70" s="264">
        <f>IF(OR($K70="",$L70=0),0,$K70*$L70*$O70*VLOOKUP($H70,'Power Market Assumptions'!$B$41:$D$52,3,FALSE)*MAX(0,MIN(1,(W$5-'Power Market Assumptions'!I$23-$M70+1)/($N70-$M70+1))))</f>
        <v/>
      </c>
    </row>
    <row r="71" ht="15" customHeight="1">
      <c r="A71" s="3" t="n"/>
      <c r="B71" s="3" t="inlineStr">
        <is>
          <t>P066</t>
        </is>
      </c>
      <c r="C71" s="3" t="inlineStr">
        <is>
          <t>2026-02</t>
        </is>
      </c>
      <c r="D71" s="3" t="inlineStr">
        <is>
          <t>Google</t>
        </is>
      </c>
      <c r="E71" s="3" t="inlineStr">
        <is>
          <t>Xcel / Form: iron-air storage</t>
        </is>
      </c>
      <c r="F71" s="3" t="inlineStr">
        <is>
          <t>MISO</t>
        </is>
      </c>
      <c r="G71" s="3" t="inlineStr">
        <is>
          <t>Utility service agreement</t>
        </is>
      </c>
      <c r="H71" s="3" t="inlineStr">
        <is>
          <t>Storage</t>
        </is>
      </c>
      <c r="I71" s="164" t="n">
        <v>300</v>
      </c>
      <c r="J71" s="3" t="inlineStr">
        <is>
          <t>MW discharge</t>
        </is>
      </c>
      <c r="K71" s="27" t="n"/>
      <c r="L71" s="161" t="n">
        <v>0</v>
      </c>
      <c r="M71" s="161" t="n">
        <v>2028</v>
      </c>
      <c r="N71" s="161" t="n">
        <v>2030</v>
      </c>
      <c r="O71" s="158" t="n">
        <v>0</v>
      </c>
      <c r="P71" s="161" t="n">
        <v>0</v>
      </c>
      <c r="Q71" s="3" t="inlineStr">
        <is>
          <t>S046</t>
        </is>
      </c>
      <c r="R71" s="264">
        <f>IF(OR($K71="",$L71=0),0,$K71*$L71*$O71*VLOOKUP($H71,'Power Market Assumptions'!$B$41:$D$52,3,FALSE)*MAX(0,MIN(1,(R$5-'Power Market Assumptions'!D$23-$M71+1)/($N71-$M71+1))))</f>
        <v/>
      </c>
      <c r="S71" s="264">
        <f>IF(OR($K71="",$L71=0),0,$K71*$L71*$O71*VLOOKUP($H71,'Power Market Assumptions'!$B$41:$D$52,3,FALSE)*MAX(0,MIN(1,(S$5-'Power Market Assumptions'!E$23-$M71+1)/($N71-$M71+1))))</f>
        <v/>
      </c>
      <c r="T71" s="264">
        <f>IF(OR($K71="",$L71=0),0,$K71*$L71*$O71*VLOOKUP($H71,'Power Market Assumptions'!$B$41:$D$52,3,FALSE)*MAX(0,MIN(1,(T$5-'Power Market Assumptions'!F$23-$M71+1)/($N71-$M71+1))))</f>
        <v/>
      </c>
      <c r="U71" s="264">
        <f>IF(OR($K71="",$L71=0),0,$K71*$L71*$O71*VLOOKUP($H71,'Power Market Assumptions'!$B$41:$D$52,3,FALSE)*MAX(0,MIN(1,(U$5-'Power Market Assumptions'!G$23-$M71+1)/($N71-$M71+1))))</f>
        <v/>
      </c>
      <c r="V71" s="264">
        <f>IF(OR($K71="",$L71=0),0,$K71*$L71*$O71*VLOOKUP($H71,'Power Market Assumptions'!$B$41:$D$52,3,FALSE)*MAX(0,MIN(1,(V$5-'Power Market Assumptions'!H$23-$M71+1)/($N71-$M71+1))))</f>
        <v/>
      </c>
      <c r="W71" s="264">
        <f>IF(OR($K71="",$L71=0),0,$K71*$L71*$O71*VLOOKUP($H71,'Power Market Assumptions'!$B$41:$D$52,3,FALSE)*MAX(0,MIN(1,(W$5-'Power Market Assumptions'!I$23-$M71+1)/($N71-$M71+1))))</f>
        <v/>
      </c>
    </row>
    <row r="72" ht="15" customHeight="1">
      <c r="A72" s="3" t="n"/>
      <c r="B72" s="3" t="inlineStr">
        <is>
          <t>P067</t>
        </is>
      </c>
      <c r="C72" s="3" t="inlineStr">
        <is>
          <t>2026-06</t>
        </is>
      </c>
      <c r="D72" s="3" t="inlineStr">
        <is>
          <t>Google</t>
        </is>
      </c>
      <c r="E72" s="3" t="inlineStr">
        <is>
          <t>Voltus: distributed flexibility</t>
        </is>
      </c>
      <c r="F72" s="3" t="inlineStr">
        <is>
          <t>PJM</t>
        </is>
      </c>
      <c r="G72" s="3" t="inlineStr">
        <is>
          <t>Demand response agreement</t>
        </is>
      </c>
      <c r="H72" s="3" t="inlineStr">
        <is>
          <t>Demand response</t>
        </is>
      </c>
      <c r="I72" s="164" t="n">
        <v>100</v>
      </c>
      <c r="J72" s="3" t="inlineStr">
        <is>
          <t>MW flexible resources</t>
        </is>
      </c>
      <c r="K72" s="27" t="n"/>
      <c r="L72" s="161" t="n">
        <v>0</v>
      </c>
      <c r="M72" s="161" t="n">
        <v>2026</v>
      </c>
      <c r="N72" s="161" t="n">
        <v>2029</v>
      </c>
      <c r="O72" s="158" t="n">
        <v>0</v>
      </c>
      <c r="P72" s="161" t="n">
        <v>0</v>
      </c>
      <c r="Q72" s="3" t="inlineStr">
        <is>
          <t>S047</t>
        </is>
      </c>
      <c r="R72" s="264">
        <f>IF(OR($K72="",$L72=0),0,$K72*$L72*$O72*VLOOKUP($H72,'Power Market Assumptions'!$B$41:$D$52,3,FALSE)*MAX(0,MIN(1,(R$5-'Power Market Assumptions'!D$23-$M72+1)/($N72-$M72+1))))</f>
        <v/>
      </c>
      <c r="S72" s="264">
        <f>IF(OR($K72="",$L72=0),0,$K72*$L72*$O72*VLOOKUP($H72,'Power Market Assumptions'!$B$41:$D$52,3,FALSE)*MAX(0,MIN(1,(S$5-'Power Market Assumptions'!E$23-$M72+1)/($N72-$M72+1))))</f>
        <v/>
      </c>
      <c r="T72" s="264">
        <f>IF(OR($K72="",$L72=0),0,$K72*$L72*$O72*VLOOKUP($H72,'Power Market Assumptions'!$B$41:$D$52,3,FALSE)*MAX(0,MIN(1,(T$5-'Power Market Assumptions'!F$23-$M72+1)/($N72-$M72+1))))</f>
        <v/>
      </c>
      <c r="U72" s="264">
        <f>IF(OR($K72="",$L72=0),0,$K72*$L72*$O72*VLOOKUP($H72,'Power Market Assumptions'!$B$41:$D$52,3,FALSE)*MAX(0,MIN(1,(U$5-'Power Market Assumptions'!G$23-$M72+1)/($N72-$M72+1))))</f>
        <v/>
      </c>
      <c r="V72" s="264">
        <f>IF(OR($K72="",$L72=0),0,$K72*$L72*$O72*VLOOKUP($H72,'Power Market Assumptions'!$B$41:$D$52,3,FALSE)*MAX(0,MIN(1,(V$5-'Power Market Assumptions'!H$23-$M72+1)/($N72-$M72+1))))</f>
        <v/>
      </c>
      <c r="W72" s="264">
        <f>IF(OR($K72="",$L72=0),0,$K72*$L72*$O72*VLOOKUP($H72,'Power Market Assumptions'!$B$41:$D$52,3,FALSE)*MAX(0,MIN(1,(W$5-'Power Market Assumptions'!I$23-$M72+1)/($N72-$M72+1))))</f>
        <v/>
      </c>
    </row>
  </sheetData>
  <dataValidations count="1">
    <dataValidation sqref="L6:L72 P6:P72" showDropDown="0" showInputMessage="0" showErrorMessage="0" allowBlank="0" type="list">
      <formula1>"0,1"</formula1>
    </dataValidation>
  </dataValidations>
  <pageMargins left="0.75" right="0.75" top="1" bottom="1" header="0.5" footer="0.5"/>
  <pageSetup orientation="portrait" horizontalDpi="0" verticalDpi="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ColWidth="8.85546875" defaultRowHeight="15"/>
  <cols>
    <col width="2.7109375" customWidth="1" min="1" max="1"/>
    <col width="35.7109375" customWidth="1" min="2" max="2"/>
    <col width="22" customWidth="1" min="3" max="3"/>
    <col width="12" customWidth="1" min="4" max="8"/>
    <col width="35.7109375" customWidth="1" min="9" max="9"/>
    <col width="9.140625" customWidth="1" min="10" max="10"/>
  </cols>
  <sheetData>
    <row r="1" ht="18.95" customHeight="1">
      <c r="A1" s="3" t="n"/>
      <c r="B1" s="30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18.95" customHeight="1">
      <c r="A2" s="3" t="n"/>
      <c r="B2" s="30" t="inlineStr">
        <is>
          <t>Capex Plans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 ht="15" customHeight="1">
      <c r="A3" s="3" t="n"/>
      <c r="B3" s="232" t="inlineStr">
        <is>
          <t>(Global; as of October 8, 2026)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 ht="15" customHeight="1">
      <c r="A4" s="3" t="n"/>
      <c r="B4" s="150" t="inlineStr">
        <is>
          <t>Company Guidance</t>
        </is>
      </c>
      <c r="C4" s="150" t="n"/>
      <c r="D4" s="150" t="n"/>
      <c r="E4" s="150" t="n"/>
      <c r="F4" s="150" t="n"/>
      <c r="G4" s="150" t="n"/>
      <c r="H4" s="150" t="n"/>
      <c r="I4" s="150" t="n"/>
      <c r="J4" s="150" t="n"/>
    </row>
    <row r="5" ht="15" customHeight="1">
      <c r="A5" s="3" t="n"/>
      <c r="B5" s="152" t="inlineStr">
        <is>
          <t>Company</t>
        </is>
      </c>
      <c r="C5" s="153" t="inlineStr">
        <is>
          <t>Period</t>
        </is>
      </c>
      <c r="D5" s="153" t="inlineStr">
        <is>
          <t>Unit</t>
        </is>
      </c>
      <c r="E5" s="153" t="inlineStr">
        <is>
          <t>Low / min.</t>
        </is>
      </c>
      <c r="F5" s="153" t="inlineStr">
        <is>
          <t>High</t>
        </is>
      </c>
      <c r="G5" s="153" t="inlineStr">
        <is>
          <t>Midpoint</t>
        </is>
      </c>
      <c r="H5" s="153" t="inlineStr">
        <is>
          <t>Updated</t>
        </is>
      </c>
      <c r="I5" s="153" t="inlineStr">
        <is>
          <t>Scope / basis</t>
        </is>
      </c>
      <c r="J5" s="153" t="inlineStr">
        <is>
          <t>Source</t>
        </is>
      </c>
    </row>
    <row r="6" ht="15" customHeight="1">
      <c r="A6" s="3" t="n"/>
      <c r="B6" s="3" t="inlineStr">
        <is>
          <t>Amazon</t>
        </is>
      </c>
      <c r="C6" s="3" t="inlineStr">
        <is>
          <t>CY 2026</t>
        </is>
      </c>
      <c r="D6" s="3" t="inlineStr">
        <is>
          <t>USD bn</t>
        </is>
      </c>
      <c r="E6" s="266" t="n">
        <v>220</v>
      </c>
      <c r="F6" s="266" t="n">
        <v>220</v>
      </c>
      <c r="G6" s="264">
        <f>IF(E6="","",IF(F6="",E6,AVERAGE(E6:F6)))</f>
        <v/>
      </c>
      <c r="H6" s="107" t="inlineStr">
        <is>
          <t>2026-07</t>
        </is>
      </c>
      <c r="I6" s="3" t="inlineStr">
        <is>
          <t>Global corporate; net cash</t>
        </is>
      </c>
      <c r="J6" s="3" t="inlineStr">
        <is>
          <t>S048</t>
        </is>
      </c>
    </row>
    <row r="7" ht="15" customHeight="1">
      <c r="A7" s="3" t="n"/>
      <c r="B7" s="3" t="inlineStr">
        <is>
          <t>Alphabet</t>
        </is>
      </c>
      <c r="C7" s="3" t="inlineStr">
        <is>
          <t>CY 2026</t>
        </is>
      </c>
      <c r="D7" s="3" t="inlineStr">
        <is>
          <t>USD bn</t>
        </is>
      </c>
      <c r="E7" s="266" t="n">
        <v>195</v>
      </c>
      <c r="F7" s="266" t="n">
        <v>205</v>
      </c>
      <c r="G7" s="264">
        <f>IF(E7="","",IF(F7="",E7,AVERAGE(E7:F7)))</f>
        <v/>
      </c>
      <c r="H7" s="107" t="inlineStr">
        <is>
          <t>2026-07</t>
        </is>
      </c>
      <c r="I7" s="3" t="inlineStr">
        <is>
          <t>Global; technical infrastructure</t>
        </is>
      </c>
      <c r="J7" s="3" t="inlineStr">
        <is>
          <t>S049</t>
        </is>
      </c>
    </row>
    <row r="8" ht="15" customHeight="1">
      <c r="A8" s="3" t="n"/>
      <c r="B8" s="3" t="inlineStr">
        <is>
          <t>Microsoft</t>
        </is>
      </c>
      <c r="C8" s="3" t="inlineStr">
        <is>
          <t>CY 2026</t>
        </is>
      </c>
      <c r="D8" s="3" t="inlineStr">
        <is>
          <t>USD bn</t>
        </is>
      </c>
      <c r="E8" s="266" t="n">
        <v>175</v>
      </c>
      <c r="F8" s="266" t="n">
        <v>175</v>
      </c>
      <c r="G8" s="264">
        <f>IF(E8="","",IF(F8="",E8,AVERAGE(E8:F8)))</f>
        <v/>
      </c>
      <c r="H8" s="107" t="inlineStr">
        <is>
          <t>2026-07</t>
        </is>
      </c>
      <c r="I8" s="3" t="inlineStr">
        <is>
          <t>Global; includes finance leases</t>
        </is>
      </c>
      <c r="J8" s="3" t="inlineStr">
        <is>
          <t>S050</t>
        </is>
      </c>
    </row>
    <row r="9" ht="15" customHeight="1">
      <c r="A9" s="3" t="n"/>
      <c r="B9" s="3" t="inlineStr">
        <is>
          <t>Meta</t>
        </is>
      </c>
      <c r="C9" s="3" t="inlineStr">
        <is>
          <t>CY 2026</t>
        </is>
      </c>
      <c r="D9" s="3" t="inlineStr">
        <is>
          <t>USD bn</t>
        </is>
      </c>
      <c r="E9" s="266" t="n">
        <v>130</v>
      </c>
      <c r="F9" s="266" t="n">
        <v>145</v>
      </c>
      <c r="G9" s="264">
        <f>IF(E9="","",IF(F9="",E9,AVERAGE(E9:F9)))</f>
        <v/>
      </c>
      <c r="H9" s="107" t="inlineStr">
        <is>
          <t>2026-07</t>
        </is>
      </c>
      <c r="I9" s="3" t="inlineStr">
        <is>
          <t>Global; includes lease principal</t>
        </is>
      </c>
      <c r="J9" s="3" t="inlineStr">
        <is>
          <t>S051</t>
        </is>
      </c>
    </row>
    <row r="10" ht="15" customHeight="1">
      <c r="A10" s="3" t="n"/>
      <c r="B10" s="3" t="inlineStr">
        <is>
          <t>Oracle</t>
        </is>
      </c>
      <c r="C10" s="3" t="inlineStr">
        <is>
          <t>FY2027 (Jun–May)</t>
        </is>
      </c>
      <c r="D10" s="3" t="inlineStr">
        <is>
          <t>USD bn</t>
        </is>
      </c>
      <c r="E10" s="266" t="n">
        <v>90</v>
      </c>
      <c r="F10" s="266" t="n">
        <v>95</v>
      </c>
      <c r="G10" s="264">
        <f>IF(E10="","",IF(F10="",E10,AVERAGE(E10:F10)))</f>
        <v/>
      </c>
      <c r="H10" s="107" t="inlineStr">
        <is>
          <t>2026-09</t>
        </is>
      </c>
      <c r="I10" s="3" t="inlineStr">
        <is>
          <t>Global cloud; gross capex</t>
        </is>
      </c>
      <c r="J10" s="3" t="inlineStr">
        <is>
          <t>S052</t>
        </is>
      </c>
    </row>
    <row r="11" ht="15" customHeight="1">
      <c r="A11" s="3" t="n"/>
      <c r="B11" s="3" t="inlineStr">
        <is>
          <t>CoreWeave</t>
        </is>
      </c>
      <c r="C11" s="3" t="inlineStr">
        <is>
          <t>CY 2026</t>
        </is>
      </c>
      <c r="D11" s="3" t="inlineStr">
        <is>
          <t>USD bn</t>
        </is>
      </c>
      <c r="E11" s="266" t="n">
        <v>35</v>
      </c>
      <c r="F11" s="266" t="n">
        <v>39</v>
      </c>
      <c r="G11" s="264">
        <f>IF(E11="","",IF(F11="",E11,AVERAGE(E11:F11)))</f>
        <v/>
      </c>
      <c r="H11" s="107" t="inlineStr">
        <is>
          <t>2026-08</t>
        </is>
      </c>
      <c r="I11" s="3" t="inlineStr">
        <is>
          <t>Global neocloud</t>
        </is>
      </c>
      <c r="J11" s="3" t="inlineStr">
        <is>
          <t>S053</t>
        </is>
      </c>
    </row>
    <row r="12" ht="15" customHeight="1">
      <c r="A12" s="3" t="n"/>
      <c r="B12" s="3" t="inlineStr">
        <is>
          <t>Alibaba</t>
        </is>
      </c>
      <c r="C12" s="3" t="inlineStr">
        <is>
          <t>2025–2028</t>
        </is>
      </c>
      <c r="D12" s="3" t="inlineStr">
        <is>
          <t>RMB bn</t>
        </is>
      </c>
      <c r="E12" s="266" t="n">
        <v>380</v>
      </c>
      <c r="F12" s="27" t="n"/>
      <c r="G12" s="264">
        <f>IF(E12="","",IF(F12="",E12,AVERAGE(E12:F12)))</f>
        <v/>
      </c>
      <c r="H12" s="107" t="inlineStr">
        <is>
          <t>2025-02</t>
        </is>
      </c>
      <c r="I12" s="3" t="inlineStr">
        <is>
          <t>Cloud &amp; AI infrastructure</t>
        </is>
      </c>
      <c r="J12" s="3" t="inlineStr">
        <is>
          <t>S054</t>
        </is>
      </c>
    </row>
    <row r="13" ht="15" customHeight="1">
      <c r="A13" s="3" t="n"/>
      <c r="B13" s="3" t="inlineStr">
        <is>
          <t>Tencent / Baidu / ByteDance / xAI</t>
        </is>
      </c>
      <c r="C13" s="3" t="inlineStr">
        <is>
          <t>Undisclosed</t>
        </is>
      </c>
      <c r="D13" s="3" t="inlineStr">
        <is>
          <t>—</t>
        </is>
      </c>
      <c r="E13" s="27" t="n"/>
      <c r="F13" s="27" t="n"/>
      <c r="G13" s="232">
        <f>IF(E13="","",IF(F13="",E13,AVERAGE(E13:F13)))</f>
        <v/>
      </c>
      <c r="H13" s="107" t="n"/>
      <c r="I13" s="3" t="inlineStr">
        <is>
          <t>Not captured</t>
        </is>
      </c>
      <c r="J13" s="3" t="n"/>
    </row>
    <row r="14" ht="1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15" customHeight="1">
      <c r="A15" s="3" t="n"/>
      <c r="B15" s="7" t="inlineStr">
        <is>
          <t>Big Four CY2026 ($bn)</t>
        </is>
      </c>
      <c r="C15" s="7" t="n"/>
      <c r="D15" s="7" t="n"/>
      <c r="E15" s="263">
        <f>SUM(E6:E9)</f>
        <v/>
      </c>
      <c r="F15" s="263">
        <f>SUM(F6:F9)</f>
        <v/>
      </c>
      <c r="G15" s="263">
        <f>SUM(G6:G9)</f>
        <v/>
      </c>
      <c r="H15" s="3" t="n"/>
      <c r="I15" s="3" t="n"/>
      <c r="J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15" customHeight="1">
      <c r="A18" s="3" t="n"/>
      <c r="B18" s="150" t="inlineStr">
        <is>
          <t>Selected Build Programs</t>
        </is>
      </c>
      <c r="C18" s="150" t="n"/>
      <c r="D18" s="150" t="n"/>
      <c r="E18" s="150" t="n"/>
      <c r="F18" s="150" t="n"/>
      <c r="G18" s="150" t="n"/>
      <c r="H18" s="150" t="n"/>
      <c r="I18" s="150" t="n"/>
      <c r="J18" s="150" t="n"/>
    </row>
    <row r="19" ht="15" customHeight="1">
      <c r="A19" s="3" t="n"/>
      <c r="B19" s="152" t="inlineStr">
        <is>
          <t>Company</t>
        </is>
      </c>
      <c r="C19" s="152" t="inlineStr">
        <is>
          <t>Location / program</t>
        </is>
      </c>
      <c r="D19" s="152" t="inlineStr">
        <is>
          <t>Value</t>
        </is>
      </c>
      <c r="E19" s="152" t="inlineStr">
        <is>
          <t>Unit</t>
        </is>
      </c>
      <c r="F19" s="152" t="inlineStr">
        <is>
          <t>Period / basis</t>
        </is>
      </c>
      <c r="G19" s="152" t="n"/>
      <c r="H19" s="152" t="n"/>
      <c r="I19" s="152" t="n"/>
      <c r="J19" s="152" t="inlineStr">
        <is>
          <t>Source</t>
        </is>
      </c>
    </row>
    <row r="20" ht="15" customHeight="1">
      <c r="A20" s="3" t="n"/>
      <c r="B20" s="3" t="inlineStr">
        <is>
          <t>Amazon</t>
        </is>
      </c>
      <c r="C20" s="3" t="inlineStr">
        <is>
          <t>Pennsylvania</t>
        </is>
      </c>
      <c r="D20" s="266" t="n">
        <v>20</v>
      </c>
      <c r="E20" s="3" t="inlineStr">
        <is>
          <t>USD bn</t>
        </is>
      </c>
      <c r="F20" s="3" t="inlineStr">
        <is>
          <t>Multiyear; Jun 2025</t>
        </is>
      </c>
      <c r="G20" s="3" t="n"/>
      <c r="H20" s="3" t="n"/>
      <c r="I20" s="3" t="n"/>
      <c r="J20" s="3" t="inlineStr">
        <is>
          <t>S055</t>
        </is>
      </c>
    </row>
    <row r="21" ht="15" customHeight="1">
      <c r="A21" s="3" t="n"/>
      <c r="B21" s="3" t="inlineStr">
        <is>
          <t>Amazon</t>
        </is>
      </c>
      <c r="C21" s="3" t="inlineStr">
        <is>
          <t>Indiana</t>
        </is>
      </c>
      <c r="D21" s="266" t="n">
        <v>15</v>
      </c>
      <c r="E21" s="3" t="inlineStr">
        <is>
          <t>USD bn</t>
        </is>
      </c>
      <c r="F21" s="3" t="inlineStr">
        <is>
          <t>Additional; Nov 2025</t>
        </is>
      </c>
      <c r="G21" s="3" t="n"/>
      <c r="H21" s="3" t="n"/>
      <c r="I21" s="3" t="n"/>
      <c r="J21" s="3" t="inlineStr">
        <is>
          <t>S056</t>
        </is>
      </c>
    </row>
    <row r="22" ht="15" customHeight="1">
      <c r="A22" s="3" t="n"/>
      <c r="B22" s="3" t="inlineStr">
        <is>
          <t>Amazon</t>
        </is>
      </c>
      <c r="C22" s="3" t="inlineStr">
        <is>
          <t>North Carolina</t>
        </is>
      </c>
      <c r="D22" s="266" t="n">
        <v>10</v>
      </c>
      <c r="E22" s="3" t="inlineStr">
        <is>
          <t>USD bn</t>
        </is>
      </c>
      <c r="F22" s="3" t="inlineStr">
        <is>
          <t>Multiyear; Jun 2025</t>
        </is>
      </c>
      <c r="G22" s="3" t="n"/>
      <c r="H22" s="3" t="n"/>
      <c r="I22" s="3" t="n"/>
      <c r="J22" s="3" t="inlineStr">
        <is>
          <t>S057</t>
        </is>
      </c>
    </row>
    <row r="23" ht="15" customHeight="1">
      <c r="A23" s="3" t="n"/>
      <c r="B23" s="3" t="inlineStr">
        <is>
          <t>Amazon</t>
        </is>
      </c>
      <c r="C23" s="3" t="inlineStr">
        <is>
          <t>Georgia</t>
        </is>
      </c>
      <c r="D23" s="266" t="n">
        <v>11</v>
      </c>
      <c r="E23" s="3" t="inlineStr">
        <is>
          <t>USD bn</t>
        </is>
      </c>
      <c r="F23" s="3" t="inlineStr">
        <is>
          <t>Announced 2025</t>
        </is>
      </c>
      <c r="G23" s="3" t="n"/>
      <c r="H23" s="3" t="n"/>
      <c r="I23" s="3" t="n"/>
      <c r="J23" s="3" t="inlineStr">
        <is>
          <t>S058</t>
        </is>
      </c>
    </row>
    <row r="24" ht="15" customHeight="1">
      <c r="A24" s="3" t="n"/>
      <c r="B24" s="3" t="inlineStr">
        <is>
          <t>Amazon</t>
        </is>
      </c>
      <c r="C24" s="3" t="inlineStr">
        <is>
          <t>Mississippi / Ohio</t>
        </is>
      </c>
      <c r="D24" s="266" t="n">
        <v>4</v>
      </c>
      <c r="E24" s="3" t="inlineStr">
        <is>
          <t>USD bn</t>
        </is>
      </c>
      <c r="F24" s="3" t="inlineStr">
        <is>
          <t>MS $3bn / OH $1bn; 2025</t>
        </is>
      </c>
      <c r="G24" s="3" t="n"/>
      <c r="H24" s="3" t="n"/>
      <c r="I24" s="3" t="n"/>
      <c r="J24" s="3" t="inlineStr">
        <is>
          <t>S058</t>
        </is>
      </c>
    </row>
    <row r="25" ht="15" customHeight="1">
      <c r="A25" s="3" t="n"/>
      <c r="B25" s="3" t="inlineStr">
        <is>
          <t>Google</t>
        </is>
      </c>
      <c r="C25" s="3" t="inlineStr">
        <is>
          <t>Texas</t>
        </is>
      </c>
      <c r="D25" s="266" t="n">
        <v>40</v>
      </c>
      <c r="E25" s="3" t="inlineStr">
        <is>
          <t>USD bn</t>
        </is>
      </c>
      <c r="F25" s="3" t="inlineStr">
        <is>
          <t>Through 2027; Nov 2025</t>
        </is>
      </c>
      <c r="G25" s="3" t="n"/>
      <c r="H25" s="3" t="n"/>
      <c r="I25" s="3" t="n"/>
      <c r="J25" s="3" t="inlineStr">
        <is>
          <t>S059</t>
        </is>
      </c>
    </row>
    <row r="26" ht="15" customHeight="1">
      <c r="A26" s="3" t="n"/>
      <c r="B26" s="3" t="inlineStr">
        <is>
          <t>Google</t>
        </is>
      </c>
      <c r="C26" s="3" t="inlineStr">
        <is>
          <t>Iowa</t>
        </is>
      </c>
      <c r="D26" s="266" t="n">
        <v>7</v>
      </c>
      <c r="E26" s="3" t="inlineStr">
        <is>
          <t>USD bn</t>
        </is>
      </c>
      <c r="F26" s="3" t="inlineStr">
        <is>
          <t>2 years from May 2025</t>
        </is>
      </c>
      <c r="G26" s="3" t="n"/>
      <c r="H26" s="3" t="n"/>
      <c r="I26" s="3" t="n"/>
      <c r="J26" s="3" t="inlineStr">
        <is>
          <t>S060</t>
        </is>
      </c>
    </row>
    <row r="27" ht="15" customHeight="1">
      <c r="A27" s="3" t="n"/>
      <c r="B27" s="3" t="inlineStr">
        <is>
          <t>Google</t>
        </is>
      </c>
      <c r="C27" s="3" t="inlineStr">
        <is>
          <t>Virginia</t>
        </is>
      </c>
      <c r="D27" s="266" t="n">
        <v>9</v>
      </c>
      <c r="E27" s="3" t="inlineStr">
        <is>
          <t>USD bn</t>
        </is>
      </c>
      <c r="F27" s="3" t="inlineStr">
        <is>
          <t>Through 2026; Aug 2025</t>
        </is>
      </c>
      <c r="G27" s="3" t="n"/>
      <c r="H27" s="3" t="n"/>
      <c r="I27" s="3" t="n"/>
      <c r="J27" s="3" t="inlineStr">
        <is>
          <t>S061</t>
        </is>
      </c>
    </row>
    <row r="28" ht="15" customHeight="1">
      <c r="A28" s="3" t="n"/>
      <c r="B28" s="3" t="inlineStr">
        <is>
          <t>Microsoft</t>
        </is>
      </c>
      <c r="C28" s="3" t="inlineStr">
        <is>
          <t>Wisconsin</t>
        </is>
      </c>
      <c r="D28" s="266" t="n">
        <v>4.7</v>
      </c>
      <c r="E28" s="3" t="inlineStr">
        <is>
          <t>USD bn</t>
        </is>
      </c>
      <c r="F28" s="3" t="inlineStr">
        <is>
          <t>2024–2028 construction</t>
        </is>
      </c>
      <c r="G28" s="3" t="n"/>
      <c r="H28" s="3" t="n"/>
      <c r="I28" s="3" t="n"/>
      <c r="J28" s="3" t="inlineStr">
        <is>
          <t>S062</t>
        </is>
      </c>
    </row>
    <row r="29" ht="15" customHeight="1">
      <c r="A29" s="3" t="n"/>
      <c r="B29" s="3" t="inlineStr">
        <is>
          <t>Meta / Blue Owl</t>
        </is>
      </c>
      <c r="C29" s="3" t="inlineStr">
        <is>
          <t>Hyperion, Louisiana</t>
        </is>
      </c>
      <c r="D29" s="266" t="n">
        <v>27</v>
      </c>
      <c r="E29" s="3" t="inlineStr">
        <is>
          <t>USD bn</t>
        </is>
      </c>
      <c r="F29" s="3" t="inlineStr">
        <is>
          <t>JV cost; Oct 2025</t>
        </is>
      </c>
      <c r="G29" s="3" t="n"/>
      <c r="H29" s="3" t="n"/>
      <c r="I29" s="3" t="n"/>
      <c r="J29" s="3" t="inlineStr">
        <is>
          <t>S063</t>
        </is>
      </c>
    </row>
    <row r="30" ht="15" customHeight="1">
      <c r="A30" s="3" t="n"/>
      <c r="B30" s="3" t="inlineStr">
        <is>
          <t>OpenAI / SoftBank / Oracle</t>
        </is>
      </c>
      <c r="C30" s="3" t="inlineStr">
        <is>
          <t>Stargate US program</t>
        </is>
      </c>
      <c r="D30" s="266" t="n">
        <v>500</v>
      </c>
      <c r="E30" s="3" t="inlineStr">
        <is>
          <t>USD bn</t>
        </is>
      </c>
      <c r="F30" s="3" t="inlineStr">
        <is>
          <t>4-year target; Jan 2025</t>
        </is>
      </c>
      <c r="G30" s="3" t="n"/>
      <c r="H30" s="3" t="n"/>
      <c r="I30" s="3" t="n"/>
      <c r="J30" s="3" t="inlineStr">
        <is>
          <t>S064</t>
        </is>
      </c>
    </row>
    <row r="31" ht="15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15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5" customHeight="1">
      <c r="A33" s="3" t="n"/>
      <c r="B33" s="150" t="inlineStr">
        <is>
          <t>Capex Intensity — Illustrative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</row>
    <row r="34" ht="15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15" customHeight="1">
      <c r="A35" s="3" t="n"/>
      <c r="B35" s="3" t="inlineStr">
        <is>
          <t>Big Four midpoint ($bn)</t>
        </is>
      </c>
      <c r="C35" s="3" t="n"/>
      <c r="D35" s="264">
        <f>G15</f>
        <v/>
      </c>
      <c r="E35" s="3" t="n"/>
      <c r="F35" s="3" t="n"/>
      <c r="G35" s="3" t="n"/>
      <c r="H35" s="3" t="n"/>
      <c r="I35" s="3" t="n"/>
      <c r="J35" s="3" t="n"/>
    </row>
    <row r="36" ht="15" customHeight="1">
      <c r="A36" s="3" t="n"/>
      <c r="B36" s="3" t="inlineStr">
        <is>
          <t>US share</t>
        </is>
      </c>
      <c r="C36" s="3" t="n"/>
      <c r="D36" s="104">
        <f>'Power Market Assumptions'!D57</f>
        <v/>
      </c>
      <c r="E36" s="3" t="n"/>
      <c r="F36" s="3" t="n"/>
      <c r="G36" s="3" t="n"/>
      <c r="H36" s="3" t="n"/>
      <c r="I36" s="3" t="n"/>
      <c r="J36" s="3" t="n"/>
    </row>
    <row r="37" ht="15" customHeight="1">
      <c r="A37" s="3" t="n"/>
      <c r="B37" s="3" t="inlineStr">
        <is>
          <t>Incremental facility spend share</t>
        </is>
      </c>
      <c r="C37" s="3" t="n"/>
      <c r="D37" s="104">
        <f>'Power Market Assumptions'!D58</f>
        <v/>
      </c>
      <c r="E37" s="3" t="n"/>
      <c r="F37" s="3" t="n"/>
      <c r="G37" s="3" t="n"/>
      <c r="H37" s="3" t="n"/>
      <c r="I37" s="3" t="n"/>
      <c r="J37" s="3" t="n"/>
    </row>
    <row r="38" ht="15" customHeight="1">
      <c r="A38" s="3" t="n"/>
      <c r="B38" s="3" t="inlineStr">
        <is>
          <t>Facility cost ($m / MW)</t>
        </is>
      </c>
      <c r="C38" s="3" t="n"/>
      <c r="D38" s="264">
        <f>'Power Market Assumptions'!D59</f>
        <v/>
      </c>
      <c r="E38" s="3" t="n"/>
      <c r="F38" s="3" t="n"/>
      <c r="G38" s="3" t="n"/>
      <c r="H38" s="3" t="n"/>
      <c r="I38" s="3" t="n"/>
      <c r="J38" s="3" t="n"/>
    </row>
    <row r="39" ht="15" customHeight="1">
      <c r="A39" s="3" t="n"/>
      <c r="B39" s="7" t="inlineStr">
        <is>
          <t>Funded facility capacity (GW)</t>
        </is>
      </c>
      <c r="C39" s="7" t="n"/>
      <c r="D39" s="263">
        <f>D35*D36*D37/D38</f>
        <v/>
      </c>
      <c r="E39" s="3" t="n"/>
      <c r="F39" s="3" t="n"/>
      <c r="G39" s="3" t="n"/>
      <c r="H39" s="3" t="n"/>
      <c r="I39" s="3" t="n"/>
      <c r="J39" s="3" t="n"/>
    </row>
  </sheetData>
  <pageMargins left="0.75" right="0.75" top="1" bottom="1" header="0.5" footer="0.5"/>
  <pageSetup orientation="portrait" horizontalDpi="0" verticalDpi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6"/>
  <sheetViews>
    <sheetView showGridLines="0" workbookViewId="0">
      <pane ySplit="5" topLeftCell="A6" activePane="bottomLeft" state="frozen"/>
      <selection pane="bottomLeft" activeCell="B3" sqref="B3"/>
    </sheetView>
  </sheetViews>
  <sheetFormatPr baseColWidth="8" defaultColWidth="8.85546875" defaultRowHeight="15"/>
  <cols>
    <col width="2.7109375" customWidth="1" min="1" max="1"/>
    <col width="34" customWidth="1" min="2" max="2"/>
    <col width="12" customWidth="1" min="3" max="6"/>
    <col width="22" customWidth="1" min="7" max="7"/>
    <col width="12" customWidth="1" min="8" max="15"/>
  </cols>
  <sheetData>
    <row r="1" ht="18.95" customHeight="1">
      <c r="A1" s="3" t="n"/>
      <c r="B1" s="30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8.95" customHeight="1">
      <c r="A2" s="3" t="n"/>
      <c r="B2" s="30" t="inlineStr">
        <is>
          <t>Historical Capex &amp; Power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1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15" customHeight="1">
      <c r="A4" s="3" t="n"/>
      <c r="B4" s="150" t="inlineStr">
        <is>
          <t>Historical Series</t>
        </is>
      </c>
      <c r="C4" s="150" t="n"/>
      <c r="D4" s="150" t="n"/>
      <c r="E4" s="150" t="n"/>
      <c r="F4" s="150" t="n"/>
      <c r="G4" s="150" t="n"/>
      <c r="H4" s="150" t="n"/>
      <c r="I4" s="150" t="n"/>
      <c r="J4" s="150" t="n"/>
      <c r="K4" s="150" t="n"/>
      <c r="L4" s="150" t="n"/>
      <c r="M4" s="150" t="n"/>
      <c r="N4" s="150" t="n"/>
      <c r="O4" s="150" t="n"/>
    </row>
    <row r="5" ht="15" customHeight="1">
      <c r="A5" s="3" t="n"/>
      <c r="B5" s="152" t="inlineStr">
        <is>
          <t>Year</t>
        </is>
      </c>
      <c r="C5" s="153" t="inlineStr">
        <is>
          <t>Amazon</t>
        </is>
      </c>
      <c r="D5" s="153" t="inlineStr">
        <is>
          <t>Alphabet</t>
        </is>
      </c>
      <c r="E5" s="153" t="inlineStr">
        <is>
          <t>Meta</t>
        </is>
      </c>
      <c r="F5" s="153" t="inlineStr">
        <is>
          <t>Microsoft</t>
        </is>
      </c>
      <c r="G5" s="153" t="inlineStr">
        <is>
          <t>Total Capex</t>
        </is>
      </c>
      <c r="H5" s="153" t="inlineStr">
        <is>
          <t>US DC Build</t>
        </is>
      </c>
      <c r="I5" s="153" t="inlineStr">
        <is>
          <t>US PPA (GW)</t>
        </is>
      </c>
      <c r="J5" s="153" t="inlineStr">
        <is>
          <t>Δ Capex</t>
        </is>
      </c>
      <c r="K5" s="153" t="inlineStr">
        <is>
          <t>Δ Build</t>
        </is>
      </c>
      <c r="L5" s="153" t="inlineStr">
        <is>
          <t>Δ PPA (GW)</t>
        </is>
      </c>
      <c r="M5" s="153" t="inlineStr">
        <is>
          <t>Capex Growth</t>
        </is>
      </c>
      <c r="N5" s="153" t="inlineStr">
        <is>
          <t>Build Growth</t>
        </is>
      </c>
      <c r="O5" s="153" t="inlineStr">
        <is>
          <t>PPA Growth</t>
        </is>
      </c>
    </row>
    <row r="6" ht="15" customHeight="1">
      <c r="A6" s="3" t="n"/>
      <c r="B6" s="108" t="n">
        <v>2015</v>
      </c>
      <c r="C6" s="264">
        <f>$E31</f>
        <v/>
      </c>
      <c r="D6" s="264">
        <f>$E32</f>
        <v/>
      </c>
      <c r="E6" s="264">
        <f>$E33</f>
        <v/>
      </c>
      <c r="F6" s="264">
        <f>$E34+$E35-$E36</f>
        <v/>
      </c>
      <c r="G6" s="264">
        <f>SUM(C6:F6)</f>
        <v/>
      </c>
      <c r="H6" s="268" t="n">
        <v>2.744</v>
      </c>
      <c r="I6" s="268" t="n">
        <v>4</v>
      </c>
      <c r="J6" s="3" t="n"/>
      <c r="K6" s="3" t="n"/>
      <c r="L6" s="3" t="n"/>
      <c r="M6" s="3" t="n"/>
      <c r="N6" s="3" t="n"/>
      <c r="O6" s="3" t="n"/>
    </row>
    <row r="7" ht="15" customHeight="1">
      <c r="A7" s="3" t="n"/>
      <c r="B7" s="108" t="n">
        <v>2016</v>
      </c>
      <c r="C7" s="264">
        <f>$E37</f>
        <v/>
      </c>
      <c r="D7" s="264">
        <f>$E38</f>
        <v/>
      </c>
      <c r="E7" s="264">
        <f>$E39</f>
        <v/>
      </c>
      <c r="F7" s="264">
        <f>$E40+$E41-$E42</f>
        <v/>
      </c>
      <c r="G7" s="264">
        <f>SUM(C7:F7)</f>
        <v/>
      </c>
      <c r="H7" s="268" t="n">
        <v>4.12</v>
      </c>
      <c r="I7" s="268" t="n">
        <v>3</v>
      </c>
      <c r="J7" s="264">
        <f>G7-G6</f>
        <v/>
      </c>
      <c r="K7" s="264">
        <f>H7-H6</f>
        <v/>
      </c>
      <c r="L7" s="264">
        <f>I7-I6</f>
        <v/>
      </c>
      <c r="M7" s="104">
        <f>LN(G7/G6)</f>
        <v/>
      </c>
      <c r="N7" s="104">
        <f>LN(H7/H6)</f>
        <v/>
      </c>
      <c r="O7" s="104">
        <f>LN(I7/I6)</f>
        <v/>
      </c>
    </row>
    <row r="8" ht="15" customHeight="1">
      <c r="A8" s="3" t="n"/>
      <c r="B8" s="108" t="n">
        <v>2017</v>
      </c>
      <c r="C8" s="264">
        <f>$E43</f>
        <v/>
      </c>
      <c r="D8" s="264">
        <f>$E44</f>
        <v/>
      </c>
      <c r="E8" s="264">
        <f>$E45</f>
        <v/>
      </c>
      <c r="F8" s="264">
        <f>$E46+$E47-$E48</f>
        <v/>
      </c>
      <c r="G8" s="264">
        <f>SUM(C8:F8)</f>
        <v/>
      </c>
      <c r="H8" s="268" t="n">
        <v>4.666</v>
      </c>
      <c r="I8" s="268" t="n">
        <v>4</v>
      </c>
      <c r="J8" s="264">
        <f>G8-G7</f>
        <v/>
      </c>
      <c r="K8" s="264">
        <f>H8-H7</f>
        <v/>
      </c>
      <c r="L8" s="264">
        <f>I8-I7</f>
        <v/>
      </c>
      <c r="M8" s="104">
        <f>LN(G8/G7)</f>
        <v/>
      </c>
      <c r="N8" s="104">
        <f>LN(H8/H7)</f>
        <v/>
      </c>
      <c r="O8" s="104">
        <f>LN(I8/I7)</f>
        <v/>
      </c>
    </row>
    <row r="9" ht="15" customHeight="1">
      <c r="A9" s="3" t="n"/>
      <c r="B9" s="108" t="n">
        <v>2018</v>
      </c>
      <c r="C9" s="264">
        <f>$E49</f>
        <v/>
      </c>
      <c r="D9" s="264">
        <f>$E50</f>
        <v/>
      </c>
      <c r="E9" s="264">
        <f>$E51</f>
        <v/>
      </c>
      <c r="F9" s="264">
        <f>$E52+$E53-$E54</f>
        <v/>
      </c>
      <c r="G9" s="264">
        <f>SUM(C9:F9)</f>
        <v/>
      </c>
      <c r="H9" s="268" t="n">
        <v>6.934</v>
      </c>
      <c r="I9" s="268" t="n">
        <v>9</v>
      </c>
      <c r="J9" s="264">
        <f>G9-G8</f>
        <v/>
      </c>
      <c r="K9" s="264">
        <f>H9-H8</f>
        <v/>
      </c>
      <c r="L9" s="264">
        <f>I9-I8</f>
        <v/>
      </c>
      <c r="M9" s="104">
        <f>LN(G9/G8)</f>
        <v/>
      </c>
      <c r="N9" s="104">
        <f>LN(H9/H8)</f>
        <v/>
      </c>
      <c r="O9" s="104">
        <f>LN(I9/I8)</f>
        <v/>
      </c>
    </row>
    <row r="10" ht="15" customHeight="1">
      <c r="A10" s="3" t="n"/>
      <c r="B10" s="108" t="n">
        <v>2019</v>
      </c>
      <c r="C10" s="264">
        <f>$E55</f>
        <v/>
      </c>
      <c r="D10" s="264">
        <f>$E56</f>
        <v/>
      </c>
      <c r="E10" s="264">
        <f>$E57</f>
        <v/>
      </c>
      <c r="F10" s="264">
        <f>$E58+$E59-$E60</f>
        <v/>
      </c>
      <c r="G10" s="264">
        <f>SUM(C10:F10)</f>
        <v/>
      </c>
      <c r="H10" s="268" t="n">
        <v>8.481</v>
      </c>
      <c r="I10" s="268" t="n">
        <v>16</v>
      </c>
      <c r="J10" s="264">
        <f>G10-G9</f>
        <v/>
      </c>
      <c r="K10" s="264">
        <f>H10-H9</f>
        <v/>
      </c>
      <c r="L10" s="264">
        <f>I10-I9</f>
        <v/>
      </c>
      <c r="M10" s="104">
        <f>LN(G10/G9)</f>
        <v/>
      </c>
      <c r="N10" s="104">
        <f>LN(H10/H9)</f>
        <v/>
      </c>
      <c r="O10" s="104">
        <f>LN(I10/I9)</f>
        <v/>
      </c>
    </row>
    <row r="11" ht="15" customHeight="1">
      <c r="A11" s="3" t="n"/>
      <c r="B11" s="108" t="n">
        <v>2020</v>
      </c>
      <c r="C11" s="264">
        <f>$E61</f>
        <v/>
      </c>
      <c r="D11" s="264">
        <f>$E62</f>
        <v/>
      </c>
      <c r="E11" s="264">
        <f>$E63</f>
        <v/>
      </c>
      <c r="F11" s="264">
        <f>$E64+$E65-$E66</f>
        <v/>
      </c>
      <c r="G11" s="264">
        <f>SUM(C11:F11)</f>
        <v/>
      </c>
      <c r="H11" s="268" t="n">
        <v>9.231</v>
      </c>
      <c r="I11" s="268" t="n">
        <v>16</v>
      </c>
      <c r="J11" s="264">
        <f>G11-G10</f>
        <v/>
      </c>
      <c r="K11" s="264">
        <f>H11-H10</f>
        <v/>
      </c>
      <c r="L11" s="264">
        <f>I11-I10</f>
        <v/>
      </c>
      <c r="M11" s="104">
        <f>LN(G11/G10)</f>
        <v/>
      </c>
      <c r="N11" s="104">
        <f>LN(H11/H10)</f>
        <v/>
      </c>
      <c r="O11" s="104">
        <f>LN(I11/I10)</f>
        <v/>
      </c>
    </row>
    <row r="12" ht="15" customHeight="1">
      <c r="A12" s="3" t="n"/>
      <c r="B12" s="108" t="n">
        <v>2021</v>
      </c>
      <c r="C12" s="264">
        <f>$E67</f>
        <v/>
      </c>
      <c r="D12" s="264">
        <f>$E68</f>
        <v/>
      </c>
      <c r="E12" s="264">
        <f>$E69</f>
        <v/>
      </c>
      <c r="F12" s="264">
        <f>$E70+$E71-$E72</f>
        <v/>
      </c>
      <c r="G12" s="264">
        <f>SUM(C12:F12)</f>
        <v/>
      </c>
      <c r="H12" s="268" t="n">
        <v>9.946999999999999</v>
      </c>
      <c r="I12" s="268" t="n">
        <v>19</v>
      </c>
      <c r="J12" s="264">
        <f>G12-G11</f>
        <v/>
      </c>
      <c r="K12" s="264">
        <f>H12-H11</f>
        <v/>
      </c>
      <c r="L12" s="264">
        <f>I12-I11</f>
        <v/>
      </c>
      <c r="M12" s="104">
        <f>LN(G12/G11)</f>
        <v/>
      </c>
      <c r="N12" s="104">
        <f>LN(H12/H11)</f>
        <v/>
      </c>
      <c r="O12" s="104">
        <f>LN(I12/I11)</f>
        <v/>
      </c>
    </row>
    <row r="13" ht="15" customHeight="1">
      <c r="A13" s="3" t="n"/>
      <c r="B13" s="108" t="n">
        <v>2022</v>
      </c>
      <c r="C13" s="264">
        <f>$E73</f>
        <v/>
      </c>
      <c r="D13" s="264">
        <f>$E74</f>
        <v/>
      </c>
      <c r="E13" s="264">
        <f>$E75</f>
        <v/>
      </c>
      <c r="F13" s="264">
        <f>$E76+$E77-$E78</f>
        <v/>
      </c>
      <c r="G13" s="264">
        <f>SUM(C13:F13)</f>
        <v/>
      </c>
      <c r="H13" s="268" t="n">
        <v>12.583</v>
      </c>
      <c r="I13" s="268" t="n">
        <v>21</v>
      </c>
      <c r="J13" s="264">
        <f>G13-G12</f>
        <v/>
      </c>
      <c r="K13" s="264">
        <f>H13-H12</f>
        <v/>
      </c>
      <c r="L13" s="264">
        <f>I13-I12</f>
        <v/>
      </c>
      <c r="M13" s="104">
        <f>LN(G13/G12)</f>
        <v/>
      </c>
      <c r="N13" s="104">
        <f>LN(H13/H12)</f>
        <v/>
      </c>
      <c r="O13" s="104">
        <f>LN(I13/I12)</f>
        <v/>
      </c>
    </row>
    <row r="14" ht="15" customHeight="1">
      <c r="A14" s="3" t="n"/>
      <c r="B14" s="108" t="n">
        <v>2023</v>
      </c>
      <c r="C14" s="264">
        <f>$E79</f>
        <v/>
      </c>
      <c r="D14" s="264">
        <f>$E80</f>
        <v/>
      </c>
      <c r="E14" s="264">
        <f>$E81</f>
        <v/>
      </c>
      <c r="F14" s="264">
        <f>$E82+$E83-$E84</f>
        <v/>
      </c>
      <c r="G14" s="264">
        <f>SUM(C14:F14)</f>
        <v/>
      </c>
      <c r="H14" s="268" t="n">
        <v>19.995</v>
      </c>
      <c r="I14" s="268" t="n">
        <v>17</v>
      </c>
      <c r="J14" s="264">
        <f>G14-G13</f>
        <v/>
      </c>
      <c r="K14" s="264">
        <f>H14-H13</f>
        <v/>
      </c>
      <c r="L14" s="264">
        <f>I14-I13</f>
        <v/>
      </c>
      <c r="M14" s="104">
        <f>LN(G14/G13)</f>
        <v/>
      </c>
      <c r="N14" s="104">
        <f>LN(H14/H13)</f>
        <v/>
      </c>
      <c r="O14" s="104">
        <f>LN(I14/I13)</f>
        <v/>
      </c>
    </row>
    <row r="15" ht="15" customHeight="1">
      <c r="A15" s="3" t="n"/>
      <c r="B15" s="108" t="n">
        <v>2024</v>
      </c>
      <c r="C15" s="264">
        <f>$E85</f>
        <v/>
      </c>
      <c r="D15" s="264">
        <f>$E86</f>
        <v/>
      </c>
      <c r="E15" s="264">
        <f>$E87</f>
        <v/>
      </c>
      <c r="F15" s="264">
        <f>$E88+$E89-$E90</f>
        <v/>
      </c>
      <c r="G15" s="264">
        <f>SUM(C15:F15)</f>
        <v/>
      </c>
      <c r="H15" s="268" t="n">
        <v>34.797</v>
      </c>
      <c r="I15" s="268" t="n">
        <v>29.1</v>
      </c>
      <c r="J15" s="264">
        <f>G15-G14</f>
        <v/>
      </c>
      <c r="K15" s="264">
        <f>H15-H14</f>
        <v/>
      </c>
      <c r="L15" s="264">
        <f>I15-I14</f>
        <v/>
      </c>
      <c r="M15" s="104">
        <f>LN(G15/G14)</f>
        <v/>
      </c>
      <c r="N15" s="104">
        <f>LN(H15/H14)</f>
        <v/>
      </c>
      <c r="O15" s="104">
        <f>LN(I15/I14)</f>
        <v/>
      </c>
    </row>
    <row r="16" ht="15" customHeight="1">
      <c r="A16" s="3" t="n"/>
      <c r="B16" s="108" t="n">
        <v>2025</v>
      </c>
      <c r="C16" s="264">
        <f>$E91</f>
        <v/>
      </c>
      <c r="D16" s="264">
        <f>$E92</f>
        <v/>
      </c>
      <c r="E16" s="264">
        <f>$E93</f>
        <v/>
      </c>
      <c r="F16" s="264">
        <f>$E94+$E95-$E96</f>
        <v/>
      </c>
      <c r="G16" s="264">
        <f>SUM(C16:F16)</f>
        <v/>
      </c>
      <c r="H16" s="268" t="n">
        <v>49.737</v>
      </c>
      <c r="I16" s="268" t="n">
        <v>29.5</v>
      </c>
      <c r="J16" s="264">
        <f>G16-G15</f>
        <v/>
      </c>
      <c r="K16" s="264">
        <f>H16-H15</f>
        <v/>
      </c>
      <c r="L16" s="264">
        <f>I16-I15</f>
        <v/>
      </c>
      <c r="M16" s="104">
        <f>LN(G16/G15)</f>
        <v/>
      </c>
      <c r="N16" s="104">
        <f>LN(H16/H15)</f>
        <v/>
      </c>
      <c r="O16" s="104">
        <f>LN(I16/I15)</f>
        <v/>
      </c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15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15" customHeight="1">
      <c r="A19" s="3" t="n"/>
      <c r="B19" s="150" t="inlineStr">
        <is>
          <t>Correlation to US Corporate PPAs</t>
        </is>
      </c>
      <c r="C19" s="150" t="n"/>
      <c r="D19" s="150" t="n"/>
      <c r="E19" s="150" t="n"/>
      <c r="F19" s="150" t="n"/>
      <c r="G19" s="150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15" customHeight="1">
      <c r="A20" s="3" t="n"/>
      <c r="B20" s="152" t="inlineStr">
        <is>
          <t>Series</t>
        </is>
      </c>
      <c r="C20" s="152" t="inlineStr">
        <is>
          <t>Levels</t>
        </is>
      </c>
      <c r="D20" s="152" t="inlineStr">
        <is>
          <t>Δ Values</t>
        </is>
      </c>
      <c r="E20" s="152" t="inlineStr">
        <is>
          <t>Log Growth</t>
        </is>
      </c>
      <c r="F20" s="152" t="inlineStr">
        <is>
          <t>Spend→PPA+1Y</t>
        </is>
      </c>
      <c r="G20" s="152" t="inlineStr">
        <is>
          <t>PPA→Spend+1Y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15" customHeight="1">
      <c r="A21" s="3" t="n"/>
      <c r="B21" s="3" t="inlineStr">
        <is>
          <t>Big Four capex</t>
        </is>
      </c>
      <c r="C21" s="98">
        <f>CORREL(G6:G16,I6:I16)</f>
        <v/>
      </c>
      <c r="D21" s="98">
        <f>CORREL(J7:J16,L7:L16)</f>
        <v/>
      </c>
      <c r="E21" s="98">
        <f>CORREL(M7:M16,O7:O16)</f>
        <v/>
      </c>
      <c r="F21" s="98">
        <f>CORREL(G6:G15,I7:I16)</f>
        <v/>
      </c>
      <c r="G21" s="98">
        <f>CORREL(I6:I15,G7:G16)</f>
        <v/>
      </c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15" customHeight="1">
      <c r="A22" s="3" t="n"/>
      <c r="B22" s="3" t="inlineStr">
        <is>
          <t>US DC construction</t>
        </is>
      </c>
      <c r="C22" s="98">
        <f>CORREL(H6:H16,I6:I16)</f>
        <v/>
      </c>
      <c r="D22" s="98">
        <f>CORREL(K7:K16,L7:L16)</f>
        <v/>
      </c>
      <c r="E22" s="98">
        <f>CORREL(N7:N16,O7:O16)</f>
        <v/>
      </c>
      <c r="F22" s="98">
        <f>CORREL(H6:H15,I7:I16)</f>
        <v/>
      </c>
      <c r="G22" s="98">
        <f>CORREL(I6:I15,H7:H16)</f>
        <v/>
      </c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1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1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 ht="15" customHeight="1">
      <c r="A25" s="3" t="n"/>
      <c r="B25" s="3" t="inlineStr">
        <is>
          <t>US construction</t>
        </is>
      </c>
      <c r="C25" s="3" t="inlineStr">
        <is>
          <t>Census annual series</t>
        </is>
      </c>
      <c r="D25" s="3" t="n"/>
      <c r="E25" s="3" t="n"/>
      <c r="F25" s="3" t="n"/>
      <c r="G25" s="3" t="n"/>
      <c r="H25" s="3" t="inlineStr">
        <is>
          <t>S065</t>
        </is>
      </c>
      <c r="I25" s="3" t="n"/>
      <c r="J25" s="3" t="n"/>
      <c r="K25" s="3" t="n"/>
      <c r="L25" s="3" t="n"/>
      <c r="M25" s="3" t="n"/>
      <c r="N25" s="3" t="n"/>
      <c r="O25" s="3" t="n"/>
    </row>
    <row r="26" ht="15" customHeight="1">
      <c r="A26" s="3" t="n"/>
      <c r="B26" s="3" t="inlineStr">
        <is>
          <t>Older construction</t>
        </is>
      </c>
      <c r="C26" s="3" t="inlineStr">
        <is>
          <t>Census historical series</t>
        </is>
      </c>
      <c r="D26" s="3" t="n"/>
      <c r="E26" s="3" t="n"/>
      <c r="F26" s="3" t="n"/>
      <c r="G26" s="3" t="n"/>
      <c r="H26" s="3" t="inlineStr">
        <is>
          <t>S066</t>
        </is>
      </c>
      <c r="I26" s="3" t="n"/>
      <c r="J26" s="3" t="n"/>
      <c r="K26" s="3" t="n"/>
      <c r="L26" s="3" t="n"/>
      <c r="M26" s="3" t="n"/>
      <c r="N26" s="3" t="n"/>
      <c r="O26" s="3" t="n"/>
    </row>
    <row r="27" ht="15" customHeight="1">
      <c r="A27" s="3" t="n"/>
      <c r="B27" s="3" t="inlineStr">
        <is>
          <t>US corporate PPA</t>
        </is>
      </c>
      <c r="C27" s="3" t="inlineStr">
        <is>
          <t>BCSE / BNEF 2026, p. 44</t>
        </is>
      </c>
      <c r="D27" s="3" t="n"/>
      <c r="E27" s="3" t="n"/>
      <c r="F27" s="3" t="n"/>
      <c r="G27" s="3" t="n"/>
      <c r="H27" s="3" t="inlineStr">
        <is>
          <t>S067</t>
        </is>
      </c>
      <c r="I27" s="3" t="n"/>
      <c r="J27" s="3" t="n"/>
      <c r="K27" s="3" t="n"/>
      <c r="L27" s="3" t="n"/>
      <c r="M27" s="3" t="n"/>
      <c r="N27" s="3" t="n"/>
      <c r="O27" s="3" t="n"/>
    </row>
    <row r="28" ht="15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 ht="15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 ht="15" customHeight="1">
      <c r="A30" s="3" t="n"/>
      <c r="B30" s="152" t="inlineStr">
        <is>
          <t>Company</t>
        </is>
      </c>
      <c r="C30" s="152" t="inlineStr">
        <is>
          <t>Period Start</t>
        </is>
      </c>
      <c r="D30" s="152" t="inlineStr">
        <is>
          <t>Period End</t>
        </is>
      </c>
      <c r="E30" s="152" t="inlineStr">
        <is>
          <t>Cash PP&amp;E</t>
        </is>
      </c>
      <c r="F30" s="152" t="inlineStr">
        <is>
          <t>Filed</t>
        </is>
      </c>
      <c r="G30" s="152" t="inlineStr">
        <is>
          <t>Accession</t>
        </is>
      </c>
      <c r="H30" s="152" t="n"/>
      <c r="I30" s="152" t="inlineStr">
        <is>
          <t>Source</t>
        </is>
      </c>
      <c r="J30" s="3" t="n"/>
      <c r="K30" s="3" t="n"/>
      <c r="L30" s="3" t="n"/>
      <c r="M30" s="3" t="n"/>
      <c r="N30" s="3" t="n"/>
      <c r="O30" s="3" t="n"/>
    </row>
    <row r="31" ht="15" customHeight="1">
      <c r="A31" s="3" t="n"/>
      <c r="B31" s="3" t="inlineStr">
        <is>
          <t>AMZN</t>
        </is>
      </c>
      <c r="C31" s="107" t="inlineStr">
        <is>
          <t>2015-01-01</t>
        </is>
      </c>
      <c r="D31" s="107" t="inlineStr">
        <is>
          <t>2015-12-31</t>
        </is>
      </c>
      <c r="E31" s="269" t="n">
        <v>4.589</v>
      </c>
      <c r="F31" s="107" t="inlineStr">
        <is>
          <t>2017-02-10</t>
        </is>
      </c>
      <c r="G31" s="3" t="inlineStr">
        <is>
          <t>0001018724-17-000011</t>
        </is>
      </c>
      <c r="H31" s="3" t="n"/>
      <c r="I31" s="3" t="inlineStr">
        <is>
          <t>S068</t>
        </is>
      </c>
      <c r="J31" s="3" t="n"/>
      <c r="K31" s="3" t="n"/>
      <c r="L31" s="3" t="n"/>
      <c r="M31" s="3" t="n"/>
      <c r="N31" s="3" t="n"/>
      <c r="O31" s="3" t="n"/>
    </row>
    <row r="32" ht="15" customHeight="1">
      <c r="A32" s="3" t="n"/>
      <c r="B32" s="3" t="inlineStr">
        <is>
          <t>GOOG</t>
        </is>
      </c>
      <c r="C32" s="107" t="inlineStr">
        <is>
          <t>2015-01-01</t>
        </is>
      </c>
      <c r="D32" s="107" t="inlineStr">
        <is>
          <t>2015-12-31</t>
        </is>
      </c>
      <c r="E32" s="269" t="n">
        <v>9.949999999999999</v>
      </c>
      <c r="F32" s="107" t="inlineStr">
        <is>
          <t>2018-02-06</t>
        </is>
      </c>
      <c r="G32" s="3" t="inlineStr">
        <is>
          <t>0001652044-18-000007</t>
        </is>
      </c>
      <c r="H32" s="3" t="n"/>
      <c r="I32" s="3" t="inlineStr">
        <is>
          <t>S069</t>
        </is>
      </c>
      <c r="J32" s="3" t="n"/>
      <c r="K32" s="3" t="n"/>
      <c r="L32" s="3" t="n"/>
      <c r="M32" s="3" t="n"/>
      <c r="N32" s="3" t="n"/>
      <c r="O32" s="3" t="n"/>
    </row>
    <row r="33" ht="15" customHeight="1">
      <c r="A33" s="3" t="n"/>
      <c r="B33" s="3" t="inlineStr">
        <is>
          <t>META</t>
        </is>
      </c>
      <c r="C33" s="107" t="inlineStr">
        <is>
          <t>2015-01-01</t>
        </is>
      </c>
      <c r="D33" s="107" t="inlineStr">
        <is>
          <t>2015-12-31</t>
        </is>
      </c>
      <c r="E33" s="269" t="n">
        <v>2.523</v>
      </c>
      <c r="F33" s="107" t="inlineStr">
        <is>
          <t>2018-02-01</t>
        </is>
      </c>
      <c r="G33" s="3" t="inlineStr">
        <is>
          <t>0001326801-18-000009</t>
        </is>
      </c>
      <c r="H33" s="3" t="n"/>
      <c r="I33" s="3" t="inlineStr">
        <is>
          <t>S070</t>
        </is>
      </c>
      <c r="J33" s="3" t="n"/>
      <c r="K33" s="3" t="n"/>
      <c r="L33" s="3" t="n"/>
      <c r="M33" s="3" t="n"/>
      <c r="N33" s="3" t="n"/>
      <c r="O33" s="3" t="n"/>
    </row>
    <row r="34" ht="15" customHeight="1">
      <c r="A34" s="3" t="n"/>
      <c r="B34" s="3" t="inlineStr">
        <is>
          <t>MSFT</t>
        </is>
      </c>
      <c r="C34" s="107" t="inlineStr">
        <is>
          <t>2014-07-01</t>
        </is>
      </c>
      <c r="D34" s="107" t="inlineStr">
        <is>
          <t>2015-06-30</t>
        </is>
      </c>
      <c r="E34" s="269" t="n">
        <v>5.944</v>
      </c>
      <c r="F34" s="107" t="inlineStr">
        <is>
          <t>2017-08-02</t>
        </is>
      </c>
      <c r="G34" s="3" t="inlineStr">
        <is>
          <t>0001564590-17-014900</t>
        </is>
      </c>
      <c r="H34" s="3" t="n"/>
      <c r="I34" s="3" t="inlineStr">
        <is>
          <t>S071</t>
        </is>
      </c>
      <c r="J34" s="3" t="n"/>
      <c r="K34" s="3" t="n"/>
      <c r="L34" s="3" t="n"/>
      <c r="M34" s="3" t="n"/>
      <c r="N34" s="3" t="n"/>
      <c r="O34" s="3" t="n"/>
    </row>
    <row r="35" ht="15" customHeight="1">
      <c r="A35" s="3" t="n"/>
      <c r="B35" s="3" t="inlineStr">
        <is>
          <t>MSFT</t>
        </is>
      </c>
      <c r="C35" s="107" t="inlineStr">
        <is>
          <t>2015-07-01</t>
        </is>
      </c>
      <c r="D35" s="107" t="inlineStr">
        <is>
          <t>2015-12-31</t>
        </is>
      </c>
      <c r="E35" s="269" t="n">
        <v>3.38</v>
      </c>
      <c r="F35" s="107" t="inlineStr">
        <is>
          <t>2017-01-26</t>
        </is>
      </c>
      <c r="G35" s="3" t="inlineStr">
        <is>
          <t>0001564590-17-000654</t>
        </is>
      </c>
      <c r="H35" s="3" t="n"/>
      <c r="I35" s="3" t="inlineStr">
        <is>
          <t>S071</t>
        </is>
      </c>
      <c r="J35" s="3" t="n"/>
      <c r="K35" s="3" t="n"/>
      <c r="L35" s="3" t="n"/>
      <c r="M35" s="3" t="n"/>
      <c r="N35" s="3" t="n"/>
      <c r="O35" s="3" t="n"/>
    </row>
    <row r="36" ht="15" customHeight="1">
      <c r="A36" s="3" t="n"/>
      <c r="B36" s="3" t="inlineStr">
        <is>
          <t>MSFT</t>
        </is>
      </c>
      <c r="C36" s="107" t="inlineStr">
        <is>
          <t>2014-07-01</t>
        </is>
      </c>
      <c r="D36" s="107" t="inlineStr">
        <is>
          <t>2014-12-31</t>
        </is>
      </c>
      <c r="E36" s="269" t="n">
        <v>2.772</v>
      </c>
      <c r="F36" s="107" t="inlineStr">
        <is>
          <t>2016-01-28</t>
        </is>
      </c>
      <c r="G36" s="3" t="inlineStr">
        <is>
          <t>0001193125-16-441821</t>
        </is>
      </c>
      <c r="H36" s="3" t="n"/>
      <c r="I36" s="3" t="inlineStr">
        <is>
          <t>S071</t>
        </is>
      </c>
      <c r="J36" s="3" t="n"/>
      <c r="K36" s="3" t="n"/>
      <c r="L36" s="3" t="n"/>
      <c r="M36" s="3" t="n"/>
      <c r="N36" s="3" t="n"/>
      <c r="O36" s="3" t="n"/>
    </row>
    <row r="37" ht="15" customHeight="1">
      <c r="A37" s="3" t="n"/>
      <c r="B37" s="3" t="inlineStr">
        <is>
          <t>AMZN</t>
        </is>
      </c>
      <c r="C37" s="107" t="inlineStr">
        <is>
          <t>2016-01-01</t>
        </is>
      </c>
      <c r="D37" s="107" t="inlineStr">
        <is>
          <t>2016-12-31</t>
        </is>
      </c>
      <c r="E37" s="269" t="n">
        <v>6.737</v>
      </c>
      <c r="F37" s="107" t="inlineStr">
        <is>
          <t>2017-02-10</t>
        </is>
      </c>
      <c r="G37" s="3" t="inlineStr">
        <is>
          <t>0001018724-17-000011</t>
        </is>
      </c>
      <c r="H37" s="3" t="n"/>
      <c r="I37" s="3" t="inlineStr">
        <is>
          <t>S068</t>
        </is>
      </c>
      <c r="J37" s="3" t="n"/>
      <c r="K37" s="3" t="n"/>
      <c r="L37" s="3" t="n"/>
      <c r="M37" s="3" t="n"/>
      <c r="N37" s="3" t="n"/>
      <c r="O37" s="3" t="n"/>
    </row>
    <row r="38" ht="15" customHeight="1">
      <c r="A38" s="3" t="n"/>
      <c r="B38" s="3" t="inlineStr">
        <is>
          <t>GOOG</t>
        </is>
      </c>
      <c r="C38" s="107" t="inlineStr">
        <is>
          <t>2016-01-01</t>
        </is>
      </c>
      <c r="D38" s="107" t="inlineStr">
        <is>
          <t>2016-12-31</t>
        </is>
      </c>
      <c r="E38" s="269" t="n">
        <v>10.212</v>
      </c>
      <c r="F38" s="107" t="inlineStr">
        <is>
          <t>2019-02-05</t>
        </is>
      </c>
      <c r="G38" s="3" t="inlineStr">
        <is>
          <t>0001652044-19-000004</t>
        </is>
      </c>
      <c r="H38" s="3" t="n"/>
      <c r="I38" s="3" t="inlineStr">
        <is>
          <t>S069</t>
        </is>
      </c>
      <c r="J38" s="3" t="n"/>
      <c r="K38" s="3" t="n"/>
      <c r="L38" s="3" t="n"/>
      <c r="M38" s="3" t="n"/>
      <c r="N38" s="3" t="n"/>
      <c r="O38" s="3" t="n"/>
    </row>
    <row r="39" ht="15" customHeight="1">
      <c r="A39" s="3" t="n"/>
      <c r="B39" s="3" t="inlineStr">
        <is>
          <t>META</t>
        </is>
      </c>
      <c r="C39" s="107" t="inlineStr">
        <is>
          <t>2016-01-01</t>
        </is>
      </c>
      <c r="D39" s="107" t="inlineStr">
        <is>
          <t>2016-12-31</t>
        </is>
      </c>
      <c r="E39" s="269" t="n">
        <v>4.491</v>
      </c>
      <c r="F39" s="107" t="inlineStr">
        <is>
          <t>2019-01-31</t>
        </is>
      </c>
      <c r="G39" s="3" t="inlineStr">
        <is>
          <t>0001326801-19-000009</t>
        </is>
      </c>
      <c r="H39" s="3" t="n"/>
      <c r="I39" s="3" t="inlineStr">
        <is>
          <t>S070</t>
        </is>
      </c>
      <c r="J39" s="3" t="n"/>
      <c r="K39" s="3" t="n"/>
      <c r="L39" s="3" t="n"/>
      <c r="M39" s="3" t="n"/>
      <c r="N39" s="3" t="n"/>
      <c r="O39" s="3" t="n"/>
    </row>
    <row r="40" ht="15" customHeight="1">
      <c r="A40" s="3" t="n"/>
      <c r="B40" s="3" t="inlineStr">
        <is>
          <t>MSFT</t>
        </is>
      </c>
      <c r="C40" s="107" t="inlineStr">
        <is>
          <t>2015-07-01</t>
        </is>
      </c>
      <c r="D40" s="107" t="inlineStr">
        <is>
          <t>2016-06-30</t>
        </is>
      </c>
      <c r="E40" s="269" t="n">
        <v>8.343</v>
      </c>
      <c r="F40" s="107" t="inlineStr">
        <is>
          <t>2018-08-03</t>
        </is>
      </c>
      <c r="G40" s="3" t="inlineStr">
        <is>
          <t>0001564590-18-019062</t>
        </is>
      </c>
      <c r="H40" s="3" t="n"/>
      <c r="I40" s="3" t="inlineStr">
        <is>
          <t>S071</t>
        </is>
      </c>
      <c r="J40" s="3" t="n"/>
      <c r="K40" s="3" t="n"/>
      <c r="L40" s="3" t="n"/>
      <c r="M40" s="3" t="n"/>
      <c r="N40" s="3" t="n"/>
      <c r="O40" s="3" t="n"/>
    </row>
    <row r="41" ht="15" customHeight="1">
      <c r="A41" s="3" t="n"/>
      <c r="B41" s="3" t="inlineStr">
        <is>
          <t>MSFT</t>
        </is>
      </c>
      <c r="C41" s="107" t="inlineStr">
        <is>
          <t>2016-07-01</t>
        </is>
      </c>
      <c r="D41" s="107" t="inlineStr">
        <is>
          <t>2016-12-31</t>
        </is>
      </c>
      <c r="E41" s="269" t="n">
        <v>4.151</v>
      </c>
      <c r="F41" s="107" t="inlineStr">
        <is>
          <t>2018-01-31</t>
        </is>
      </c>
      <c r="G41" s="3" t="inlineStr">
        <is>
          <t>0001564590-18-001129</t>
        </is>
      </c>
      <c r="H41" s="3" t="n"/>
      <c r="I41" s="3" t="inlineStr">
        <is>
          <t>S071</t>
        </is>
      </c>
      <c r="J41" s="3" t="n"/>
      <c r="K41" s="3" t="n"/>
      <c r="L41" s="3" t="n"/>
      <c r="M41" s="3" t="n"/>
      <c r="N41" s="3" t="n"/>
      <c r="O41" s="3" t="n"/>
    </row>
    <row r="42" ht="15" customHeight="1">
      <c r="A42" s="3" t="n"/>
      <c r="B42" s="3" t="inlineStr">
        <is>
          <t>MSFT</t>
        </is>
      </c>
      <c r="C42" s="107" t="inlineStr">
        <is>
          <t>2015-07-01</t>
        </is>
      </c>
      <c r="D42" s="107" t="inlineStr">
        <is>
          <t>2015-12-31</t>
        </is>
      </c>
      <c r="E42" s="269" t="n">
        <v>3.38</v>
      </c>
      <c r="F42" s="107" t="inlineStr">
        <is>
          <t>2017-01-26</t>
        </is>
      </c>
      <c r="G42" s="3" t="inlineStr">
        <is>
          <t>0001564590-17-000654</t>
        </is>
      </c>
      <c r="H42" s="3" t="n"/>
      <c r="I42" s="3" t="inlineStr">
        <is>
          <t>S071</t>
        </is>
      </c>
      <c r="J42" s="3" t="n"/>
      <c r="K42" s="3" t="n"/>
      <c r="L42" s="3" t="n"/>
      <c r="M42" s="3" t="n"/>
      <c r="N42" s="3" t="n"/>
      <c r="O42" s="3" t="n"/>
    </row>
    <row r="43" ht="15" customHeight="1">
      <c r="A43" s="3" t="n"/>
      <c r="B43" s="3" t="inlineStr">
        <is>
          <t>AMZN</t>
        </is>
      </c>
      <c r="C43" s="107" t="inlineStr">
        <is>
          <t>2017-01-01</t>
        </is>
      </c>
      <c r="D43" s="107" t="inlineStr">
        <is>
          <t>2017-12-31</t>
        </is>
      </c>
      <c r="E43" s="269" t="n">
        <v>11.955</v>
      </c>
      <c r="F43" s="107" t="n"/>
      <c r="G43" s="3" t="inlineStr">
        <is>
          <t>See 10-K cash flow table</t>
        </is>
      </c>
      <c r="H43" s="3" t="n"/>
      <c r="I43" s="3" t="inlineStr">
        <is>
          <t>S072</t>
        </is>
      </c>
      <c r="J43" s="3" t="n"/>
      <c r="K43" s="3" t="n"/>
      <c r="L43" s="3" t="n"/>
      <c r="M43" s="3" t="n"/>
      <c r="N43" s="3" t="n"/>
      <c r="O43" s="3" t="n"/>
    </row>
    <row r="44" ht="15" customHeight="1">
      <c r="A44" s="3" t="n"/>
      <c r="B44" s="3" t="inlineStr">
        <is>
          <t>GOOG</t>
        </is>
      </c>
      <c r="C44" s="107" t="inlineStr">
        <is>
          <t>2017-01-01</t>
        </is>
      </c>
      <c r="D44" s="107" t="inlineStr">
        <is>
          <t>2017-12-31</t>
        </is>
      </c>
      <c r="E44" s="269" t="n">
        <v>13.184</v>
      </c>
      <c r="F44" s="107" t="inlineStr">
        <is>
          <t>2020-02-04</t>
        </is>
      </c>
      <c r="G44" s="3" t="inlineStr">
        <is>
          <t>0001652044-20-000008</t>
        </is>
      </c>
      <c r="H44" s="3" t="n"/>
      <c r="I44" s="3" t="inlineStr">
        <is>
          <t>S069</t>
        </is>
      </c>
      <c r="J44" s="3" t="n"/>
      <c r="K44" s="3" t="n"/>
      <c r="L44" s="3" t="n"/>
      <c r="M44" s="3" t="n"/>
      <c r="N44" s="3" t="n"/>
      <c r="O44" s="3" t="n"/>
    </row>
    <row r="45" ht="15" customHeight="1">
      <c r="A45" s="3" t="n"/>
      <c r="B45" s="3" t="inlineStr">
        <is>
          <t>META</t>
        </is>
      </c>
      <c r="C45" s="107" t="inlineStr">
        <is>
          <t>2017-01-01</t>
        </is>
      </c>
      <c r="D45" s="107" t="inlineStr">
        <is>
          <t>2017-12-31</t>
        </is>
      </c>
      <c r="E45" s="269" t="n">
        <v>6.733</v>
      </c>
      <c r="F45" s="107" t="inlineStr">
        <is>
          <t>2020-01-30</t>
        </is>
      </c>
      <c r="G45" s="3" t="inlineStr">
        <is>
          <t>0001326801-20-000013</t>
        </is>
      </c>
      <c r="H45" s="3" t="n"/>
      <c r="I45" s="3" t="inlineStr">
        <is>
          <t>S070</t>
        </is>
      </c>
      <c r="J45" s="3" t="n"/>
      <c r="K45" s="3" t="n"/>
      <c r="L45" s="3" t="n"/>
      <c r="M45" s="3" t="n"/>
      <c r="N45" s="3" t="n"/>
      <c r="O45" s="3" t="n"/>
    </row>
    <row r="46" ht="15" customHeight="1">
      <c r="A46" s="3" t="n"/>
      <c r="B46" s="3" t="inlineStr">
        <is>
          <t>MSFT</t>
        </is>
      </c>
      <c r="C46" s="107" t="inlineStr">
        <is>
          <t>2016-07-01</t>
        </is>
      </c>
      <c r="D46" s="107" t="inlineStr">
        <is>
          <t>2017-06-30</t>
        </is>
      </c>
      <c r="E46" s="269" t="n">
        <v>8.129</v>
      </c>
      <c r="F46" s="107" t="inlineStr">
        <is>
          <t>2019-08-01</t>
        </is>
      </c>
      <c r="G46" s="3" t="inlineStr">
        <is>
          <t>0001564590-19-027952</t>
        </is>
      </c>
      <c r="H46" s="3" t="n"/>
      <c r="I46" s="3" t="inlineStr">
        <is>
          <t>S071</t>
        </is>
      </c>
      <c r="J46" s="3" t="n"/>
      <c r="K46" s="3" t="n"/>
      <c r="L46" s="3" t="n"/>
      <c r="M46" s="3" t="n"/>
      <c r="N46" s="3" t="n"/>
      <c r="O46" s="3" t="n"/>
    </row>
    <row r="47" ht="15" customHeight="1">
      <c r="A47" s="3" t="n"/>
      <c r="B47" s="3" t="inlineStr">
        <is>
          <t>MSFT</t>
        </is>
      </c>
      <c r="C47" s="107" t="inlineStr">
        <is>
          <t>2017-07-01</t>
        </is>
      </c>
      <c r="D47" s="107" t="inlineStr">
        <is>
          <t>2017-12-31</t>
        </is>
      </c>
      <c r="E47" s="269" t="n">
        <v>4.718</v>
      </c>
      <c r="F47" s="107" t="inlineStr">
        <is>
          <t>2019-01-30</t>
        </is>
      </c>
      <c r="G47" s="3" t="inlineStr">
        <is>
          <t>0001564590-19-001392</t>
        </is>
      </c>
      <c r="H47" s="3" t="n"/>
      <c r="I47" s="3" t="inlineStr">
        <is>
          <t>S071</t>
        </is>
      </c>
      <c r="J47" s="3" t="n"/>
      <c r="K47" s="3" t="n"/>
      <c r="L47" s="3" t="n"/>
      <c r="M47" s="3" t="n"/>
      <c r="N47" s="3" t="n"/>
      <c r="O47" s="3" t="n"/>
    </row>
    <row r="48" ht="15" customHeight="1">
      <c r="A48" s="3" t="n"/>
      <c r="B48" s="3" t="inlineStr">
        <is>
          <t>MSFT</t>
        </is>
      </c>
      <c r="C48" s="107" t="inlineStr">
        <is>
          <t>2016-07-01</t>
        </is>
      </c>
      <c r="D48" s="107" t="inlineStr">
        <is>
          <t>2016-12-31</t>
        </is>
      </c>
      <c r="E48" s="269" t="n">
        <v>4.151</v>
      </c>
      <c r="F48" s="107" t="inlineStr">
        <is>
          <t>2018-01-31</t>
        </is>
      </c>
      <c r="G48" s="3" t="inlineStr">
        <is>
          <t>0001564590-18-001129</t>
        </is>
      </c>
      <c r="H48" s="3" t="n"/>
      <c r="I48" s="3" t="inlineStr">
        <is>
          <t>S071</t>
        </is>
      </c>
      <c r="J48" s="3" t="n"/>
      <c r="K48" s="3" t="n"/>
      <c r="L48" s="3" t="n"/>
      <c r="M48" s="3" t="n"/>
      <c r="N48" s="3" t="n"/>
      <c r="O48" s="3" t="n"/>
    </row>
    <row r="49" ht="15" customHeight="1">
      <c r="A49" s="3" t="n"/>
      <c r="B49" s="3" t="inlineStr">
        <is>
          <t>AMZN</t>
        </is>
      </c>
      <c r="C49" s="107" t="inlineStr">
        <is>
          <t>2018-01-01</t>
        </is>
      </c>
      <c r="D49" s="107" t="inlineStr">
        <is>
          <t>2018-12-31</t>
        </is>
      </c>
      <c r="E49" s="269" t="n">
        <v>13.427</v>
      </c>
      <c r="F49" s="107" t="n"/>
      <c r="G49" s="3" t="inlineStr">
        <is>
          <t>See 10-K cash flow table</t>
        </is>
      </c>
      <c r="H49" s="3" t="n"/>
      <c r="I49" s="3" t="inlineStr">
        <is>
          <t>S072</t>
        </is>
      </c>
      <c r="J49" s="3" t="n"/>
      <c r="K49" s="3" t="n"/>
      <c r="L49" s="3" t="n"/>
      <c r="M49" s="3" t="n"/>
      <c r="N49" s="3" t="n"/>
      <c r="O49" s="3" t="n"/>
    </row>
    <row r="50" ht="15" customHeight="1">
      <c r="A50" s="3" t="n"/>
      <c r="B50" s="3" t="inlineStr">
        <is>
          <t>GOOG</t>
        </is>
      </c>
      <c r="C50" s="107" t="inlineStr">
        <is>
          <t>2018-01-01</t>
        </is>
      </c>
      <c r="D50" s="107" t="inlineStr">
        <is>
          <t>2018-12-31</t>
        </is>
      </c>
      <c r="E50" s="269" t="n">
        <v>25.139</v>
      </c>
      <c r="F50" s="107" t="inlineStr">
        <is>
          <t>2021-02-03</t>
        </is>
      </c>
      <c r="G50" s="3" t="inlineStr">
        <is>
          <t>0001652044-21-000010</t>
        </is>
      </c>
      <c r="H50" s="3" t="n"/>
      <c r="I50" s="3" t="inlineStr">
        <is>
          <t>S069</t>
        </is>
      </c>
      <c r="J50" s="3" t="n"/>
      <c r="K50" s="3" t="n"/>
      <c r="L50" s="3" t="n"/>
      <c r="M50" s="3" t="n"/>
      <c r="N50" s="3" t="n"/>
      <c r="O50" s="3" t="n"/>
    </row>
    <row r="51" ht="15" customHeight="1">
      <c r="A51" s="3" t="n"/>
      <c r="B51" s="3" t="inlineStr">
        <is>
          <t>META</t>
        </is>
      </c>
      <c r="C51" s="107" t="inlineStr">
        <is>
          <t>2018-01-01</t>
        </is>
      </c>
      <c r="D51" s="107" t="inlineStr">
        <is>
          <t>2018-12-31</t>
        </is>
      </c>
      <c r="E51" s="269" t="n">
        <v>13.915</v>
      </c>
      <c r="F51" s="107" t="inlineStr">
        <is>
          <t>2021-01-28</t>
        </is>
      </c>
      <c r="G51" s="3" t="inlineStr">
        <is>
          <t>0001326801-21-000014</t>
        </is>
      </c>
      <c r="H51" s="3" t="n"/>
      <c r="I51" s="3" t="inlineStr">
        <is>
          <t>S070</t>
        </is>
      </c>
      <c r="J51" s="3" t="n"/>
      <c r="K51" s="3" t="n"/>
      <c r="L51" s="3" t="n"/>
      <c r="M51" s="3" t="n"/>
      <c r="N51" s="3" t="n"/>
      <c r="O51" s="3" t="n"/>
    </row>
    <row r="52" ht="15" customHeight="1">
      <c r="A52" s="3" t="n"/>
      <c r="B52" s="3" t="inlineStr">
        <is>
          <t>MSFT</t>
        </is>
      </c>
      <c r="C52" s="107" t="inlineStr">
        <is>
          <t>2017-07-01</t>
        </is>
      </c>
      <c r="D52" s="107" t="inlineStr">
        <is>
          <t>2018-06-30</t>
        </is>
      </c>
      <c r="E52" s="269" t="n">
        <v>11.632</v>
      </c>
      <c r="F52" s="107" t="inlineStr">
        <is>
          <t>2020-07-30</t>
        </is>
      </c>
      <c r="G52" s="3" t="inlineStr">
        <is>
          <t>0001564590-20-034944</t>
        </is>
      </c>
      <c r="H52" s="3" t="n"/>
      <c r="I52" s="3" t="inlineStr">
        <is>
          <t>S071</t>
        </is>
      </c>
      <c r="J52" s="3" t="n"/>
      <c r="K52" s="3" t="n"/>
      <c r="L52" s="3" t="n"/>
      <c r="M52" s="3" t="n"/>
      <c r="N52" s="3" t="n"/>
      <c r="O52" s="3" t="n"/>
    </row>
    <row r="53" ht="15" customHeight="1">
      <c r="A53" s="3" t="n"/>
      <c r="B53" s="3" t="inlineStr">
        <is>
          <t>MSFT</t>
        </is>
      </c>
      <c r="C53" s="107" t="inlineStr">
        <is>
          <t>2018-07-01</t>
        </is>
      </c>
      <c r="D53" s="107" t="inlineStr">
        <is>
          <t>2018-12-31</t>
        </is>
      </c>
      <c r="E53" s="269" t="n">
        <v>7.309</v>
      </c>
      <c r="F53" s="107" t="inlineStr">
        <is>
          <t>2020-01-29</t>
        </is>
      </c>
      <c r="G53" s="3" t="inlineStr">
        <is>
          <t>0001564590-20-002450</t>
        </is>
      </c>
      <c r="H53" s="3" t="n"/>
      <c r="I53" s="3" t="inlineStr">
        <is>
          <t>S071</t>
        </is>
      </c>
      <c r="J53" s="3" t="n"/>
      <c r="K53" s="3" t="n"/>
      <c r="L53" s="3" t="n"/>
      <c r="M53" s="3" t="n"/>
      <c r="N53" s="3" t="n"/>
      <c r="O53" s="3" t="n"/>
    </row>
    <row r="54" ht="15" customHeight="1">
      <c r="A54" s="3" t="n"/>
      <c r="B54" s="3" t="inlineStr">
        <is>
          <t>MSFT</t>
        </is>
      </c>
      <c r="C54" s="107" t="inlineStr">
        <is>
          <t>2017-07-01</t>
        </is>
      </c>
      <c r="D54" s="107" t="inlineStr">
        <is>
          <t>2017-12-31</t>
        </is>
      </c>
      <c r="E54" s="269" t="n">
        <v>4.718</v>
      </c>
      <c r="F54" s="107" t="inlineStr">
        <is>
          <t>2019-01-30</t>
        </is>
      </c>
      <c r="G54" s="3" t="inlineStr">
        <is>
          <t>0001564590-19-001392</t>
        </is>
      </c>
      <c r="H54" s="3" t="n"/>
      <c r="I54" s="3" t="inlineStr">
        <is>
          <t>S071</t>
        </is>
      </c>
      <c r="J54" s="3" t="n"/>
      <c r="K54" s="3" t="n"/>
      <c r="L54" s="3" t="n"/>
      <c r="M54" s="3" t="n"/>
      <c r="N54" s="3" t="n"/>
      <c r="O54" s="3" t="n"/>
    </row>
    <row r="55" ht="15" customHeight="1">
      <c r="A55" s="3" t="n"/>
      <c r="B55" s="3" t="inlineStr">
        <is>
          <t>AMZN</t>
        </is>
      </c>
      <c r="C55" s="107" t="inlineStr">
        <is>
          <t>2019-01-01</t>
        </is>
      </c>
      <c r="D55" s="107" t="inlineStr">
        <is>
          <t>2019-12-31</t>
        </is>
      </c>
      <c r="E55" s="269" t="n">
        <v>16.861</v>
      </c>
      <c r="F55" s="107" t="n"/>
      <c r="G55" s="3" t="inlineStr">
        <is>
          <t>See 10-K cash flow table</t>
        </is>
      </c>
      <c r="H55" s="3" t="n"/>
      <c r="I55" s="3" t="inlineStr">
        <is>
          <t>S072</t>
        </is>
      </c>
      <c r="J55" s="3" t="n"/>
      <c r="K55" s="3" t="n"/>
      <c r="L55" s="3" t="n"/>
      <c r="M55" s="3" t="n"/>
      <c r="N55" s="3" t="n"/>
      <c r="O55" s="3" t="n"/>
    </row>
    <row r="56" ht="15" customHeight="1">
      <c r="A56" s="3" t="n"/>
      <c r="B56" s="3" t="inlineStr">
        <is>
          <t>GOOG</t>
        </is>
      </c>
      <c r="C56" s="107" t="inlineStr">
        <is>
          <t>2019-01-01</t>
        </is>
      </c>
      <c r="D56" s="107" t="inlineStr">
        <is>
          <t>2019-12-31</t>
        </is>
      </c>
      <c r="E56" s="269" t="n">
        <v>23.548</v>
      </c>
      <c r="F56" s="107" t="inlineStr">
        <is>
          <t>2022-02-02</t>
        </is>
      </c>
      <c r="G56" s="3" t="inlineStr">
        <is>
          <t>0001652044-22-000019</t>
        </is>
      </c>
      <c r="H56" s="3" t="n"/>
      <c r="I56" s="3" t="inlineStr">
        <is>
          <t>S069</t>
        </is>
      </c>
      <c r="J56" s="3" t="n"/>
      <c r="K56" s="3" t="n"/>
      <c r="L56" s="3" t="n"/>
      <c r="M56" s="3" t="n"/>
      <c r="N56" s="3" t="n"/>
      <c r="O56" s="3" t="n"/>
    </row>
    <row r="57" ht="15" customHeight="1">
      <c r="A57" s="3" t="n"/>
      <c r="B57" s="3" t="inlineStr">
        <is>
          <t>META</t>
        </is>
      </c>
      <c r="C57" s="107" t="inlineStr">
        <is>
          <t>2019-01-01</t>
        </is>
      </c>
      <c r="D57" s="107" t="inlineStr">
        <is>
          <t>2019-12-31</t>
        </is>
      </c>
      <c r="E57" s="269" t="n">
        <v>15.102</v>
      </c>
      <c r="F57" s="107" t="inlineStr">
        <is>
          <t>2022-02-03</t>
        </is>
      </c>
      <c r="G57" s="3" t="inlineStr">
        <is>
          <t>0001326801-22-000018</t>
        </is>
      </c>
      <c r="H57" s="3" t="n"/>
      <c r="I57" s="3" t="inlineStr">
        <is>
          <t>S070</t>
        </is>
      </c>
      <c r="J57" s="3" t="n"/>
      <c r="K57" s="3" t="n"/>
      <c r="L57" s="3" t="n"/>
      <c r="M57" s="3" t="n"/>
      <c r="N57" s="3" t="n"/>
      <c r="O57" s="3" t="n"/>
    </row>
    <row r="58" ht="15" customHeight="1">
      <c r="A58" s="3" t="n"/>
      <c r="B58" s="3" t="inlineStr">
        <is>
          <t>MSFT</t>
        </is>
      </c>
      <c r="C58" s="107" t="inlineStr">
        <is>
          <t>2018-07-01</t>
        </is>
      </c>
      <c r="D58" s="107" t="inlineStr">
        <is>
          <t>2019-06-30</t>
        </is>
      </c>
      <c r="E58" s="269" t="n">
        <v>13.925</v>
      </c>
      <c r="F58" s="107" t="inlineStr">
        <is>
          <t>2021-07-29</t>
        </is>
      </c>
      <c r="G58" s="3" t="inlineStr">
        <is>
          <t>0001564590-21-039151</t>
        </is>
      </c>
      <c r="H58" s="3" t="n"/>
      <c r="I58" s="3" t="inlineStr">
        <is>
          <t>S071</t>
        </is>
      </c>
      <c r="J58" s="3" t="n"/>
      <c r="K58" s="3" t="n"/>
      <c r="L58" s="3" t="n"/>
      <c r="M58" s="3" t="n"/>
      <c r="N58" s="3" t="n"/>
      <c r="O58" s="3" t="n"/>
    </row>
    <row r="59" ht="15" customHeight="1">
      <c r="A59" s="3" t="n"/>
      <c r="B59" s="3" t="inlineStr">
        <is>
          <t>MSFT</t>
        </is>
      </c>
      <c r="C59" s="107" t="inlineStr">
        <is>
          <t>2019-07-01</t>
        </is>
      </c>
      <c r="D59" s="107" t="inlineStr">
        <is>
          <t>2019-12-31</t>
        </is>
      </c>
      <c r="E59" s="269" t="n">
        <v>6.93</v>
      </c>
      <c r="F59" s="107" t="inlineStr">
        <is>
          <t>2021-01-26</t>
        </is>
      </c>
      <c r="G59" s="3" t="inlineStr">
        <is>
          <t>0001564590-21-002316</t>
        </is>
      </c>
      <c r="H59" s="3" t="n"/>
      <c r="I59" s="3" t="inlineStr">
        <is>
          <t>S071</t>
        </is>
      </c>
      <c r="J59" s="3" t="n"/>
      <c r="K59" s="3" t="n"/>
      <c r="L59" s="3" t="n"/>
      <c r="M59" s="3" t="n"/>
      <c r="N59" s="3" t="n"/>
      <c r="O59" s="3" t="n"/>
    </row>
    <row r="60" ht="15" customHeight="1">
      <c r="A60" s="3" t="n"/>
      <c r="B60" s="3" t="inlineStr">
        <is>
          <t>MSFT</t>
        </is>
      </c>
      <c r="C60" s="107" t="inlineStr">
        <is>
          <t>2018-07-01</t>
        </is>
      </c>
      <c r="D60" s="107" t="inlineStr">
        <is>
          <t>2018-12-31</t>
        </is>
      </c>
      <c r="E60" s="269" t="n">
        <v>7.309</v>
      </c>
      <c r="F60" s="107" t="inlineStr">
        <is>
          <t>2020-01-29</t>
        </is>
      </c>
      <c r="G60" s="3" t="inlineStr">
        <is>
          <t>0001564590-20-002450</t>
        </is>
      </c>
      <c r="H60" s="3" t="n"/>
      <c r="I60" s="3" t="inlineStr">
        <is>
          <t>S071</t>
        </is>
      </c>
      <c r="J60" s="3" t="n"/>
      <c r="K60" s="3" t="n"/>
      <c r="L60" s="3" t="n"/>
      <c r="M60" s="3" t="n"/>
      <c r="N60" s="3" t="n"/>
      <c r="O60" s="3" t="n"/>
    </row>
    <row r="61" ht="15" customHeight="1">
      <c r="A61" s="3" t="n"/>
      <c r="B61" s="3" t="inlineStr">
        <is>
          <t>AMZN</t>
        </is>
      </c>
      <c r="C61" s="107" t="inlineStr">
        <is>
          <t>2020-01-01</t>
        </is>
      </c>
      <c r="D61" s="107" t="inlineStr">
        <is>
          <t>2020-12-31</t>
        </is>
      </c>
      <c r="E61" s="269" t="n">
        <v>40.14</v>
      </c>
      <c r="F61" s="107" t="n"/>
      <c r="G61" s="3" t="inlineStr">
        <is>
          <t>See 10-K cash flow table</t>
        </is>
      </c>
      <c r="H61" s="3" t="n"/>
      <c r="I61" s="3" t="inlineStr">
        <is>
          <t>S073</t>
        </is>
      </c>
      <c r="J61" s="3" t="n"/>
      <c r="K61" s="3" t="n"/>
      <c r="L61" s="3" t="n"/>
      <c r="M61" s="3" t="n"/>
      <c r="N61" s="3" t="n"/>
      <c r="O61" s="3" t="n"/>
    </row>
    <row r="62" ht="15" customHeight="1">
      <c r="A62" s="3" t="n"/>
      <c r="B62" s="3" t="inlineStr">
        <is>
          <t>GOOG</t>
        </is>
      </c>
      <c r="C62" s="107" t="inlineStr">
        <is>
          <t>2020-01-01</t>
        </is>
      </c>
      <c r="D62" s="107" t="inlineStr">
        <is>
          <t>2020-12-31</t>
        </is>
      </c>
      <c r="E62" s="269" t="n">
        <v>22.281</v>
      </c>
      <c r="F62" s="107" t="inlineStr">
        <is>
          <t>2023-02-03</t>
        </is>
      </c>
      <c r="G62" s="3" t="inlineStr">
        <is>
          <t>0001652044-23-000016</t>
        </is>
      </c>
      <c r="H62" s="3" t="n"/>
      <c r="I62" s="3" t="inlineStr">
        <is>
          <t>S069</t>
        </is>
      </c>
      <c r="J62" s="3" t="n"/>
      <c r="K62" s="3" t="n"/>
      <c r="L62" s="3" t="n"/>
      <c r="M62" s="3" t="n"/>
      <c r="N62" s="3" t="n"/>
      <c r="O62" s="3" t="n"/>
    </row>
    <row r="63" ht="15" customHeight="1">
      <c r="A63" s="3" t="n"/>
      <c r="B63" s="3" t="inlineStr">
        <is>
          <t>META</t>
        </is>
      </c>
      <c r="C63" s="107" t="inlineStr">
        <is>
          <t>2020-01-01</t>
        </is>
      </c>
      <c r="D63" s="107" t="inlineStr">
        <is>
          <t>2020-12-31</t>
        </is>
      </c>
      <c r="E63" s="269" t="n">
        <v>15.163</v>
      </c>
      <c r="F63" s="107" t="inlineStr">
        <is>
          <t>2023-02-02</t>
        </is>
      </c>
      <c r="G63" s="3" t="inlineStr">
        <is>
          <t>0001326801-23-000013</t>
        </is>
      </c>
      <c r="H63" s="3" t="n"/>
      <c r="I63" s="3" t="inlineStr">
        <is>
          <t>S070</t>
        </is>
      </c>
      <c r="J63" s="3" t="n"/>
      <c r="K63" s="3" t="n"/>
      <c r="L63" s="3" t="n"/>
      <c r="M63" s="3" t="n"/>
      <c r="N63" s="3" t="n"/>
      <c r="O63" s="3" t="n"/>
    </row>
    <row r="64" ht="15" customHeight="1">
      <c r="A64" s="3" t="n"/>
      <c r="B64" s="3" t="inlineStr">
        <is>
          <t>MSFT</t>
        </is>
      </c>
      <c r="C64" s="107" t="inlineStr">
        <is>
          <t>2019-07-01</t>
        </is>
      </c>
      <c r="D64" s="107" t="inlineStr">
        <is>
          <t>2020-06-30</t>
        </is>
      </c>
      <c r="E64" s="269" t="n">
        <v>15.441</v>
      </c>
      <c r="F64" s="107" t="inlineStr">
        <is>
          <t>2022-07-28</t>
        </is>
      </c>
      <c r="G64" s="3" t="inlineStr">
        <is>
          <t>0001564590-22-026876</t>
        </is>
      </c>
      <c r="H64" s="3" t="n"/>
      <c r="I64" s="3" t="inlineStr">
        <is>
          <t>S071</t>
        </is>
      </c>
      <c r="J64" s="3" t="n"/>
      <c r="K64" s="3" t="n"/>
      <c r="L64" s="3" t="n"/>
      <c r="M64" s="3" t="n"/>
      <c r="N64" s="3" t="n"/>
      <c r="O64" s="3" t="n"/>
    </row>
    <row r="65" ht="15" customHeight="1">
      <c r="A65" s="3" t="n"/>
      <c r="B65" s="3" t="inlineStr">
        <is>
          <t>MSFT</t>
        </is>
      </c>
      <c r="C65" s="107" t="inlineStr">
        <is>
          <t>2020-07-01</t>
        </is>
      </c>
      <c r="D65" s="107" t="inlineStr">
        <is>
          <t>2020-12-31</t>
        </is>
      </c>
      <c r="E65" s="269" t="n">
        <v>9.081</v>
      </c>
      <c r="F65" s="107" t="inlineStr">
        <is>
          <t>2022-01-25</t>
        </is>
      </c>
      <c r="G65" s="3" t="inlineStr">
        <is>
          <t>0001564590-22-002324</t>
        </is>
      </c>
      <c r="H65" s="3" t="n"/>
      <c r="I65" s="3" t="inlineStr">
        <is>
          <t>S071</t>
        </is>
      </c>
      <c r="J65" s="3" t="n"/>
      <c r="K65" s="3" t="n"/>
      <c r="L65" s="3" t="n"/>
      <c r="M65" s="3" t="n"/>
      <c r="N65" s="3" t="n"/>
      <c r="O65" s="3" t="n"/>
    </row>
    <row r="66" ht="15" customHeight="1">
      <c r="A66" s="3" t="n"/>
      <c r="B66" s="3" t="inlineStr">
        <is>
          <t>MSFT</t>
        </is>
      </c>
      <c r="C66" s="107" t="inlineStr">
        <is>
          <t>2019-07-01</t>
        </is>
      </c>
      <c r="D66" s="107" t="inlineStr">
        <is>
          <t>2019-12-31</t>
        </is>
      </c>
      <c r="E66" s="269" t="n">
        <v>6.93</v>
      </c>
      <c r="F66" s="107" t="inlineStr">
        <is>
          <t>2021-01-26</t>
        </is>
      </c>
      <c r="G66" s="3" t="inlineStr">
        <is>
          <t>0001564590-21-002316</t>
        </is>
      </c>
      <c r="H66" s="3" t="n"/>
      <c r="I66" s="3" t="inlineStr">
        <is>
          <t>S071</t>
        </is>
      </c>
      <c r="J66" s="3" t="n"/>
      <c r="K66" s="3" t="n"/>
      <c r="L66" s="3" t="n"/>
      <c r="M66" s="3" t="n"/>
      <c r="N66" s="3" t="n"/>
      <c r="O66" s="3" t="n"/>
    </row>
    <row r="67" ht="15" customHeight="1">
      <c r="A67" s="3" t="n"/>
      <c r="B67" s="3" t="inlineStr">
        <is>
          <t>AMZN</t>
        </is>
      </c>
      <c r="C67" s="107" t="inlineStr">
        <is>
          <t>2021-01-01</t>
        </is>
      </c>
      <c r="D67" s="107" t="inlineStr">
        <is>
          <t>2021-12-31</t>
        </is>
      </c>
      <c r="E67" s="269" t="n">
        <v>61.053</v>
      </c>
      <c r="F67" s="107" t="n"/>
      <c r="G67" s="3" t="inlineStr">
        <is>
          <t>See 10-K cash flow table</t>
        </is>
      </c>
      <c r="H67" s="3" t="n"/>
      <c r="I67" s="3" t="inlineStr">
        <is>
          <t>S073</t>
        </is>
      </c>
      <c r="J67" s="3" t="n"/>
      <c r="K67" s="3" t="n"/>
      <c r="L67" s="3" t="n"/>
      <c r="M67" s="3" t="n"/>
      <c r="N67" s="3" t="n"/>
      <c r="O67" s="3" t="n"/>
    </row>
    <row r="68" ht="15" customHeight="1">
      <c r="A68" s="3" t="n"/>
      <c r="B68" s="3" t="inlineStr">
        <is>
          <t>GOOG</t>
        </is>
      </c>
      <c r="C68" s="107" t="inlineStr">
        <is>
          <t>2021-01-01</t>
        </is>
      </c>
      <c r="D68" s="107" t="inlineStr">
        <is>
          <t>2021-12-31</t>
        </is>
      </c>
      <c r="E68" s="269" t="n">
        <v>24.64</v>
      </c>
      <c r="F68" s="107" t="inlineStr">
        <is>
          <t>2024-01-31</t>
        </is>
      </c>
      <c r="G68" s="3" t="inlineStr">
        <is>
          <t>0001652044-24-000022</t>
        </is>
      </c>
      <c r="H68" s="3" t="n"/>
      <c r="I68" s="3" t="inlineStr">
        <is>
          <t>S069</t>
        </is>
      </c>
      <c r="J68" s="3" t="n"/>
      <c r="K68" s="3" t="n"/>
      <c r="L68" s="3" t="n"/>
      <c r="M68" s="3" t="n"/>
      <c r="N68" s="3" t="n"/>
      <c r="O68" s="3" t="n"/>
    </row>
    <row r="69" ht="15" customHeight="1">
      <c r="A69" s="3" t="n"/>
      <c r="B69" s="3" t="inlineStr">
        <is>
          <t>META</t>
        </is>
      </c>
      <c r="C69" s="107" t="inlineStr">
        <is>
          <t>2021-01-01</t>
        </is>
      </c>
      <c r="D69" s="107" t="inlineStr">
        <is>
          <t>2021-12-31</t>
        </is>
      </c>
      <c r="E69" s="269" t="n">
        <v>18.69</v>
      </c>
      <c r="F69" s="107" t="inlineStr">
        <is>
          <t>2024-02-02</t>
        </is>
      </c>
      <c r="G69" s="3" t="inlineStr">
        <is>
          <t>0001326801-24-000012</t>
        </is>
      </c>
      <c r="H69" s="3" t="n"/>
      <c r="I69" s="3" t="inlineStr">
        <is>
          <t>S070</t>
        </is>
      </c>
      <c r="J69" s="3" t="n"/>
      <c r="K69" s="3" t="n"/>
      <c r="L69" s="3" t="n"/>
      <c r="M69" s="3" t="n"/>
      <c r="N69" s="3" t="n"/>
      <c r="O69" s="3" t="n"/>
    </row>
    <row r="70" ht="15" customHeight="1">
      <c r="A70" s="3" t="n"/>
      <c r="B70" s="3" t="inlineStr">
        <is>
          <t>MSFT</t>
        </is>
      </c>
      <c r="C70" s="107" t="inlineStr">
        <is>
          <t>2020-07-01</t>
        </is>
      </c>
      <c r="D70" s="107" t="inlineStr">
        <is>
          <t>2021-06-30</t>
        </is>
      </c>
      <c r="E70" s="269" t="n">
        <v>20.622</v>
      </c>
      <c r="F70" s="107" t="inlineStr">
        <is>
          <t>2023-07-27</t>
        </is>
      </c>
      <c r="G70" s="3" t="inlineStr">
        <is>
          <t>0000950170-23-035122</t>
        </is>
      </c>
      <c r="H70" s="3" t="n"/>
      <c r="I70" s="3" t="inlineStr">
        <is>
          <t>S071</t>
        </is>
      </c>
      <c r="J70" s="3" t="n"/>
      <c r="K70" s="3" t="n"/>
      <c r="L70" s="3" t="n"/>
      <c r="M70" s="3" t="n"/>
      <c r="N70" s="3" t="n"/>
      <c r="O70" s="3" t="n"/>
    </row>
    <row r="71" ht="15" customHeight="1">
      <c r="A71" s="3" t="n"/>
      <c r="B71" s="3" t="inlineStr">
        <is>
          <t>MSFT</t>
        </is>
      </c>
      <c r="C71" s="107" t="inlineStr">
        <is>
          <t>2021-07-01</t>
        </is>
      </c>
      <c r="D71" s="107" t="inlineStr">
        <is>
          <t>2021-12-31</t>
        </is>
      </c>
      <c r="E71" s="269" t="n">
        <v>11.675</v>
      </c>
      <c r="F71" s="107" t="inlineStr">
        <is>
          <t>2023-01-24</t>
        </is>
      </c>
      <c r="G71" s="3" t="inlineStr">
        <is>
          <t>0001564590-23-000733</t>
        </is>
      </c>
      <c r="H71" s="3" t="n"/>
      <c r="I71" s="3" t="inlineStr">
        <is>
          <t>S071</t>
        </is>
      </c>
      <c r="J71" s="3" t="n"/>
      <c r="K71" s="3" t="n"/>
      <c r="L71" s="3" t="n"/>
      <c r="M71" s="3" t="n"/>
      <c r="N71" s="3" t="n"/>
      <c r="O71" s="3" t="n"/>
    </row>
    <row r="72" ht="15" customHeight="1">
      <c r="A72" s="3" t="n"/>
      <c r="B72" s="3" t="inlineStr">
        <is>
          <t>MSFT</t>
        </is>
      </c>
      <c r="C72" s="107" t="inlineStr">
        <is>
          <t>2020-07-01</t>
        </is>
      </c>
      <c r="D72" s="107" t="inlineStr">
        <is>
          <t>2020-12-31</t>
        </is>
      </c>
      <c r="E72" s="269" t="n">
        <v>9.081</v>
      </c>
      <c r="F72" s="107" t="inlineStr">
        <is>
          <t>2022-01-25</t>
        </is>
      </c>
      <c r="G72" s="3" t="inlineStr">
        <is>
          <t>0001564590-22-002324</t>
        </is>
      </c>
      <c r="H72" s="3" t="n"/>
      <c r="I72" s="3" t="inlineStr">
        <is>
          <t>S071</t>
        </is>
      </c>
      <c r="J72" s="3" t="n"/>
      <c r="K72" s="3" t="n"/>
      <c r="L72" s="3" t="n"/>
      <c r="M72" s="3" t="n"/>
      <c r="N72" s="3" t="n"/>
      <c r="O72" s="3" t="n"/>
    </row>
    <row r="73" ht="15" customHeight="1">
      <c r="A73" s="3" t="n"/>
      <c r="B73" s="3" t="inlineStr">
        <is>
          <t>AMZN</t>
        </is>
      </c>
      <c r="C73" s="107" t="inlineStr">
        <is>
          <t>2022-01-01</t>
        </is>
      </c>
      <c r="D73" s="107" t="inlineStr">
        <is>
          <t>2022-12-31</t>
        </is>
      </c>
      <c r="E73" s="269" t="n">
        <v>63.645</v>
      </c>
      <c r="F73" s="107" t="n"/>
      <c r="G73" s="3" t="inlineStr">
        <is>
          <t>See 10-K cash flow table</t>
        </is>
      </c>
      <c r="H73" s="3" t="n"/>
      <c r="I73" s="3" t="inlineStr">
        <is>
          <t>S073</t>
        </is>
      </c>
      <c r="J73" s="3" t="n"/>
      <c r="K73" s="3" t="n"/>
      <c r="L73" s="3" t="n"/>
      <c r="M73" s="3" t="n"/>
      <c r="N73" s="3" t="n"/>
      <c r="O73" s="3" t="n"/>
    </row>
    <row r="74" ht="15" customHeight="1">
      <c r="A74" s="3" t="n"/>
      <c r="B74" s="3" t="inlineStr">
        <is>
          <t>GOOG</t>
        </is>
      </c>
      <c r="C74" s="107" t="inlineStr">
        <is>
          <t>2022-01-01</t>
        </is>
      </c>
      <c r="D74" s="107" t="inlineStr">
        <is>
          <t>2022-12-31</t>
        </is>
      </c>
      <c r="E74" s="269" t="n">
        <v>31.485</v>
      </c>
      <c r="F74" s="107" t="inlineStr">
        <is>
          <t>2025-02-05</t>
        </is>
      </c>
      <c r="G74" s="3" t="inlineStr">
        <is>
          <t>0001652044-25-000014</t>
        </is>
      </c>
      <c r="H74" s="3" t="n"/>
      <c r="I74" s="3" t="inlineStr">
        <is>
          <t>S069</t>
        </is>
      </c>
      <c r="J74" s="3" t="n"/>
      <c r="K74" s="3" t="n"/>
      <c r="L74" s="3" t="n"/>
      <c r="M74" s="3" t="n"/>
      <c r="N74" s="3" t="n"/>
      <c r="O74" s="3" t="n"/>
    </row>
    <row r="75" ht="15" customHeight="1">
      <c r="A75" s="3" t="n"/>
      <c r="B75" s="3" t="inlineStr">
        <is>
          <t>META</t>
        </is>
      </c>
      <c r="C75" s="107" t="inlineStr">
        <is>
          <t>2022-01-01</t>
        </is>
      </c>
      <c r="D75" s="107" t="inlineStr">
        <is>
          <t>2022-12-31</t>
        </is>
      </c>
      <c r="E75" s="269" t="n">
        <v>31.186</v>
      </c>
      <c r="F75" s="107" t="inlineStr">
        <is>
          <t>2025-01-30</t>
        </is>
      </c>
      <c r="G75" s="3" t="inlineStr">
        <is>
          <t>0001326801-25-000017</t>
        </is>
      </c>
      <c r="H75" s="3" t="n"/>
      <c r="I75" s="3" t="inlineStr">
        <is>
          <t>S070</t>
        </is>
      </c>
      <c r="J75" s="3" t="n"/>
      <c r="K75" s="3" t="n"/>
      <c r="L75" s="3" t="n"/>
      <c r="M75" s="3" t="n"/>
      <c r="N75" s="3" t="n"/>
      <c r="O75" s="3" t="n"/>
    </row>
    <row r="76" ht="15" customHeight="1">
      <c r="A76" s="3" t="n"/>
      <c r="B76" s="3" t="inlineStr">
        <is>
          <t>MSFT</t>
        </is>
      </c>
      <c r="C76" s="107" t="inlineStr">
        <is>
          <t>2021-07-01</t>
        </is>
      </c>
      <c r="D76" s="107" t="inlineStr">
        <is>
          <t>2022-06-30</t>
        </is>
      </c>
      <c r="E76" s="269" t="n">
        <v>23.886</v>
      </c>
      <c r="F76" s="107" t="inlineStr">
        <is>
          <t>2024-12-03</t>
        </is>
      </c>
      <c r="G76" s="3" t="inlineStr">
        <is>
          <t>0000950170-24-132722</t>
        </is>
      </c>
      <c r="H76" s="3" t="n"/>
      <c r="I76" s="3" t="inlineStr">
        <is>
          <t>S071</t>
        </is>
      </c>
      <c r="J76" s="3" t="n"/>
      <c r="K76" s="3" t="n"/>
      <c r="L76" s="3" t="n"/>
      <c r="M76" s="3" t="n"/>
      <c r="N76" s="3" t="n"/>
      <c r="O76" s="3" t="n"/>
    </row>
    <row r="77" ht="15" customHeight="1">
      <c r="A77" s="3" t="n"/>
      <c r="B77" s="3" t="inlineStr">
        <is>
          <t>MSFT</t>
        </is>
      </c>
      <c r="C77" s="107" t="inlineStr">
        <is>
          <t>2022-07-01</t>
        </is>
      </c>
      <c r="D77" s="107" t="inlineStr">
        <is>
          <t>2022-12-31</t>
        </is>
      </c>
      <c r="E77" s="269" t="n">
        <v>12.557</v>
      </c>
      <c r="F77" s="107" t="inlineStr">
        <is>
          <t>2024-01-30</t>
        </is>
      </c>
      <c r="G77" s="3" t="inlineStr">
        <is>
          <t>0000950170-24-008814</t>
        </is>
      </c>
      <c r="H77" s="3" t="n"/>
      <c r="I77" s="3" t="inlineStr">
        <is>
          <t>S071</t>
        </is>
      </c>
      <c r="J77" s="3" t="n"/>
      <c r="K77" s="3" t="n"/>
      <c r="L77" s="3" t="n"/>
      <c r="M77" s="3" t="n"/>
      <c r="N77" s="3" t="n"/>
      <c r="O77" s="3" t="n"/>
    </row>
    <row r="78" ht="15" customHeight="1">
      <c r="A78" s="3" t="n"/>
      <c r="B78" s="3" t="inlineStr">
        <is>
          <t>MSFT</t>
        </is>
      </c>
      <c r="C78" s="107" t="inlineStr">
        <is>
          <t>2021-07-01</t>
        </is>
      </c>
      <c r="D78" s="107" t="inlineStr">
        <is>
          <t>2021-12-31</t>
        </is>
      </c>
      <c r="E78" s="269" t="n">
        <v>11.675</v>
      </c>
      <c r="F78" s="107" t="inlineStr">
        <is>
          <t>2023-01-24</t>
        </is>
      </c>
      <c r="G78" s="3" t="inlineStr">
        <is>
          <t>0001564590-23-000733</t>
        </is>
      </c>
      <c r="H78" s="3" t="n"/>
      <c r="I78" s="3" t="inlineStr">
        <is>
          <t>S071</t>
        </is>
      </c>
      <c r="J78" s="3" t="n"/>
      <c r="K78" s="3" t="n"/>
      <c r="L78" s="3" t="n"/>
      <c r="M78" s="3" t="n"/>
      <c r="N78" s="3" t="n"/>
      <c r="O78" s="3" t="n"/>
    </row>
    <row r="79" ht="15" customHeight="1">
      <c r="A79" s="3" t="n"/>
      <c r="B79" s="3" t="inlineStr">
        <is>
          <t>AMZN</t>
        </is>
      </c>
      <c r="C79" s="107" t="inlineStr">
        <is>
          <t>2023-01-01</t>
        </is>
      </c>
      <c r="D79" s="107" t="inlineStr">
        <is>
          <t>2023-12-31</t>
        </is>
      </c>
      <c r="E79" s="269" t="n">
        <v>52.729</v>
      </c>
      <c r="F79" s="107" t="n"/>
      <c r="G79" s="3" t="inlineStr">
        <is>
          <t>See 10-K cash flow table</t>
        </is>
      </c>
      <c r="H79" s="3" t="n"/>
      <c r="I79" s="3" t="inlineStr">
        <is>
          <t>S074</t>
        </is>
      </c>
      <c r="J79" s="3" t="n"/>
      <c r="K79" s="3" t="n"/>
      <c r="L79" s="3" t="n"/>
      <c r="M79" s="3" t="n"/>
      <c r="N79" s="3" t="n"/>
      <c r="O79" s="3" t="n"/>
    </row>
    <row r="80" ht="15" customHeight="1">
      <c r="A80" s="3" t="n"/>
      <c r="B80" s="3" t="inlineStr">
        <is>
          <t>GOOG</t>
        </is>
      </c>
      <c r="C80" s="107" t="inlineStr">
        <is>
          <t>2023-01-01</t>
        </is>
      </c>
      <c r="D80" s="107" t="inlineStr">
        <is>
          <t>2023-12-31</t>
        </is>
      </c>
      <c r="E80" s="269" t="n">
        <v>32.251</v>
      </c>
      <c r="F80" s="107" t="inlineStr">
        <is>
          <t>2026-02-05</t>
        </is>
      </c>
      <c r="G80" s="3" t="inlineStr">
        <is>
          <t>0001652044-26-000018</t>
        </is>
      </c>
      <c r="H80" s="3" t="n"/>
      <c r="I80" s="3" t="inlineStr">
        <is>
          <t>S069</t>
        </is>
      </c>
      <c r="J80" s="3" t="n"/>
      <c r="K80" s="3" t="n"/>
      <c r="L80" s="3" t="n"/>
      <c r="M80" s="3" t="n"/>
      <c r="N80" s="3" t="n"/>
      <c r="O80" s="3" t="n"/>
    </row>
    <row r="81" ht="15" customHeight="1">
      <c r="A81" s="3" t="n"/>
      <c r="B81" s="3" t="inlineStr">
        <is>
          <t>META</t>
        </is>
      </c>
      <c r="C81" s="107" t="inlineStr">
        <is>
          <t>2023-01-01</t>
        </is>
      </c>
      <c r="D81" s="107" t="inlineStr">
        <is>
          <t>2023-12-31</t>
        </is>
      </c>
      <c r="E81" s="269" t="n">
        <v>27.045</v>
      </c>
      <c r="F81" s="107" t="inlineStr">
        <is>
          <t>2026-01-29</t>
        </is>
      </c>
      <c r="G81" s="3" t="inlineStr">
        <is>
          <t>0001628280-26-003942</t>
        </is>
      </c>
      <c r="H81" s="3" t="n"/>
      <c r="I81" s="3" t="inlineStr">
        <is>
          <t>S070</t>
        </is>
      </c>
      <c r="J81" s="3" t="n"/>
      <c r="K81" s="3" t="n"/>
      <c r="L81" s="3" t="n"/>
      <c r="M81" s="3" t="n"/>
      <c r="N81" s="3" t="n"/>
      <c r="O81" s="3" t="n"/>
    </row>
    <row r="82" ht="15" customHeight="1">
      <c r="A82" s="3" t="n"/>
      <c r="B82" s="3" t="inlineStr">
        <is>
          <t>MSFT</t>
        </is>
      </c>
      <c r="C82" s="107" t="inlineStr">
        <is>
          <t>2022-07-01</t>
        </is>
      </c>
      <c r="D82" s="107" t="inlineStr">
        <is>
          <t>2023-06-30</t>
        </is>
      </c>
      <c r="E82" s="269" t="n">
        <v>28.107</v>
      </c>
      <c r="F82" s="107" t="inlineStr">
        <is>
          <t>2025-07-30</t>
        </is>
      </c>
      <c r="G82" s="3" t="inlineStr">
        <is>
          <t>0000950170-25-100235</t>
        </is>
      </c>
      <c r="H82" s="3" t="n"/>
      <c r="I82" s="3" t="inlineStr">
        <is>
          <t>S071</t>
        </is>
      </c>
      <c r="J82" s="3" t="n"/>
      <c r="K82" s="3" t="n"/>
      <c r="L82" s="3" t="n"/>
      <c r="M82" s="3" t="n"/>
      <c r="N82" s="3" t="n"/>
      <c r="O82" s="3" t="n"/>
    </row>
    <row r="83" ht="15" customHeight="1">
      <c r="A83" s="3" t="n"/>
      <c r="B83" s="3" t="inlineStr">
        <is>
          <t>MSFT</t>
        </is>
      </c>
      <c r="C83" s="107" t="inlineStr">
        <is>
          <t>2023-07-01</t>
        </is>
      </c>
      <c r="D83" s="107" t="inlineStr">
        <is>
          <t>2023-12-31</t>
        </is>
      </c>
      <c r="E83" s="269" t="n">
        <v>19.652</v>
      </c>
      <c r="F83" s="107" t="inlineStr">
        <is>
          <t>2025-01-29</t>
        </is>
      </c>
      <c r="G83" s="3" t="inlineStr">
        <is>
          <t>0000950170-25-010491</t>
        </is>
      </c>
      <c r="H83" s="3" t="n"/>
      <c r="I83" s="3" t="inlineStr">
        <is>
          <t>S071</t>
        </is>
      </c>
      <c r="J83" s="3" t="n"/>
      <c r="K83" s="3" t="n"/>
      <c r="L83" s="3" t="n"/>
      <c r="M83" s="3" t="n"/>
      <c r="N83" s="3" t="n"/>
      <c r="O83" s="3" t="n"/>
    </row>
    <row r="84" ht="15" customHeight="1">
      <c r="A84" s="3" t="n"/>
      <c r="B84" s="3" t="inlineStr">
        <is>
          <t>MSFT</t>
        </is>
      </c>
      <c r="C84" s="107" t="inlineStr">
        <is>
          <t>2022-07-01</t>
        </is>
      </c>
      <c r="D84" s="107" t="inlineStr">
        <is>
          <t>2022-12-31</t>
        </is>
      </c>
      <c r="E84" s="269" t="n">
        <v>12.557</v>
      </c>
      <c r="F84" s="107" t="inlineStr">
        <is>
          <t>2024-01-30</t>
        </is>
      </c>
      <c r="G84" s="3" t="inlineStr">
        <is>
          <t>0000950170-24-008814</t>
        </is>
      </c>
      <c r="H84" s="3" t="n"/>
      <c r="I84" s="3" t="inlineStr">
        <is>
          <t>S071</t>
        </is>
      </c>
      <c r="J84" s="3" t="n"/>
      <c r="K84" s="3" t="n"/>
      <c r="L84" s="3" t="n"/>
      <c r="M84" s="3" t="n"/>
      <c r="N84" s="3" t="n"/>
      <c r="O84" s="3" t="n"/>
    </row>
    <row r="85" ht="15" customHeight="1">
      <c r="A85" s="3" t="n"/>
      <c r="B85" s="3" t="inlineStr">
        <is>
          <t>AMZN</t>
        </is>
      </c>
      <c r="C85" s="107" t="inlineStr">
        <is>
          <t>2024-01-01</t>
        </is>
      </c>
      <c r="D85" s="107" t="inlineStr">
        <is>
          <t>2024-12-31</t>
        </is>
      </c>
      <c r="E85" s="269" t="n">
        <v>82.999</v>
      </c>
      <c r="F85" s="107" t="n"/>
      <c r="G85" s="3" t="inlineStr">
        <is>
          <t>See 10-K cash flow table</t>
        </is>
      </c>
      <c r="H85" s="3" t="n"/>
      <c r="I85" s="3" t="inlineStr">
        <is>
          <t>S074</t>
        </is>
      </c>
      <c r="J85" s="3" t="n"/>
      <c r="K85" s="3" t="n"/>
      <c r="L85" s="3" t="n"/>
      <c r="M85" s="3" t="n"/>
      <c r="N85" s="3" t="n"/>
      <c r="O85" s="3" t="n"/>
    </row>
    <row r="86" ht="15" customHeight="1">
      <c r="A86" s="3" t="n"/>
      <c r="B86" s="3" t="inlineStr">
        <is>
          <t>GOOG</t>
        </is>
      </c>
      <c r="C86" s="107" t="inlineStr">
        <is>
          <t>2024-01-01</t>
        </is>
      </c>
      <c r="D86" s="107" t="inlineStr">
        <is>
          <t>2024-12-31</t>
        </is>
      </c>
      <c r="E86" s="269" t="n">
        <v>52.535</v>
      </c>
      <c r="F86" s="107" t="inlineStr">
        <is>
          <t>2026-02-05</t>
        </is>
      </c>
      <c r="G86" s="3" t="inlineStr">
        <is>
          <t>0001652044-26-000018</t>
        </is>
      </c>
      <c r="H86" s="3" t="n"/>
      <c r="I86" s="3" t="inlineStr">
        <is>
          <t>S069</t>
        </is>
      </c>
      <c r="J86" s="3" t="n"/>
      <c r="K86" s="3" t="n"/>
      <c r="L86" s="3" t="n"/>
      <c r="M86" s="3" t="n"/>
      <c r="N86" s="3" t="n"/>
      <c r="O86" s="3" t="n"/>
    </row>
    <row r="87" ht="15" customHeight="1">
      <c r="A87" s="3" t="n"/>
      <c r="B87" s="3" t="inlineStr">
        <is>
          <t>META</t>
        </is>
      </c>
      <c r="C87" s="107" t="inlineStr">
        <is>
          <t>2024-01-01</t>
        </is>
      </c>
      <c r="D87" s="107" t="inlineStr">
        <is>
          <t>2024-12-31</t>
        </is>
      </c>
      <c r="E87" s="269" t="n">
        <v>37.256</v>
      </c>
      <c r="F87" s="107" t="inlineStr">
        <is>
          <t>2026-01-29</t>
        </is>
      </c>
      <c r="G87" s="3" t="inlineStr">
        <is>
          <t>0001628280-26-003942</t>
        </is>
      </c>
      <c r="H87" s="3" t="n"/>
      <c r="I87" s="3" t="inlineStr">
        <is>
          <t>S070</t>
        </is>
      </c>
      <c r="J87" s="3" t="n"/>
      <c r="K87" s="3" t="n"/>
      <c r="L87" s="3" t="n"/>
      <c r="M87" s="3" t="n"/>
      <c r="N87" s="3" t="n"/>
      <c r="O87" s="3" t="n"/>
    </row>
    <row r="88" ht="15" customHeight="1">
      <c r="A88" s="3" t="n"/>
      <c r="B88" s="3" t="inlineStr">
        <is>
          <t>MSFT</t>
        </is>
      </c>
      <c r="C88" s="107" t="inlineStr">
        <is>
          <t>2023-07-01</t>
        </is>
      </c>
      <c r="D88" s="107" t="inlineStr">
        <is>
          <t>2024-06-30</t>
        </is>
      </c>
      <c r="E88" s="269" t="n">
        <v>44.477</v>
      </c>
      <c r="F88" s="107" t="inlineStr">
        <is>
          <t>2026-07-29</t>
        </is>
      </c>
      <c r="G88" s="3" t="inlineStr">
        <is>
          <t>0001193125-26-323660</t>
        </is>
      </c>
      <c r="H88" s="3" t="n"/>
      <c r="I88" s="3" t="inlineStr">
        <is>
          <t>S071</t>
        </is>
      </c>
      <c r="J88" s="3" t="n"/>
      <c r="K88" s="3" t="n"/>
      <c r="L88" s="3" t="n"/>
      <c r="M88" s="3" t="n"/>
      <c r="N88" s="3" t="n"/>
      <c r="O88" s="3" t="n"/>
    </row>
    <row r="89" ht="15" customHeight="1">
      <c r="A89" s="3" t="n"/>
      <c r="B89" s="3" t="inlineStr">
        <is>
          <t>MSFT</t>
        </is>
      </c>
      <c r="C89" s="107" t="inlineStr">
        <is>
          <t>2024-07-01</t>
        </is>
      </c>
      <c r="D89" s="107" t="inlineStr">
        <is>
          <t>2024-12-31</t>
        </is>
      </c>
      <c r="E89" s="269" t="n">
        <v>30.727</v>
      </c>
      <c r="F89" s="107" t="inlineStr">
        <is>
          <t>2026-01-28</t>
        </is>
      </c>
      <c r="G89" s="3" t="inlineStr">
        <is>
          <t>0001193125-26-027207</t>
        </is>
      </c>
      <c r="H89" s="3" t="n"/>
      <c r="I89" s="3" t="inlineStr">
        <is>
          <t>S071</t>
        </is>
      </c>
      <c r="J89" s="3" t="n"/>
      <c r="K89" s="3" t="n"/>
      <c r="L89" s="3" t="n"/>
      <c r="M89" s="3" t="n"/>
      <c r="N89" s="3" t="n"/>
      <c r="O89" s="3" t="n"/>
    </row>
    <row r="90" ht="15" customHeight="1">
      <c r="A90" s="3" t="n"/>
      <c r="B90" s="3" t="inlineStr">
        <is>
          <t>MSFT</t>
        </is>
      </c>
      <c r="C90" s="107" t="inlineStr">
        <is>
          <t>2023-07-01</t>
        </is>
      </c>
      <c r="D90" s="107" t="inlineStr">
        <is>
          <t>2023-12-31</t>
        </is>
      </c>
      <c r="E90" s="269" t="n">
        <v>19.652</v>
      </c>
      <c r="F90" s="107" t="inlineStr">
        <is>
          <t>2025-01-29</t>
        </is>
      </c>
      <c r="G90" s="3" t="inlineStr">
        <is>
          <t>0000950170-25-010491</t>
        </is>
      </c>
      <c r="H90" s="3" t="n"/>
      <c r="I90" s="3" t="inlineStr">
        <is>
          <t>S071</t>
        </is>
      </c>
      <c r="J90" s="3" t="n"/>
      <c r="K90" s="3" t="n"/>
      <c r="L90" s="3" t="n"/>
      <c r="M90" s="3" t="n"/>
      <c r="N90" s="3" t="n"/>
      <c r="O90" s="3" t="n"/>
    </row>
    <row r="91" ht="15" customHeight="1">
      <c r="A91" s="3" t="n"/>
      <c r="B91" s="3" t="inlineStr">
        <is>
          <t>AMZN</t>
        </is>
      </c>
      <c r="C91" s="107" t="inlineStr">
        <is>
          <t>2025-01-01</t>
        </is>
      </c>
      <c r="D91" s="107" t="inlineStr">
        <is>
          <t>2025-12-31</t>
        </is>
      </c>
      <c r="E91" s="269" t="n">
        <v>131.819</v>
      </c>
      <c r="F91" s="107" t="n"/>
      <c r="G91" s="3" t="inlineStr">
        <is>
          <t>See 10-K cash flow table</t>
        </is>
      </c>
      <c r="H91" s="3" t="n"/>
      <c r="I91" s="3" t="inlineStr">
        <is>
          <t>S074</t>
        </is>
      </c>
      <c r="J91" s="3" t="n"/>
      <c r="K91" s="3" t="n"/>
      <c r="L91" s="3" t="n"/>
      <c r="M91" s="3" t="n"/>
      <c r="N91" s="3" t="n"/>
      <c r="O91" s="3" t="n"/>
    </row>
    <row r="92" ht="15" customHeight="1">
      <c r="A92" s="3" t="n"/>
      <c r="B92" s="3" t="inlineStr">
        <is>
          <t>GOOG</t>
        </is>
      </c>
      <c r="C92" s="107" t="inlineStr">
        <is>
          <t>2025-01-01</t>
        </is>
      </c>
      <c r="D92" s="107" t="inlineStr">
        <is>
          <t>2025-12-31</t>
        </is>
      </c>
      <c r="E92" s="269" t="n">
        <v>91.447</v>
      </c>
      <c r="F92" s="107" t="inlineStr">
        <is>
          <t>2026-02-05</t>
        </is>
      </c>
      <c r="G92" s="3" t="inlineStr">
        <is>
          <t>0001652044-26-000018</t>
        </is>
      </c>
      <c r="H92" s="3" t="n"/>
      <c r="I92" s="3" t="inlineStr">
        <is>
          <t>S069</t>
        </is>
      </c>
      <c r="J92" s="3" t="n"/>
      <c r="K92" s="3" t="n"/>
      <c r="L92" s="3" t="n"/>
      <c r="M92" s="3" t="n"/>
      <c r="N92" s="3" t="n"/>
      <c r="O92" s="3" t="n"/>
    </row>
    <row r="93" ht="15" customHeight="1">
      <c r="A93" s="3" t="n"/>
      <c r="B93" s="3" t="inlineStr">
        <is>
          <t>META</t>
        </is>
      </c>
      <c r="C93" s="107" t="inlineStr">
        <is>
          <t>2025-01-01</t>
        </is>
      </c>
      <c r="D93" s="107" t="inlineStr">
        <is>
          <t>2025-12-31</t>
        </is>
      </c>
      <c r="E93" s="269" t="n">
        <v>69.691</v>
      </c>
      <c r="F93" s="107" t="inlineStr">
        <is>
          <t>2026-01-29</t>
        </is>
      </c>
      <c r="G93" s="3" t="inlineStr">
        <is>
          <t>0001628280-26-003942</t>
        </is>
      </c>
      <c r="H93" s="3" t="n"/>
      <c r="I93" s="3" t="inlineStr">
        <is>
          <t>S070</t>
        </is>
      </c>
      <c r="J93" s="3" t="n"/>
      <c r="K93" s="3" t="n"/>
      <c r="L93" s="3" t="n"/>
      <c r="M93" s="3" t="n"/>
      <c r="N93" s="3" t="n"/>
      <c r="O93" s="3" t="n"/>
    </row>
    <row r="94" ht="15" customHeight="1">
      <c r="A94" s="3" t="n"/>
      <c r="B94" s="3" t="inlineStr">
        <is>
          <t>MSFT</t>
        </is>
      </c>
      <c r="C94" s="107" t="inlineStr">
        <is>
          <t>2024-07-01</t>
        </is>
      </c>
      <c r="D94" s="107" t="inlineStr">
        <is>
          <t>2025-06-30</t>
        </is>
      </c>
      <c r="E94" s="269" t="n">
        <v>64.551</v>
      </c>
      <c r="F94" s="107" t="inlineStr">
        <is>
          <t>2026-07-29</t>
        </is>
      </c>
      <c r="G94" s="3" t="inlineStr">
        <is>
          <t>0001193125-26-323660</t>
        </is>
      </c>
      <c r="H94" s="3" t="n"/>
      <c r="I94" s="3" t="inlineStr">
        <is>
          <t>S071</t>
        </is>
      </c>
      <c r="J94" s="3" t="n"/>
      <c r="K94" s="3" t="n"/>
      <c r="L94" s="3" t="n"/>
      <c r="M94" s="3" t="n"/>
      <c r="N94" s="3" t="n"/>
      <c r="O94" s="3" t="n"/>
    </row>
    <row r="95" ht="15" customHeight="1">
      <c r="A95" s="3" t="n"/>
      <c r="B95" s="3" t="inlineStr">
        <is>
          <t>MSFT</t>
        </is>
      </c>
      <c r="C95" s="107" t="inlineStr">
        <is>
          <t>2025-07-01</t>
        </is>
      </c>
      <c r="D95" s="107" t="inlineStr">
        <is>
          <t>2025-12-31</t>
        </is>
      </c>
      <c r="E95" s="269" t="n">
        <v>49.27</v>
      </c>
      <c r="F95" s="107" t="inlineStr">
        <is>
          <t>2026-01-28</t>
        </is>
      </c>
      <c r="G95" s="3" t="inlineStr">
        <is>
          <t>0001193125-26-027207</t>
        </is>
      </c>
      <c r="H95" s="3" t="n"/>
      <c r="I95" s="3" t="inlineStr">
        <is>
          <t>S071</t>
        </is>
      </c>
      <c r="J95" s="3" t="n"/>
      <c r="K95" s="3" t="n"/>
      <c r="L95" s="3" t="n"/>
      <c r="M95" s="3" t="n"/>
      <c r="N95" s="3" t="n"/>
      <c r="O95" s="3" t="n"/>
    </row>
    <row r="96" ht="15" customHeight="1">
      <c r="A96" s="3" t="n"/>
      <c r="B96" s="3" t="inlineStr">
        <is>
          <t>MSFT</t>
        </is>
      </c>
      <c r="C96" s="107" t="inlineStr">
        <is>
          <t>2024-07-01</t>
        </is>
      </c>
      <c r="D96" s="107" t="inlineStr">
        <is>
          <t>2024-12-31</t>
        </is>
      </c>
      <c r="E96" s="269" t="n">
        <v>30.727</v>
      </c>
      <c r="F96" s="107" t="inlineStr">
        <is>
          <t>2026-01-28</t>
        </is>
      </c>
      <c r="G96" s="3" t="inlineStr">
        <is>
          <t>0001193125-26-027207</t>
        </is>
      </c>
      <c r="H96" s="3" t="n"/>
      <c r="I96" s="3" t="inlineStr">
        <is>
          <t>S071</t>
        </is>
      </c>
      <c r="J96" s="3" t="n"/>
      <c r="K96" s="3" t="n"/>
      <c r="L96" s="3" t="n"/>
      <c r="M96" s="3" t="n"/>
      <c r="N96" s="3" t="n"/>
      <c r="O96" s="3" t="n"/>
    </row>
  </sheetData>
  <pageMargins left="0.75" right="0.75" top="1" bottom="1" header="0.5" footer="0.5"/>
  <pageSetup orientation="portrait" horizontalDpi="0" verticalDpi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ColWidth="8.85546875" defaultRowHeight="15"/>
  <cols>
    <col width="2.7109375" customWidth="1" min="1" max="1"/>
    <col width="34" customWidth="1" min="2" max="2"/>
    <col width="12" customWidth="1" min="3" max="11"/>
    <col width="9.140625" customWidth="1" min="12" max="12"/>
  </cols>
  <sheetData>
    <row r="1" ht="18.95" customHeight="1">
      <c r="A1" s="3" t="n"/>
      <c r="B1" s="30" t="inlineStr">
        <is>
          <t>FTAI Aviation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8.95" customHeight="1">
      <c r="A2" s="3" t="n"/>
      <c r="B2" s="30" t="inlineStr">
        <is>
          <t>NERC 2025 LTRA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15" customHeight="1">
      <c r="A3" s="3" t="n"/>
      <c r="B3" s="232" t="inlineStr">
        <is>
          <t>(MW, except percentages)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15" customHeight="1">
      <c r="A4" s="3" t="n"/>
      <c r="B4" s="150" t="inlineStr">
        <is>
          <t>Regional Inputs</t>
        </is>
      </c>
      <c r="C4" s="150" t="n"/>
      <c r="D4" s="150" t="n"/>
      <c r="E4" s="150" t="n"/>
      <c r="F4" s="150" t="n"/>
      <c r="G4" s="150" t="n"/>
      <c r="H4" s="150" t="n"/>
      <c r="I4" s="150" t="n"/>
      <c r="J4" s="150" t="n"/>
      <c r="K4" s="150" t="n"/>
      <c r="L4" s="150" t="n"/>
    </row>
    <row r="5" ht="15" customHeight="1">
      <c r="A5" s="3" t="n"/>
      <c r="B5" s="152" t="inlineStr">
        <is>
          <t>Region</t>
        </is>
      </c>
      <c r="C5" s="153" t="inlineStr">
        <is>
          <t>Year</t>
        </is>
      </c>
      <c r="D5" s="153" t="inlineStr">
        <is>
          <t>Season</t>
        </is>
      </c>
      <c r="E5" s="153" t="inlineStr">
        <is>
          <t>Peak Demand</t>
        </is>
      </c>
      <c r="F5" s="153" t="inlineStr">
        <is>
          <t>Ant. Margin</t>
        </is>
      </c>
      <c r="G5" s="153" t="inlineStr">
        <is>
          <t>Pros. Margin</t>
        </is>
      </c>
      <c r="H5" s="153" t="inlineStr">
        <is>
          <t>Reserve (%)</t>
        </is>
      </c>
      <c r="I5" s="153" t="inlineStr">
        <is>
          <t>Tier 1</t>
        </is>
      </c>
      <c r="J5" s="153" t="inlineStr">
        <is>
          <t>Tier 2</t>
        </is>
      </c>
      <c r="K5" s="153" t="inlineStr">
        <is>
          <t>PDF Page</t>
        </is>
      </c>
      <c r="L5" s="153" t="inlineStr">
        <is>
          <t>Source</t>
        </is>
      </c>
    </row>
    <row r="6" ht="15" customHeight="1">
      <c r="A6" s="3" t="n"/>
      <c r="B6" s="3" t="inlineStr">
        <is>
          <t>MISO</t>
        </is>
      </c>
      <c r="C6" s="161" t="n">
        <v>2026</v>
      </c>
      <c r="D6" s="107" t="inlineStr">
        <is>
          <t>Summer</t>
        </is>
      </c>
      <c r="E6" s="164" t="n">
        <v>118791</v>
      </c>
      <c r="F6" s="158" t="n">
        <v>0.11</v>
      </c>
      <c r="G6" s="158" t="n">
        <v>0.13</v>
      </c>
      <c r="H6" s="158" t="n">
        <v>0.081</v>
      </c>
      <c r="I6" s="164" t="n">
        <v>5576</v>
      </c>
      <c r="J6" s="164" t="n">
        <v>2403</v>
      </c>
      <c r="K6" s="164" t="n">
        <v>42</v>
      </c>
      <c r="L6" s="3" t="inlineStr">
        <is>
          <t>S075</t>
        </is>
      </c>
    </row>
    <row r="7" ht="15" customHeight="1">
      <c r="A7" s="3" t="n"/>
      <c r="B7" s="3" t="inlineStr">
        <is>
          <t>MISO</t>
        </is>
      </c>
      <c r="C7" s="161" t="n">
        <v>2027</v>
      </c>
      <c r="D7" s="107" t="inlineStr">
        <is>
          <t>Summer</t>
        </is>
      </c>
      <c r="E7" s="164" t="n">
        <v>122827</v>
      </c>
      <c r="F7" s="158" t="n">
        <v>0.112</v>
      </c>
      <c r="G7" s="158" t="n">
        <v>0.166</v>
      </c>
      <c r="H7" s="158" t="n">
        <v>0.083</v>
      </c>
      <c r="I7" s="164" t="n">
        <v>13339</v>
      </c>
      <c r="J7" s="164" t="n">
        <v>6723</v>
      </c>
      <c r="K7" s="164" t="n">
        <v>42</v>
      </c>
      <c r="L7" s="3" t="inlineStr">
        <is>
          <t>S075</t>
        </is>
      </c>
    </row>
    <row r="8" ht="15" customHeight="1">
      <c r="A8" s="3" t="n"/>
      <c r="B8" s="3" t="inlineStr">
        <is>
          <t>MISO</t>
        </is>
      </c>
      <c r="C8" s="161" t="n">
        <v>2028</v>
      </c>
      <c r="D8" s="107" t="inlineStr">
        <is>
          <t>Summer</t>
        </is>
      </c>
      <c r="E8" s="164" t="n">
        <v>127718</v>
      </c>
      <c r="F8" s="158" t="n">
        <v>0.095</v>
      </c>
      <c r="G8" s="158" t="n">
        <v>0.174</v>
      </c>
      <c r="H8" s="158" t="n">
        <v>0.08500000000000001</v>
      </c>
      <c r="I8" s="164" t="n">
        <v>21350</v>
      </c>
      <c r="J8" s="164" t="n">
        <v>10072</v>
      </c>
      <c r="K8" s="164" t="n">
        <v>42</v>
      </c>
      <c r="L8" s="3" t="inlineStr">
        <is>
          <t>S075</t>
        </is>
      </c>
    </row>
    <row r="9" ht="15" customHeight="1">
      <c r="A9" s="3" t="n"/>
      <c r="B9" s="3" t="inlineStr">
        <is>
          <t>MISO</t>
        </is>
      </c>
      <c r="C9" s="161" t="n">
        <v>2029</v>
      </c>
      <c r="D9" s="107" t="inlineStr">
        <is>
          <t>Summer</t>
        </is>
      </c>
      <c r="E9" s="164" t="n">
        <v>130006</v>
      </c>
      <c r="F9" s="158" t="n">
        <v>0.08599999999999999</v>
      </c>
      <c r="G9" s="158" t="n">
        <v>0.187</v>
      </c>
      <c r="H9" s="158" t="n">
        <v>0.08500000000000001</v>
      </c>
      <c r="I9" s="164" t="n">
        <v>24631</v>
      </c>
      <c r="J9" s="164" t="n">
        <v>13056</v>
      </c>
      <c r="K9" s="164" t="n">
        <v>42</v>
      </c>
      <c r="L9" s="3" t="inlineStr">
        <is>
          <t>S075</t>
        </is>
      </c>
    </row>
    <row r="10" ht="15" customHeight="1">
      <c r="A10" s="3" t="n"/>
      <c r="B10" s="3" t="inlineStr">
        <is>
          <t>MISO</t>
        </is>
      </c>
      <c r="C10" s="161" t="n">
        <v>2030</v>
      </c>
      <c r="D10" s="107" t="inlineStr">
        <is>
          <t>Summer</t>
        </is>
      </c>
      <c r="E10" s="164" t="n">
        <v>131351</v>
      </c>
      <c r="F10" s="158" t="n">
        <v>0.043</v>
      </c>
      <c r="G10" s="158" t="n">
        <v>0.143</v>
      </c>
      <c r="H10" s="158" t="n">
        <v>0.08500000000000001</v>
      </c>
      <c r="I10" s="164" t="n">
        <v>26027</v>
      </c>
      <c r="J10" s="164" t="n">
        <v>13116</v>
      </c>
      <c r="K10" s="164" t="n">
        <v>42</v>
      </c>
      <c r="L10" s="3" t="inlineStr">
        <is>
          <t>S075</t>
        </is>
      </c>
    </row>
    <row r="11" ht="15" customHeight="1">
      <c r="A11" s="3" t="n"/>
      <c r="B11" s="3" t="inlineStr">
        <is>
          <t>MISO</t>
        </is>
      </c>
      <c r="C11" s="161" t="n">
        <v>2031</v>
      </c>
      <c r="D11" s="107" t="inlineStr">
        <is>
          <t>Summer</t>
        </is>
      </c>
      <c r="E11" s="164" t="n">
        <v>132679</v>
      </c>
      <c r="F11" s="158" t="n">
        <v>0.018</v>
      </c>
      <c r="G11" s="158" t="n">
        <v>0.117</v>
      </c>
      <c r="H11" s="158" t="n">
        <v>0.08599999999999999</v>
      </c>
      <c r="I11" s="164" t="n">
        <v>26320</v>
      </c>
      <c r="J11" s="164" t="n">
        <v>13260</v>
      </c>
      <c r="K11" s="164" t="n">
        <v>42</v>
      </c>
      <c r="L11" s="3" t="inlineStr">
        <is>
          <t>S075</t>
        </is>
      </c>
    </row>
    <row r="12" ht="15" customHeight="1">
      <c r="A12" s="3" t="n"/>
      <c r="B12" s="3" t="inlineStr">
        <is>
          <t>MRO-SPP</t>
        </is>
      </c>
      <c r="C12" s="161" t="n">
        <v>2026</v>
      </c>
      <c r="D12" s="107" t="inlineStr">
        <is>
          <t>Summer</t>
        </is>
      </c>
      <c r="E12" s="164" t="n">
        <v>55340</v>
      </c>
      <c r="F12" s="158" t="n">
        <v>0.324</v>
      </c>
      <c r="G12" s="158" t="n">
        <v>0.349</v>
      </c>
      <c r="H12" s="158" t="n">
        <v>0.19</v>
      </c>
      <c r="I12" s="164" t="n">
        <v>1808</v>
      </c>
      <c r="J12" s="164" t="n">
        <v>2436</v>
      </c>
      <c r="K12" s="164" t="n">
        <v>59</v>
      </c>
      <c r="L12" s="3" t="inlineStr">
        <is>
          <t>S076</t>
        </is>
      </c>
    </row>
    <row r="13" ht="15" customHeight="1">
      <c r="A13" s="3" t="n"/>
      <c r="B13" s="3" t="inlineStr">
        <is>
          <t>MRO-SPP</t>
        </is>
      </c>
      <c r="C13" s="161" t="n">
        <v>2027</v>
      </c>
      <c r="D13" s="107" t="inlineStr">
        <is>
          <t>Summer</t>
        </is>
      </c>
      <c r="E13" s="164" t="n">
        <v>56959</v>
      </c>
      <c r="F13" s="158" t="n">
        <v>0.303</v>
      </c>
      <c r="G13" s="158" t="n">
        <v>0.373</v>
      </c>
      <c r="H13" s="158" t="n">
        <v>0.19</v>
      </c>
      <c r="I13" s="164" t="n">
        <v>3020</v>
      </c>
      <c r="J13" s="164" t="n">
        <v>6104</v>
      </c>
      <c r="K13" s="164" t="n">
        <v>59</v>
      </c>
      <c r="L13" s="3" t="inlineStr">
        <is>
          <t>S076</t>
        </is>
      </c>
    </row>
    <row r="14" ht="15" customHeight="1">
      <c r="A14" s="3" t="n"/>
      <c r="B14" s="3" t="inlineStr">
        <is>
          <t>MRO-SPP</t>
        </is>
      </c>
      <c r="C14" s="161" t="n">
        <v>2028</v>
      </c>
      <c r="D14" s="107" t="inlineStr">
        <is>
          <t>Summer</t>
        </is>
      </c>
      <c r="E14" s="164" t="n">
        <v>58357</v>
      </c>
      <c r="F14" s="158" t="n">
        <v>0.284</v>
      </c>
      <c r="G14" s="158" t="n">
        <v>0.382</v>
      </c>
      <c r="H14" s="158" t="n">
        <v>0.19</v>
      </c>
      <c r="I14" s="164" t="n">
        <v>3685</v>
      </c>
      <c r="J14" s="164" t="n">
        <v>8948</v>
      </c>
      <c r="K14" s="164" t="n">
        <v>59</v>
      </c>
      <c r="L14" s="3" t="inlineStr">
        <is>
          <t>S076</t>
        </is>
      </c>
    </row>
    <row r="15" ht="15" customHeight="1">
      <c r="A15" s="3" t="n"/>
      <c r="B15" s="3" t="inlineStr">
        <is>
          <t>MRO-SPP</t>
        </is>
      </c>
      <c r="C15" s="161" t="n">
        <v>2029</v>
      </c>
      <c r="D15" s="107" t="inlineStr">
        <is>
          <t>Summer</t>
        </is>
      </c>
      <c r="E15" s="164" t="n">
        <v>60258</v>
      </c>
      <c r="F15" s="158" t="n">
        <v>0.251</v>
      </c>
      <c r="G15" s="158" t="n">
        <v>0.452</v>
      </c>
      <c r="H15" s="158" t="n">
        <v>0.19</v>
      </c>
      <c r="I15" s="164" t="n">
        <v>4251</v>
      </c>
      <c r="J15" s="164" t="n">
        <v>15659</v>
      </c>
      <c r="K15" s="164" t="n">
        <v>59</v>
      </c>
      <c r="L15" s="3" t="inlineStr">
        <is>
          <t>S076</t>
        </is>
      </c>
    </row>
    <row r="16" ht="15" customHeight="1">
      <c r="A16" s="3" t="n"/>
      <c r="B16" s="3" t="inlineStr">
        <is>
          <t>MRO-SPP</t>
        </is>
      </c>
      <c r="C16" s="161" t="n">
        <v>2030</v>
      </c>
      <c r="D16" s="107" t="inlineStr">
        <is>
          <t>Summer</t>
        </is>
      </c>
      <c r="E16" s="164" t="n">
        <v>61966</v>
      </c>
      <c r="F16" s="158" t="n">
        <v>0.226</v>
      </c>
      <c r="G16" s="158" t="n">
        <v>0.509</v>
      </c>
      <c r="H16" s="158" t="n">
        <v>0.19</v>
      </c>
      <c r="I16" s="164" t="n">
        <v>4815</v>
      </c>
      <c r="J16" s="164" t="n">
        <v>21487</v>
      </c>
      <c r="K16" s="164" t="n">
        <v>59</v>
      </c>
      <c r="L16" s="3" t="inlineStr">
        <is>
          <t>S076</t>
        </is>
      </c>
    </row>
    <row r="17" ht="15" customHeight="1">
      <c r="A17" s="3" t="n"/>
      <c r="B17" s="3" t="inlineStr">
        <is>
          <t>MRO-SPP</t>
        </is>
      </c>
      <c r="C17" s="161" t="n">
        <v>2031</v>
      </c>
      <c r="D17" s="107" t="inlineStr">
        <is>
          <t>Summer</t>
        </is>
      </c>
      <c r="E17" s="164" t="n">
        <v>63772</v>
      </c>
      <c r="F17" s="158" t="n">
        <v>0.191</v>
      </c>
      <c r="G17" s="158" t="n">
        <v>0.487</v>
      </c>
      <c r="H17" s="158" t="n">
        <v>0.19</v>
      </c>
      <c r="I17" s="164" t="n">
        <v>4866</v>
      </c>
      <c r="J17" s="164" t="n">
        <v>23345</v>
      </c>
      <c r="K17" s="164" t="n">
        <v>59</v>
      </c>
      <c r="L17" s="3" t="inlineStr">
        <is>
          <t>S076</t>
        </is>
      </c>
    </row>
    <row r="18" ht="15" customHeight="1">
      <c r="A18" s="3" t="n"/>
      <c r="B18" s="3" t="inlineStr">
        <is>
          <t>NPCC-New England</t>
        </is>
      </c>
      <c r="C18" s="161" t="n">
        <v>2026</v>
      </c>
      <c r="D18" s="107" t="inlineStr">
        <is>
          <t>Summer</t>
        </is>
      </c>
      <c r="E18" s="164" t="n">
        <v>24254</v>
      </c>
      <c r="F18" s="158" t="n">
        <v>0.183</v>
      </c>
      <c r="G18" s="158" t="n">
        <v>0.332</v>
      </c>
      <c r="H18" s="158" t="n">
        <v>0.134</v>
      </c>
      <c r="I18" s="164" t="n">
        <v>1081</v>
      </c>
      <c r="J18" s="164" t="n">
        <v>1113</v>
      </c>
      <c r="K18" s="164" t="n">
        <v>68</v>
      </c>
      <c r="L18" s="3" t="inlineStr">
        <is>
          <t>S077</t>
        </is>
      </c>
    </row>
    <row r="19" ht="15" customHeight="1">
      <c r="A19" s="3" t="n"/>
      <c r="B19" s="3" t="inlineStr">
        <is>
          <t>NPCC-New England</t>
        </is>
      </c>
      <c r="C19" s="161" t="n">
        <v>2027</v>
      </c>
      <c r="D19" s="107" t="inlineStr">
        <is>
          <t>Summer</t>
        </is>
      </c>
      <c r="E19" s="164" t="n">
        <v>24401</v>
      </c>
      <c r="F19" s="158" t="n">
        <v>0.217</v>
      </c>
      <c r="G19" s="158" t="n">
        <v>0.4370000000000001</v>
      </c>
      <c r="H19" s="158" t="n">
        <v>0.13</v>
      </c>
      <c r="I19" s="164" t="n">
        <v>2183</v>
      </c>
      <c r="J19" s="164" t="n">
        <v>2871</v>
      </c>
      <c r="K19" s="164" t="n">
        <v>68</v>
      </c>
      <c r="L19" s="3" t="inlineStr">
        <is>
          <t>S077</t>
        </is>
      </c>
    </row>
    <row r="20" ht="15" customHeight="1">
      <c r="A20" s="3" t="n"/>
      <c r="B20" s="3" t="inlineStr">
        <is>
          <t>NPCC-New England</t>
        </is>
      </c>
      <c r="C20" s="161" t="n">
        <v>2028</v>
      </c>
      <c r="D20" s="107" t="inlineStr">
        <is>
          <t>Summer</t>
        </is>
      </c>
      <c r="E20" s="164" t="n">
        <v>24580</v>
      </c>
      <c r="F20" s="158" t="n">
        <v>0.248</v>
      </c>
      <c r="G20" s="158" t="n">
        <v>0.523</v>
      </c>
      <c r="H20" s="158" t="n">
        <v>0.13</v>
      </c>
      <c r="I20" s="164" t="n">
        <v>3543</v>
      </c>
      <c r="J20" s="164" t="n">
        <v>4274</v>
      </c>
      <c r="K20" s="164" t="n">
        <v>68</v>
      </c>
      <c r="L20" s="3" t="inlineStr">
        <is>
          <t>S077</t>
        </is>
      </c>
    </row>
    <row r="21" ht="15" customHeight="1">
      <c r="A21" s="3" t="n"/>
      <c r="B21" s="3" t="inlineStr">
        <is>
          <t>NPCC-New England</t>
        </is>
      </c>
      <c r="C21" s="161" t="n">
        <v>2029</v>
      </c>
      <c r="D21" s="107" t="inlineStr">
        <is>
          <t>Summer</t>
        </is>
      </c>
      <c r="E21" s="164" t="n">
        <v>24803</v>
      </c>
      <c r="F21" s="158" t="n">
        <v>0.237</v>
      </c>
      <c r="G21" s="158" t="n">
        <v>0.527</v>
      </c>
      <c r="H21" s="158" t="n">
        <v>0.13</v>
      </c>
      <c r="I21" s="164" t="n">
        <v>3551</v>
      </c>
      <c r="J21" s="164" t="n">
        <v>4687</v>
      </c>
      <c r="K21" s="164" t="n">
        <v>68</v>
      </c>
      <c r="L21" s="3" t="inlineStr">
        <is>
          <t>S077</t>
        </is>
      </c>
    </row>
    <row r="22" ht="15" customHeight="1">
      <c r="A22" s="3" t="n"/>
      <c r="B22" s="3" t="inlineStr">
        <is>
          <t>NPCC-New England</t>
        </is>
      </c>
      <c r="C22" s="161" t="n">
        <v>2030</v>
      </c>
      <c r="D22" s="107" t="inlineStr">
        <is>
          <t>Summer</t>
        </is>
      </c>
      <c r="E22" s="164" t="n">
        <v>25013</v>
      </c>
      <c r="F22" s="158" t="n">
        <v>0.236</v>
      </c>
      <c r="G22" s="158" t="n">
        <v>0.537</v>
      </c>
      <c r="H22" s="158" t="n">
        <v>0.13</v>
      </c>
      <c r="I22" s="164" t="n">
        <v>3781</v>
      </c>
      <c r="J22" s="164" t="n">
        <v>5037</v>
      </c>
      <c r="K22" s="164" t="n">
        <v>68</v>
      </c>
      <c r="L22" s="3" t="inlineStr">
        <is>
          <t>S077</t>
        </is>
      </c>
    </row>
    <row r="23" ht="15" customHeight="1">
      <c r="A23" s="3" t="n"/>
      <c r="B23" s="3" t="inlineStr">
        <is>
          <t>NPCC-New England</t>
        </is>
      </c>
      <c r="C23" s="161" t="n">
        <v>2031</v>
      </c>
      <c r="D23" s="107" t="inlineStr">
        <is>
          <t>Summer</t>
        </is>
      </c>
      <c r="E23" s="164" t="n">
        <v>25277</v>
      </c>
      <c r="F23" s="158" t="n">
        <v>0.223</v>
      </c>
      <c r="G23" s="158" t="n">
        <v>0.521</v>
      </c>
      <c r="H23" s="158" t="n">
        <v>0.13</v>
      </c>
      <c r="I23" s="164" t="n">
        <v>3781</v>
      </c>
      <c r="J23" s="164" t="n">
        <v>5037</v>
      </c>
      <c r="K23" s="164" t="n">
        <v>68</v>
      </c>
      <c r="L23" s="3" t="inlineStr">
        <is>
          <t>S077</t>
        </is>
      </c>
    </row>
    <row r="24" ht="15" customHeight="1">
      <c r="A24" s="3" t="n"/>
      <c r="B24" s="3" t="inlineStr">
        <is>
          <t>NPCC-New York</t>
        </is>
      </c>
      <c r="C24" s="161" t="n">
        <v>2026</v>
      </c>
      <c r="D24" s="107" t="inlineStr">
        <is>
          <t>Summer</t>
        </is>
      </c>
      <c r="E24" s="164" t="n">
        <v>31001</v>
      </c>
      <c r="F24" s="158" t="n">
        <v>0.223</v>
      </c>
      <c r="G24" s="158" t="n">
        <v>0.241</v>
      </c>
      <c r="H24" s="158" t="n">
        <v>0.15</v>
      </c>
      <c r="I24" s="164" t="n">
        <v>532</v>
      </c>
      <c r="J24" s="164" t="n">
        <v>574</v>
      </c>
      <c r="K24" s="164" t="n">
        <v>74</v>
      </c>
      <c r="L24" s="3" t="inlineStr">
        <is>
          <t>S078</t>
        </is>
      </c>
    </row>
    <row r="25" ht="15" customHeight="1">
      <c r="A25" s="3" t="n"/>
      <c r="B25" s="3" t="inlineStr">
        <is>
          <t>NPCC-New York</t>
        </is>
      </c>
      <c r="C25" s="161" t="n">
        <v>2027</v>
      </c>
      <c r="D25" s="107" t="inlineStr">
        <is>
          <t>Summer</t>
        </is>
      </c>
      <c r="E25" s="164" t="n">
        <v>31291</v>
      </c>
      <c r="F25" s="158" t="n">
        <v>0.245</v>
      </c>
      <c r="G25" s="158" t="n">
        <v>0.287</v>
      </c>
      <c r="H25" s="158" t="n">
        <v>0.15</v>
      </c>
      <c r="I25" s="164" t="n">
        <v>1509</v>
      </c>
      <c r="J25" s="164" t="n">
        <v>1317</v>
      </c>
      <c r="K25" s="164" t="n">
        <v>74</v>
      </c>
      <c r="L25" s="3" t="inlineStr">
        <is>
          <t>S078</t>
        </is>
      </c>
    </row>
    <row r="26" ht="15" customHeight="1">
      <c r="A26" s="3" t="n"/>
      <c r="B26" s="3" t="inlineStr">
        <is>
          <t>NPCC-New York</t>
        </is>
      </c>
      <c r="C26" s="161" t="n">
        <v>2028</v>
      </c>
      <c r="D26" s="107" t="inlineStr">
        <is>
          <t>Summer</t>
        </is>
      </c>
      <c r="E26" s="164" t="n">
        <v>31421</v>
      </c>
      <c r="F26" s="158" t="n">
        <v>0.245</v>
      </c>
      <c r="G26" s="158" t="n">
        <v>0.361</v>
      </c>
      <c r="H26" s="158" t="n">
        <v>0.15</v>
      </c>
      <c r="I26" s="164" t="n">
        <v>1660</v>
      </c>
      <c r="J26" s="164" t="n">
        <v>3642</v>
      </c>
      <c r="K26" s="164" t="n">
        <v>74</v>
      </c>
      <c r="L26" s="3" t="inlineStr">
        <is>
          <t>S078</t>
        </is>
      </c>
    </row>
    <row r="27" ht="15" customHeight="1">
      <c r="A27" s="3" t="n"/>
      <c r="B27" s="3" t="inlineStr">
        <is>
          <t>NPCC-New York</t>
        </is>
      </c>
      <c r="C27" s="161" t="n">
        <v>2029</v>
      </c>
      <c r="D27" s="107" t="inlineStr">
        <is>
          <t>Summer</t>
        </is>
      </c>
      <c r="E27" s="164" t="n">
        <v>31631</v>
      </c>
      <c r="F27" s="158" t="n">
        <v>0.236</v>
      </c>
      <c r="G27" s="158" t="n">
        <v>0.373</v>
      </c>
      <c r="H27" s="158" t="n">
        <v>0.15</v>
      </c>
      <c r="I27" s="164" t="n">
        <v>1660</v>
      </c>
      <c r="J27" s="164" t="n">
        <v>4313</v>
      </c>
      <c r="K27" s="164" t="n">
        <v>74</v>
      </c>
      <c r="L27" s="3" t="inlineStr">
        <is>
          <t>S078</t>
        </is>
      </c>
    </row>
    <row r="28" ht="15" customHeight="1">
      <c r="A28" s="3" t="n"/>
      <c r="B28" s="3" t="inlineStr">
        <is>
          <t>NPCC-New York</t>
        </is>
      </c>
      <c r="C28" s="161" t="n">
        <v>2030</v>
      </c>
      <c r="D28" s="107" t="inlineStr">
        <is>
          <t>Summer</t>
        </is>
      </c>
      <c r="E28" s="164" t="n">
        <v>31921</v>
      </c>
      <c r="F28" s="158" t="n">
        <v>0.225</v>
      </c>
      <c r="G28" s="158" t="n">
        <v>0.36</v>
      </c>
      <c r="H28" s="158" t="n">
        <v>0.15</v>
      </c>
      <c r="I28" s="164" t="n">
        <v>1660</v>
      </c>
      <c r="J28" s="164" t="n">
        <v>4313</v>
      </c>
      <c r="K28" s="164" t="n">
        <v>74</v>
      </c>
      <c r="L28" s="3" t="inlineStr">
        <is>
          <t>S078</t>
        </is>
      </c>
    </row>
    <row r="29" ht="15" customHeight="1">
      <c r="A29" s="3" t="n"/>
      <c r="B29" s="3" t="inlineStr">
        <is>
          <t>NPCC-New York</t>
        </is>
      </c>
      <c r="C29" s="161" t="n">
        <v>2031</v>
      </c>
      <c r="D29" s="107" t="inlineStr">
        <is>
          <t>Summer</t>
        </is>
      </c>
      <c r="E29" s="164" t="n">
        <v>32201</v>
      </c>
      <c r="F29" s="158" t="n">
        <v>0.2</v>
      </c>
      <c r="G29" s="158" t="n">
        <v>0.334</v>
      </c>
      <c r="H29" s="158" t="n">
        <v>0.15</v>
      </c>
      <c r="I29" s="164" t="n">
        <v>1660</v>
      </c>
      <c r="J29" s="164" t="n">
        <v>4313</v>
      </c>
      <c r="K29" s="164" t="n">
        <v>74</v>
      </c>
      <c r="L29" s="3" t="inlineStr">
        <is>
          <t>S078</t>
        </is>
      </c>
    </row>
    <row r="30" ht="15" customHeight="1">
      <c r="A30" s="3" t="n"/>
      <c r="B30" s="3" t="inlineStr">
        <is>
          <t>PJM</t>
        </is>
      </c>
      <c r="C30" s="161" t="n">
        <v>2026</v>
      </c>
      <c r="D30" s="107" t="inlineStr">
        <is>
          <t>Summer</t>
        </is>
      </c>
      <c r="E30" s="164" t="n">
        <v>150753</v>
      </c>
      <c r="F30" s="158" t="n">
        <v>0.297</v>
      </c>
      <c r="G30" s="158" t="n">
        <v>0.37</v>
      </c>
      <c r="H30" s="158" t="n">
        <v>0.186</v>
      </c>
      <c r="I30" s="164" t="n">
        <v>5861</v>
      </c>
      <c r="J30" s="164" t="n">
        <v>12410</v>
      </c>
      <c r="K30" s="164" t="n">
        <v>90</v>
      </c>
      <c r="L30" s="3" t="inlineStr">
        <is>
          <t>S079</t>
        </is>
      </c>
    </row>
    <row r="31" ht="15" customHeight="1">
      <c r="A31" s="3" t="n"/>
      <c r="B31" s="3" t="inlineStr">
        <is>
          <t>PJM</t>
        </is>
      </c>
      <c r="C31" s="161" t="n">
        <v>2027</v>
      </c>
      <c r="D31" s="107" t="inlineStr">
        <is>
          <t>Summer</t>
        </is>
      </c>
      <c r="E31" s="164" t="n">
        <v>155747</v>
      </c>
      <c r="F31" s="158" t="n">
        <v>0.283</v>
      </c>
      <c r="G31" s="158" t="n">
        <v>0.499</v>
      </c>
      <c r="H31" s="158" t="n">
        <v>0.201</v>
      </c>
      <c r="I31" s="164" t="n">
        <v>10177</v>
      </c>
      <c r="J31" s="164" t="n">
        <v>38519</v>
      </c>
      <c r="K31" s="164" t="n">
        <v>90</v>
      </c>
      <c r="L31" s="3" t="inlineStr">
        <is>
          <t>S079</t>
        </is>
      </c>
    </row>
    <row r="32" ht="15" customHeight="1">
      <c r="A32" s="3" t="n"/>
      <c r="B32" s="3" t="inlineStr">
        <is>
          <t>PJM</t>
        </is>
      </c>
      <c r="C32" s="161" t="n">
        <v>2028</v>
      </c>
      <c r="D32" s="107" t="inlineStr">
        <is>
          <t>Summer</t>
        </is>
      </c>
      <c r="E32" s="164" t="n">
        <v>161278</v>
      </c>
      <c r="F32" s="158" t="n">
        <v>0.243</v>
      </c>
      <c r="G32" s="158" t="n">
        <v>0.591</v>
      </c>
      <c r="H32" s="158" t="n">
        <v>0.219</v>
      </c>
      <c r="I32" s="164" t="n">
        <v>14521</v>
      </c>
      <c r="J32" s="164" t="n">
        <v>65315</v>
      </c>
      <c r="K32" s="164" t="n">
        <v>90</v>
      </c>
      <c r="L32" s="3" t="inlineStr">
        <is>
          <t>S079</t>
        </is>
      </c>
    </row>
    <row r="33" ht="15" customHeight="1">
      <c r="A33" s="3" t="n"/>
      <c r="B33" s="3" t="inlineStr">
        <is>
          <t>PJM</t>
        </is>
      </c>
      <c r="C33" s="161" t="n">
        <v>2029</v>
      </c>
      <c r="D33" s="107" t="inlineStr">
        <is>
          <t>Summer</t>
        </is>
      </c>
      <c r="E33" s="164" t="n">
        <v>167092</v>
      </c>
      <c r="F33" s="158" t="n">
        <v>0.189</v>
      </c>
      <c r="G33" s="158" t="n">
        <v>0.5589999999999999</v>
      </c>
      <c r="H33" s="158" t="n">
        <v>0.239</v>
      </c>
      <c r="I33" s="164" t="n">
        <v>14709</v>
      </c>
      <c r="J33" s="164" t="n">
        <v>71119</v>
      </c>
      <c r="K33" s="164" t="n">
        <v>90</v>
      </c>
      <c r="L33" s="3" t="inlineStr">
        <is>
          <t>S079</t>
        </is>
      </c>
    </row>
    <row r="34" ht="15" customHeight="1">
      <c r="A34" s="3" t="n"/>
      <c r="B34" s="3" t="inlineStr">
        <is>
          <t>PJM</t>
        </is>
      </c>
      <c r="C34" s="161" t="n">
        <v>2030</v>
      </c>
      <c r="D34" s="107" t="inlineStr">
        <is>
          <t>Summer</t>
        </is>
      </c>
      <c r="E34" s="164" t="n">
        <v>174485</v>
      </c>
      <c r="F34" s="158" t="n">
        <v>0.139</v>
      </c>
      <c r="G34" s="158" t="n">
        <v>0.493</v>
      </c>
      <c r="H34" s="158" t="n">
        <v>0.263</v>
      </c>
      <c r="I34" s="164" t="n">
        <v>14709</v>
      </c>
      <c r="J34" s="164" t="n">
        <v>75116</v>
      </c>
      <c r="K34" s="164" t="n">
        <v>90</v>
      </c>
      <c r="L34" s="3" t="inlineStr">
        <is>
          <t>S079</t>
        </is>
      </c>
    </row>
    <row r="35" ht="15" customHeight="1">
      <c r="A35" s="3" t="n"/>
      <c r="B35" s="3" t="inlineStr">
        <is>
          <t>PJM</t>
        </is>
      </c>
      <c r="C35" s="161" t="n">
        <v>2031</v>
      </c>
      <c r="D35" s="107" t="inlineStr">
        <is>
          <t>Summer</t>
        </is>
      </c>
      <c r="E35" s="164" t="n">
        <v>182802</v>
      </c>
      <c r="F35" s="158" t="n">
        <v>0.08699999999999999</v>
      </c>
      <c r="G35" s="158" t="n">
        <v>0.426</v>
      </c>
      <c r="H35" s="158" t="n">
        <v>0.289</v>
      </c>
      <c r="I35" s="164" t="n">
        <v>14709</v>
      </c>
      <c r="J35" s="164" t="n">
        <v>75290</v>
      </c>
      <c r="K35" s="164" t="n">
        <v>90</v>
      </c>
      <c r="L35" s="3" t="inlineStr">
        <is>
          <t>S079</t>
        </is>
      </c>
    </row>
    <row r="36" ht="15" customHeight="1">
      <c r="A36" s="3" t="n"/>
      <c r="B36" s="3" t="inlineStr">
        <is>
          <t>SERC-Central</t>
        </is>
      </c>
      <c r="C36" s="161" t="n">
        <v>2026</v>
      </c>
      <c r="D36" s="107" t="inlineStr">
        <is>
          <t>Summer</t>
        </is>
      </c>
      <c r="E36" s="164" t="n">
        <v>40248</v>
      </c>
      <c r="F36" s="158" t="n">
        <v>0.191</v>
      </c>
      <c r="G36" s="158" t="n">
        <v>0.197</v>
      </c>
      <c r="H36" s="158" t="n">
        <v>0.15</v>
      </c>
      <c r="I36" s="164" t="n">
        <v>518</v>
      </c>
      <c r="J36" s="164" t="n">
        <v>20</v>
      </c>
      <c r="K36" s="164" t="n">
        <v>95</v>
      </c>
      <c r="L36" s="3" t="inlineStr">
        <is>
          <t>S080</t>
        </is>
      </c>
    </row>
    <row r="37" ht="15" customHeight="1">
      <c r="A37" s="3" t="n"/>
      <c r="B37" s="3" t="inlineStr">
        <is>
          <t>SERC-Central</t>
        </is>
      </c>
      <c r="C37" s="161" t="n">
        <v>2027</v>
      </c>
      <c r="D37" s="107" t="inlineStr">
        <is>
          <t>Summer</t>
        </is>
      </c>
      <c r="E37" s="164" t="n">
        <v>40465</v>
      </c>
      <c r="F37" s="158" t="n">
        <v>0.208</v>
      </c>
      <c r="G37" s="158" t="n">
        <v>0.22</v>
      </c>
      <c r="H37" s="158" t="n">
        <v>0.15</v>
      </c>
      <c r="I37" s="164" t="n">
        <v>492</v>
      </c>
      <c r="J37" s="164" t="n">
        <v>245</v>
      </c>
      <c r="K37" s="164" t="n">
        <v>95</v>
      </c>
      <c r="L37" s="3" t="inlineStr">
        <is>
          <t>S080</t>
        </is>
      </c>
    </row>
    <row r="38" ht="15" customHeight="1">
      <c r="A38" s="3" t="n"/>
      <c r="B38" s="3" t="inlineStr">
        <is>
          <t>SERC-Central</t>
        </is>
      </c>
      <c r="C38" s="161" t="n">
        <v>2028</v>
      </c>
      <c r="D38" s="107" t="inlineStr">
        <is>
          <t>Summer</t>
        </is>
      </c>
      <c r="E38" s="164" t="n">
        <v>41011</v>
      </c>
      <c r="F38" s="158" t="n">
        <v>0.197</v>
      </c>
      <c r="G38" s="158" t="n">
        <v>0.223</v>
      </c>
      <c r="H38" s="158" t="n">
        <v>0.15</v>
      </c>
      <c r="I38" s="164" t="n">
        <v>4567</v>
      </c>
      <c r="J38" s="164" t="n">
        <v>837</v>
      </c>
      <c r="K38" s="164" t="n">
        <v>95</v>
      </c>
      <c r="L38" s="3" t="inlineStr">
        <is>
          <t>S080</t>
        </is>
      </c>
    </row>
    <row r="39" ht="15" customHeight="1">
      <c r="A39" s="3" t="n"/>
      <c r="B39" s="3" t="inlineStr">
        <is>
          <t>SERC-Central</t>
        </is>
      </c>
      <c r="C39" s="161" t="n">
        <v>2029</v>
      </c>
      <c r="D39" s="107" t="inlineStr">
        <is>
          <t>Summer</t>
        </is>
      </c>
      <c r="E39" s="164" t="n">
        <v>41260</v>
      </c>
      <c r="F39" s="158" t="n">
        <v>0.185</v>
      </c>
      <c r="G39" s="158" t="n">
        <v>0.211</v>
      </c>
      <c r="H39" s="158" t="n">
        <v>0.15</v>
      </c>
      <c r="I39" s="164" t="n">
        <v>5435</v>
      </c>
      <c r="J39" s="164" t="n">
        <v>837</v>
      </c>
      <c r="K39" s="164" t="n">
        <v>95</v>
      </c>
      <c r="L39" s="3" t="inlineStr">
        <is>
          <t>S080</t>
        </is>
      </c>
    </row>
    <row r="40" ht="15" customHeight="1">
      <c r="A40" s="3" t="n"/>
      <c r="B40" s="3" t="inlineStr">
        <is>
          <t>SERC-Central</t>
        </is>
      </c>
      <c r="C40" s="161" t="n">
        <v>2030</v>
      </c>
      <c r="D40" s="107" t="inlineStr">
        <is>
          <t>Summer</t>
        </is>
      </c>
      <c r="E40" s="164" t="n">
        <v>41916</v>
      </c>
      <c r="F40" s="158" t="n">
        <v>0.165</v>
      </c>
      <c r="G40" s="158" t="n">
        <v>0.19</v>
      </c>
      <c r="H40" s="158" t="n">
        <v>0.15</v>
      </c>
      <c r="I40" s="164" t="n">
        <v>5435</v>
      </c>
      <c r="J40" s="164" t="n">
        <v>837</v>
      </c>
      <c r="K40" s="164" t="n">
        <v>95</v>
      </c>
      <c r="L40" s="3" t="inlineStr">
        <is>
          <t>S080</t>
        </is>
      </c>
    </row>
    <row r="41" ht="15" customHeight="1">
      <c r="A41" s="3" t="n"/>
      <c r="B41" s="3" t="inlineStr">
        <is>
          <t>SERC-Central</t>
        </is>
      </c>
      <c r="C41" s="161" t="n">
        <v>2031</v>
      </c>
      <c r="D41" s="107" t="inlineStr">
        <is>
          <t>Summer</t>
        </is>
      </c>
      <c r="E41" s="164" t="n">
        <v>42598</v>
      </c>
      <c r="F41" s="158" t="n">
        <v>0.148</v>
      </c>
      <c r="G41" s="158" t="n">
        <v>0.173</v>
      </c>
      <c r="H41" s="158" t="n">
        <v>0.15</v>
      </c>
      <c r="I41" s="164" t="n">
        <v>5435</v>
      </c>
      <c r="J41" s="164" t="n">
        <v>837</v>
      </c>
      <c r="K41" s="164" t="n">
        <v>95</v>
      </c>
      <c r="L41" s="3" t="inlineStr">
        <is>
          <t>S080</t>
        </is>
      </c>
    </row>
    <row r="42" ht="15" customHeight="1">
      <c r="A42" s="3" t="n"/>
      <c r="B42" s="3" t="inlineStr">
        <is>
          <t>SERC-East</t>
        </is>
      </c>
      <c r="C42" s="161" t="n">
        <v>2026</v>
      </c>
      <c r="D42" s="107" t="inlineStr">
        <is>
          <t>Summer</t>
        </is>
      </c>
      <c r="E42" s="164" t="n">
        <v>42806</v>
      </c>
      <c r="F42" s="158" t="n">
        <v>0.306</v>
      </c>
      <c r="G42" s="158" t="n">
        <v>0.327</v>
      </c>
      <c r="H42" s="158" t="n">
        <v>0.15</v>
      </c>
      <c r="I42" s="164" t="n">
        <v>959</v>
      </c>
      <c r="J42" s="164" t="n">
        <v>215</v>
      </c>
      <c r="K42" s="164" t="n">
        <v>102</v>
      </c>
      <c r="L42" s="3" t="inlineStr">
        <is>
          <t>S081</t>
        </is>
      </c>
    </row>
    <row r="43" ht="15" customHeight="1">
      <c r="A43" s="3" t="n"/>
      <c r="B43" s="3" t="inlineStr">
        <is>
          <t>SERC-East</t>
        </is>
      </c>
      <c r="C43" s="161" t="n">
        <v>2027</v>
      </c>
      <c r="D43" s="107" t="inlineStr">
        <is>
          <t>Summer</t>
        </is>
      </c>
      <c r="E43" s="164" t="n">
        <v>43669</v>
      </c>
      <c r="F43" s="158" t="n">
        <v>0.305</v>
      </c>
      <c r="G43" s="158" t="n">
        <v>0.331</v>
      </c>
      <c r="H43" s="158" t="n">
        <v>0.15</v>
      </c>
      <c r="I43" s="164" t="n">
        <v>2109</v>
      </c>
      <c r="J43" s="164" t="n">
        <v>484</v>
      </c>
      <c r="K43" s="164" t="n">
        <v>102</v>
      </c>
      <c r="L43" s="3" t="inlineStr">
        <is>
          <t>S081</t>
        </is>
      </c>
    </row>
    <row r="44" ht="15" customHeight="1">
      <c r="A44" s="3" t="n"/>
      <c r="B44" s="3" t="inlineStr">
        <is>
          <t>SERC-East</t>
        </is>
      </c>
      <c r="C44" s="161" t="n">
        <v>2028</v>
      </c>
      <c r="D44" s="107" t="inlineStr">
        <is>
          <t>Summer</t>
        </is>
      </c>
      <c r="E44" s="164" t="n">
        <v>44272</v>
      </c>
      <c r="F44" s="158" t="n">
        <v>0.305</v>
      </c>
      <c r="G44" s="158" t="n">
        <v>0.365</v>
      </c>
      <c r="H44" s="158" t="n">
        <v>0.15</v>
      </c>
      <c r="I44" s="164" t="n">
        <v>2817</v>
      </c>
      <c r="J44" s="164" t="n">
        <v>2009</v>
      </c>
      <c r="K44" s="164" t="n">
        <v>102</v>
      </c>
      <c r="L44" s="3" t="inlineStr">
        <is>
          <t>S081</t>
        </is>
      </c>
    </row>
    <row r="45" ht="15" customHeight="1">
      <c r="A45" s="3" t="n"/>
      <c r="B45" s="3" t="inlineStr">
        <is>
          <t>SERC-East</t>
        </is>
      </c>
      <c r="C45" s="161" t="n">
        <v>2029</v>
      </c>
      <c r="D45" s="107" t="inlineStr">
        <is>
          <t>Summer</t>
        </is>
      </c>
      <c r="E45" s="164" t="n">
        <v>44476</v>
      </c>
      <c r="F45" s="158" t="n">
        <v>0.315</v>
      </c>
      <c r="G45" s="158" t="n">
        <v>0.403</v>
      </c>
      <c r="H45" s="158" t="n">
        <v>0.15</v>
      </c>
      <c r="I45" s="164" t="n">
        <v>5282</v>
      </c>
      <c r="J45" s="164" t="n">
        <v>3231</v>
      </c>
      <c r="K45" s="164" t="n">
        <v>102</v>
      </c>
      <c r="L45" s="3" t="inlineStr">
        <is>
          <t>S081</t>
        </is>
      </c>
    </row>
    <row r="46" ht="15" customHeight="1">
      <c r="A46" s="3" t="n"/>
      <c r="B46" s="3" t="inlineStr">
        <is>
          <t>SERC-East</t>
        </is>
      </c>
      <c r="C46" s="161" t="n">
        <v>2030</v>
      </c>
      <c r="D46" s="107" t="inlineStr">
        <is>
          <t>Summer</t>
        </is>
      </c>
      <c r="E46" s="164" t="n">
        <v>44967</v>
      </c>
      <c r="F46" s="158" t="n">
        <v>0.349</v>
      </c>
      <c r="G46" s="158" t="n">
        <v>0.454</v>
      </c>
      <c r="H46" s="158" t="n">
        <v>0.15</v>
      </c>
      <c r="I46" s="164" t="n">
        <v>7348</v>
      </c>
      <c r="J46" s="164" t="n">
        <v>4045</v>
      </c>
      <c r="K46" s="164" t="n">
        <v>102</v>
      </c>
      <c r="L46" s="3" t="inlineStr">
        <is>
          <t>S081</t>
        </is>
      </c>
    </row>
    <row r="47" ht="15" customHeight="1">
      <c r="A47" s="3" t="n"/>
      <c r="B47" s="3" t="inlineStr">
        <is>
          <t>SERC-East</t>
        </is>
      </c>
      <c r="C47" s="161" t="n">
        <v>2031</v>
      </c>
      <c r="D47" s="107" t="inlineStr">
        <is>
          <t>Summer</t>
        </is>
      </c>
      <c r="E47" s="164" t="n">
        <v>45554</v>
      </c>
      <c r="F47" s="158" t="n">
        <v>0.337</v>
      </c>
      <c r="G47" s="158" t="n">
        <v>0.451</v>
      </c>
      <c r="H47" s="158" t="n">
        <v>0.15</v>
      </c>
      <c r="I47" s="164" t="n">
        <v>8656</v>
      </c>
      <c r="J47" s="164" t="n">
        <v>4551</v>
      </c>
      <c r="K47" s="164" t="n">
        <v>102</v>
      </c>
      <c r="L47" s="3" t="inlineStr">
        <is>
          <t>S081</t>
        </is>
      </c>
    </row>
    <row r="48" ht="15" customHeight="1">
      <c r="A48" s="3" t="n"/>
      <c r="B48" s="3" t="inlineStr">
        <is>
          <t>SERC-Florida Peninsula</t>
        </is>
      </c>
      <c r="C48" s="161" t="n">
        <v>2026</v>
      </c>
      <c r="D48" s="107" t="inlineStr">
        <is>
          <t>Summer</t>
        </is>
      </c>
      <c r="E48" s="164" t="n">
        <v>51132</v>
      </c>
      <c r="F48" s="158" t="n">
        <v>0.274</v>
      </c>
      <c r="G48" s="158" t="n">
        <v>0.275</v>
      </c>
      <c r="H48" s="158" t="n">
        <v>0.15</v>
      </c>
      <c r="I48" s="164" t="n">
        <v>754</v>
      </c>
      <c r="J48" s="164" t="n">
        <v>32</v>
      </c>
      <c r="K48" s="164" t="n">
        <v>112</v>
      </c>
      <c r="L48" s="3" t="inlineStr">
        <is>
          <t>S082</t>
        </is>
      </c>
    </row>
    <row r="49" ht="15" customHeight="1">
      <c r="A49" s="3" t="n"/>
      <c r="B49" s="3" t="inlineStr">
        <is>
          <t>SERC-Florida Peninsula</t>
        </is>
      </c>
      <c r="C49" s="161" t="n">
        <v>2027</v>
      </c>
      <c r="D49" s="107" t="inlineStr">
        <is>
          <t>Summer</t>
        </is>
      </c>
      <c r="E49" s="164" t="n">
        <v>51588</v>
      </c>
      <c r="F49" s="158" t="n">
        <v>0.252</v>
      </c>
      <c r="G49" s="158" t="n">
        <v>0.264</v>
      </c>
      <c r="H49" s="158" t="n">
        <v>0.15</v>
      </c>
      <c r="I49" s="164" t="n">
        <v>800</v>
      </c>
      <c r="J49" s="164" t="n">
        <v>620</v>
      </c>
      <c r="K49" s="164" t="n">
        <v>112</v>
      </c>
      <c r="L49" s="3" t="inlineStr">
        <is>
          <t>S082</t>
        </is>
      </c>
    </row>
    <row r="50" ht="15" customHeight="1">
      <c r="A50" s="3" t="n"/>
      <c r="B50" s="3" t="inlineStr">
        <is>
          <t>SERC-Florida Peninsula</t>
        </is>
      </c>
      <c r="C50" s="161" t="n">
        <v>2028</v>
      </c>
      <c r="D50" s="107" t="inlineStr">
        <is>
          <t>Summer</t>
        </is>
      </c>
      <c r="E50" s="164" t="n">
        <v>52020</v>
      </c>
      <c r="F50" s="158" t="n">
        <v>0.243</v>
      </c>
      <c r="G50" s="158" t="n">
        <v>0.262</v>
      </c>
      <c r="H50" s="158" t="n">
        <v>0.15</v>
      </c>
      <c r="I50" s="164" t="n">
        <v>997</v>
      </c>
      <c r="J50" s="164" t="n">
        <v>962</v>
      </c>
      <c r="K50" s="164" t="n">
        <v>112</v>
      </c>
      <c r="L50" s="3" t="inlineStr">
        <is>
          <t>S082</t>
        </is>
      </c>
    </row>
    <row r="51" ht="15" customHeight="1">
      <c r="A51" s="3" t="n"/>
      <c r="B51" s="3" t="inlineStr">
        <is>
          <t>SERC-Florida Peninsula</t>
        </is>
      </c>
      <c r="C51" s="161" t="n">
        <v>2029</v>
      </c>
      <c r="D51" s="107" t="inlineStr">
        <is>
          <t>Summer</t>
        </is>
      </c>
      <c r="E51" s="164" t="n">
        <v>52739</v>
      </c>
      <c r="F51" s="158" t="n">
        <v>0.226</v>
      </c>
      <c r="G51" s="158" t="n">
        <v>0.252</v>
      </c>
      <c r="H51" s="158" t="n">
        <v>0.15</v>
      </c>
      <c r="I51" s="164" t="n">
        <v>1000</v>
      </c>
      <c r="J51" s="164" t="n">
        <v>1375</v>
      </c>
      <c r="K51" s="164" t="n">
        <v>112</v>
      </c>
      <c r="L51" s="3" t="inlineStr">
        <is>
          <t>S082</t>
        </is>
      </c>
    </row>
    <row r="52" ht="15" customHeight="1">
      <c r="A52" s="3" t="n"/>
      <c r="B52" s="3" t="inlineStr">
        <is>
          <t>SERC-Florida Peninsula</t>
        </is>
      </c>
      <c r="C52" s="161" t="n">
        <v>2030</v>
      </c>
      <c r="D52" s="107" t="inlineStr">
        <is>
          <t>Summer</t>
        </is>
      </c>
      <c r="E52" s="164" t="n">
        <v>53298</v>
      </c>
      <c r="F52" s="158" t="n">
        <v>0.211</v>
      </c>
      <c r="G52" s="158" t="n">
        <v>0.237</v>
      </c>
      <c r="H52" s="158" t="n">
        <v>0.15</v>
      </c>
      <c r="I52" s="164" t="n">
        <v>1001</v>
      </c>
      <c r="J52" s="164" t="n">
        <v>1375</v>
      </c>
      <c r="K52" s="164" t="n">
        <v>112</v>
      </c>
      <c r="L52" s="3" t="inlineStr">
        <is>
          <t>S082</t>
        </is>
      </c>
    </row>
    <row r="53" ht="15" customHeight="1">
      <c r="A53" s="3" t="n"/>
      <c r="B53" s="3" t="inlineStr">
        <is>
          <t>SERC-Florida Peninsula</t>
        </is>
      </c>
      <c r="C53" s="161" t="n">
        <v>2031</v>
      </c>
      <c r="D53" s="107" t="inlineStr">
        <is>
          <t>Summer</t>
        </is>
      </c>
      <c r="E53" s="164" t="n">
        <v>54035</v>
      </c>
      <c r="F53" s="158" t="n">
        <v>0.199</v>
      </c>
      <c r="G53" s="158" t="n">
        <v>0.225</v>
      </c>
      <c r="H53" s="158" t="n">
        <v>0.15</v>
      </c>
      <c r="I53" s="164" t="n">
        <v>1801</v>
      </c>
      <c r="J53" s="164" t="n">
        <v>1375</v>
      </c>
      <c r="K53" s="164" t="n">
        <v>112</v>
      </c>
      <c r="L53" s="3" t="inlineStr">
        <is>
          <t>S082</t>
        </is>
      </c>
    </row>
    <row r="54" ht="15" customHeight="1">
      <c r="A54" s="3" t="n"/>
      <c r="B54" s="3" t="inlineStr">
        <is>
          <t>SERC-Southeast</t>
        </is>
      </c>
      <c r="C54" s="161" t="n">
        <v>2026</v>
      </c>
      <c r="D54" s="107" t="inlineStr">
        <is>
          <t>Summer</t>
        </is>
      </c>
      <c r="E54" s="164" t="n">
        <v>47028</v>
      </c>
      <c r="F54" s="158" t="n">
        <v>0.401</v>
      </c>
      <c r="G54" s="158" t="n">
        <v>0.413</v>
      </c>
      <c r="H54" s="158" t="n">
        <v>0.15</v>
      </c>
      <c r="I54" s="164" t="n">
        <v>684</v>
      </c>
      <c r="J54" s="164" t="n">
        <v>0</v>
      </c>
      <c r="K54" s="164" t="n">
        <v>120</v>
      </c>
      <c r="L54" s="3" t="inlineStr">
        <is>
          <t>S083</t>
        </is>
      </c>
    </row>
    <row r="55" ht="15" customHeight="1">
      <c r="A55" s="3" t="n"/>
      <c r="B55" s="3" t="inlineStr">
        <is>
          <t>SERC-Southeast</t>
        </is>
      </c>
      <c r="C55" s="161" t="n">
        <v>2027</v>
      </c>
      <c r="D55" s="107" t="inlineStr">
        <is>
          <t>Summer</t>
        </is>
      </c>
      <c r="E55" s="164" t="n">
        <v>49257</v>
      </c>
      <c r="F55" s="158" t="n">
        <v>0.353</v>
      </c>
      <c r="G55" s="158" t="n">
        <v>0.375</v>
      </c>
      <c r="H55" s="158" t="n">
        <v>0.15</v>
      </c>
      <c r="I55" s="164" t="n">
        <v>2262</v>
      </c>
      <c r="J55" s="164" t="n">
        <v>516</v>
      </c>
      <c r="K55" s="164" t="n">
        <v>120</v>
      </c>
      <c r="L55" s="3" t="inlineStr">
        <is>
          <t>S083</t>
        </is>
      </c>
    </row>
    <row r="56" ht="15" customHeight="1">
      <c r="A56" s="3" t="n"/>
      <c r="B56" s="3" t="inlineStr">
        <is>
          <t>SERC-Southeast</t>
        </is>
      </c>
      <c r="C56" s="161" t="n">
        <v>2028</v>
      </c>
      <c r="D56" s="107" t="inlineStr">
        <is>
          <t>Summer</t>
        </is>
      </c>
      <c r="E56" s="164" t="n">
        <v>51277</v>
      </c>
      <c r="F56" s="158" t="n">
        <v>0.337</v>
      </c>
      <c r="G56" s="158" t="n">
        <v>0.42</v>
      </c>
      <c r="H56" s="158" t="n">
        <v>0.15</v>
      </c>
      <c r="I56" s="164" t="n">
        <v>3704</v>
      </c>
      <c r="J56" s="164" t="n">
        <v>3687</v>
      </c>
      <c r="K56" s="164" t="n">
        <v>120</v>
      </c>
      <c r="L56" s="3" t="inlineStr">
        <is>
          <t>S083</t>
        </is>
      </c>
    </row>
    <row r="57" ht="15" customHeight="1">
      <c r="A57" s="3" t="n"/>
      <c r="B57" s="3" t="inlineStr">
        <is>
          <t>SERC-Southeast</t>
        </is>
      </c>
      <c r="C57" s="161" t="n">
        <v>2029</v>
      </c>
      <c r="D57" s="107" t="inlineStr">
        <is>
          <t>Summer</t>
        </is>
      </c>
      <c r="E57" s="164" t="n">
        <v>53493</v>
      </c>
      <c r="F57" s="158" t="n">
        <v>0.298</v>
      </c>
      <c r="G57" s="158" t="n">
        <v>0.4</v>
      </c>
      <c r="H57" s="158" t="n">
        <v>0.15</v>
      </c>
      <c r="I57" s="164" t="n">
        <v>4395</v>
      </c>
      <c r="J57" s="164" t="n">
        <v>4889</v>
      </c>
      <c r="K57" s="164" t="n">
        <v>120</v>
      </c>
      <c r="L57" s="3" t="inlineStr">
        <is>
          <t>S083</t>
        </is>
      </c>
    </row>
    <row r="58" ht="15" customHeight="1">
      <c r="A58" s="3" t="n"/>
      <c r="B58" s="3" t="inlineStr">
        <is>
          <t>SERC-Southeast</t>
        </is>
      </c>
      <c r="C58" s="161" t="n">
        <v>2030</v>
      </c>
      <c r="D58" s="107" t="inlineStr">
        <is>
          <t>Summer</t>
        </is>
      </c>
      <c r="E58" s="164" t="n">
        <v>54984</v>
      </c>
      <c r="F58" s="158" t="n">
        <v>0.265</v>
      </c>
      <c r="G58" s="158" t="n">
        <v>0.365</v>
      </c>
      <c r="H58" s="158" t="n">
        <v>0.15</v>
      </c>
      <c r="I58" s="164" t="n">
        <v>4474</v>
      </c>
      <c r="J58" s="164" t="n">
        <v>4989</v>
      </c>
      <c r="K58" s="164" t="n">
        <v>120</v>
      </c>
      <c r="L58" s="3" t="inlineStr">
        <is>
          <t>S083</t>
        </is>
      </c>
    </row>
    <row r="59" ht="15" customHeight="1">
      <c r="A59" s="3" t="n"/>
      <c r="B59" s="3" t="inlineStr">
        <is>
          <t>SERC-Southeast</t>
        </is>
      </c>
      <c r="C59" s="161" t="n">
        <v>2031</v>
      </c>
      <c r="D59" s="107" t="inlineStr">
        <is>
          <t>Summer</t>
        </is>
      </c>
      <c r="E59" s="164" t="n">
        <v>55894</v>
      </c>
      <c r="F59" s="158" t="n">
        <v>0.244</v>
      </c>
      <c r="G59" s="158" t="n">
        <v>0.343</v>
      </c>
      <c r="H59" s="158" t="n">
        <v>0.15</v>
      </c>
      <c r="I59" s="164" t="n">
        <v>4474</v>
      </c>
      <c r="J59" s="164" t="n">
        <v>4989</v>
      </c>
      <c r="K59" s="164" t="n">
        <v>120</v>
      </c>
      <c r="L59" s="3" t="inlineStr">
        <is>
          <t>S083</t>
        </is>
      </c>
    </row>
    <row r="60" ht="15" customHeight="1">
      <c r="A60" s="3" t="n"/>
      <c r="B60" s="3" t="inlineStr">
        <is>
          <t>Texas RE-ERCOT</t>
        </is>
      </c>
      <c r="C60" s="161" t="n">
        <v>2026</v>
      </c>
      <c r="D60" s="107" t="inlineStr">
        <is>
          <t>Summer</t>
        </is>
      </c>
      <c r="E60" s="164" t="n">
        <v>81304</v>
      </c>
      <c r="F60" s="158" t="n">
        <v>0.282</v>
      </c>
      <c r="G60" s="158" t="n">
        <v>0.479</v>
      </c>
      <c r="H60" s="158" t="n">
        <v>0.1375</v>
      </c>
      <c r="I60" s="164" t="n">
        <v>10377</v>
      </c>
      <c r="J60" s="164" t="n">
        <v>15391</v>
      </c>
      <c r="K60" s="164" t="n">
        <v>128</v>
      </c>
      <c r="L60" s="3" t="inlineStr">
        <is>
          <t>S084</t>
        </is>
      </c>
    </row>
    <row r="61" ht="15" customHeight="1">
      <c r="A61" s="3" t="n"/>
      <c r="B61" s="3" t="inlineStr">
        <is>
          <t>Texas RE-ERCOT</t>
        </is>
      </c>
      <c r="C61" s="161" t="n">
        <v>2027</v>
      </c>
      <c r="D61" s="107" t="inlineStr">
        <is>
          <t>Summer</t>
        </is>
      </c>
      <c r="E61" s="164" t="n">
        <v>82168</v>
      </c>
      <c r="F61" s="158" t="n">
        <v>0.305</v>
      </c>
      <c r="G61" s="158" t="n">
        <v>0.823</v>
      </c>
      <c r="H61" s="158" t="n">
        <v>0.1375</v>
      </c>
      <c r="I61" s="164" t="n">
        <v>15216</v>
      </c>
      <c r="J61" s="164" t="n">
        <v>42413</v>
      </c>
      <c r="K61" s="164" t="n">
        <v>128</v>
      </c>
      <c r="L61" s="3" t="inlineStr">
        <is>
          <t>S084</t>
        </is>
      </c>
    </row>
    <row r="62" ht="15" customHeight="1">
      <c r="A62" s="3" t="n"/>
      <c r="B62" s="3" t="inlineStr">
        <is>
          <t>Texas RE-ERCOT</t>
        </is>
      </c>
      <c r="C62" s="161" t="n">
        <v>2028</v>
      </c>
      <c r="D62" s="107" t="inlineStr">
        <is>
          <t>Summer</t>
        </is>
      </c>
      <c r="E62" s="164" t="n">
        <v>83871</v>
      </c>
      <c r="F62" s="158" t="n">
        <v>0.318</v>
      </c>
      <c r="G62" s="158" t="n">
        <v>1.273</v>
      </c>
      <c r="H62" s="158" t="n">
        <v>0.1375</v>
      </c>
      <c r="I62" s="164" t="n">
        <v>18527</v>
      </c>
      <c r="J62" s="164" t="n">
        <v>79923</v>
      </c>
      <c r="K62" s="164" t="n">
        <v>128</v>
      </c>
      <c r="L62" s="3" t="inlineStr">
        <is>
          <t>S084</t>
        </is>
      </c>
    </row>
    <row r="63" ht="15" customHeight="1">
      <c r="A63" s="3" t="n"/>
      <c r="B63" s="3" t="inlineStr">
        <is>
          <t>Texas RE-ERCOT</t>
        </is>
      </c>
      <c r="C63" s="161" t="n">
        <v>2029</v>
      </c>
      <c r="D63" s="107" t="inlineStr">
        <is>
          <t>Summer</t>
        </is>
      </c>
      <c r="E63" s="164" t="n">
        <v>84963</v>
      </c>
      <c r="F63" s="158" t="n">
        <v>0.308</v>
      </c>
      <c r="G63" s="158" t="n">
        <v>1.421</v>
      </c>
      <c r="H63" s="158" t="n">
        <v>0.1375</v>
      </c>
      <c r="I63" s="164" t="n">
        <v>19037</v>
      </c>
      <c r="J63" s="164" t="n">
        <v>95374</v>
      </c>
      <c r="K63" s="164" t="n">
        <v>128</v>
      </c>
      <c r="L63" s="3" t="inlineStr">
        <is>
          <t>S084</t>
        </is>
      </c>
    </row>
    <row r="64" ht="15" customHeight="1">
      <c r="A64" s="3" t="n"/>
      <c r="B64" s="3" t="inlineStr">
        <is>
          <t>Texas RE-ERCOT</t>
        </is>
      </c>
      <c r="C64" s="161" t="n">
        <v>2030</v>
      </c>
      <c r="D64" s="107" t="inlineStr">
        <is>
          <t>Summer</t>
        </is>
      </c>
      <c r="E64" s="164" t="n">
        <v>85813</v>
      </c>
      <c r="F64" s="158" t="n">
        <v>0.299</v>
      </c>
      <c r="G64" s="158" t="n">
        <v>1.439</v>
      </c>
      <c r="H64" s="158" t="n">
        <v>0.1375</v>
      </c>
      <c r="I64" s="164" t="n">
        <v>19037</v>
      </c>
      <c r="J64" s="164" t="n">
        <v>98707</v>
      </c>
      <c r="K64" s="164" t="n">
        <v>128</v>
      </c>
      <c r="L64" s="3" t="inlineStr">
        <is>
          <t>S084</t>
        </is>
      </c>
    </row>
    <row r="65" ht="15" customHeight="1">
      <c r="A65" s="3" t="n"/>
      <c r="B65" s="3" t="inlineStr">
        <is>
          <t>Texas RE-ERCOT</t>
        </is>
      </c>
      <c r="C65" s="161" t="n">
        <v>2031</v>
      </c>
      <c r="D65" s="107" t="inlineStr">
        <is>
          <t>Summer</t>
        </is>
      </c>
      <c r="E65" s="164" t="n">
        <v>86802</v>
      </c>
      <c r="F65" s="158" t="n">
        <v>0.284</v>
      </c>
      <c r="G65" s="158" t="n">
        <v>1.415</v>
      </c>
      <c r="H65" s="158" t="n">
        <v>0.1375</v>
      </c>
      <c r="I65" s="164" t="n">
        <v>19037</v>
      </c>
      <c r="J65" s="164" t="n">
        <v>99018</v>
      </c>
      <c r="K65" s="164" t="n">
        <v>128</v>
      </c>
      <c r="L65" s="3" t="inlineStr">
        <is>
          <t>S084</t>
        </is>
      </c>
    </row>
    <row r="66" ht="15" customHeight="1">
      <c r="A66" s="3" t="n"/>
      <c r="B66" s="3" t="inlineStr">
        <is>
          <t>WECC-Basin</t>
        </is>
      </c>
      <c r="C66" s="161" t="n">
        <v>2026</v>
      </c>
      <c r="D66" s="107" t="inlineStr">
        <is>
          <t>Summer</t>
        </is>
      </c>
      <c r="E66" s="164" t="n">
        <v>14124</v>
      </c>
      <c r="F66" s="158" t="n">
        <v>0.363</v>
      </c>
      <c r="G66" s="158" t="n">
        <v>0.4320000000000001</v>
      </c>
      <c r="H66" s="158" t="n">
        <v>0.135</v>
      </c>
      <c r="I66" s="164" t="n">
        <v>2125</v>
      </c>
      <c r="J66" s="164" t="n">
        <v>973</v>
      </c>
      <c r="K66" s="164" t="n">
        <v>138</v>
      </c>
      <c r="L66" s="3" t="inlineStr">
        <is>
          <t>S085</t>
        </is>
      </c>
    </row>
    <row r="67" ht="15" customHeight="1">
      <c r="A67" s="3" t="n"/>
      <c r="B67" s="3" t="inlineStr">
        <is>
          <t>WECC-Basin</t>
        </is>
      </c>
      <c r="C67" s="161" t="n">
        <v>2027</v>
      </c>
      <c r="D67" s="107" t="inlineStr">
        <is>
          <t>Summer</t>
        </is>
      </c>
      <c r="E67" s="164" t="n">
        <v>14656</v>
      </c>
      <c r="F67" s="158" t="n">
        <v>0.379</v>
      </c>
      <c r="G67" s="158" t="n">
        <v>0.449</v>
      </c>
      <c r="H67" s="158" t="n">
        <v>0.14</v>
      </c>
      <c r="I67" s="164" t="n">
        <v>2453</v>
      </c>
      <c r="J67" s="164" t="n">
        <v>1018</v>
      </c>
      <c r="K67" s="164" t="n">
        <v>138</v>
      </c>
      <c r="L67" s="3" t="inlineStr">
        <is>
          <t>S085</t>
        </is>
      </c>
    </row>
    <row r="68" ht="15" customHeight="1">
      <c r="A68" s="3" t="n"/>
      <c r="B68" s="3" t="inlineStr">
        <is>
          <t>WECC-Basin</t>
        </is>
      </c>
      <c r="C68" s="161" t="n">
        <v>2028</v>
      </c>
      <c r="D68" s="107" t="inlineStr">
        <is>
          <t>Summer</t>
        </is>
      </c>
      <c r="E68" s="164" t="n">
        <v>15342</v>
      </c>
      <c r="F68" s="158" t="n">
        <v>0.274</v>
      </c>
      <c r="G68" s="158" t="n">
        <v>0.357</v>
      </c>
      <c r="H68" s="158" t="n">
        <v>0.136</v>
      </c>
      <c r="I68" s="164" t="n">
        <v>2453</v>
      </c>
      <c r="J68" s="164" t="n">
        <v>1270</v>
      </c>
      <c r="K68" s="164" t="n">
        <v>138</v>
      </c>
      <c r="L68" s="3" t="inlineStr">
        <is>
          <t>S085</t>
        </is>
      </c>
    </row>
    <row r="69" ht="15" customHeight="1">
      <c r="A69" s="3" t="n"/>
      <c r="B69" s="3" t="inlineStr">
        <is>
          <t>WECC-Basin</t>
        </is>
      </c>
      <c r="C69" s="161" t="n">
        <v>2029</v>
      </c>
      <c r="D69" s="107" t="inlineStr">
        <is>
          <t>Summer</t>
        </is>
      </c>
      <c r="E69" s="164" t="n">
        <v>15726</v>
      </c>
      <c r="F69" s="158" t="n">
        <v>0.197</v>
      </c>
      <c r="G69" s="158" t="n">
        <v>0.278</v>
      </c>
      <c r="H69" s="158" t="n">
        <v>0.124</v>
      </c>
      <c r="I69" s="164" t="n">
        <v>2466</v>
      </c>
      <c r="J69" s="164" t="n">
        <v>1279</v>
      </c>
      <c r="K69" s="164" t="n">
        <v>138</v>
      </c>
      <c r="L69" s="3" t="inlineStr">
        <is>
          <t>S085</t>
        </is>
      </c>
    </row>
    <row r="70" ht="15" customHeight="1">
      <c r="A70" s="3" t="n"/>
      <c r="B70" s="3" t="inlineStr">
        <is>
          <t>WECC-Basin</t>
        </is>
      </c>
      <c r="C70" s="161" t="n">
        <v>2030</v>
      </c>
      <c r="D70" s="107" t="inlineStr">
        <is>
          <t>Summer</t>
        </is>
      </c>
      <c r="E70" s="164" t="n">
        <v>16092</v>
      </c>
      <c r="F70" s="158" t="n">
        <v>0.152</v>
      </c>
      <c r="G70" s="158" t="n">
        <v>0.231</v>
      </c>
      <c r="H70" s="158" t="n">
        <v>0.123</v>
      </c>
      <c r="I70" s="164" t="n">
        <v>2466</v>
      </c>
      <c r="J70" s="164" t="n">
        <v>1279</v>
      </c>
      <c r="K70" s="164" t="n">
        <v>138</v>
      </c>
      <c r="L70" s="3" t="inlineStr">
        <is>
          <t>S085</t>
        </is>
      </c>
    </row>
    <row r="71" ht="15" customHeight="1">
      <c r="A71" s="3" t="n"/>
      <c r="B71" s="3" t="inlineStr">
        <is>
          <t>WECC-Basin</t>
        </is>
      </c>
      <c r="C71" s="161" t="n">
        <v>2031</v>
      </c>
      <c r="D71" s="107" t="inlineStr">
        <is>
          <t>Summer</t>
        </is>
      </c>
      <c r="E71" s="164" t="n">
        <v>16429</v>
      </c>
      <c r="F71" s="158" t="n">
        <v>0.108</v>
      </c>
      <c r="G71" s="158" t="n">
        <v>0.186</v>
      </c>
      <c r="H71" s="158" t="n">
        <v>0.121</v>
      </c>
      <c r="I71" s="164" t="n">
        <v>2466</v>
      </c>
      <c r="J71" s="164" t="n">
        <v>1279</v>
      </c>
      <c r="K71" s="164" t="n">
        <v>138</v>
      </c>
      <c r="L71" s="3" t="inlineStr">
        <is>
          <t>S085</t>
        </is>
      </c>
    </row>
    <row r="72" ht="15" customHeight="1">
      <c r="A72" s="3" t="n"/>
      <c r="B72" s="3" t="inlineStr">
        <is>
          <t>WECC-California</t>
        </is>
      </c>
      <c r="C72" s="161" t="n">
        <v>2026</v>
      </c>
      <c r="D72" s="107" t="inlineStr">
        <is>
          <t>Summer</t>
        </is>
      </c>
      <c r="E72" s="164" t="n">
        <v>57409</v>
      </c>
      <c r="F72" s="158" t="n">
        <v>0.532</v>
      </c>
      <c r="G72" s="158" t="n">
        <v>0.5539999999999999</v>
      </c>
      <c r="H72" s="158" t="n">
        <v>0.203</v>
      </c>
      <c r="I72" s="164" t="n">
        <v>11558</v>
      </c>
      <c r="J72" s="164" t="n">
        <v>1288</v>
      </c>
      <c r="K72" s="164" t="n">
        <v>147</v>
      </c>
      <c r="L72" s="3" t="inlineStr">
        <is>
          <t>S086</t>
        </is>
      </c>
    </row>
    <row r="73" ht="15" customHeight="1">
      <c r="A73" s="3" t="n"/>
      <c r="B73" s="3" t="inlineStr">
        <is>
          <t>WECC-California</t>
        </is>
      </c>
      <c r="C73" s="161" t="n">
        <v>2027</v>
      </c>
      <c r="D73" s="107" t="inlineStr">
        <is>
          <t>Summer</t>
        </is>
      </c>
      <c r="E73" s="164" t="n">
        <v>59296</v>
      </c>
      <c r="F73" s="158" t="n">
        <v>0.47</v>
      </c>
      <c r="G73" s="158" t="n">
        <v>0.496</v>
      </c>
      <c r="H73" s="158" t="n">
        <v>0.192</v>
      </c>
      <c r="I73" s="164" t="n">
        <v>13202</v>
      </c>
      <c r="J73" s="164" t="n">
        <v>1552</v>
      </c>
      <c r="K73" s="164" t="n">
        <v>147</v>
      </c>
      <c r="L73" s="3" t="inlineStr">
        <is>
          <t>S086</t>
        </is>
      </c>
    </row>
    <row r="74" ht="15" customHeight="1">
      <c r="A74" s="3" t="n"/>
      <c r="B74" s="3" t="inlineStr">
        <is>
          <t>WECC-California</t>
        </is>
      </c>
      <c r="C74" s="161" t="n">
        <v>2028</v>
      </c>
      <c r="D74" s="107" t="inlineStr">
        <is>
          <t>Summer</t>
        </is>
      </c>
      <c r="E74" s="164" t="n">
        <v>60772</v>
      </c>
      <c r="F74" s="158" t="n">
        <v>0.461</v>
      </c>
      <c r="G74" s="158" t="n">
        <v>0.501</v>
      </c>
      <c r="H74" s="158" t="n">
        <v>0.193</v>
      </c>
      <c r="I74" s="164" t="n">
        <v>14765</v>
      </c>
      <c r="J74" s="164" t="n">
        <v>2388</v>
      </c>
      <c r="K74" s="164" t="n">
        <v>147</v>
      </c>
      <c r="L74" s="3" t="inlineStr">
        <is>
          <t>S086</t>
        </is>
      </c>
    </row>
    <row r="75" ht="15" customHeight="1">
      <c r="A75" s="3" t="n"/>
      <c r="B75" s="3" t="inlineStr">
        <is>
          <t>WECC-California</t>
        </is>
      </c>
      <c r="C75" s="161" t="n">
        <v>2029</v>
      </c>
      <c r="D75" s="107" t="inlineStr">
        <is>
          <t>Summer</t>
        </is>
      </c>
      <c r="E75" s="164" t="n">
        <v>62478</v>
      </c>
      <c r="F75" s="158" t="n">
        <v>0.456</v>
      </c>
      <c r="G75" s="158" t="n">
        <v>0.512</v>
      </c>
      <c r="H75" s="158" t="n">
        <v>0.197</v>
      </c>
      <c r="I75" s="164" t="n">
        <v>17206</v>
      </c>
      <c r="J75" s="164" t="n">
        <v>3489</v>
      </c>
      <c r="K75" s="164" t="n">
        <v>147</v>
      </c>
      <c r="L75" s="3" t="inlineStr">
        <is>
          <t>S086</t>
        </is>
      </c>
    </row>
    <row r="76" ht="15" customHeight="1">
      <c r="A76" s="3" t="n"/>
      <c r="B76" s="3" t="inlineStr">
        <is>
          <t>WECC-California</t>
        </is>
      </c>
      <c r="C76" s="161" t="n">
        <v>2030</v>
      </c>
      <c r="D76" s="107" t="inlineStr">
        <is>
          <t>Summer</t>
        </is>
      </c>
      <c r="E76" s="164" t="n">
        <v>64426</v>
      </c>
      <c r="F76" s="158" t="n">
        <v>0.427</v>
      </c>
      <c r="G76" s="158" t="n">
        <v>0.504</v>
      </c>
      <c r="H76" s="158" t="n">
        <v>0.193</v>
      </c>
      <c r="I76" s="164" t="n">
        <v>19945</v>
      </c>
      <c r="J76" s="164" t="n">
        <v>4974</v>
      </c>
      <c r="K76" s="164" t="n">
        <v>147</v>
      </c>
      <c r="L76" s="3" t="inlineStr">
        <is>
          <t>S086</t>
        </is>
      </c>
    </row>
    <row r="77" ht="15" customHeight="1">
      <c r="A77" s="3" t="n"/>
      <c r="B77" s="3" t="inlineStr">
        <is>
          <t>WECC-California</t>
        </is>
      </c>
      <c r="C77" s="161" t="n">
        <v>2031</v>
      </c>
      <c r="D77" s="107" t="inlineStr">
        <is>
          <t>Summer</t>
        </is>
      </c>
      <c r="E77" s="164" t="n">
        <v>66079</v>
      </c>
      <c r="F77" s="158" t="n">
        <v>0.37</v>
      </c>
      <c r="G77" s="158" t="n">
        <v>0.445</v>
      </c>
      <c r="H77" s="158" t="n">
        <v>0.191</v>
      </c>
      <c r="I77" s="164" t="n">
        <v>19945</v>
      </c>
      <c r="J77" s="164" t="n">
        <v>4974</v>
      </c>
      <c r="K77" s="164" t="n">
        <v>147</v>
      </c>
      <c r="L77" s="3" t="inlineStr">
        <is>
          <t>S086</t>
        </is>
      </c>
    </row>
    <row r="78" ht="15" customHeight="1">
      <c r="A78" s="3" t="n"/>
      <c r="B78" s="3" t="inlineStr">
        <is>
          <t>WECC-Northwest</t>
        </is>
      </c>
      <c r="C78" s="161" t="n">
        <v>2026</v>
      </c>
      <c r="D78" s="107" t="inlineStr">
        <is>
          <t>Winter starting year</t>
        </is>
      </c>
      <c r="E78" s="164" t="n">
        <v>34396</v>
      </c>
      <c r="F78" s="158" t="n">
        <v>0.302</v>
      </c>
      <c r="G78" s="158" t="n">
        <v>0.303</v>
      </c>
      <c r="H78" s="158" t="n">
        <v>0.178</v>
      </c>
      <c r="I78" s="164" t="n">
        <v>3463</v>
      </c>
      <c r="J78" s="164" t="n">
        <v>10</v>
      </c>
      <c r="K78" s="164" t="n">
        <v>154</v>
      </c>
      <c r="L78" s="3" t="inlineStr">
        <is>
          <t>S087</t>
        </is>
      </c>
    </row>
    <row r="79" ht="15" customHeight="1">
      <c r="A79" s="3" t="n"/>
      <c r="B79" s="3" t="inlineStr">
        <is>
          <t>WECC-Northwest</t>
        </is>
      </c>
      <c r="C79" s="161" t="n">
        <v>2027</v>
      </c>
      <c r="D79" s="107" t="inlineStr">
        <is>
          <t>Winter starting year</t>
        </is>
      </c>
      <c r="E79" s="164" t="n">
        <v>34900</v>
      </c>
      <c r="F79" s="158" t="n">
        <v>0.293</v>
      </c>
      <c r="G79" s="158" t="n">
        <v>0.294</v>
      </c>
      <c r="H79" s="158" t="n">
        <v>0.174</v>
      </c>
      <c r="I79" s="164" t="n">
        <v>3463</v>
      </c>
      <c r="J79" s="164" t="n">
        <v>49</v>
      </c>
      <c r="K79" s="164" t="n">
        <v>154</v>
      </c>
      <c r="L79" s="3" t="inlineStr">
        <is>
          <t>S087</t>
        </is>
      </c>
    </row>
    <row r="80" ht="15" customHeight="1">
      <c r="A80" s="3" t="n"/>
      <c r="B80" s="3" t="inlineStr">
        <is>
          <t>WECC-Northwest</t>
        </is>
      </c>
      <c r="C80" s="161" t="n">
        <v>2028</v>
      </c>
      <c r="D80" s="107" t="inlineStr">
        <is>
          <t>Winter starting year</t>
        </is>
      </c>
      <c r="E80" s="164" t="n">
        <v>36008</v>
      </c>
      <c r="F80" s="158" t="n">
        <v>0.233</v>
      </c>
      <c r="G80" s="158" t="n">
        <v>0.234</v>
      </c>
      <c r="H80" s="158" t="n">
        <v>0.161</v>
      </c>
      <c r="I80" s="164" t="n">
        <v>3219</v>
      </c>
      <c r="J80" s="164" t="n">
        <v>56</v>
      </c>
      <c r="K80" s="164" t="n">
        <v>154</v>
      </c>
      <c r="L80" s="3" t="inlineStr">
        <is>
          <t>S087</t>
        </is>
      </c>
    </row>
    <row r="81" ht="15" customHeight="1">
      <c r="A81" s="3" t="n"/>
      <c r="B81" s="3" t="inlineStr">
        <is>
          <t>WECC-Northwest</t>
        </is>
      </c>
      <c r="C81" s="161" t="n">
        <v>2029</v>
      </c>
      <c r="D81" s="107" t="inlineStr">
        <is>
          <t>Winter starting year</t>
        </is>
      </c>
      <c r="E81" s="164" t="n">
        <v>36987</v>
      </c>
      <c r="F81" s="158" t="n">
        <v>0.191</v>
      </c>
      <c r="G81" s="158" t="n">
        <v>0.192</v>
      </c>
      <c r="H81" s="158" t="n">
        <v>0.158</v>
      </c>
      <c r="I81" s="164" t="n">
        <v>3219</v>
      </c>
      <c r="J81" s="164" t="n">
        <v>56</v>
      </c>
      <c r="K81" s="164" t="n">
        <v>154</v>
      </c>
      <c r="L81" s="3" t="inlineStr">
        <is>
          <t>S087</t>
        </is>
      </c>
    </row>
    <row r="82" ht="15" customHeight="1">
      <c r="A82" s="3" t="n"/>
      <c r="B82" s="3" t="inlineStr">
        <is>
          <t>WECC-Northwest</t>
        </is>
      </c>
      <c r="C82" s="161" t="n">
        <v>2030</v>
      </c>
      <c r="D82" s="107" t="inlineStr">
        <is>
          <t>Winter starting year</t>
        </is>
      </c>
      <c r="E82" s="164" t="n">
        <v>37909</v>
      </c>
      <c r="F82" s="158" t="n">
        <v>0.157</v>
      </c>
      <c r="G82" s="158" t="n">
        <v>0.159</v>
      </c>
      <c r="H82" s="158" t="n">
        <v>0.155</v>
      </c>
      <c r="I82" s="164" t="n">
        <v>3219</v>
      </c>
      <c r="J82" s="164" t="n">
        <v>56</v>
      </c>
      <c r="K82" s="164" t="n">
        <v>154</v>
      </c>
      <c r="L82" s="3" t="inlineStr">
        <is>
          <t>S087</t>
        </is>
      </c>
    </row>
    <row r="83" ht="15" customHeight="1">
      <c r="A83" s="3" t="n"/>
      <c r="B83" s="3" t="inlineStr">
        <is>
          <t>WECC-Northwest</t>
        </is>
      </c>
      <c r="C83" s="161" t="n">
        <v>2031</v>
      </c>
      <c r="D83" s="107" t="inlineStr">
        <is>
          <t>Winter starting year</t>
        </is>
      </c>
      <c r="E83" s="164" t="n">
        <v>38791</v>
      </c>
      <c r="F83" s="158" t="n">
        <v>0.129</v>
      </c>
      <c r="G83" s="158" t="n">
        <v>0.13</v>
      </c>
      <c r="H83" s="158" t="n">
        <v>0.153</v>
      </c>
      <c r="I83" s="164" t="n">
        <v>3219</v>
      </c>
      <c r="J83" s="164" t="n">
        <v>56</v>
      </c>
      <c r="K83" s="164" t="n">
        <v>154</v>
      </c>
      <c r="L83" s="3" t="inlineStr">
        <is>
          <t>S087</t>
        </is>
      </c>
    </row>
    <row r="84" ht="15" customHeight="1">
      <c r="A84" s="3" t="n"/>
      <c r="B84" s="3" t="inlineStr">
        <is>
          <t>WECC-Rocky Mountain</t>
        </is>
      </c>
      <c r="C84" s="161" t="n">
        <v>2026</v>
      </c>
      <c r="D84" s="107" t="inlineStr">
        <is>
          <t>Summer</t>
        </is>
      </c>
      <c r="E84" s="164" t="n">
        <v>13717</v>
      </c>
      <c r="F84" s="158" t="n">
        <v>0.513</v>
      </c>
      <c r="G84" s="158" t="n">
        <v>0.513</v>
      </c>
      <c r="H84" s="158" t="n">
        <v>0.178</v>
      </c>
      <c r="I84" s="164" t="n">
        <v>1771</v>
      </c>
      <c r="J84" s="164" t="n">
        <v>0</v>
      </c>
      <c r="K84" s="164" t="n">
        <v>159</v>
      </c>
      <c r="L84" s="3" t="inlineStr">
        <is>
          <t>S088</t>
        </is>
      </c>
    </row>
    <row r="85" ht="15" customHeight="1">
      <c r="A85" s="3" t="n"/>
      <c r="B85" s="3" t="inlineStr">
        <is>
          <t>WECC-Rocky Mountain</t>
        </is>
      </c>
      <c r="C85" s="161" t="n">
        <v>2027</v>
      </c>
      <c r="D85" s="107" t="inlineStr">
        <is>
          <t>Summer</t>
        </is>
      </c>
      <c r="E85" s="164" t="n">
        <v>14048</v>
      </c>
      <c r="F85" s="158" t="n">
        <v>0.6</v>
      </c>
      <c r="G85" s="158" t="n">
        <v>0.603</v>
      </c>
      <c r="H85" s="158" t="n">
        <v>0.17</v>
      </c>
      <c r="I85" s="164" t="n">
        <v>3486</v>
      </c>
      <c r="J85" s="164" t="n">
        <v>45</v>
      </c>
      <c r="K85" s="164" t="n">
        <v>159</v>
      </c>
      <c r="L85" s="3" t="inlineStr">
        <is>
          <t>S088</t>
        </is>
      </c>
    </row>
    <row r="86" ht="15" customHeight="1">
      <c r="A86" s="3" t="n"/>
      <c r="B86" s="3" t="inlineStr">
        <is>
          <t>WECC-Rocky Mountain</t>
        </is>
      </c>
      <c r="C86" s="161" t="n">
        <v>2028</v>
      </c>
      <c r="D86" s="107" t="inlineStr">
        <is>
          <t>Summer</t>
        </is>
      </c>
      <c r="E86" s="164" t="n">
        <v>14272</v>
      </c>
      <c r="F86" s="158" t="n">
        <v>0.532</v>
      </c>
      <c r="G86" s="158" t="n">
        <v>0.573</v>
      </c>
      <c r="H86" s="158" t="n">
        <v>0.162</v>
      </c>
      <c r="I86" s="164" t="n">
        <v>3979</v>
      </c>
      <c r="J86" s="164" t="n">
        <v>585</v>
      </c>
      <c r="K86" s="164" t="n">
        <v>159</v>
      </c>
      <c r="L86" s="3" t="inlineStr">
        <is>
          <t>S088</t>
        </is>
      </c>
    </row>
    <row r="87" ht="15" customHeight="1">
      <c r="A87" s="3" t="n"/>
      <c r="B87" s="3" t="inlineStr">
        <is>
          <t>WECC-Rocky Mountain</t>
        </is>
      </c>
      <c r="C87" s="161" t="n">
        <v>2029</v>
      </c>
      <c r="D87" s="107" t="inlineStr">
        <is>
          <t>Summer</t>
        </is>
      </c>
      <c r="E87" s="164" t="n">
        <v>14736</v>
      </c>
      <c r="F87" s="158" t="n">
        <v>0.381</v>
      </c>
      <c r="G87" s="158" t="n">
        <v>0.425</v>
      </c>
      <c r="H87" s="158" t="n">
        <v>0.161</v>
      </c>
      <c r="I87" s="164" t="n">
        <v>4079</v>
      </c>
      <c r="J87" s="164" t="n">
        <v>640</v>
      </c>
      <c r="K87" s="164" t="n">
        <v>159</v>
      </c>
      <c r="L87" s="3" t="inlineStr">
        <is>
          <t>S088</t>
        </is>
      </c>
    </row>
    <row r="88" ht="15" customHeight="1">
      <c r="A88" s="3" t="n"/>
      <c r="B88" s="3" t="inlineStr">
        <is>
          <t>WECC-Rocky Mountain</t>
        </is>
      </c>
      <c r="C88" s="161" t="n">
        <v>2030</v>
      </c>
      <c r="D88" s="107" t="inlineStr">
        <is>
          <t>Summer</t>
        </is>
      </c>
      <c r="E88" s="164" t="n">
        <v>15154</v>
      </c>
      <c r="F88" s="158" t="n">
        <v>0.305</v>
      </c>
      <c r="G88" s="158" t="n">
        <v>0.355</v>
      </c>
      <c r="H88" s="158" t="n">
        <v>0.157</v>
      </c>
      <c r="I88" s="164" t="n">
        <v>4079</v>
      </c>
      <c r="J88" s="164" t="n">
        <v>761</v>
      </c>
      <c r="K88" s="164" t="n">
        <v>159</v>
      </c>
      <c r="L88" s="3" t="inlineStr">
        <is>
          <t>S088</t>
        </is>
      </c>
    </row>
    <row r="89" ht="15" customHeight="1">
      <c r="A89" s="3" t="n"/>
      <c r="B89" s="3" t="inlineStr">
        <is>
          <t>WECC-Rocky Mountain</t>
        </is>
      </c>
      <c r="C89" s="161" t="n">
        <v>2031</v>
      </c>
      <c r="D89" s="107" t="inlineStr">
        <is>
          <t>Summer</t>
        </is>
      </c>
      <c r="E89" s="164" t="n">
        <v>15583</v>
      </c>
      <c r="F89" s="158" t="n">
        <v>0.217</v>
      </c>
      <c r="G89" s="158" t="n">
        <v>0.266</v>
      </c>
      <c r="H89" s="158" t="n">
        <v>0.152</v>
      </c>
      <c r="I89" s="164" t="n">
        <v>4079</v>
      </c>
      <c r="J89" s="164" t="n">
        <v>761</v>
      </c>
      <c r="K89" s="164" t="n">
        <v>159</v>
      </c>
      <c r="L89" s="3" t="inlineStr">
        <is>
          <t>S088</t>
        </is>
      </c>
    </row>
    <row r="90" ht="15" customHeight="1">
      <c r="A90" s="3" t="n"/>
      <c r="B90" s="3" t="inlineStr">
        <is>
          <t>WECC-Southwest</t>
        </is>
      </c>
      <c r="C90" s="161" t="n">
        <v>2026</v>
      </c>
      <c r="D90" s="107" t="inlineStr">
        <is>
          <t>Summer</t>
        </is>
      </c>
      <c r="E90" s="164" t="n">
        <v>37169</v>
      </c>
      <c r="F90" s="158" t="n">
        <v>0.411</v>
      </c>
      <c r="G90" s="158" t="n">
        <v>0.458</v>
      </c>
      <c r="H90" s="158" t="n">
        <v>0.133</v>
      </c>
      <c r="I90" s="164" t="n">
        <v>6639</v>
      </c>
      <c r="J90" s="164" t="n">
        <v>1771</v>
      </c>
      <c r="K90" s="164" t="n">
        <v>163</v>
      </c>
      <c r="L90" s="3" t="inlineStr">
        <is>
          <t>S089</t>
        </is>
      </c>
    </row>
    <row r="91" ht="15" customHeight="1">
      <c r="A91" s="3" t="n"/>
      <c r="B91" s="3" t="inlineStr">
        <is>
          <t>WECC-Southwest</t>
        </is>
      </c>
      <c r="C91" s="161" t="n">
        <v>2027</v>
      </c>
      <c r="D91" s="107" t="inlineStr">
        <is>
          <t>Summer</t>
        </is>
      </c>
      <c r="E91" s="164" t="n">
        <v>38653</v>
      </c>
      <c r="F91" s="158" t="n">
        <v>0.396</v>
      </c>
      <c r="G91" s="158" t="n">
        <v>0.536</v>
      </c>
      <c r="H91" s="158" t="n">
        <v>0.137</v>
      </c>
      <c r="I91" s="164" t="n">
        <v>7501</v>
      </c>
      <c r="J91" s="164" t="n">
        <v>5410</v>
      </c>
      <c r="K91" s="164" t="n">
        <v>163</v>
      </c>
      <c r="L91" s="3" t="inlineStr">
        <is>
          <t>S089</t>
        </is>
      </c>
    </row>
    <row r="92" ht="15" customHeight="1">
      <c r="A92" s="3" t="n"/>
      <c r="B92" s="3" t="inlineStr">
        <is>
          <t>WECC-Southwest</t>
        </is>
      </c>
      <c r="C92" s="161" t="n">
        <v>2028</v>
      </c>
      <c r="D92" s="107" t="inlineStr">
        <is>
          <t>Summer</t>
        </is>
      </c>
      <c r="E92" s="164" t="n">
        <v>40165</v>
      </c>
      <c r="F92" s="158" t="n">
        <v>0.386</v>
      </c>
      <c r="G92" s="158" t="n">
        <v>0.5600000000000001</v>
      </c>
      <c r="H92" s="158" t="n">
        <v>0.136</v>
      </c>
      <c r="I92" s="164" t="n">
        <v>8155</v>
      </c>
      <c r="J92" s="164" t="n">
        <v>6994</v>
      </c>
      <c r="K92" s="164" t="n">
        <v>163</v>
      </c>
      <c r="L92" s="3" t="inlineStr">
        <is>
          <t>S089</t>
        </is>
      </c>
    </row>
    <row r="93" ht="15" customHeight="1">
      <c r="A93" s="3" t="n"/>
      <c r="B93" s="3" t="inlineStr">
        <is>
          <t>WECC-Southwest</t>
        </is>
      </c>
      <c r="C93" s="161" t="n">
        <v>2029</v>
      </c>
      <c r="D93" s="107" t="inlineStr">
        <is>
          <t>Summer</t>
        </is>
      </c>
      <c r="E93" s="164" t="n">
        <v>41615</v>
      </c>
      <c r="F93" s="158" t="n">
        <v>0.384</v>
      </c>
      <c r="G93" s="158" t="n">
        <v>0.609</v>
      </c>
      <c r="H93" s="158" t="n">
        <v>0.126</v>
      </c>
      <c r="I93" s="164" t="n">
        <v>8562</v>
      </c>
      <c r="J93" s="164" t="n">
        <v>9369</v>
      </c>
      <c r="K93" s="164" t="n">
        <v>163</v>
      </c>
      <c r="L93" s="3" t="inlineStr">
        <is>
          <t>S089</t>
        </is>
      </c>
    </row>
    <row r="94" ht="15" customHeight="1">
      <c r="A94" s="3" t="n"/>
      <c r="B94" s="3" t="inlineStr">
        <is>
          <t>WECC-Southwest</t>
        </is>
      </c>
      <c r="C94" s="161" t="n">
        <v>2030</v>
      </c>
      <c r="D94" s="107" t="inlineStr">
        <is>
          <t>Summer</t>
        </is>
      </c>
      <c r="E94" s="164" t="n">
        <v>43269</v>
      </c>
      <c r="F94" s="158" t="n">
        <v>0.361</v>
      </c>
      <c r="G94" s="158" t="n">
        <v>0.589</v>
      </c>
      <c r="H94" s="158" t="n">
        <v>0.122</v>
      </c>
      <c r="I94" s="164" t="n">
        <v>8914</v>
      </c>
      <c r="J94" s="164" t="n">
        <v>9872</v>
      </c>
      <c r="K94" s="164" t="n">
        <v>163</v>
      </c>
      <c r="L94" s="3" t="inlineStr">
        <is>
          <t>S089</t>
        </is>
      </c>
    </row>
    <row r="95" ht="15" customHeight="1">
      <c r="A95" s="3" t="n"/>
      <c r="B95" s="3" t="inlineStr">
        <is>
          <t>WECC-Southwest</t>
        </is>
      </c>
      <c r="C95" s="161" t="n">
        <v>2031</v>
      </c>
      <c r="D95" s="107" t="inlineStr">
        <is>
          <t>Summer</t>
        </is>
      </c>
      <c r="E95" s="164" t="n">
        <v>44535</v>
      </c>
      <c r="F95" s="158" t="n">
        <v>0.307</v>
      </c>
      <c r="G95" s="158" t="n">
        <v>0.5600000000000001</v>
      </c>
      <c r="H95" s="158" t="n">
        <v>0.12</v>
      </c>
      <c r="I95" s="164" t="n">
        <v>8914</v>
      </c>
      <c r="J95" s="164" t="n">
        <v>11263</v>
      </c>
      <c r="K95" s="164" t="n">
        <v>163</v>
      </c>
      <c r="L95" s="3" t="inlineStr">
        <is>
          <t>S089</t>
        </is>
      </c>
    </row>
    <row r="96" ht="1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 ht="1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 ht="15" customHeight="1">
      <c r="A98" s="3" t="n"/>
      <c r="B98" s="232" t="inlineStr">
        <is>
          <t>PJM 2028–29 auction</t>
        </is>
      </c>
      <c r="C98" s="3" t="n"/>
      <c r="D98" s="3" t="n"/>
      <c r="E98" s="3" t="inlineStr">
        <is>
          <t>S093</t>
        </is>
      </c>
      <c r="F98" s="3" t="n"/>
      <c r="G98" s="3" t="n"/>
      <c r="H98" s="3" t="n"/>
      <c r="I98" s="3" t="n"/>
      <c r="J98" s="3" t="n"/>
      <c r="K98" s="3" t="n"/>
      <c r="L98" s="3" t="n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2026-10-04T21:45:46Z</dcterms:created>
  <dcterms:modified xmlns:dcterms="http://purl.org/dc/terms/" xmlns:xsi="http://www.w3.org/2001/XMLSchema-instance" xsi:type="dcterms:W3CDTF">2026-10-13T01:22:07Z</dcterms:modified>
  <cp:lastModifiedBy>Salomon, Max</cp:lastModifiedBy>
</cp:coreProperties>
</file>