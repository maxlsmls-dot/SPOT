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obook Inputs" sheetId="1" state="visible" r:id="rId3"/>
    <sheet name="Audiobook GM Bridge" sheetId="2" state="visible" r:id="rId4"/>
    <sheet name="COGS Build" sheetId="3" state="visible" r:id="rId5"/>
    <sheet name="RPM" sheetId="4" state="visible" r:id="rId6"/>
    <sheet name="Valuation" sheetId="5" state="visible" r:id="rId7"/>
    <sheet name="DM Inputs" sheetId="6" state="visible" r:id="rId8"/>
    <sheet name="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<sst xmlns="http://schemas.openxmlformats.org/spreadsheetml/2006/main" count="249" uniqueCount="217">
  <si>
    <t xml:space="preserve">Audiobook Assumptions</t>
  </si>
  <si>
    <t xml:space="preserve">FY'24</t>
  </si>
  <si>
    <t xml:space="preserve">FY'25</t>
  </si>
  <si>
    <t xml:space="preserve">FY'26E</t>
  </si>
  <si>
    <t xml:space="preserve">FY'27E</t>
  </si>
  <si>
    <t xml:space="preserve">FY'28E</t>
  </si>
  <si>
    <t xml:space="preserve">FY'29E</t>
  </si>
  <si>
    <t xml:space="preserve">FY'30E</t>
  </si>
  <si>
    <t xml:space="preserve">Notes</t>
  </si>
  <si>
    <t xml:space="preserve">Case selector</t>
  </si>
  <si>
    <t xml:space="preserve">Linked to Valuation!C3. Drives the licensing-cost growth assumption in section E. Bear = adverse for SPOT (faster cost growth).</t>
  </si>
  <si>
    <t xml:space="preserve">A. Group revenue, €M (denominator for basis points)</t>
  </si>
  <si>
    <t xml:space="preserve">Total revenue</t>
  </si>
  <si>
    <t xml:space="preserve">Linked to RPM row 58 (FY'24-FY'25 actual, FY'26-FY'30 projection).</t>
  </si>
  <si>
    <t xml:space="preserve">B. Bundle royalty saving: MLC contingency disclosed in Spotify filings, €M cumulative from 1 Mar 2024</t>
  </si>
  <si>
    <t xml:space="preserve">6-K Q2-24: cumulative to 30 Jun 2024</t>
  </si>
  <si>
    <t xml:space="preserve">6-K Q2-24 legal proceedings note: 'approximately €46 million, of which approximately €35 million relates to the three months ended June 30, 2024'.</t>
  </si>
  <si>
    <t xml:space="preserve">   of which Apr-Jun 2024</t>
  </si>
  <si>
    <t xml:space="preserve">Same sentence; implies March 2024 alone was about €11M.</t>
  </si>
  <si>
    <t xml:space="preserve">6-K Q3-24: cumulative to 30 Sep 2024</t>
  </si>
  <si>
    <t xml:space="preserve">6-K Q3-24 legal proceedings note.</t>
  </si>
  <si>
    <t xml:space="preserve">20-F FY24: cumulative to 31 Dec 2024</t>
  </si>
  <si>
    <t xml:space="preserve">Form 20-F FY2024, legal proceedings.</t>
  </si>
  <si>
    <t xml:space="preserve">6-K Q1-25: cumulative to 31 Mar 2025</t>
  </si>
  <si>
    <t xml:space="preserve">6-K Q1-25 legal proceedings note.</t>
  </si>
  <si>
    <t xml:space="preserve">6-K Q2-25: cumulative to 30 Jun 2025</t>
  </si>
  <si>
    <t xml:space="preserve">6-K Q2-25 legal proceedings note.</t>
  </si>
  <si>
    <t xml:space="preserve">6-K Q3-25: cumulative to 30 Sep 2025</t>
  </si>
  <si>
    <t xml:space="preserve">6-K Q3-25: first filing to add 'any liability would be partially offset by direct deals with publishers'.</t>
  </si>
  <si>
    <t xml:space="preserve">20-F FY25: cumulative to 31 Dec 2025</t>
  </si>
  <si>
    <t xml:space="preserve">Form 20-F FY2025, legal proceedings.</t>
  </si>
  <si>
    <t xml:space="preserve">6-K Q1-26: cumulative to 31 Mar 2026</t>
  </si>
  <si>
    <t xml:space="preserve">6-K Q1-26 (about $473M at the time).</t>
  </si>
  <si>
    <t xml:space="preserve">6-K Q2-26: cumulative to 30 Jun 2026 (verify)</t>
  </si>
  <si>
    <t xml:space="preserve">Quoted by Music Ally, 7 Sep 2026, as €437M; a second reading gives €473M. Verify in the Q2-26 6-K before quoting.</t>
  </si>
  <si>
    <t xml:space="preserve">Gross bundle saving, forecast placeholders</t>
  </si>
  <si>
    <t xml:space="preserve">FY'26E: 4 x the average quarterly increment Q2-25 to Q1-26 (€51M). FY'27E-FY'30E: held flat; the Phonorecords IV settlement that permits the bundle rate runs to end-2027 and Phonorecords V is open, so flat is the neutral assumption.</t>
  </si>
  <si>
    <t xml:space="preserve">C. Bundle saving cross-check: Billboard analysis of Spotify's MLC reports, paid tiers</t>
  </si>
  <si>
    <t xml:space="preserve">Mechanical royalties paid to the MLC, Q4-23, $M</t>
  </si>
  <si>
    <t xml:space="preserve">Billboard, 'How Much Have Spotify Bundles Decreased the Mechanical Per-Stream Rate? (Analysis)'.</t>
  </si>
  <si>
    <t xml:space="preserve">Mechanical royalties paid to the MLC, Q4-25, $M</t>
  </si>
  <si>
    <t xml:space="preserve">Same analysis; down 45%.</t>
  </si>
  <si>
    <t xml:space="preserve">Blended per-stream mechanical rate, Q4-23, $</t>
  </si>
  <si>
    <t xml:space="preserve">Same analysis.</t>
  </si>
  <si>
    <t xml:space="preserve">Blended per-stream mechanical rate, Q4-25, $</t>
  </si>
  <si>
    <t xml:space="preserve">Same analysis; down 51%.</t>
  </si>
  <si>
    <t xml:space="preserve">EUR/USD, Q4-25 average</t>
  </si>
  <si>
    <t xml:space="preserve">Approximate.</t>
  </si>
  <si>
    <t xml:space="preserve">D. Direct publisher deals that hand part of the saving back (share of US mechanicals in FY'24 column; start month in FY'25 column)</t>
  </si>
  <si>
    <t xml:space="preserve">Universal Music Publishing Group</t>
  </si>
  <si>
    <t xml:space="preserve">Announced 26 Jan 2025 (MBW). Share: estimate (20-25%).</t>
  </si>
  <si>
    <t xml:space="preserve">Warner Chappell Music</t>
  </si>
  <si>
    <t xml:space="preserve">Announced 6 Feb 2025 (MBW). Share: estimate (11-15%).</t>
  </si>
  <si>
    <t xml:space="preserve">Kobalt</t>
  </si>
  <si>
    <t xml:space="preserve">Announced 13 Aug 2025 (CMU, MBW). Share: estimate (4-7%).</t>
  </si>
  <si>
    <t xml:space="preserve">Sony Music Publishing</t>
  </si>
  <si>
    <t xml:space="preserve">Announced 18 Sep 2025 (MBW, Variety). Share: estimate (23-28%).</t>
  </si>
  <si>
    <t xml:space="preserve">BMG</t>
  </si>
  <si>
    <t xml:space="preserve">Announced 9 Oct 2025 (CMU). Share: estimate (2-4%).</t>
  </si>
  <si>
    <t xml:space="preserve">Restoration of the bundle discount in the direct deals</t>
  </si>
  <si>
    <t xml:space="preserve">Estimate; range 50-100%.</t>
  </si>
  <si>
    <t xml:space="preserve">MLC amended complaint succeeds in FY'27 (1 = yes)</t>
  </si>
  <si>
    <t xml:space="preserve">Scenario switch: from FY'27E the independents' share of the saving goes to zero.</t>
  </si>
  <si>
    <t xml:space="preserve">E. Audiobook licensing cost paid to book publishers (included and paid hours)</t>
  </si>
  <si>
    <t xml:space="preserve">FY'24 cost anchor, €M</t>
  </si>
  <si>
    <t xml:space="preserve">Spotify via Axios, 15 Oct 2024: 'hundreds of millions of dollars a year'; read as ~$205M at 1.08.</t>
  </si>
  <si>
    <t xml:space="preserve">Licensing cost growth, % y/y</t>
  </si>
  <si>
    <t xml:space="preserve">FY'25: hours +37% like-for-like (Spotify newsroom Oct 2025) x ~1.15 for the wider paying base. FY'26E: Investor Day May 2026, listeners +60%, cost at ~0.7x. FY'27E-FY'30E: deceleration toward revenue growth as the hour cap binds and the listener base matures. Scenario rows below; Bear = faster cost growth.</t>
  </si>
  <si>
    <t xml:space="preserve">Bear</t>
  </si>
  <si>
    <t xml:space="preserve">Base</t>
  </si>
  <si>
    <t xml:space="preserve">Bull</t>
  </si>
  <si>
    <t xml:space="preserve">F. Paid audiobook revenue, €M (Audiobooks+, top-ups, a la carte)</t>
  </si>
  <si>
    <t xml:space="preserve">Paid audiobook revenue</t>
  </si>
  <si>
    <t xml:space="preserve">FY'24-FY'25 estimates; FY'26E: $100M ARR reached Jul-26; FY'27E +60%; FY'28E-FY'30E +38%, +27%, +19% as payer growth decelerates. Placeholders; link to model.</t>
  </si>
  <si>
    <t xml:space="preserve">   Context: Audiobooks+ ARR, $M (Jul-26) and paying users, M (May-26)</t>
  </si>
  <si>
    <t xml:space="preserve">Investor Day 21 May 2026 via Publishers Weekly; Q2-26 call: $100M ARR reached.</t>
  </si>
  <si>
    <t xml:space="preserve">G. Consensus gross-margin expansion, bp (context only)</t>
  </si>
  <si>
    <t xml:space="preserve">Consensus y/y gross-margin expansion</t>
  </si>
  <si>
    <t xml:space="preserve">Placeholders. Link to the consensus tab.</t>
  </si>
  <si>
    <t xml:space="preserve">H. Memo, excluded from the bridge</t>
  </si>
  <si>
    <t xml:space="preserve">June 2024 US price increase, annualised revenue, €M</t>
  </si>
  <si>
    <t xml:space="preserve">Estimate; a pricing effect, stays outside N.</t>
  </si>
  <si>
    <t xml:space="preserve">Colour key: blue = hard-coded input (notes give source or derivation); light gold = forecast assumption, case-driven cell or link to the model; black = formula.</t>
  </si>
  <si>
    <t xml:space="preserve">Audiobook Gross Margin Bridge</t>
  </si>
  <si>
    <t xml:space="preserve">€ in millions unless stated.  N = B + A - C:  B = bundle royalty saving retained,  A = paid audiobook revenue,  C = audiobook licensing cost paid to book publishers.</t>
  </si>
  <si>
    <t xml:space="preserve">1. Bundle Royalty Saving (B)</t>
  </si>
  <si>
    <t xml:space="preserve">MLC contingency by filing, €M</t>
  </si>
  <si>
    <t xml:space="preserve">Cumulative</t>
  </si>
  <si>
    <t xml:space="preserve">Increment</t>
  </si>
  <si>
    <t xml:space="preserve">Months</t>
  </si>
  <si>
    <t xml:space="preserve">€M / month</t>
  </si>
  <si>
    <t xml:space="preserve">6-K Q2-24 (30 Jun 2024)</t>
  </si>
  <si>
    <t xml:space="preserve">6-K Q3-24 (30 Sep 2024)</t>
  </si>
  <si>
    <t xml:space="preserve">20-F FY24 (31 Dec 2024)</t>
  </si>
  <si>
    <t xml:space="preserve">6-K Q1-25 (31 Mar 2025)</t>
  </si>
  <si>
    <t xml:space="preserve">6-K Q2-25 (30 Jun 2025)</t>
  </si>
  <si>
    <t xml:space="preserve">6-K Q3-25 (30 Sep 2025)</t>
  </si>
  <si>
    <t xml:space="preserve">20-F FY25 (31 Dec 2025)</t>
  </si>
  <si>
    <t xml:space="preserve">6-K Q1-26 (31 Mar 2026)</t>
  </si>
  <si>
    <t xml:space="preserve">6-K Q2-26 (30 Jun 2026): verify</t>
  </si>
  <si>
    <t xml:space="preserve">   of which Apr-Jun 2024 (March 2024 alone about €11M)</t>
  </si>
  <si>
    <t xml:space="preserve">Average quarterly increment, Q2-25 to Q1-26 (x4 annualised in next column)</t>
  </si>
  <si>
    <t xml:space="preserve">Increments ran €50-56M a quarter with no step down after the direct deals, so the figure is gross.</t>
  </si>
  <si>
    <t xml:space="preserve">Billboard cross-check (paid tiers)</t>
  </si>
  <si>
    <t xml:space="preserve">Q4-23</t>
  </si>
  <si>
    <t xml:space="preserve">Q4-25</t>
  </si>
  <si>
    <t xml:space="preserve">Mechanical royalties paid to the MLC, $M</t>
  </si>
  <si>
    <t xml:space="preserve">Blended per-stream rate, $</t>
  </si>
  <si>
    <t xml:space="preserve">Implied streams, bn</t>
  </si>
  <si>
    <t xml:space="preserve">Implied Q4-25 discount: streams x Q4-23 rate less paid, $M (col D); in €M (col E) vs 20-F FY25 increment (col F)</t>
  </si>
  <si>
    <t xml:space="preserve">Two independent sources agree on a gross discount of about €50M a quarter.</t>
  </si>
  <si>
    <t xml:space="preserve">Gross saving, hand-back, B</t>
  </si>
  <si>
    <t xml:space="preserve">Gross bundle saving</t>
  </si>
  <si>
    <t xml:space="preserve">FY'24 and FY'25 from the filings; FY'26E-FY'30E placeholders on the inputs tab.</t>
  </si>
  <si>
    <t xml:space="preserve">Months on direct licence by publisher</t>
  </si>
  <si>
    <t xml:space="preserve">Share</t>
  </si>
  <si>
    <t xml:space="preserve">   Universal Music Publishing Group</t>
  </si>
  <si>
    <t xml:space="preserve">   Warner Chappell Music</t>
  </si>
  <si>
    <t xml:space="preserve">   Kobalt</t>
  </si>
  <si>
    <t xml:space="preserve">   Sony Music Publishing</t>
  </si>
  <si>
    <t xml:space="preserve">   BMG</t>
  </si>
  <si>
    <t xml:space="preserve">   Sum of shares on direct licences (independents are the remainder)</t>
  </si>
  <si>
    <t xml:space="preserve">   Restoration of the discount in the direct deals</t>
  </si>
  <si>
    <t xml:space="preserve">Hand-back = gross x sum(share x months / 12) x restoration</t>
  </si>
  <si>
    <t xml:space="preserve">B: Net bundle saving retained by Spotify</t>
  </si>
  <si>
    <t xml:space="preserve">From FY'27E: if the MLC switch on the inputs tab is 1, the independents' share of the saving goes to zero.</t>
  </si>
  <si>
    <t xml:space="preserve">2. Audiobook Licensing Cost (C)</t>
  </si>
  <si>
    <t xml:space="preserve">% y/y Growth</t>
  </si>
  <si>
    <t xml:space="preserve">Follows the case selector on the inputs tab.</t>
  </si>
  <si>
    <t xml:space="preserve">C: Licensing cost paid to book publishers</t>
  </si>
  <si>
    <t xml:space="preserve">FY'24 anchored on Spotify's 'hundreds of millions of dollars a year'; grown by consumption.</t>
  </si>
  <si>
    <t xml:space="preserve">3. Paid Audiobook Revenue (A)</t>
  </si>
  <si>
    <t xml:space="preserve">A: Paid audiobook revenue</t>
  </si>
  <si>
    <t xml:space="preserve">Counted in full: C is grown on total consumption, so it already carries the publisher cost of paid hours.</t>
  </si>
  <si>
    <t xml:space="preserve">4. Net Contribution to Gross Profit and Gross Margin</t>
  </si>
  <si>
    <t xml:space="preserve">B: Net bundle saving retained</t>
  </si>
  <si>
    <t xml:space="preserve">Less C: Licensing cost paid to book publishers</t>
  </si>
  <si>
    <t xml:space="preserve">Audiobook Contribution to Gross Profit (N)</t>
  </si>
  <si>
    <t xml:space="preserve">Net effect; the COGS Build uses the components (C and B) directly rather than this line.</t>
  </si>
  <si>
    <t xml:space="preserve">Total Revenue</t>
  </si>
  <si>
    <t xml:space="preserve">% Contribution to Gross Margin, bp</t>
  </si>
  <si>
    <t xml:space="preserve">Y/y Change in Contribution, €M</t>
  </si>
  <si>
    <t xml:space="preserve">Y/y Gross Margin Headwind, bp</t>
  </si>
  <si>
    <t xml:space="preserve">Negative = drag.</t>
  </si>
  <si>
    <t xml:space="preserve">   of which music publishers reclaim the bundle saving (change in B)</t>
  </si>
  <si>
    <t xml:space="preserve">   of which book publishers paid on consumption (change in C)</t>
  </si>
  <si>
    <t xml:space="preserve">   of which paid audiobook revenue (change in A)</t>
  </si>
  <si>
    <t xml:space="preserve">Consensus y/y gross-margin expansion, bp (context)</t>
  </si>
  <si>
    <t xml:space="preserve">Headwind as % of consensus expansion (context)</t>
  </si>
  <si>
    <t xml:space="preserve">Memo, excluded: June 2024 US price increase, annualised €M</t>
  </si>
  <si>
    <t xml:space="preserve">5. Sensitivity: growth assigned to audiobook licensing cost (applied to FY'26E and FY'27E; B, A and revenue held)</t>
  </si>
  <si>
    <t xml:space="preserve">Licensing cost growth p.a.</t>
  </si>
  <si>
    <t xml:space="preserve">N FY'26E, €M</t>
  </si>
  <si>
    <t xml:space="preserve">N FY'27E, €M</t>
  </si>
  <si>
    <t xml:space="preserve">Headwind FY'26E, bp</t>
  </si>
  <si>
    <t xml:space="preserve">Headwind FY'27E, bp</t>
  </si>
  <si>
    <t xml:space="preserve">   Base growth, FY'26E</t>
  </si>
  <si>
    <t xml:space="preserve">   Bridge base case</t>
  </si>
  <si>
    <t xml:space="preserve">FY25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</si>
  <si>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</si>
  <si>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</si>
  <si>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</si>
  <si>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</si>
  <si>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</si>
  <si>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Revenue</t>
  </si>
  <si>
    <t xml:space="preserve">RPM row 58.</t>
  </si>
  <si>
    <t xml:space="preserve">Label %</t>
  </si>
  <si>
    <t xml:space="preserve">Recording-royalty rate before the Discovery Mode haircut, % of total revenue. FY25 input. Later years glide down by the bp in the row below: price increases lift revenue faster than the per-subscriber minimums in the label deals, so the effective rate converges on the headline %; the steps shrink as the Sep-25 and Feb-26 hikes lap. This is the main source of margin expansion and the row to tune.</t>
  </si>
  <si>
    <t xml:space="preserve">   y/y change, bp</t>
  </si>
  <si>
    <t xml:space="preserve">Publisher %</t>
  </si>
  <si>
    <t xml:space="preserve">Mechanical + performance royalties, % of total revenue, after the bundle discount. Phonorecords IV escalator adds ~5 bp a year through FY27; flat after. The bundle hand-back is a separate line below.</t>
  </si>
  <si>
    <t xml:space="preserve">Royalties</t>
  </si>
  <si>
    <t xml:space="preserve">(Label % + publisher %) x revenue, before the Discovery Mode haircut.</t>
  </si>
  <si>
    <t xml:space="preserve">Discovery Mode Eligible Streams</t>
  </si>
  <si>
    <t xml:space="preserve">DM Inputs: FY25 D30, FY26-FY30 the active case rows (row 31).</t>
  </si>
  <si>
    <t xml:space="preserve">DM % of DM-eligible streams</t>
  </si>
  <si>
    <t xml:space="preserve">DM Inputs: FY25 D35, FY26-FY30 row 36.</t>
  </si>
  <si>
    <t xml:space="preserve">DM haircut</t>
  </si>
  <si>
    <t xml:space="preserve">30% lower recording royalty on DM-context streams; held flat.</t>
  </si>
  <si>
    <t xml:space="preserve">DM royalties</t>
  </si>
  <si>
    <t xml:space="preserve">Label royalties on Discovery Mode streams before the haircut = revenue x label % x eligible share x DM share. Publishing is not discounted.</t>
  </si>
  <si>
    <t xml:space="preserve">   DM saving</t>
  </si>
  <si>
    <t xml:space="preserve">DM royalties x haircut: the cost-of-revenue reduction.</t>
  </si>
  <si>
    <t xml:space="preserve">DM netted royalties</t>
  </si>
  <si>
    <t xml:space="preserve">Royalties less the DM saving = royalties actually paid. (Was royalties less 70% of DM royalties, which removed the paid part instead of the saving and understated royalties by ~€560M in FY25.)</t>
  </si>
  <si>
    <t xml:space="preserve">Audiobook licensing</t>
  </si>
  <si>
    <t xml:space="preserve">Audiobook GM Bridge, C: licensing cost paid to book publishers, now extended to FY'30E. (Was the bridge's net contribution N, which nets paid audiobook revenue and the bundle saving into a cost line.)</t>
  </si>
  <si>
    <t xml:space="preserve">Bundle saving hand-back vs FY25</t>
  </si>
  <si>
    <t xml:space="preserve">Audiobook GM Bridge, B: the FY25 net bundle saving is already inside the 11% publisher rate; as the direct deals (and any MLC outcome) hand it back, publisher cost rises by FY25 B less the year's B.</t>
  </si>
  <si>
    <t xml:space="preserve">Other, as a % of revenue</t>
  </si>
  <si>
    <t xml:space="preserve">FY25 = plug to reported cost of revenue (IS 2025, €11,690M): payment processing (~3%), podcast content and production (~2%), streaming delivery, hosting and support, Partner Program. Glides down with scale by the bp below; payment fees stay proportional, the rest does not.</t>
  </si>
  <si>
    <t xml:space="preserve">Other</t>
  </si>
  <si>
    <t xml:space="preserve">Other % x revenue. (Was circular: % = €/revenue while € = % x revenue.)</t>
  </si>
  <si>
    <t xml:space="preserve">COGS</t>
  </si>
  <si>
    <t xml:space="preserve">DM netted royalties + audiobook licensing + bundle hand-back + other.</t>
  </si>
  <si>
    <t xml:space="preserve">GP</t>
  </si>
  <si>
    <t xml:space="preserve">GM %</t>
  </si>
  <si>
    <t xml:space="preserve">FY25 reproduces the reported 32.0% by construction.</t>
  </si>
  <si>
    <t xml:space="preserve">Memo: what moves gross margin each year, bp</t>
  </si>
  <si>
    <t xml:space="preserve">   Label rate glide</t>
  </si>
  <si>
    <t xml:space="preserve">   Publisher rate</t>
  </si>
  <si>
    <t xml:space="preserve">   Discovery Mode saving</t>
  </si>
  <si>
    <t xml:space="preserve">   Audiobook licensing</t>
  </si>
  <si>
    <t xml:space="preserve">   Bundle hand-back</t>
  </si>
  <si>
    <t xml:space="preserve">   Other cost of revenue glide</t>
  </si>
  <si>
    <t xml:space="preserve">   Check: sum = y/y change</t>
  </si>
  <si>
    <t xml:space="preserve">Should be ~0 (rounding from the interaction of label % and DM share).</t>
  </si>
  <si>
    <t xml:space="preserve">Reported COGS FY25 (IS)</t>
  </si>
  <si>
    <t xml:space="preserve">IS 2025 cost of revenue.</t>
  </si>
  <si>
    <t xml:space="preserve">Royalties after Discovery Mode, % of revenue</t>
  </si>
  <si>
    <t xml:space="preserve">Loud &amp; Clear: €10.1bn paid to the music industry in 2025 = 58.8% of revenue; at 48% + 11% before the haircut this reads 56.6%, so ~2 points of music cost sit in 'Other'. Raise label % toward 50% to close it.</t>
  </si>
  <si>
    <t xml:space="preserve">Blue = input; gold = held flat / glide; black = formula. After pasting, Find &amp; Replace "[SPOT_COGS_Build_Tabs.xlsx]" with nothing so links point at the model's own tabs.</t>
  </si>
  <si>
    <t xml:space="preserve">STUB</t>
  </si>
  <si>
    <t xml:space="preserve">Case Selector</t>
  </si>
  <si>
    <t xml:space="preserve">Toggle</t>
  </si>
  <si>
    <t xml:space="preserve">2025</t>
  </si>
  <si>
    <t xml:space="preserve">Cost of Revenue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</si>
</sst>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_);\(#,##0\)"/>
    <numFmt numFmtId="166" formatCode="0.0"/>
    <numFmt numFmtId="167" formatCode="0.00000"/>
    <numFmt numFmtId="168" formatCode="0.00"/>
    <numFmt numFmtId="169" formatCode="0%"/>
    <numFmt numFmtId="170" formatCode="0"/>
    <numFmt numFmtId="171" formatCode="0.0%"/>
    <numFmt numFmtId="172" formatCode="0_);\(0\)"/>
    <numFmt numFmtId="173" formatCode="\+0;\-0;0"/>
    <numFmt numFmtId="174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70C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.9"/>
    <col collapsed="false" customWidth="true" hidden="false" outlineLevel="0" max="2" min="2" style="0" width="58"/>
    <col collapsed="false" customWidth="true" hidden="false" outlineLevel="0" max="10" min="3" style="0" width="13"/>
    <col collapsed="false" customWidth="true" hidden="false" outlineLevel="0" max="11" min="11" style="0" width="78"/>
  </cols>
  <sheetData>
    <row r="2" customFormat="false" ht="15" hidden="false" customHeight="false" outlineLevel="0" collapsed="false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1"/>
      <c r="K2" s="1" t="s">
        <v>8</v>
      </c>
    </row>
    <row r="3" customFormat="false" ht="15" hidden="false" customHeight="false" outlineLevel="0" collapsed="false"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8.35" hidden="false" customHeight="false" outlineLevel="0" collapsed="false">
      <c r="B4" s="4" t="s">
        <v>9</v>
      </c>
      <c r="C4" s="5" t="str">
        <f aca="false">Valuation!$C$3</f>
        <v>Base</v>
      </c>
      <c r="K4" s="6" t="s">
        <v>10</v>
      </c>
    </row>
    <row r="6" customFormat="false" ht="15" hidden="false" customHeight="false" outlineLevel="0" collapsed="false">
      <c r="B6" s="7" t="s">
        <v>11</v>
      </c>
    </row>
    <row r="7" customFormat="false" ht="15" hidden="false" customHeight="false" outlineLevel="0" collapsed="false">
      <c r="B7" s="4" t="s">
        <v>12</v>
      </c>
      <c r="C7" s="8" t="n">
        <f aca="false">RPM!L58</f>
        <v>15673</v>
      </c>
      <c r="D7" s="8" t="n">
        <f aca="false">RPM!Q58</f>
        <v>17186</v>
      </c>
      <c r="E7" s="8" t="n">
        <f aca="false">RPM!V58</f>
        <v>19410</v>
      </c>
      <c r="F7" s="8" t="n">
        <f aca="false">RPM!AA58</f>
        <v>21172</v>
      </c>
      <c r="G7" s="8" t="n">
        <f aca="false">RPM!AB58</f>
        <v>23166</v>
      </c>
      <c r="H7" s="8" t="n">
        <f aca="false">RPM!AC58</f>
        <v>25017</v>
      </c>
      <c r="I7" s="8" t="n">
        <f aca="false">RPM!AD58</f>
        <v>26482</v>
      </c>
      <c r="K7" s="6" t="s">
        <v>13</v>
      </c>
    </row>
    <row r="9" customFormat="false" ht="15" hidden="false" customHeight="false" outlineLevel="0" collapsed="false">
      <c r="B9" s="7" t="s">
        <v>14</v>
      </c>
    </row>
    <row r="10" customFormat="false" ht="28.35" hidden="false" customHeight="false" outlineLevel="0" collapsed="false">
      <c r="B10" s="4" t="s">
        <v>15</v>
      </c>
      <c r="C10" s="9" t="n">
        <v>46</v>
      </c>
      <c r="K10" s="6" t="s">
        <v>16</v>
      </c>
    </row>
    <row r="11" customFormat="false" ht="15" hidden="false" customHeight="false" outlineLevel="0" collapsed="false">
      <c r="B11" s="4" t="s">
        <v>17</v>
      </c>
      <c r="C11" s="9" t="n">
        <v>35</v>
      </c>
      <c r="K11" s="6" t="s">
        <v>18</v>
      </c>
    </row>
    <row r="12" customFormat="false" ht="15" hidden="false" customHeight="false" outlineLevel="0" collapsed="false">
      <c r="B12" s="4" t="s">
        <v>19</v>
      </c>
      <c r="C12" s="9" t="n">
        <v>94</v>
      </c>
      <c r="K12" s="6" t="s">
        <v>20</v>
      </c>
    </row>
    <row r="13" customFormat="false" ht="15" hidden="false" customHeight="false" outlineLevel="0" collapsed="false">
      <c r="B13" s="4" t="s">
        <v>21</v>
      </c>
      <c r="C13" s="9" t="n">
        <v>150</v>
      </c>
      <c r="K13" s="6" t="s">
        <v>22</v>
      </c>
    </row>
    <row r="14" customFormat="false" ht="15" hidden="false" customHeight="false" outlineLevel="0" collapsed="false">
      <c r="B14" s="4" t="s">
        <v>23</v>
      </c>
      <c r="C14" s="9" t="n">
        <v>205</v>
      </c>
      <c r="K14" s="6" t="s">
        <v>24</v>
      </c>
    </row>
    <row r="15" customFormat="false" ht="15" hidden="false" customHeight="false" outlineLevel="0" collapsed="false">
      <c r="B15" s="4" t="s">
        <v>25</v>
      </c>
      <c r="C15" s="9" t="n">
        <v>256</v>
      </c>
      <c r="K15" s="6" t="s">
        <v>26</v>
      </c>
    </row>
    <row r="16" customFormat="false" ht="28.35" hidden="false" customHeight="false" outlineLevel="0" collapsed="false">
      <c r="B16" s="4" t="s">
        <v>27</v>
      </c>
      <c r="C16" s="9" t="n">
        <v>308</v>
      </c>
      <c r="K16" s="6" t="s">
        <v>28</v>
      </c>
    </row>
    <row r="17" customFormat="false" ht="15" hidden="false" customHeight="false" outlineLevel="0" collapsed="false">
      <c r="B17" s="4" t="s">
        <v>29</v>
      </c>
      <c r="C17" s="9" t="n">
        <v>358</v>
      </c>
      <c r="K17" s="6" t="s">
        <v>30</v>
      </c>
    </row>
    <row r="18" customFormat="false" ht="15" hidden="false" customHeight="false" outlineLevel="0" collapsed="false">
      <c r="B18" s="4" t="s">
        <v>31</v>
      </c>
      <c r="C18" s="9" t="n">
        <v>410</v>
      </c>
      <c r="K18" s="6" t="s">
        <v>32</v>
      </c>
    </row>
    <row r="19" customFormat="false" ht="28.35" hidden="false" customHeight="false" outlineLevel="0" collapsed="false">
      <c r="B19" s="4" t="s">
        <v>33</v>
      </c>
      <c r="C19" s="9" t="n">
        <v>437</v>
      </c>
      <c r="K19" s="6" t="s">
        <v>34</v>
      </c>
    </row>
    <row r="20" customFormat="false" ht="41.75" hidden="false" customHeight="false" outlineLevel="0" collapsed="false">
      <c r="B20" s="4" t="s">
        <v>35</v>
      </c>
      <c r="E20" s="10" t="n">
        <v>205</v>
      </c>
      <c r="F20" s="10" t="n">
        <v>205</v>
      </c>
      <c r="G20" s="10" t="n">
        <v>205</v>
      </c>
      <c r="H20" s="10" t="n">
        <v>205</v>
      </c>
      <c r="I20" s="10" t="n">
        <v>205</v>
      </c>
      <c r="K20" s="6" t="s">
        <v>36</v>
      </c>
    </row>
    <row r="22" customFormat="false" ht="15" hidden="false" customHeight="false" outlineLevel="0" collapsed="false">
      <c r="B22" s="7" t="s">
        <v>37</v>
      </c>
    </row>
    <row r="23" customFormat="false" ht="28.35" hidden="false" customHeight="false" outlineLevel="0" collapsed="false">
      <c r="B23" s="4" t="s">
        <v>38</v>
      </c>
      <c r="C23" s="11" t="n">
        <v>97.3</v>
      </c>
      <c r="K23" s="6" t="s">
        <v>39</v>
      </c>
    </row>
    <row r="24" customFormat="false" ht="15" hidden="false" customHeight="false" outlineLevel="0" collapsed="false">
      <c r="B24" s="4" t="s">
        <v>40</v>
      </c>
      <c r="C24" s="11" t="n">
        <v>53.3</v>
      </c>
      <c r="K24" s="6" t="s">
        <v>41</v>
      </c>
    </row>
    <row r="25" customFormat="false" ht="15" hidden="false" customHeight="false" outlineLevel="0" collapsed="false">
      <c r="B25" s="4" t="s">
        <v>42</v>
      </c>
      <c r="C25" s="12" t="n">
        <v>0.00068</v>
      </c>
      <c r="K25" s="6" t="s">
        <v>43</v>
      </c>
    </row>
    <row r="26" customFormat="false" ht="15" hidden="false" customHeight="false" outlineLevel="0" collapsed="false">
      <c r="B26" s="4" t="s">
        <v>44</v>
      </c>
      <c r="C26" s="12" t="n">
        <v>0.00033</v>
      </c>
      <c r="K26" s="6" t="s">
        <v>45</v>
      </c>
    </row>
    <row r="27" customFormat="false" ht="15" hidden="false" customHeight="false" outlineLevel="0" collapsed="false">
      <c r="B27" s="4" t="s">
        <v>46</v>
      </c>
      <c r="C27" s="13" t="n">
        <v>1.16</v>
      </c>
      <c r="K27" s="6" t="s">
        <v>47</v>
      </c>
    </row>
    <row r="29" customFormat="false" ht="15" hidden="false" customHeight="false" outlineLevel="0" collapsed="false">
      <c r="B29" s="7" t="s">
        <v>48</v>
      </c>
    </row>
    <row r="30" customFormat="false" ht="15" hidden="false" customHeight="false" outlineLevel="0" collapsed="false">
      <c r="B30" s="4" t="s">
        <v>49</v>
      </c>
      <c r="C30" s="14" t="n">
        <v>0.22</v>
      </c>
      <c r="D30" s="15" t="n">
        <v>2</v>
      </c>
      <c r="K30" s="6" t="s">
        <v>50</v>
      </c>
    </row>
    <row r="31" customFormat="false" ht="15" hidden="false" customHeight="false" outlineLevel="0" collapsed="false">
      <c r="B31" s="4" t="s">
        <v>51</v>
      </c>
      <c r="C31" s="14" t="n">
        <v>0.13</v>
      </c>
      <c r="D31" s="15" t="n">
        <v>3</v>
      </c>
      <c r="K31" s="6" t="s">
        <v>52</v>
      </c>
    </row>
    <row r="32" customFormat="false" ht="15" hidden="false" customHeight="false" outlineLevel="0" collapsed="false">
      <c r="B32" s="4" t="s">
        <v>53</v>
      </c>
      <c r="C32" s="14" t="n">
        <v>0.05</v>
      </c>
      <c r="D32" s="15" t="n">
        <v>9</v>
      </c>
      <c r="K32" s="6" t="s">
        <v>54</v>
      </c>
    </row>
    <row r="33" customFormat="false" ht="15" hidden="false" customHeight="false" outlineLevel="0" collapsed="false">
      <c r="B33" s="4" t="s">
        <v>55</v>
      </c>
      <c r="C33" s="14" t="n">
        <v>0.26</v>
      </c>
      <c r="D33" s="15" t="n">
        <v>10</v>
      </c>
      <c r="K33" s="6" t="s">
        <v>56</v>
      </c>
    </row>
    <row r="34" customFormat="false" ht="15" hidden="false" customHeight="false" outlineLevel="0" collapsed="false">
      <c r="B34" s="4" t="s">
        <v>57</v>
      </c>
      <c r="C34" s="14" t="n">
        <v>0.03</v>
      </c>
      <c r="D34" s="15" t="n">
        <v>11</v>
      </c>
      <c r="K34" s="6" t="s">
        <v>58</v>
      </c>
    </row>
    <row r="35" customFormat="false" ht="15" hidden="false" customHeight="false" outlineLevel="0" collapsed="false">
      <c r="B35" s="4" t="s">
        <v>59</v>
      </c>
      <c r="C35" s="14" t="n">
        <v>0.75</v>
      </c>
      <c r="K35" s="6" t="s">
        <v>60</v>
      </c>
    </row>
    <row r="36" customFormat="false" ht="15" hidden="false" customHeight="false" outlineLevel="0" collapsed="false">
      <c r="B36" s="4" t="s">
        <v>61</v>
      </c>
      <c r="C36" s="15" t="n">
        <v>0</v>
      </c>
      <c r="K36" s="6" t="s">
        <v>62</v>
      </c>
    </row>
    <row r="38" customFormat="false" ht="15" hidden="false" customHeight="false" outlineLevel="0" collapsed="false">
      <c r="B38" s="7" t="s">
        <v>63</v>
      </c>
    </row>
    <row r="39" customFormat="false" ht="28.35" hidden="false" customHeight="false" outlineLevel="0" collapsed="false">
      <c r="B39" s="4" t="s">
        <v>64</v>
      </c>
      <c r="C39" s="9" t="n">
        <v>190</v>
      </c>
      <c r="K39" s="6" t="s">
        <v>65</v>
      </c>
    </row>
    <row r="40" customFormat="false" ht="55.2" hidden="false" customHeight="false" outlineLevel="0" collapsed="false">
      <c r="B40" s="4" t="s">
        <v>66</v>
      </c>
      <c r="D40" s="16" t="n">
        <v>0.58</v>
      </c>
      <c r="E40" s="17" t="n">
        <f aca="false">IF('Audiobook Inputs'!$C$4="Bear",E41,IF('Audiobook Inputs'!$C$4="Bull",E43,E42))</f>
        <v>0.43</v>
      </c>
      <c r="F40" s="17" t="n">
        <f aca="false">IF('Audiobook Inputs'!$C$4="Bear",F41,IF('Audiobook Inputs'!$C$4="Bull",F43,F42))</f>
        <v>0.3</v>
      </c>
      <c r="G40" s="17" t="n">
        <f aca="false">IF('Audiobook Inputs'!$C$4="Bear",G41,IF('Audiobook Inputs'!$C$4="Bull",G43,G42))</f>
        <v>0.2</v>
      </c>
      <c r="H40" s="17" t="n">
        <f aca="false">IF('Audiobook Inputs'!$C$4="Bear",H41,IF('Audiobook Inputs'!$C$4="Bull",H43,H42))</f>
        <v>0.14</v>
      </c>
      <c r="I40" s="17" t="n">
        <f aca="false">IF('Audiobook Inputs'!$C$4="Bear",I41,IF('Audiobook Inputs'!$C$4="Bull",I43,I42))</f>
        <v>0.1</v>
      </c>
      <c r="K40" s="6" t="s">
        <v>67</v>
      </c>
    </row>
    <row r="41" customFormat="false" ht="15" hidden="false" customHeight="false" outlineLevel="0" collapsed="false">
      <c r="B41" s="18" t="s">
        <v>68</v>
      </c>
      <c r="E41" s="16" t="n">
        <v>0.6</v>
      </c>
      <c r="F41" s="16" t="n">
        <v>0.45</v>
      </c>
      <c r="G41" s="16" t="n">
        <v>0.3</v>
      </c>
      <c r="H41" s="16" t="n">
        <v>0.22</v>
      </c>
      <c r="I41" s="16" t="n">
        <v>0.15</v>
      </c>
    </row>
    <row r="42" customFormat="false" ht="15" hidden="false" customHeight="false" outlineLevel="0" collapsed="false">
      <c r="B42" s="19" t="s">
        <v>69</v>
      </c>
      <c r="E42" s="16" t="n">
        <v>0.43</v>
      </c>
      <c r="F42" s="16" t="n">
        <v>0.3</v>
      </c>
      <c r="G42" s="16" t="n">
        <v>0.2</v>
      </c>
      <c r="H42" s="16" t="n">
        <v>0.14</v>
      </c>
      <c r="I42" s="16" t="n">
        <v>0.1</v>
      </c>
    </row>
    <row r="43" customFormat="false" ht="15" hidden="false" customHeight="false" outlineLevel="0" collapsed="false">
      <c r="B43" s="20" t="s">
        <v>70</v>
      </c>
      <c r="E43" s="16" t="n">
        <v>0.3</v>
      </c>
      <c r="F43" s="16" t="n">
        <v>0.2</v>
      </c>
      <c r="G43" s="16" t="n">
        <v>0.15</v>
      </c>
      <c r="H43" s="16" t="n">
        <v>0.1</v>
      </c>
      <c r="I43" s="16" t="n">
        <v>0.07</v>
      </c>
    </row>
    <row r="45" customFormat="false" ht="15" hidden="false" customHeight="false" outlineLevel="0" collapsed="false">
      <c r="B45" s="7" t="s">
        <v>71</v>
      </c>
    </row>
    <row r="46" customFormat="false" ht="28.35" hidden="false" customHeight="false" outlineLevel="0" collapsed="false">
      <c r="B46" s="4" t="s">
        <v>72</v>
      </c>
      <c r="C46" s="9" t="n">
        <v>5</v>
      </c>
      <c r="D46" s="9" t="n">
        <v>30</v>
      </c>
      <c r="E46" s="10" t="n">
        <v>75</v>
      </c>
      <c r="F46" s="10" t="n">
        <v>120</v>
      </c>
      <c r="G46" s="10" t="n">
        <v>165</v>
      </c>
      <c r="H46" s="10" t="n">
        <v>210</v>
      </c>
      <c r="I46" s="10" t="n">
        <v>250</v>
      </c>
      <c r="K46" s="6" t="s">
        <v>73</v>
      </c>
    </row>
    <row r="47" customFormat="false" ht="15" hidden="false" customHeight="false" outlineLevel="0" collapsed="false">
      <c r="B47" s="4" t="s">
        <v>74</v>
      </c>
      <c r="C47" s="11" t="n">
        <v>100</v>
      </c>
      <c r="D47" s="11" t="n">
        <v>1</v>
      </c>
      <c r="K47" s="6" t="s">
        <v>75</v>
      </c>
    </row>
    <row r="49" customFormat="false" ht="15" hidden="false" customHeight="false" outlineLevel="0" collapsed="false">
      <c r="B49" s="7" t="s">
        <v>76</v>
      </c>
    </row>
    <row r="50" customFormat="false" ht="15" hidden="false" customHeight="false" outlineLevel="0" collapsed="false">
      <c r="B50" s="4" t="s">
        <v>77</v>
      </c>
      <c r="E50" s="21" t="n">
        <v>115</v>
      </c>
      <c r="F50" s="21" t="n">
        <v>130</v>
      </c>
      <c r="G50" s="21" t="n">
        <v>100</v>
      </c>
      <c r="H50" s="21" t="n">
        <v>80</v>
      </c>
      <c r="I50" s="21" t="n">
        <v>60</v>
      </c>
      <c r="K50" s="6" t="s">
        <v>78</v>
      </c>
    </row>
    <row r="52" customFormat="false" ht="15" hidden="false" customHeight="false" outlineLevel="0" collapsed="false">
      <c r="B52" s="7" t="s">
        <v>79</v>
      </c>
    </row>
    <row r="53" customFormat="false" ht="15" hidden="false" customHeight="false" outlineLevel="0" collapsed="false">
      <c r="B53" s="4" t="s">
        <v>80</v>
      </c>
      <c r="C53" s="9" t="n">
        <v>500</v>
      </c>
      <c r="K53" s="6" t="s">
        <v>81</v>
      </c>
    </row>
    <row r="55" customFormat="false" ht="15" hidden="false" customHeight="false" outlineLevel="0" collapsed="false">
      <c r="B55" s="2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.9"/>
    <col collapsed="false" customWidth="true" hidden="false" outlineLevel="0" max="2" min="2" style="0" width="58"/>
    <col collapsed="false" customWidth="true" hidden="false" outlineLevel="0" max="10" min="3" style="0" width="13"/>
    <col collapsed="false" customWidth="true" hidden="false" outlineLevel="0" max="11" min="11" style="0" width="78"/>
  </cols>
  <sheetData>
    <row r="2" customFormat="false" ht="15" hidden="false" customHeight="false" outlineLevel="0" collapsed="false">
      <c r="B2" s="1" t="s">
        <v>83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1"/>
      <c r="K2" s="1" t="s">
        <v>8</v>
      </c>
    </row>
    <row r="3" customFormat="false" ht="15" hidden="false" customHeight="false" outlineLevel="0" collapsed="false"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B4" s="22" t="s">
        <v>84</v>
      </c>
    </row>
    <row r="6" customFormat="false" ht="15" hidden="false" customHeight="false" outlineLevel="0" collapsed="false">
      <c r="B6" s="7" t="s">
        <v>85</v>
      </c>
    </row>
    <row r="7" customFormat="false" ht="15" hidden="false" customHeight="false" outlineLevel="0" collapsed="false">
      <c r="B7" s="22" t="s">
        <v>86</v>
      </c>
      <c r="C7" s="23" t="s">
        <v>87</v>
      </c>
      <c r="D7" s="23" t="s">
        <v>88</v>
      </c>
      <c r="E7" s="23" t="s">
        <v>89</v>
      </c>
      <c r="F7" s="23" t="s">
        <v>90</v>
      </c>
    </row>
    <row r="8" customFormat="false" ht="15" hidden="false" customHeight="false" outlineLevel="0" collapsed="false">
      <c r="B8" s="4" t="s">
        <v>91</v>
      </c>
      <c r="C8" s="24" t="n">
        <f aca="false">'Audiobook Inputs'!$C$10</f>
        <v>46</v>
      </c>
      <c r="D8" s="24" t="n">
        <f aca="false">C8</f>
        <v>46</v>
      </c>
      <c r="E8" s="15" t="n">
        <v>4</v>
      </c>
      <c r="F8" s="25" t="n">
        <f aca="false">D8/E8</f>
        <v>11.5</v>
      </c>
    </row>
    <row r="9" customFormat="false" ht="15" hidden="false" customHeight="false" outlineLevel="0" collapsed="false">
      <c r="B9" s="4" t="s">
        <v>92</v>
      </c>
      <c r="C9" s="24" t="n">
        <f aca="false">'Audiobook Inputs'!$C$12</f>
        <v>94</v>
      </c>
      <c r="D9" s="24" t="n">
        <f aca="false">C9-C8</f>
        <v>48</v>
      </c>
      <c r="E9" s="15" t="n">
        <v>3</v>
      </c>
      <c r="F9" s="25" t="n">
        <f aca="false">D9/E9</f>
        <v>16</v>
      </c>
    </row>
    <row r="10" customFormat="false" ht="15" hidden="false" customHeight="false" outlineLevel="0" collapsed="false">
      <c r="B10" s="4" t="s">
        <v>93</v>
      </c>
      <c r="C10" s="24" t="n">
        <f aca="false">'Audiobook Inputs'!$C$13</f>
        <v>150</v>
      </c>
      <c r="D10" s="24" t="n">
        <f aca="false">C10-C9</f>
        <v>56</v>
      </c>
      <c r="E10" s="15" t="n">
        <v>3</v>
      </c>
      <c r="F10" s="25" t="n">
        <f aca="false">D10/E10</f>
        <v>18.6666666666667</v>
      </c>
    </row>
    <row r="11" customFormat="false" ht="15" hidden="false" customHeight="false" outlineLevel="0" collapsed="false">
      <c r="B11" s="4" t="s">
        <v>94</v>
      </c>
      <c r="C11" s="24" t="n">
        <f aca="false">'Audiobook Inputs'!$C$14</f>
        <v>205</v>
      </c>
      <c r="D11" s="24" t="n">
        <f aca="false">C11-C10</f>
        <v>55</v>
      </c>
      <c r="E11" s="15" t="n">
        <v>3</v>
      </c>
      <c r="F11" s="25" t="n">
        <f aca="false">D11/E11</f>
        <v>18.3333333333333</v>
      </c>
    </row>
    <row r="12" customFormat="false" ht="15" hidden="false" customHeight="false" outlineLevel="0" collapsed="false">
      <c r="B12" s="4" t="s">
        <v>95</v>
      </c>
      <c r="C12" s="24" t="n">
        <f aca="false">'Audiobook Inputs'!$C$15</f>
        <v>256</v>
      </c>
      <c r="D12" s="24" t="n">
        <f aca="false">C12-C11</f>
        <v>51</v>
      </c>
      <c r="E12" s="15" t="n">
        <v>3</v>
      </c>
      <c r="F12" s="25" t="n">
        <f aca="false">D12/E12</f>
        <v>17</v>
      </c>
    </row>
    <row r="13" customFormat="false" ht="15" hidden="false" customHeight="false" outlineLevel="0" collapsed="false">
      <c r="B13" s="4" t="s">
        <v>96</v>
      </c>
      <c r="C13" s="24" t="n">
        <f aca="false">'Audiobook Inputs'!$C$16</f>
        <v>308</v>
      </c>
      <c r="D13" s="24" t="n">
        <f aca="false">C13-C12</f>
        <v>52</v>
      </c>
      <c r="E13" s="15" t="n">
        <v>3</v>
      </c>
      <c r="F13" s="25" t="n">
        <f aca="false">D13/E13</f>
        <v>17.3333333333333</v>
      </c>
    </row>
    <row r="14" customFormat="false" ht="15" hidden="false" customHeight="false" outlineLevel="0" collapsed="false">
      <c r="B14" s="4" t="s">
        <v>97</v>
      </c>
      <c r="C14" s="24" t="n">
        <f aca="false">'Audiobook Inputs'!$C$17</f>
        <v>358</v>
      </c>
      <c r="D14" s="24" t="n">
        <f aca="false">C14-C13</f>
        <v>50</v>
      </c>
      <c r="E14" s="15" t="n">
        <v>3</v>
      </c>
      <c r="F14" s="25" t="n">
        <f aca="false">D14/E14</f>
        <v>16.6666666666667</v>
      </c>
    </row>
    <row r="15" customFormat="false" ht="15" hidden="false" customHeight="false" outlineLevel="0" collapsed="false">
      <c r="B15" s="4" t="s">
        <v>98</v>
      </c>
      <c r="C15" s="24" t="n">
        <f aca="false">'Audiobook Inputs'!$C$18</f>
        <v>410</v>
      </c>
      <c r="D15" s="24" t="n">
        <f aca="false">C15-C14</f>
        <v>52</v>
      </c>
      <c r="E15" s="15" t="n">
        <v>3</v>
      </c>
      <c r="F15" s="25" t="n">
        <f aca="false">D15/E15</f>
        <v>17.3333333333333</v>
      </c>
    </row>
    <row r="16" customFormat="false" ht="15" hidden="false" customHeight="false" outlineLevel="0" collapsed="false">
      <c r="B16" s="4" t="s">
        <v>99</v>
      </c>
      <c r="C16" s="24" t="n">
        <f aca="false">'Audiobook Inputs'!$C$19</f>
        <v>437</v>
      </c>
      <c r="D16" s="24" t="n">
        <f aca="false">C16-C15</f>
        <v>27</v>
      </c>
      <c r="E16" s="15" t="n">
        <v>3</v>
      </c>
      <c r="F16" s="25" t="n">
        <f aca="false">D16/E16</f>
        <v>9</v>
      </c>
    </row>
    <row r="17" customFormat="false" ht="15" hidden="false" customHeight="false" outlineLevel="0" collapsed="false">
      <c r="B17" s="4" t="s">
        <v>100</v>
      </c>
      <c r="C17" s="24" t="n">
        <f aca="false">'Audiobook Inputs'!$C$11</f>
        <v>35</v>
      </c>
      <c r="E17" s="15" t="n">
        <v>3</v>
      </c>
      <c r="F17" s="25" t="n">
        <f aca="false">C17/E17</f>
        <v>11.6666666666667</v>
      </c>
    </row>
    <row r="18" customFormat="false" ht="28.35" hidden="false" customHeight="false" outlineLevel="0" collapsed="false">
      <c r="B18" s="4" t="s">
        <v>101</v>
      </c>
      <c r="C18" s="25" t="n">
        <f aca="false">AVERAGE(D12:D15)</f>
        <v>51.25</v>
      </c>
      <c r="D18" s="24" t="n">
        <f aca="false">C18*4</f>
        <v>205</v>
      </c>
      <c r="K18" s="6" t="s">
        <v>102</v>
      </c>
    </row>
    <row r="20" customFormat="false" ht="15" hidden="false" customHeight="false" outlineLevel="0" collapsed="false">
      <c r="B20" s="22" t="s">
        <v>103</v>
      </c>
      <c r="C20" s="23" t="s">
        <v>104</v>
      </c>
      <c r="D20" s="23" t="s">
        <v>105</v>
      </c>
      <c r="E20" s="23"/>
      <c r="F20" s="23"/>
      <c r="G20" s="23"/>
      <c r="H20" s="23"/>
      <c r="I20" s="23"/>
    </row>
    <row r="21" customFormat="false" ht="15" hidden="false" customHeight="false" outlineLevel="0" collapsed="false">
      <c r="B21" s="4" t="s">
        <v>106</v>
      </c>
      <c r="C21" s="25" t="n">
        <f aca="false">'Audiobook Inputs'!$C$23</f>
        <v>97.3</v>
      </c>
      <c r="D21" s="25" t="n">
        <f aca="false">'Audiobook Inputs'!$C$24</f>
        <v>53.3</v>
      </c>
    </row>
    <row r="22" customFormat="false" ht="15" hidden="false" customHeight="false" outlineLevel="0" collapsed="false">
      <c r="B22" s="4" t="s">
        <v>107</v>
      </c>
      <c r="C22" s="26" t="n">
        <f aca="false">'Audiobook Inputs'!$C$25</f>
        <v>0.00068</v>
      </c>
      <c r="D22" s="26" t="n">
        <f aca="false">'Audiobook Inputs'!$C$26</f>
        <v>0.00033</v>
      </c>
    </row>
    <row r="23" customFormat="false" ht="15" hidden="false" customHeight="false" outlineLevel="0" collapsed="false">
      <c r="B23" s="4" t="s">
        <v>108</v>
      </c>
      <c r="C23" s="25" t="n">
        <f aca="false">C21/C22/1000</f>
        <v>143.088235294118</v>
      </c>
      <c r="D23" s="25" t="n">
        <f aca="false">D21/D22/1000</f>
        <v>161.515151515152</v>
      </c>
    </row>
    <row r="24" customFormat="false" ht="15" hidden="false" customHeight="false" outlineLevel="0" collapsed="false">
      <c r="B24" s="4" t="s">
        <v>109</v>
      </c>
      <c r="D24" s="25" t="n">
        <f aca="false">D23*C22*1000-D21</f>
        <v>56.530303030303</v>
      </c>
      <c r="E24" s="25" t="n">
        <f aca="false">D24/'Audiobook Inputs'!$C$27</f>
        <v>48.7330198537095</v>
      </c>
      <c r="F24" s="25" t="n">
        <f aca="false">D14</f>
        <v>50</v>
      </c>
      <c r="K24" s="6" t="s">
        <v>110</v>
      </c>
    </row>
    <row r="26" customFormat="false" ht="15" hidden="false" customHeight="false" outlineLevel="0" collapsed="false">
      <c r="B26" s="22" t="s">
        <v>111</v>
      </c>
      <c r="C26" s="23" t="s">
        <v>1</v>
      </c>
      <c r="D26" s="23" t="s">
        <v>2</v>
      </c>
      <c r="E26" s="23" t="s">
        <v>3</v>
      </c>
      <c r="F26" s="23" t="s">
        <v>4</v>
      </c>
      <c r="G26" s="23" t="s">
        <v>5</v>
      </c>
      <c r="H26" s="23" t="s">
        <v>6</v>
      </c>
      <c r="I26" s="23" t="s">
        <v>7</v>
      </c>
    </row>
    <row r="27" customFormat="false" ht="15" hidden="false" customHeight="false" outlineLevel="0" collapsed="false">
      <c r="B27" s="27" t="s">
        <v>112</v>
      </c>
      <c r="C27" s="28" t="n">
        <f aca="false">'Audiobook Inputs'!$C$13</f>
        <v>150</v>
      </c>
      <c r="D27" s="28" t="n">
        <f aca="false">'Audiobook Inputs'!$C$17-'Audiobook Inputs'!$C$13</f>
        <v>208</v>
      </c>
      <c r="E27" s="28" t="n">
        <f aca="false">'Audiobook Inputs'!$E$20</f>
        <v>205</v>
      </c>
      <c r="F27" s="28" t="n">
        <f aca="false">'Audiobook Inputs'!$F$20</f>
        <v>205</v>
      </c>
      <c r="G27" s="28" t="n">
        <f aca="false">'Audiobook Inputs'!$G$20</f>
        <v>205</v>
      </c>
      <c r="H27" s="28" t="n">
        <f aca="false">'Audiobook Inputs'!$H$20</f>
        <v>205</v>
      </c>
      <c r="I27" s="28" t="n">
        <f aca="false">'Audiobook Inputs'!$I$20</f>
        <v>205</v>
      </c>
      <c r="K27" s="6" t="s">
        <v>113</v>
      </c>
    </row>
    <row r="28" customFormat="false" ht="15" hidden="false" customHeight="false" outlineLevel="0" collapsed="false">
      <c r="B28" s="22" t="s">
        <v>114</v>
      </c>
      <c r="C28" s="23"/>
      <c r="D28" s="23"/>
      <c r="E28" s="23"/>
      <c r="F28" s="23"/>
      <c r="G28" s="23"/>
      <c r="H28" s="23"/>
      <c r="I28" s="23"/>
      <c r="J28" s="23" t="s">
        <v>115</v>
      </c>
    </row>
    <row r="29" customFormat="false" ht="15" hidden="false" customHeight="false" outlineLevel="0" collapsed="false">
      <c r="B29" s="4" t="s">
        <v>116</v>
      </c>
      <c r="C29" s="15" t="n">
        <v>0</v>
      </c>
      <c r="D29" s="29" t="n">
        <f aca="false">13-'Audiobook Inputs'!$D$30</f>
        <v>11</v>
      </c>
      <c r="E29" s="15" t="n">
        <v>12</v>
      </c>
      <c r="F29" s="15" t="n">
        <v>12</v>
      </c>
      <c r="G29" s="15" t="n">
        <v>12</v>
      </c>
      <c r="H29" s="15" t="n">
        <v>12</v>
      </c>
      <c r="I29" s="15" t="n">
        <v>12</v>
      </c>
      <c r="J29" s="30" t="n">
        <f aca="false">'Audiobook Inputs'!$C$30</f>
        <v>0.22</v>
      </c>
    </row>
    <row r="30" customFormat="false" ht="15" hidden="false" customHeight="false" outlineLevel="0" collapsed="false">
      <c r="B30" s="4" t="s">
        <v>117</v>
      </c>
      <c r="C30" s="15" t="n">
        <v>0</v>
      </c>
      <c r="D30" s="29" t="n">
        <f aca="false">13-'Audiobook Inputs'!$D$31</f>
        <v>10</v>
      </c>
      <c r="E30" s="15" t="n">
        <v>12</v>
      </c>
      <c r="F30" s="15" t="n">
        <v>12</v>
      </c>
      <c r="G30" s="15" t="n">
        <v>12</v>
      </c>
      <c r="H30" s="15" t="n">
        <v>12</v>
      </c>
      <c r="I30" s="15" t="n">
        <v>12</v>
      </c>
      <c r="J30" s="30" t="n">
        <f aca="false">'Audiobook Inputs'!$C$31</f>
        <v>0.13</v>
      </c>
    </row>
    <row r="31" customFormat="false" ht="15" hidden="false" customHeight="false" outlineLevel="0" collapsed="false">
      <c r="B31" s="4" t="s">
        <v>118</v>
      </c>
      <c r="C31" s="15" t="n">
        <v>0</v>
      </c>
      <c r="D31" s="29" t="n">
        <f aca="false">13-'Audiobook Inputs'!$D$32</f>
        <v>4</v>
      </c>
      <c r="E31" s="15" t="n">
        <v>12</v>
      </c>
      <c r="F31" s="15" t="n">
        <v>12</v>
      </c>
      <c r="G31" s="15" t="n">
        <v>12</v>
      </c>
      <c r="H31" s="15" t="n">
        <v>12</v>
      </c>
      <c r="I31" s="15" t="n">
        <v>12</v>
      </c>
      <c r="J31" s="30" t="n">
        <f aca="false">'Audiobook Inputs'!$C$32</f>
        <v>0.05</v>
      </c>
    </row>
    <row r="32" customFormat="false" ht="15" hidden="false" customHeight="false" outlineLevel="0" collapsed="false">
      <c r="B32" s="4" t="s">
        <v>119</v>
      </c>
      <c r="C32" s="15" t="n">
        <v>0</v>
      </c>
      <c r="D32" s="29" t="n">
        <f aca="false">13-'Audiobook Inputs'!$D$33</f>
        <v>3</v>
      </c>
      <c r="E32" s="15" t="n">
        <v>12</v>
      </c>
      <c r="F32" s="15" t="n">
        <v>12</v>
      </c>
      <c r="G32" s="15" t="n">
        <v>12</v>
      </c>
      <c r="H32" s="15" t="n">
        <v>12</v>
      </c>
      <c r="I32" s="15" t="n">
        <v>12</v>
      </c>
      <c r="J32" s="30" t="n">
        <f aca="false">'Audiobook Inputs'!$C$33</f>
        <v>0.26</v>
      </c>
    </row>
    <row r="33" customFormat="false" ht="15" hidden="false" customHeight="false" outlineLevel="0" collapsed="false">
      <c r="B33" s="4" t="s">
        <v>120</v>
      </c>
      <c r="C33" s="15" t="n">
        <v>0</v>
      </c>
      <c r="D33" s="29" t="n">
        <f aca="false">13-'Audiobook Inputs'!$D$34</f>
        <v>2</v>
      </c>
      <c r="E33" s="15" t="n">
        <v>12</v>
      </c>
      <c r="F33" s="15" t="n">
        <v>12</v>
      </c>
      <c r="G33" s="15" t="n">
        <v>12</v>
      </c>
      <c r="H33" s="15" t="n">
        <v>12</v>
      </c>
      <c r="I33" s="15" t="n">
        <v>12</v>
      </c>
      <c r="J33" s="30" t="n">
        <f aca="false">'Audiobook Inputs'!$C$34</f>
        <v>0.03</v>
      </c>
    </row>
    <row r="34" customFormat="false" ht="15" hidden="false" customHeight="false" outlineLevel="0" collapsed="false">
      <c r="B34" s="4" t="s">
        <v>121</v>
      </c>
      <c r="J34" s="30" t="n">
        <f aca="false">SUM(J29:J33)</f>
        <v>0.69</v>
      </c>
    </row>
    <row r="35" customFormat="false" ht="15" hidden="false" customHeight="false" outlineLevel="0" collapsed="false">
      <c r="B35" s="4" t="s">
        <v>122</v>
      </c>
      <c r="J35" s="30" t="n">
        <f aca="false">'Audiobook Inputs'!$C$35</f>
        <v>0.75</v>
      </c>
    </row>
    <row r="36" customFormat="false" ht="15" hidden="false" customHeight="false" outlineLevel="0" collapsed="false">
      <c r="B36" s="4" t="s">
        <v>123</v>
      </c>
      <c r="C36" s="24" t="n">
        <f aca="false">C27*SUMPRODUCT($J$29:$J$33,C29:C33)/12*$J$35</f>
        <v>0</v>
      </c>
      <c r="D36" s="24" t="n">
        <f aca="false">D27*SUMPRODUCT($J$29:$J$33,D29:D33)/12*$J$35</f>
        <v>61.88</v>
      </c>
      <c r="E36" s="24" t="n">
        <f aca="false">E27*SUMPRODUCT($J$29:$J$33,E29:E33)/12*$J$35</f>
        <v>106.0875</v>
      </c>
      <c r="F36" s="24" t="n">
        <f aca="false">F27*SUMPRODUCT($J$29:$J$33,F29:F33)/12*$J$35</f>
        <v>106.0875</v>
      </c>
      <c r="G36" s="24" t="n">
        <f aca="false">G27*SUMPRODUCT($J$29:$J$33,G29:G33)/12*$J$35</f>
        <v>106.0875</v>
      </c>
      <c r="H36" s="24" t="n">
        <f aca="false">H27*SUMPRODUCT($J$29:$J$33,H29:H33)/12*$J$35</f>
        <v>106.0875</v>
      </c>
      <c r="I36" s="24" t="n">
        <f aca="false">I27*SUMPRODUCT($J$29:$J$33,I29:I33)/12*$J$35</f>
        <v>106.0875</v>
      </c>
    </row>
    <row r="37" customFormat="false" ht="28.35" hidden="false" customHeight="false" outlineLevel="0" collapsed="false">
      <c r="B37" s="27" t="s">
        <v>124</v>
      </c>
      <c r="C37" s="28" t="n">
        <f aca="false">C27-C36</f>
        <v>150</v>
      </c>
      <c r="D37" s="28" t="n">
        <f aca="false">D27-D36</f>
        <v>146.12</v>
      </c>
      <c r="E37" s="28" t="n">
        <f aca="false">E27-E36</f>
        <v>98.9125</v>
      </c>
      <c r="F37" s="28" t="n">
        <f aca="false">IF('Audiobook Inputs'!$C$36=1,F27*$J$34*(1-$J$35),F27-F36)</f>
        <v>98.9125</v>
      </c>
      <c r="G37" s="28" t="n">
        <f aca="false">IF('Audiobook Inputs'!$C$36=1,G27*$J$34*(1-$J$35),G27-G36)</f>
        <v>98.9125</v>
      </c>
      <c r="H37" s="28" t="n">
        <f aca="false">IF('Audiobook Inputs'!$C$36=1,H27*$J$34*(1-$J$35),H27-H36)</f>
        <v>98.9125</v>
      </c>
      <c r="I37" s="28" t="n">
        <f aca="false">IF('Audiobook Inputs'!$C$36=1,I27*$J$34*(1-$J$35),I27-I36)</f>
        <v>98.9125</v>
      </c>
      <c r="K37" s="6" t="s">
        <v>125</v>
      </c>
    </row>
    <row r="39" customFormat="false" ht="15" hidden="false" customHeight="false" outlineLevel="0" collapsed="false">
      <c r="B39" s="7" t="s">
        <v>126</v>
      </c>
    </row>
    <row r="40" customFormat="false" ht="15" hidden="false" customHeight="false" outlineLevel="0" collapsed="false">
      <c r="B40" s="31" t="s">
        <v>127</v>
      </c>
      <c r="D40" s="32" t="n">
        <f aca="false">'Audiobook Inputs'!$D$40</f>
        <v>0.58</v>
      </c>
      <c r="E40" s="32" t="n">
        <f aca="false">'Audiobook Inputs'!$E$40</f>
        <v>0.43</v>
      </c>
      <c r="F40" s="32" t="n">
        <f aca="false">'Audiobook Inputs'!$F$40</f>
        <v>0.3</v>
      </c>
      <c r="G40" s="32" t="n">
        <f aca="false">'Audiobook Inputs'!$G$40</f>
        <v>0.2</v>
      </c>
      <c r="H40" s="32" t="n">
        <f aca="false">'Audiobook Inputs'!$H$40</f>
        <v>0.14</v>
      </c>
      <c r="I40" s="32" t="n">
        <f aca="false">'Audiobook Inputs'!$I$40</f>
        <v>0.1</v>
      </c>
      <c r="K40" s="6" t="s">
        <v>128</v>
      </c>
    </row>
    <row r="41" customFormat="false" ht="15" hidden="false" customHeight="false" outlineLevel="0" collapsed="false">
      <c r="B41" s="27" t="s">
        <v>129</v>
      </c>
      <c r="C41" s="28" t="n">
        <f aca="false">'Audiobook Inputs'!$C$39</f>
        <v>190</v>
      </c>
      <c r="D41" s="28" t="n">
        <f aca="false">C41*(1+D40)</f>
        <v>300.2</v>
      </c>
      <c r="E41" s="28" t="n">
        <f aca="false">D41*(1+E40)</f>
        <v>429.286</v>
      </c>
      <c r="F41" s="28" t="n">
        <f aca="false">E41*(1+F40)</f>
        <v>558.0718</v>
      </c>
      <c r="G41" s="28" t="n">
        <f aca="false">F41*(1+G40)</f>
        <v>669.68616</v>
      </c>
      <c r="H41" s="28" t="n">
        <f aca="false">G41*(1+H40)</f>
        <v>763.4422224</v>
      </c>
      <c r="I41" s="28" t="n">
        <f aca="false">H41*(1+I40)</f>
        <v>839.78644464</v>
      </c>
      <c r="K41" s="6" t="s">
        <v>130</v>
      </c>
    </row>
    <row r="43" customFormat="false" ht="15" hidden="false" customHeight="false" outlineLevel="0" collapsed="false">
      <c r="B43" s="7" t="s">
        <v>131</v>
      </c>
    </row>
    <row r="44" customFormat="false" ht="28.35" hidden="false" customHeight="false" outlineLevel="0" collapsed="false">
      <c r="B44" s="27" t="s">
        <v>132</v>
      </c>
      <c r="C44" s="28" t="n">
        <f aca="false">'Audiobook Inputs'!$C$46</f>
        <v>5</v>
      </c>
      <c r="D44" s="28" t="n">
        <f aca="false">'Audiobook Inputs'!$D$46</f>
        <v>30</v>
      </c>
      <c r="E44" s="28" t="n">
        <f aca="false">'Audiobook Inputs'!$E$46</f>
        <v>75</v>
      </c>
      <c r="F44" s="28" t="n">
        <f aca="false">'Audiobook Inputs'!$F$46</f>
        <v>120</v>
      </c>
      <c r="G44" s="28" t="n">
        <f aca="false">'Audiobook Inputs'!$G$46</f>
        <v>165</v>
      </c>
      <c r="H44" s="28" t="n">
        <f aca="false">'Audiobook Inputs'!$H$46</f>
        <v>210</v>
      </c>
      <c r="I44" s="28" t="n">
        <f aca="false">'Audiobook Inputs'!$I$46</f>
        <v>250</v>
      </c>
      <c r="K44" s="6" t="s">
        <v>133</v>
      </c>
    </row>
    <row r="46" customFormat="false" ht="15" hidden="false" customHeight="false" outlineLevel="0" collapsed="false">
      <c r="B46" s="7" t="s">
        <v>134</v>
      </c>
    </row>
    <row r="47" customFormat="false" ht="15" hidden="false" customHeight="false" outlineLevel="0" collapsed="false">
      <c r="B47" s="4" t="s">
        <v>135</v>
      </c>
      <c r="C47" s="24" t="n">
        <f aca="false">C37</f>
        <v>150</v>
      </c>
      <c r="D47" s="24" t="n">
        <f aca="false">D37</f>
        <v>146.12</v>
      </c>
      <c r="E47" s="24" t="n">
        <f aca="false">E37</f>
        <v>98.9125</v>
      </c>
      <c r="F47" s="24" t="n">
        <f aca="false">F37</f>
        <v>98.9125</v>
      </c>
      <c r="G47" s="24" t="n">
        <f aca="false">G37</f>
        <v>98.9125</v>
      </c>
      <c r="H47" s="24" t="n">
        <f aca="false">H37</f>
        <v>98.9125</v>
      </c>
      <c r="I47" s="24" t="n">
        <f aca="false">I37</f>
        <v>98.9125</v>
      </c>
    </row>
    <row r="48" customFormat="false" ht="15" hidden="false" customHeight="false" outlineLevel="0" collapsed="false">
      <c r="B48" s="4" t="s">
        <v>132</v>
      </c>
      <c r="C48" s="24" t="n">
        <f aca="false">C44</f>
        <v>5</v>
      </c>
      <c r="D48" s="24" t="n">
        <f aca="false">D44</f>
        <v>30</v>
      </c>
      <c r="E48" s="24" t="n">
        <f aca="false">E44</f>
        <v>75</v>
      </c>
      <c r="F48" s="24" t="n">
        <f aca="false">F44</f>
        <v>120</v>
      </c>
      <c r="G48" s="24" t="n">
        <f aca="false">G44</f>
        <v>165</v>
      </c>
      <c r="H48" s="24" t="n">
        <f aca="false">H44</f>
        <v>210</v>
      </c>
      <c r="I48" s="24" t="n">
        <f aca="false">I44</f>
        <v>250</v>
      </c>
    </row>
    <row r="49" customFormat="false" ht="15" hidden="false" customHeight="false" outlineLevel="0" collapsed="false">
      <c r="B49" s="4" t="s">
        <v>136</v>
      </c>
      <c r="C49" s="24" t="n">
        <f aca="false">-C41</f>
        <v>-190</v>
      </c>
      <c r="D49" s="24" t="n">
        <f aca="false">-D41</f>
        <v>-300.2</v>
      </c>
      <c r="E49" s="24" t="n">
        <f aca="false">-E41</f>
        <v>-429.286</v>
      </c>
      <c r="F49" s="24" t="n">
        <f aca="false">-F41</f>
        <v>-558.0718</v>
      </c>
      <c r="G49" s="24" t="n">
        <f aca="false">-G41</f>
        <v>-669.68616</v>
      </c>
      <c r="H49" s="24" t="n">
        <f aca="false">-H41</f>
        <v>-763.4422224</v>
      </c>
      <c r="I49" s="24" t="n">
        <f aca="false">-I41</f>
        <v>-839.78644464</v>
      </c>
    </row>
    <row r="50" customFormat="false" ht="15" hidden="false" customHeight="false" outlineLevel="0" collapsed="false">
      <c r="B50" s="33" t="s">
        <v>137</v>
      </c>
      <c r="C50" s="34" t="n">
        <f aca="false">C47+C48+C49</f>
        <v>-35</v>
      </c>
      <c r="D50" s="34" t="n">
        <f aca="false">D47+D48+D49</f>
        <v>-124.08</v>
      </c>
      <c r="E50" s="34" t="n">
        <f aca="false">E47+E48+E49</f>
        <v>-255.3735</v>
      </c>
      <c r="F50" s="34" t="n">
        <f aca="false">F47+F48+F49</f>
        <v>-339.1593</v>
      </c>
      <c r="G50" s="34" t="n">
        <f aca="false">G47+G48+G49</f>
        <v>-405.77366</v>
      </c>
      <c r="H50" s="34" t="n">
        <f aca="false">H47+H48+H49</f>
        <v>-454.5297224</v>
      </c>
      <c r="I50" s="34" t="n">
        <f aca="false">I47+I48+I49</f>
        <v>-490.87394464</v>
      </c>
      <c r="K50" s="6" t="s">
        <v>138</v>
      </c>
    </row>
    <row r="51" customFormat="false" ht="15" hidden="false" customHeight="false" outlineLevel="0" collapsed="false">
      <c r="B51" s="4" t="s">
        <v>139</v>
      </c>
      <c r="C51" s="24" t="n">
        <f aca="false">'Audiobook Inputs'!$C$7</f>
        <v>15673</v>
      </c>
      <c r="D51" s="24" t="n">
        <f aca="false">'Audiobook Inputs'!$D$7</f>
        <v>17186</v>
      </c>
      <c r="E51" s="24" t="n">
        <f aca="false">'Audiobook Inputs'!$E$7</f>
        <v>19410</v>
      </c>
      <c r="F51" s="24" t="n">
        <f aca="false">'Audiobook Inputs'!$F$7</f>
        <v>21172</v>
      </c>
      <c r="G51" s="24" t="n">
        <f aca="false">'Audiobook Inputs'!$G$7</f>
        <v>23166</v>
      </c>
      <c r="H51" s="24" t="n">
        <f aca="false">'Audiobook Inputs'!$H$7</f>
        <v>25017</v>
      </c>
      <c r="I51" s="24" t="n">
        <f aca="false">'Audiobook Inputs'!$I$7</f>
        <v>26482</v>
      </c>
    </row>
    <row r="52" customFormat="false" ht="15" hidden="false" customHeight="false" outlineLevel="0" collapsed="false">
      <c r="B52" s="31" t="s">
        <v>140</v>
      </c>
      <c r="C52" s="35" t="n">
        <f aca="false">C50/C51*10000</f>
        <v>-22.3313979455114</v>
      </c>
      <c r="D52" s="35" t="n">
        <f aca="false">D50/D51*10000</f>
        <v>-72.1983009426277</v>
      </c>
      <c r="E52" s="35" t="n">
        <f aca="false">E50/E51*10000</f>
        <v>-131.56800618238</v>
      </c>
      <c r="F52" s="35" t="n">
        <f aca="false">F50/F51*10000</f>
        <v>-160.192376723975</v>
      </c>
      <c r="G52" s="35" t="n">
        <f aca="false">G50/G51*10000</f>
        <v>-175.159138392472</v>
      </c>
      <c r="H52" s="35" t="n">
        <f aca="false">H50/H51*10000</f>
        <v>-181.688340888196</v>
      </c>
      <c r="I52" s="35" t="n">
        <f aca="false">I50/I51*10000</f>
        <v>-185.361356634695</v>
      </c>
    </row>
    <row r="53" customFormat="false" ht="15" hidden="false" customHeight="false" outlineLevel="0" collapsed="false">
      <c r="B53" s="4" t="s">
        <v>141</v>
      </c>
      <c r="D53" s="24" t="n">
        <f aca="false">D50-C50</f>
        <v>-89.08</v>
      </c>
      <c r="E53" s="24" t="n">
        <f aca="false">E50-D50</f>
        <v>-131.2935</v>
      </c>
      <c r="F53" s="24" t="n">
        <f aca="false">F50-E50</f>
        <v>-83.7858</v>
      </c>
      <c r="G53" s="24" t="n">
        <f aca="false">G50-F50</f>
        <v>-66.6143599999999</v>
      </c>
      <c r="H53" s="24" t="n">
        <f aca="false">H50-G50</f>
        <v>-48.7560624</v>
      </c>
      <c r="I53" s="24" t="n">
        <f aca="false">I50-H50</f>
        <v>-36.34422224</v>
      </c>
    </row>
    <row r="54" customFormat="false" ht="15" hidden="false" customHeight="false" outlineLevel="0" collapsed="false">
      <c r="B54" s="33" t="s">
        <v>142</v>
      </c>
      <c r="C54" s="36"/>
      <c r="D54" s="37" t="n">
        <f aca="false">D53/D51*10000</f>
        <v>-51.8328872337949</v>
      </c>
      <c r="E54" s="37" t="n">
        <f aca="false">E53/E51*10000</f>
        <v>-67.6421947449768</v>
      </c>
      <c r="F54" s="37" t="n">
        <f aca="false">F53/F51*10000</f>
        <v>-39.5738711505762</v>
      </c>
      <c r="G54" s="37" t="n">
        <f aca="false">G53/G51*10000</f>
        <v>-28.7552274885608</v>
      </c>
      <c r="H54" s="37" t="n">
        <f aca="false">H53/H51*10000</f>
        <v>-19.4891723228205</v>
      </c>
      <c r="I54" s="37" t="n">
        <f aca="false">I53/I51*10000</f>
        <v>-13.7241228910203</v>
      </c>
      <c r="K54" s="6" t="s">
        <v>143</v>
      </c>
    </row>
    <row r="55" customFormat="false" ht="15" hidden="false" customHeight="false" outlineLevel="0" collapsed="false">
      <c r="B55" s="31" t="s">
        <v>144</v>
      </c>
      <c r="D55" s="24" t="n">
        <f aca="false">D47-C47</f>
        <v>-3.88</v>
      </c>
      <c r="E55" s="24" t="n">
        <f aca="false">E47-D47</f>
        <v>-47.2075</v>
      </c>
      <c r="F55" s="24" t="n">
        <f aca="false">F47-E47</f>
        <v>0</v>
      </c>
      <c r="G55" s="24" t="n">
        <f aca="false">G47-F47</f>
        <v>0</v>
      </c>
      <c r="H55" s="24" t="n">
        <f aca="false">H47-G47</f>
        <v>0</v>
      </c>
      <c r="I55" s="24" t="n">
        <f aca="false">I47-H47</f>
        <v>0</v>
      </c>
    </row>
    <row r="56" customFormat="false" ht="15" hidden="false" customHeight="false" outlineLevel="0" collapsed="false">
      <c r="B56" s="31" t="s">
        <v>145</v>
      </c>
      <c r="D56" s="24" t="n">
        <f aca="false">D49-C49</f>
        <v>-110.2</v>
      </c>
      <c r="E56" s="24" t="n">
        <f aca="false">E49-D49</f>
        <v>-129.086</v>
      </c>
      <c r="F56" s="24" t="n">
        <f aca="false">F49-E49</f>
        <v>-128.7858</v>
      </c>
      <c r="G56" s="24" t="n">
        <f aca="false">G49-F49</f>
        <v>-111.61436</v>
      </c>
      <c r="H56" s="24" t="n">
        <f aca="false">H49-G49</f>
        <v>-93.7560624</v>
      </c>
      <c r="I56" s="24" t="n">
        <f aca="false">I49-H49</f>
        <v>-76.34422224</v>
      </c>
    </row>
    <row r="57" customFormat="false" ht="15" hidden="false" customHeight="false" outlineLevel="0" collapsed="false">
      <c r="B57" s="31" t="s">
        <v>146</v>
      </c>
      <c r="D57" s="24" t="n">
        <f aca="false">D48-C48</f>
        <v>25</v>
      </c>
      <c r="E57" s="24" t="n">
        <f aca="false">E48-D48</f>
        <v>45</v>
      </c>
      <c r="F57" s="24" t="n">
        <f aca="false">F48-E48</f>
        <v>45</v>
      </c>
      <c r="G57" s="24" t="n">
        <f aca="false">G48-F48</f>
        <v>45</v>
      </c>
      <c r="H57" s="24" t="n">
        <f aca="false">H48-G48</f>
        <v>45</v>
      </c>
      <c r="I57" s="24" t="n">
        <f aca="false">I48-H48</f>
        <v>40</v>
      </c>
    </row>
    <row r="58" customFormat="false" ht="15" hidden="false" customHeight="false" outlineLevel="0" collapsed="false">
      <c r="B58" s="4" t="s">
        <v>147</v>
      </c>
      <c r="E58" s="35" t="n">
        <f aca="false">'Audiobook Inputs'!$E$50</f>
        <v>115</v>
      </c>
      <c r="F58" s="35" t="n">
        <f aca="false">'Audiobook Inputs'!$F$50</f>
        <v>130</v>
      </c>
      <c r="G58" s="35" t="n">
        <f aca="false">'Audiobook Inputs'!$G$50</f>
        <v>100</v>
      </c>
      <c r="H58" s="35" t="n">
        <f aca="false">'Audiobook Inputs'!$H$50</f>
        <v>80</v>
      </c>
      <c r="I58" s="35" t="n">
        <f aca="false">'Audiobook Inputs'!$I$50</f>
        <v>60</v>
      </c>
    </row>
    <row r="59" customFormat="false" ht="15" hidden="false" customHeight="false" outlineLevel="0" collapsed="false">
      <c r="B59" s="31" t="s">
        <v>148</v>
      </c>
      <c r="E59" s="30" t="n">
        <f aca="false">IF(E58=0,0,-E54/E58)</f>
        <v>0.588192997782407</v>
      </c>
      <c r="F59" s="30" t="n">
        <f aca="false">IF(F58=0,0,-F54/F58)</f>
        <v>0.304414393465971</v>
      </c>
      <c r="G59" s="30" t="n">
        <f aca="false">IF(G58=0,0,-G54/G58)</f>
        <v>0.287552274885608</v>
      </c>
      <c r="H59" s="30" t="n">
        <f aca="false">IF(H58=0,0,-H54/H58)</f>
        <v>0.243614654035256</v>
      </c>
      <c r="I59" s="30" t="n">
        <f aca="false">IF(I58=0,0,-I54/I58)</f>
        <v>0.228735381517005</v>
      </c>
    </row>
    <row r="60" customFormat="false" ht="15" hidden="false" customHeight="false" outlineLevel="0" collapsed="false">
      <c r="B60" s="4" t="s">
        <v>149</v>
      </c>
      <c r="C60" s="24" t="n">
        <f aca="false">'Audiobook Inputs'!$C$53</f>
        <v>500</v>
      </c>
    </row>
    <row r="62" customFormat="false" ht="15" hidden="false" customHeight="false" outlineLevel="0" collapsed="false">
      <c r="B62" s="7" t="s">
        <v>150</v>
      </c>
    </row>
    <row r="63" customFormat="false" ht="15" hidden="false" customHeight="false" outlineLevel="0" collapsed="false">
      <c r="B63" s="22" t="s">
        <v>151</v>
      </c>
      <c r="C63" s="23" t="s">
        <v>152</v>
      </c>
      <c r="D63" s="23" t="s">
        <v>153</v>
      </c>
      <c r="E63" s="23" t="s">
        <v>154</v>
      </c>
      <c r="F63" s="23" t="s">
        <v>155</v>
      </c>
      <c r="G63" s="23"/>
      <c r="H63" s="23"/>
      <c r="I63" s="23"/>
    </row>
    <row r="64" customFormat="false" ht="15" hidden="false" customHeight="false" outlineLevel="0" collapsed="false">
      <c r="B64" s="22"/>
      <c r="C64" s="14" t="n">
        <v>0.2</v>
      </c>
      <c r="D64" s="24" t="n">
        <f aca="false">$E$37+$E$44-$D$41*(1+C64)</f>
        <v>-186.3275</v>
      </c>
      <c r="E64" s="24" t="n">
        <f aca="false">$F$37+$F$44-$D$41*(1+C64)^2</f>
        <v>-213.3755</v>
      </c>
      <c r="F64" s="35" t="n">
        <f aca="false">(D64-$D$50)/$E$51*10000</f>
        <v>-32.06980937661</v>
      </c>
      <c r="G64" s="35" t="n">
        <f aca="false">(E64-D64)/$F$51*10000</f>
        <v>-12.7753636878897</v>
      </c>
    </row>
    <row r="65" customFormat="false" ht="15" hidden="false" customHeight="false" outlineLevel="0" collapsed="false">
      <c r="B65" s="22"/>
      <c r="C65" s="14" t="n">
        <v>0.3</v>
      </c>
      <c r="D65" s="24" t="n">
        <f aca="false">$E$37+$E$44-$D$41*(1+C65)</f>
        <v>-216.3475</v>
      </c>
      <c r="E65" s="24" t="n">
        <f aca="false">$F$37+$F$44-$D$41*(1+C65)^2</f>
        <v>-288.4255</v>
      </c>
      <c r="F65" s="35" t="n">
        <f aca="false">(D65-$D$50)/$E$51*10000</f>
        <v>-47.5360638845956</v>
      </c>
      <c r="G65" s="35" t="n">
        <f aca="false">(E65-D65)/$F$51*10000</f>
        <v>-34.0440204043076</v>
      </c>
    </row>
    <row r="66" customFormat="false" ht="15" hidden="false" customHeight="false" outlineLevel="0" collapsed="false">
      <c r="B66" s="22" t="s">
        <v>156</v>
      </c>
      <c r="C66" s="14" t="n">
        <v>0.43</v>
      </c>
      <c r="D66" s="24" t="n">
        <f aca="false">$E$37+$E$44-$D$41*(1+C66)</f>
        <v>-255.3735</v>
      </c>
      <c r="E66" s="24" t="n">
        <f aca="false">$F$37+$F$44-$D$41*(1+C66)^2</f>
        <v>-394.96648</v>
      </c>
      <c r="F66" s="35" t="n">
        <f aca="false">(D66-$D$50)/$E$51*10000</f>
        <v>-67.6421947449768</v>
      </c>
      <c r="G66" s="35" t="n">
        <f aca="false">(E66-D66)/$F$51*10000</f>
        <v>-65.9328263744568</v>
      </c>
    </row>
    <row r="67" customFormat="false" ht="15" hidden="false" customHeight="false" outlineLevel="0" collapsed="false">
      <c r="B67" s="22"/>
      <c r="C67" s="14" t="n">
        <v>0.5</v>
      </c>
      <c r="D67" s="24" t="n">
        <f aca="false">$E$37+$E$44-$D$41*(1+C67)</f>
        <v>-276.3875</v>
      </c>
      <c r="E67" s="24" t="n">
        <f aca="false">$F$37+$F$44-$D$41*(1+C67)^2</f>
        <v>-456.5375</v>
      </c>
      <c r="F67" s="35" t="n">
        <f aca="false">(D67-$D$50)/$E$51*10000</f>
        <v>-78.4685729005667</v>
      </c>
      <c r="G67" s="35" t="n">
        <f aca="false">(E67-D67)/$F$51*10000</f>
        <v>-85.0887965237106</v>
      </c>
    </row>
    <row r="68" customFormat="false" ht="15" hidden="false" customHeight="false" outlineLevel="0" collapsed="false">
      <c r="B68" s="22"/>
      <c r="C68" s="14" t="n">
        <v>0.6</v>
      </c>
      <c r="D68" s="24" t="n">
        <f aca="false">$E$37+$E$44-$D$41*(1+C68)</f>
        <v>-306.4075</v>
      </c>
      <c r="E68" s="24" t="n">
        <f aca="false">$F$37+$F$44-$D$41*(1+C68)^2</f>
        <v>-549.5995</v>
      </c>
      <c r="F68" s="35" t="n">
        <f aca="false">(D68-$D$50)/$E$51*10000</f>
        <v>-93.9348274085523</v>
      </c>
      <c r="G68" s="35" t="n">
        <f aca="false">(E68-D68)/$F$51*10000</f>
        <v>-114.864915926696</v>
      </c>
    </row>
    <row r="69" customFormat="false" ht="15" hidden="false" customHeight="false" outlineLevel="0" collapsed="false">
      <c r="B69" s="27" t="s">
        <v>157</v>
      </c>
      <c r="C69" s="38"/>
      <c r="D69" s="28" t="n">
        <f aca="false">E50</f>
        <v>-255.3735</v>
      </c>
      <c r="E69" s="28" t="n">
        <f aca="false">F50</f>
        <v>-339.1593</v>
      </c>
      <c r="F69" s="39" t="n">
        <f aca="false">E54</f>
        <v>-67.6421947449768</v>
      </c>
      <c r="G69" s="39" t="n">
        <f aca="false">F54</f>
        <v>-39.5738711505762</v>
      </c>
      <c r="H69" s="38"/>
      <c r="I69" s="3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"/>
    <col collapsed="false" customWidth="true" hidden="false" outlineLevel="0" max="8" min="8" style="0" width="84"/>
  </cols>
  <sheetData>
    <row r="1" customFormat="false" ht="15" hidden="false" customHeight="false" outlineLevel="0" collapsed="false">
      <c r="B1" s="23" t="s">
        <v>158</v>
      </c>
      <c r="C1" s="23" t="s">
        <v>159</v>
      </c>
      <c r="D1" s="23" t="s">
        <v>160</v>
      </c>
      <c r="E1" s="23" t="s">
        <v>161</v>
      </c>
      <c r="F1" s="23" t="s">
        <v>162</v>
      </c>
      <c r="G1" s="23" t="s">
        <v>163</v>
      </c>
      <c r="H1" s="7" t="s">
        <v>8</v>
      </c>
    </row>
    <row r="2" customFormat="false" ht="15" hidden="false" customHeight="false" outlineLevel="0" collapsed="false">
      <c r="A2" s="4" t="s">
        <v>164</v>
      </c>
      <c r="B2" s="24" t="n">
        <f aca="false">RPM!Q58</f>
        <v>17186</v>
      </c>
      <c r="C2" s="24" t="n">
        <f aca="false">RPM!V58</f>
        <v>19410</v>
      </c>
      <c r="D2" s="24" t="n">
        <f aca="false">RPM!AA58</f>
        <v>21172</v>
      </c>
      <c r="E2" s="24" t="n">
        <f aca="false">RPM!AB58</f>
        <v>23166</v>
      </c>
      <c r="F2" s="24" t="n">
        <f aca="false">RPM!AC58</f>
        <v>25017</v>
      </c>
      <c r="G2" s="24" t="n">
        <f aca="false">RPM!AD58</f>
        <v>26482</v>
      </c>
      <c r="H2" s="6" t="s">
        <v>165</v>
      </c>
    </row>
    <row r="3" customFormat="false" ht="68.65" hidden="false" customHeight="false" outlineLevel="0" collapsed="false">
      <c r="A3" s="4" t="s">
        <v>166</v>
      </c>
      <c r="B3" s="16" t="n">
        <v>0.48</v>
      </c>
      <c r="C3" s="32" t="n">
        <f aca="false">B3+C4/10000</f>
        <v>0.468</v>
      </c>
      <c r="D3" s="32" t="n">
        <f aca="false">C3+D4/10000</f>
        <v>0.461</v>
      </c>
      <c r="E3" s="32" t="n">
        <f aca="false">D3+E4/10000</f>
        <v>0.4575</v>
      </c>
      <c r="F3" s="32" t="n">
        <f aca="false">E3+F4/10000</f>
        <v>0.4555</v>
      </c>
      <c r="G3" s="32" t="n">
        <f aca="false">F3+G4/10000</f>
        <v>0.4545</v>
      </c>
      <c r="H3" s="6" t="s">
        <v>167</v>
      </c>
    </row>
    <row r="4" customFormat="false" ht="15" hidden="false" customHeight="false" outlineLevel="0" collapsed="false">
      <c r="A4" s="22" t="s">
        <v>168</v>
      </c>
      <c r="C4" s="40" t="n">
        <v>-120</v>
      </c>
      <c r="D4" s="40" t="n">
        <v>-70</v>
      </c>
      <c r="E4" s="40" t="n">
        <v>-35</v>
      </c>
      <c r="F4" s="40" t="n">
        <v>-20</v>
      </c>
      <c r="G4" s="40" t="n">
        <v>-10</v>
      </c>
    </row>
    <row r="5" customFormat="false" ht="28.35" hidden="false" customHeight="false" outlineLevel="0" collapsed="false">
      <c r="A5" s="4" t="s">
        <v>169</v>
      </c>
      <c r="B5" s="16" t="n">
        <v>0.11</v>
      </c>
      <c r="C5" s="32" t="n">
        <f aca="false">B5+C6/10000</f>
        <v>0.1105</v>
      </c>
      <c r="D5" s="32" t="n">
        <f aca="false">C5+D6/10000</f>
        <v>0.111</v>
      </c>
      <c r="E5" s="32" t="n">
        <f aca="false">D5+E6/10000</f>
        <v>0.111</v>
      </c>
      <c r="F5" s="32" t="n">
        <f aca="false">E5+F6/10000</f>
        <v>0.111</v>
      </c>
      <c r="G5" s="32" t="n">
        <f aca="false">F5+G6/10000</f>
        <v>0.111</v>
      </c>
      <c r="H5" s="6" t="s">
        <v>170</v>
      </c>
    </row>
    <row r="6" customFormat="false" ht="15" hidden="false" customHeight="false" outlineLevel="0" collapsed="false">
      <c r="A6" s="22" t="s">
        <v>168</v>
      </c>
      <c r="C6" s="40" t="n">
        <v>5</v>
      </c>
      <c r="D6" s="40" t="n">
        <v>5</v>
      </c>
      <c r="E6" s="40" t="n">
        <v>0</v>
      </c>
      <c r="F6" s="40" t="n">
        <v>0</v>
      </c>
      <c r="G6" s="40" t="n">
        <v>0</v>
      </c>
    </row>
    <row r="7" customFormat="false" ht="15" hidden="false" customHeight="false" outlineLevel="0" collapsed="false">
      <c r="A7" s="4" t="s">
        <v>171</v>
      </c>
      <c r="B7" s="24" t="n">
        <f aca="false">(B3+B5)*B2</f>
        <v>10139.74</v>
      </c>
      <c r="C7" s="24" t="n">
        <f aca="false">(C3+C5)*C2</f>
        <v>11228.685</v>
      </c>
      <c r="D7" s="24" t="n">
        <f aca="false">(D3+D5)*D2</f>
        <v>12110.384</v>
      </c>
      <c r="E7" s="24" t="n">
        <f aca="false">(E3+E5)*E2</f>
        <v>13169.871</v>
      </c>
      <c r="F7" s="24" t="n">
        <f aca="false">(F3+F5)*F2</f>
        <v>14172.1305</v>
      </c>
      <c r="G7" s="24" t="n">
        <f aca="false">(G3+G5)*G2</f>
        <v>14975.571</v>
      </c>
      <c r="H7" s="6" t="s">
        <v>172</v>
      </c>
    </row>
    <row r="9" customFormat="false" ht="15" hidden="false" customHeight="false" outlineLevel="0" collapsed="false">
      <c r="A9" s="4" t="s">
        <v>173</v>
      </c>
      <c r="B9" s="32" t="n">
        <f aca="false">'DM Inputs'!D30</f>
        <v>0.512</v>
      </c>
      <c r="C9" s="32" t="n">
        <f aca="false">'DM Inputs'!E31</f>
        <v>0.52</v>
      </c>
      <c r="D9" s="32" t="n">
        <f aca="false">'DM Inputs'!F31</f>
        <v>0.525</v>
      </c>
      <c r="E9" s="32" t="n">
        <f aca="false">'DM Inputs'!G31</f>
        <v>0.5275</v>
      </c>
      <c r="F9" s="32" t="n">
        <f aca="false">'DM Inputs'!H31</f>
        <v>0.529</v>
      </c>
      <c r="G9" s="32" t="n">
        <f aca="false">'DM Inputs'!I31</f>
        <v>0.53</v>
      </c>
      <c r="H9" s="6" t="s">
        <v>174</v>
      </c>
    </row>
    <row r="10" customFormat="false" ht="15" hidden="false" customHeight="false" outlineLevel="0" collapsed="false">
      <c r="A10" s="4" t="s">
        <v>175</v>
      </c>
      <c r="B10" s="32" t="n">
        <f aca="false">'DM Inputs'!D35</f>
        <v>0.33</v>
      </c>
      <c r="C10" s="32" t="n">
        <f aca="false">'DM Inputs'!E36</f>
        <v>0.33</v>
      </c>
      <c r="D10" s="32" t="n">
        <f aca="false">'DM Inputs'!F36</f>
        <v>0.335</v>
      </c>
      <c r="E10" s="32" t="n">
        <f aca="false">'DM Inputs'!G36</f>
        <v>0.337</v>
      </c>
      <c r="F10" s="32" t="n">
        <f aca="false">'DM Inputs'!H36</f>
        <v>0.339</v>
      </c>
      <c r="G10" s="32" t="n">
        <f aca="false">'DM Inputs'!I36</f>
        <v>0.34</v>
      </c>
      <c r="H10" s="6" t="s">
        <v>176</v>
      </c>
    </row>
    <row r="11" customFormat="false" ht="15" hidden="false" customHeight="false" outlineLevel="0" collapsed="false">
      <c r="A11" s="4" t="s">
        <v>177</v>
      </c>
      <c r="B11" s="14" t="n">
        <v>0.3</v>
      </c>
      <c r="C11" s="41" t="n">
        <f aca="false">B11</f>
        <v>0.3</v>
      </c>
      <c r="D11" s="41" t="n">
        <f aca="false">C11</f>
        <v>0.3</v>
      </c>
      <c r="E11" s="41" t="n">
        <f aca="false">D11</f>
        <v>0.3</v>
      </c>
      <c r="F11" s="41" t="n">
        <f aca="false">E11</f>
        <v>0.3</v>
      </c>
      <c r="G11" s="41" t="n">
        <f aca="false">F11</f>
        <v>0.3</v>
      </c>
      <c r="H11" s="6" t="s">
        <v>178</v>
      </c>
    </row>
    <row r="12" customFormat="false" ht="28.35" hidden="false" customHeight="false" outlineLevel="0" collapsed="false">
      <c r="A12" s="4" t="s">
        <v>179</v>
      </c>
      <c r="B12" s="24" t="n">
        <f aca="false">B2*B3*B9*B10</f>
        <v>1393.7983488</v>
      </c>
      <c r="C12" s="24" t="n">
        <f aca="false">C2*C3*C9*C10</f>
        <v>1558.793808</v>
      </c>
      <c r="D12" s="24" t="n">
        <f aca="false">D2*D3*D9*D10</f>
        <v>1716.5913555</v>
      </c>
      <c r="E12" s="24" t="n">
        <f aca="false">E2*E3*E9*E10</f>
        <v>1884.0590715375</v>
      </c>
      <c r="F12" s="24" t="n">
        <f aca="false">F2*F3*F9*F10</f>
        <v>2043.5204120985</v>
      </c>
      <c r="G12" s="24" t="n">
        <f aca="false">G2*G3*G9*G10</f>
        <v>2168.8996338</v>
      </c>
      <c r="H12" s="6" t="s">
        <v>180</v>
      </c>
    </row>
    <row r="13" customFormat="false" ht="15" hidden="false" customHeight="false" outlineLevel="0" collapsed="false">
      <c r="A13" s="22" t="s">
        <v>181</v>
      </c>
      <c r="B13" s="24" t="n">
        <f aca="false">B12*B11</f>
        <v>418.13950464</v>
      </c>
      <c r="C13" s="24" t="n">
        <f aca="false">C12*C11</f>
        <v>467.6381424</v>
      </c>
      <c r="D13" s="24" t="n">
        <f aca="false">D12*D11</f>
        <v>514.97740665</v>
      </c>
      <c r="E13" s="24" t="n">
        <f aca="false">E12*E11</f>
        <v>565.21772146125</v>
      </c>
      <c r="F13" s="24" t="n">
        <f aca="false">F12*F11</f>
        <v>613.05612362955</v>
      </c>
      <c r="G13" s="24" t="n">
        <f aca="false">G12*G11</f>
        <v>650.66989014</v>
      </c>
      <c r="H13" s="6" t="s">
        <v>182</v>
      </c>
    </row>
    <row r="14" customFormat="false" ht="28.35" hidden="false" customHeight="false" outlineLevel="0" collapsed="false">
      <c r="A14" s="27" t="s">
        <v>183</v>
      </c>
      <c r="B14" s="28" t="n">
        <f aca="false">B7-B13</f>
        <v>9721.60049536</v>
      </c>
      <c r="C14" s="28" t="n">
        <f aca="false">C7-C13</f>
        <v>10761.0468576</v>
      </c>
      <c r="D14" s="28" t="n">
        <f aca="false">D7-D13</f>
        <v>11595.40659335</v>
      </c>
      <c r="E14" s="28" t="n">
        <f aca="false">E7-E13</f>
        <v>12604.6532785388</v>
      </c>
      <c r="F14" s="28" t="n">
        <f aca="false">F7-F13</f>
        <v>13559.0743763704</v>
      </c>
      <c r="G14" s="28" t="n">
        <f aca="false">G7-G13</f>
        <v>14324.90110986</v>
      </c>
      <c r="H14" s="6" t="s">
        <v>184</v>
      </c>
    </row>
    <row r="16" customFormat="false" ht="41.75" hidden="false" customHeight="false" outlineLevel="0" collapsed="false">
      <c r="A16" s="4" t="s">
        <v>185</v>
      </c>
      <c r="B16" s="24" t="n">
        <f aca="false">'Audiobook GM Bridge'!D41</f>
        <v>300.2</v>
      </c>
      <c r="C16" s="24" t="n">
        <f aca="false">'Audiobook GM Bridge'!E41</f>
        <v>429.286</v>
      </c>
      <c r="D16" s="24" t="n">
        <f aca="false">'Audiobook GM Bridge'!F41</f>
        <v>558.0718</v>
      </c>
      <c r="E16" s="24" t="n">
        <f aca="false">'Audiobook GM Bridge'!G41</f>
        <v>669.68616</v>
      </c>
      <c r="F16" s="24" t="n">
        <f aca="false">'Audiobook GM Bridge'!H41</f>
        <v>763.4422224</v>
      </c>
      <c r="G16" s="24" t="n">
        <f aca="false">'Audiobook GM Bridge'!I41</f>
        <v>839.78644464</v>
      </c>
      <c r="H16" s="6" t="s">
        <v>186</v>
      </c>
    </row>
    <row r="17" customFormat="false" ht="28.35" hidden="false" customHeight="false" outlineLevel="0" collapsed="false">
      <c r="A17" s="4" t="s">
        <v>187</v>
      </c>
      <c r="B17" s="24" t="n">
        <f aca="false">'Audiobook GM Bridge'!$D$37-'Audiobook GM Bridge'!D37</f>
        <v>0</v>
      </c>
      <c r="C17" s="24" t="n">
        <f aca="false">'Audiobook GM Bridge'!$D$37-'Audiobook GM Bridge'!E37</f>
        <v>47.2075</v>
      </c>
      <c r="D17" s="24" t="n">
        <f aca="false">'Audiobook GM Bridge'!$D$37-'Audiobook GM Bridge'!F37</f>
        <v>47.2075</v>
      </c>
      <c r="E17" s="24" t="n">
        <f aca="false">'Audiobook GM Bridge'!$D$37-'Audiobook GM Bridge'!G37</f>
        <v>47.2075</v>
      </c>
      <c r="F17" s="24" t="n">
        <f aca="false">'Audiobook GM Bridge'!$D$37-'Audiobook GM Bridge'!H37</f>
        <v>47.2075</v>
      </c>
      <c r="G17" s="24" t="n">
        <f aca="false">'Audiobook GM Bridge'!$D$37-'Audiobook GM Bridge'!I37</f>
        <v>47.2075</v>
      </c>
      <c r="H17" s="6" t="s">
        <v>188</v>
      </c>
    </row>
    <row r="19" customFormat="false" ht="41.75" hidden="false" customHeight="false" outlineLevel="0" collapsed="false">
      <c r="A19" s="4" t="s">
        <v>189</v>
      </c>
      <c r="B19" s="42" t="n">
        <f aca="false">(-IS!AA12-B14-B16-B17)/B2</f>
        <v>0.0970673516024671</v>
      </c>
      <c r="C19" s="42" t="n">
        <f aca="false">B19+C20/10000</f>
        <v>0.0930673516024671</v>
      </c>
      <c r="D19" s="42" t="n">
        <f aca="false">C19+D20/10000</f>
        <v>0.0905673516024671</v>
      </c>
      <c r="E19" s="42" t="n">
        <f aca="false">D19+E20/10000</f>
        <v>0.0890673516024671</v>
      </c>
      <c r="F19" s="42" t="n">
        <f aca="false">E19+F20/10000</f>
        <v>0.0880673516024671</v>
      </c>
      <c r="G19" s="42" t="n">
        <f aca="false">F19+G20/10000</f>
        <v>0.0875673516024671</v>
      </c>
      <c r="H19" s="6" t="s">
        <v>190</v>
      </c>
    </row>
    <row r="20" customFormat="false" ht="15" hidden="false" customHeight="false" outlineLevel="0" collapsed="false">
      <c r="A20" s="22" t="s">
        <v>168</v>
      </c>
      <c r="C20" s="40" t="n">
        <v>-40</v>
      </c>
      <c r="D20" s="40" t="n">
        <v>-25</v>
      </c>
      <c r="E20" s="40" t="n">
        <v>-15</v>
      </c>
      <c r="F20" s="40" t="n">
        <v>-10</v>
      </c>
      <c r="G20" s="40" t="n">
        <v>-5</v>
      </c>
    </row>
    <row r="21" customFormat="false" ht="15" hidden="false" customHeight="false" outlineLevel="0" collapsed="false">
      <c r="A21" s="4" t="s">
        <v>191</v>
      </c>
      <c r="B21" s="24" t="n">
        <f aca="false">B19*B2</f>
        <v>1668.19950464</v>
      </c>
      <c r="C21" s="24" t="n">
        <f aca="false">C19*C2</f>
        <v>1806.43729460389</v>
      </c>
      <c r="D21" s="24" t="n">
        <f aca="false">D19*D2</f>
        <v>1917.49196812743</v>
      </c>
      <c r="E21" s="24" t="n">
        <f aca="false">E19*E2</f>
        <v>2063.33426722275</v>
      </c>
      <c r="F21" s="24" t="n">
        <f aca="false">F19*F2</f>
        <v>2203.18093503892</v>
      </c>
      <c r="G21" s="24" t="n">
        <f aca="false">G19*G2</f>
        <v>2318.95860513653</v>
      </c>
      <c r="H21" s="6" t="s">
        <v>192</v>
      </c>
    </row>
    <row r="23" customFormat="false" ht="15" hidden="false" customHeight="false" outlineLevel="0" collapsed="false">
      <c r="A23" s="27" t="s">
        <v>193</v>
      </c>
      <c r="B23" s="28" t="n">
        <f aca="false">B14+B16+B17+B21</f>
        <v>11690</v>
      </c>
      <c r="C23" s="28" t="n">
        <f aca="false">C14+C16+C17+C21</f>
        <v>13043.9776522039</v>
      </c>
      <c r="D23" s="28" t="n">
        <f aca="false">D14+D16+D17+D21</f>
        <v>14118.1778614774</v>
      </c>
      <c r="E23" s="28" t="n">
        <f aca="false">E14+E16+E17+E21</f>
        <v>15384.8812057615</v>
      </c>
      <c r="F23" s="28" t="n">
        <f aca="false">F14+F16+F17+F21</f>
        <v>16572.9050338094</v>
      </c>
      <c r="G23" s="28" t="n">
        <f aca="false">G14+G16+G17+G21</f>
        <v>17530.8536596365</v>
      </c>
      <c r="H23" s="6" t="s">
        <v>194</v>
      </c>
    </row>
    <row r="24" customFormat="false" ht="15" hidden="false" customHeight="false" outlineLevel="0" collapsed="false">
      <c r="A24" s="4" t="s">
        <v>195</v>
      </c>
      <c r="B24" s="24" t="n">
        <f aca="false">B2-B23</f>
        <v>5496</v>
      </c>
      <c r="C24" s="24" t="n">
        <f aca="false">C2-C23</f>
        <v>6366.02234779611</v>
      </c>
      <c r="D24" s="24" t="n">
        <f aca="false">D2-D23</f>
        <v>7053.82213852257</v>
      </c>
      <c r="E24" s="24" t="n">
        <f aca="false">E2-E23</f>
        <v>7781.1187942385</v>
      </c>
      <c r="F24" s="24" t="n">
        <f aca="false">F2-F23</f>
        <v>8444.09496619063</v>
      </c>
      <c r="G24" s="24" t="n">
        <f aca="false">G2-G23</f>
        <v>8951.14634036347</v>
      </c>
    </row>
    <row r="25" customFormat="false" ht="15" hidden="false" customHeight="false" outlineLevel="0" collapsed="false">
      <c r="A25" s="7" t="s">
        <v>196</v>
      </c>
      <c r="B25" s="43" t="n">
        <f aca="false">B24/B2</f>
        <v>0.319795182124986</v>
      </c>
      <c r="C25" s="43" t="n">
        <f aca="false">C24/C2</f>
        <v>0.327976421833906</v>
      </c>
      <c r="D25" s="43" t="n">
        <f aca="false">D24/D2</f>
        <v>0.333167491900745</v>
      </c>
      <c r="E25" s="43" t="n">
        <f aca="false">E24/E2</f>
        <v>0.335885297169926</v>
      </c>
      <c r="F25" s="43" t="n">
        <f aca="false">F24/F2</f>
        <v>0.337534275340394</v>
      </c>
      <c r="G25" s="43" t="n">
        <f aca="false">G24/G2</f>
        <v>0.338008697997261</v>
      </c>
      <c r="H25" s="6" t="s">
        <v>197</v>
      </c>
    </row>
    <row r="26" customFormat="false" ht="15" hidden="false" customHeight="false" outlineLevel="0" collapsed="false">
      <c r="A26" s="22" t="s">
        <v>168</v>
      </c>
      <c r="C26" s="35" t="n">
        <f aca="false">(C25-B25)*10000</f>
        <v>81.8123970892043</v>
      </c>
      <c r="D26" s="35" t="n">
        <f aca="false">(D25-C25)*10000</f>
        <v>51.9107006683883</v>
      </c>
      <c r="E26" s="35" t="n">
        <f aca="false">(E25-D25)*10000</f>
        <v>27.1780526918086</v>
      </c>
      <c r="F26" s="35" t="n">
        <f aca="false">(F25-E25)*10000</f>
        <v>16.4897817046833</v>
      </c>
      <c r="G26" s="35" t="n">
        <f aca="false">(G25-F25)*10000</f>
        <v>4.74422656867091</v>
      </c>
    </row>
    <row r="28" customFormat="false" ht="15" hidden="false" customHeight="false" outlineLevel="0" collapsed="false">
      <c r="A28" s="7" t="s">
        <v>198</v>
      </c>
    </row>
    <row r="29" customFormat="false" ht="15" hidden="false" customHeight="false" outlineLevel="0" collapsed="false">
      <c r="A29" s="22" t="s">
        <v>199</v>
      </c>
      <c r="C29" s="35" t="n">
        <f aca="false">-C4</f>
        <v>120</v>
      </c>
      <c r="D29" s="35" t="n">
        <f aca="false">-D4</f>
        <v>70</v>
      </c>
      <c r="E29" s="35" t="n">
        <f aca="false">-E4</f>
        <v>35</v>
      </c>
      <c r="F29" s="35" t="n">
        <f aca="false">-F4</f>
        <v>20</v>
      </c>
      <c r="G29" s="35" t="n">
        <f aca="false">-G4</f>
        <v>10</v>
      </c>
    </row>
    <row r="30" customFormat="false" ht="15" hidden="false" customHeight="false" outlineLevel="0" collapsed="false">
      <c r="A30" s="22" t="s">
        <v>200</v>
      </c>
      <c r="C30" s="35" t="n">
        <f aca="false">-C6</f>
        <v>-5</v>
      </c>
      <c r="D30" s="35" t="n">
        <f aca="false">-D6</f>
        <v>-5</v>
      </c>
      <c r="E30" s="35" t="n">
        <f aca="false">-E6</f>
        <v>-0</v>
      </c>
      <c r="F30" s="35" t="n">
        <f aca="false">-F6</f>
        <v>-0</v>
      </c>
      <c r="G30" s="35" t="n">
        <f aca="false">-G6</f>
        <v>-0</v>
      </c>
    </row>
    <row r="31" customFormat="false" ht="15" hidden="false" customHeight="false" outlineLevel="0" collapsed="false">
      <c r="A31" s="22" t="s">
        <v>201</v>
      </c>
      <c r="C31" s="35" t="n">
        <f aca="false">(C13/C2-B13/B2)*10000</f>
        <v>-2.37600000000001</v>
      </c>
      <c r="D31" s="35" t="n">
        <f aca="false">(D13/D2-C13/C2)*10000</f>
        <v>2.30872500000007</v>
      </c>
      <c r="E31" s="35" t="n">
        <f aca="false">(E13/E2-D13/D2)*10000</f>
        <v>0.750768749999964</v>
      </c>
      <c r="F31" s="35" t="n">
        <f aca="false">(F13/F2-E13/E2)*10000</f>
        <v>1.06991774999999</v>
      </c>
      <c r="G31" s="35" t="n">
        <f aca="false">(G13/G2-F13/F2)*10000</f>
        <v>0.646888500000047</v>
      </c>
    </row>
    <row r="32" customFormat="false" ht="15" hidden="false" customHeight="false" outlineLevel="0" collapsed="false">
      <c r="A32" s="22" t="s">
        <v>202</v>
      </c>
      <c r="C32" s="35" t="n">
        <f aca="false">-(C16/C2-B16/B2)*10000</f>
        <v>-46.4903767387195</v>
      </c>
      <c r="D32" s="35" t="n">
        <f aca="false">-(D16/D2-C16/C2)*10000</f>
        <v>-42.4221127746123</v>
      </c>
      <c r="E32" s="35" t="n">
        <f aca="false">-(E16/E2-D16/D2)*10000</f>
        <v>-25.4919292426755</v>
      </c>
      <c r="F32" s="35" t="n">
        <f aca="false">-(F16/F2-E16/E2)*10000</f>
        <v>-16.0878923043442</v>
      </c>
      <c r="G32" s="35" t="n">
        <f aca="false">-(G16/G2-F16/F2)*10000</f>
        <v>-11.9465708709223</v>
      </c>
    </row>
    <row r="33" customFormat="false" ht="15" hidden="false" customHeight="false" outlineLevel="0" collapsed="false">
      <c r="A33" s="22" t="s">
        <v>203</v>
      </c>
      <c r="C33" s="35" t="n">
        <f aca="false">-(C17/C2-B17/B2)*10000</f>
        <v>-24.3212261720763</v>
      </c>
      <c r="D33" s="35" t="n">
        <f aca="false">-(D17/D2-C17/C2)*10000</f>
        <v>2.02408844300011</v>
      </c>
      <c r="E33" s="35" t="n">
        <f aca="false">-(E17/E2-D17/D2)*10000</f>
        <v>1.91921318448493</v>
      </c>
      <c r="F33" s="35" t="n">
        <f aca="false">-(F17/F2-E17/E2)*10000</f>
        <v>1.5077562590254</v>
      </c>
      <c r="G33" s="35" t="n">
        <f aca="false">-(G17/G2-F17/F2)*10000</f>
        <v>1.04390893959497</v>
      </c>
    </row>
    <row r="34" customFormat="false" ht="15" hidden="false" customHeight="false" outlineLevel="0" collapsed="false">
      <c r="A34" s="22" t="s">
        <v>204</v>
      </c>
      <c r="C34" s="35" t="n">
        <f aca="false">-C20</f>
        <v>40</v>
      </c>
      <c r="D34" s="35" t="n">
        <f aca="false">-D20</f>
        <v>25</v>
      </c>
      <c r="E34" s="35" t="n">
        <f aca="false">-E20</f>
        <v>15</v>
      </c>
      <c r="F34" s="35" t="n">
        <f aca="false">-F20</f>
        <v>10</v>
      </c>
      <c r="G34" s="35" t="n">
        <f aca="false">-G20</f>
        <v>5</v>
      </c>
    </row>
    <row r="35" customFormat="false" ht="15" hidden="false" customHeight="false" outlineLevel="0" collapsed="false">
      <c r="A35" s="22" t="s">
        <v>205</v>
      </c>
      <c r="C35" s="35" t="n">
        <f aca="false">SUM(C29:C34)-C26</f>
        <v>0</v>
      </c>
      <c r="D35" s="35" t="n">
        <f aca="false">SUM(D29:D34)-D26</f>
        <v>-4.05009359383257E-013</v>
      </c>
      <c r="E35" s="35" t="n">
        <f aca="false">SUM(E29:E34)-E26</f>
        <v>8.06466005087714E-013</v>
      </c>
      <c r="F35" s="35" t="n">
        <f aca="false">SUM(F29:F34)-F26</f>
        <v>-2.07833750209829E-012</v>
      </c>
      <c r="G35" s="35" t="n">
        <f aca="false">SUM(G29:G34)-G26</f>
        <v>1.76214598468505E-012</v>
      </c>
      <c r="H35" s="6" t="s">
        <v>206</v>
      </c>
    </row>
    <row r="36" customFormat="false" ht="15" hidden="false" customHeight="false" outlineLevel="0" collapsed="false">
      <c r="A36" s="4" t="s">
        <v>207</v>
      </c>
      <c r="B36" s="24" t="n">
        <f aca="false">-IS!AA12</f>
        <v>11690</v>
      </c>
      <c r="H36" s="6" t="s">
        <v>208</v>
      </c>
    </row>
    <row r="37" customFormat="false" ht="41.75" hidden="false" customHeight="false" outlineLevel="0" collapsed="false">
      <c r="A37" s="4" t="s">
        <v>209</v>
      </c>
      <c r="B37" s="32" t="n">
        <f aca="false">B14/B2</f>
        <v>0.56566976</v>
      </c>
      <c r="C37" s="32" t="n">
        <f aca="false">C14/C2</f>
        <v>0.55440736</v>
      </c>
      <c r="D37" s="32" t="n">
        <f aca="false">D14/D2</f>
        <v>0.5476764875</v>
      </c>
      <c r="E37" s="32" t="n">
        <f aca="false">E14/E2</f>
        <v>0.544101410625</v>
      </c>
      <c r="F37" s="32" t="n">
        <f aca="false">F14/F2</f>
        <v>0.54199441885</v>
      </c>
      <c r="G37" s="32" t="n">
        <f aca="false">G14/G2</f>
        <v>0.54092973</v>
      </c>
      <c r="H37" s="6" t="s">
        <v>210</v>
      </c>
    </row>
    <row r="38" customFormat="false" ht="15" hidden="false" customHeight="false" outlineLevel="0" collapsed="false">
      <c r="A38" s="22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22" t="s">
        <v>212</v>
      </c>
      <c r="L2" s="22" t="s">
        <v>1</v>
      </c>
      <c r="Q2" s="22" t="s">
        <v>2</v>
      </c>
      <c r="V2" s="22" t="s">
        <v>3</v>
      </c>
      <c r="AA2" s="22" t="s">
        <v>4</v>
      </c>
      <c r="AB2" s="22" t="s">
        <v>5</v>
      </c>
      <c r="AC2" s="22" t="s">
        <v>6</v>
      </c>
      <c r="AD2" s="22" t="s">
        <v>7</v>
      </c>
    </row>
    <row r="58" customFormat="false" ht="15" hidden="false" customHeight="false" outlineLevel="0" collapsed="false">
      <c r="B58" s="22" t="s">
        <v>139</v>
      </c>
      <c r="L58" s="44" t="n">
        <v>15673</v>
      </c>
      <c r="Q58" s="44" t="n">
        <v>17186</v>
      </c>
      <c r="V58" s="44" t="n">
        <v>19410</v>
      </c>
      <c r="AA58" s="44" t="n">
        <v>21172</v>
      </c>
      <c r="AB58" s="44" t="n">
        <v>23166</v>
      </c>
      <c r="AC58" s="44" t="n">
        <v>25017</v>
      </c>
      <c r="AD58" s="44" t="n">
        <v>26482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22" t="s">
        <v>213</v>
      </c>
    </row>
    <row r="3" customFormat="false" ht="15" hidden="false" customHeight="false" outlineLevel="0" collapsed="false">
      <c r="B3" s="22" t="s">
        <v>214</v>
      </c>
      <c r="C3" s="22" t="s">
        <v>69</v>
      </c>
      <c r="E3" s="22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22" t="s">
        <v>212</v>
      </c>
    </row>
    <row r="30" customFormat="false" ht="15" hidden="false" customHeight="false" outlineLevel="0" collapsed="false">
      <c r="D30" s="44" t="n">
        <v>0.512</v>
      </c>
    </row>
    <row r="31" customFormat="false" ht="15" hidden="false" customHeight="false" outlineLevel="0" collapsed="false">
      <c r="E31" s="44" t="n">
        <v>0.52</v>
      </c>
      <c r="F31" s="44" t="n">
        <v>0.525</v>
      </c>
      <c r="G31" s="44" t="n">
        <v>0.5275</v>
      </c>
      <c r="H31" s="44" t="n">
        <v>0.529</v>
      </c>
      <c r="I31" s="44" t="n">
        <v>0.53</v>
      </c>
    </row>
    <row r="35" customFormat="false" ht="15" hidden="false" customHeight="false" outlineLevel="0" collapsed="false">
      <c r="D35" s="44" t="n">
        <v>0.33</v>
      </c>
    </row>
    <row r="36" customFormat="false" ht="15" hidden="false" customHeight="false" outlineLevel="0" collapsed="false">
      <c r="E36" s="44" t="n">
        <v>0.33</v>
      </c>
      <c r="F36" s="44" t="n">
        <v>0.335</v>
      </c>
      <c r="G36" s="44" t="n">
        <v>0.337</v>
      </c>
      <c r="H36" s="44" t="n">
        <v>0.339</v>
      </c>
      <c r="I36" s="44" t="n">
        <v>0.34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22" t="s">
        <v>212</v>
      </c>
    </row>
    <row r="3" customFormat="false" ht="15" hidden="false" customHeight="false" outlineLevel="0" collapsed="false">
      <c r="AA3" s="22" t="s">
        <v>215</v>
      </c>
    </row>
    <row r="12" customFormat="false" ht="15" hidden="false" customHeight="false" outlineLevel="0" collapsed="false">
      <c r="B12" s="22" t="s">
        <v>216</v>
      </c>
      <c r="AA12" s="44" t="n">
        <v>-11690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2026-10-02T23:39:01Z</dcterms:created>
  <dc:creator>SPOT</dc:creator>
  <dc:description/>
  <dc:language>en-US</dc:language>
  <cp:lastModifiedBy>SPOT</cp:lastModifiedBy>
  <dcterms:modified xsi:type="dcterms:W3CDTF">2026-10-02T23:39:01Z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