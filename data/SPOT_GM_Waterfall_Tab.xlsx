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M Waterfall" sheetId="1" state="visible" r:id="rId3"/>
    <sheet name="RPM" sheetId="2" state="visible" r:id="rId4"/>
    <sheet name="DM Inputs" sheetId="3" state="visible" r:id="rId5"/>
    <sheet name="Audiobook GM Bridge" sheetId="4" state="visible" r:id="rId6"/>
    <sheet name="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<sst xmlns="http://schemas.openxmlformats.org/spreadsheetml/2006/main" count="58" uniqueCount="49">
  <si>
    <t xml:space="preserve">FY25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</si>
  <si>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</si>
  <si>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</si>
  <si>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</si>
  <si>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</si>
  <si>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</si>
  <si>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Revenue</t>
  </si>
  <si>
    <t xml:space="preserve">RPM row 58 (total revenue).</t>
  </si>
  <si>
    <t xml:space="preserve">Label %</t>
  </si>
  <si>
    <t xml:space="preserve">Recording-royalty rate before Discovery Mode, % of total revenue, blended across tiers. Major-label Premium headline ~52%, independents ~50%, ad tier on the greater of revenue share or per-stream minimums. Chosen so that royalties after the DM haircut land on Loud &amp; Clear's €10.1bn (58.8% of 2025 revenue). Held flat.</t>
  </si>
  <si>
    <t xml:space="preserve">Publisher %</t>
  </si>
  <si>
    <t xml:space="preserve">Mechanical + performance royalties, % of total revenue. US Premium statutory all-in 15.25% (Phonorecords IV, 2025) less the bundle discount since Mar-24; non-US nearer 10-13%. Not reduced by Discovery Mode. Held flat.</t>
  </si>
  <si>
    <t xml:space="preserve">Royalties</t>
  </si>
  <si>
    <t xml:space="preserve">Revenue x (label % + publisher %): the royalty pool before the Discovery Mode haircut.</t>
  </si>
  <si>
    <t xml:space="preserve">Discovery Mode Eligible Streams</t>
  </si>
  <si>
    <t xml:space="preserve">% of streams served in Radio / Autoplay / Mixes. FY25 = DM Inputs D30; FY26-FY27 = the active case rows on DM Inputs (E31, F31); FY28 adds two thirds of the FY27 step, FY29 one third, FY30 flat.</t>
  </si>
  <si>
    <t xml:space="preserve">DM % of DM-eligible streams </t>
  </si>
  <si>
    <t xml:space="preserve">% of eligible-context streams that are Discovery Mode streams. FY25 = DM Inputs D35; FY26-FY27 = DM Inputs E36, F36; same fade to flat by FY30.</t>
  </si>
  <si>
    <t xml:space="preserve">DM haircut</t>
  </si>
  <si>
    <t xml:space="preserve">Program term: 30% lower recording royalty on DM-context streams. Held flat; lower a later year to model a claw-back at label renewals.</t>
  </si>
  <si>
    <t xml:space="preserve">DM royalties</t>
  </si>
  <si>
    <t xml:space="preserve">Label royalties attributable to Discovery Mode streams before the haircut = revenue x label % x eligible share x DM share. Publishing is not discounted, so only the label line is in scope.</t>
  </si>
  <si>
    <t xml:space="preserve">DM netted royalties</t>
  </si>
  <si>
    <t xml:space="preserve">What is actually paid on those streams = DM royalties x (1 - haircut).</t>
  </si>
  <si>
    <t xml:space="preserve">Audiobook licensing</t>
  </si>
  <si>
    <t xml:space="preserve">FY25-FY27 from the audiobook bridge (row 41, cost paid to book publishers). FY28-FY30 grown at the rates below.</t>
  </si>
  <si>
    <t xml:space="preserve">   % y/y growth</t>
  </si>
  <si>
    <t xml:space="preserve">FY28-FY30: inputs, decelerating from the audiobook tab's FY27 rate.</t>
  </si>
  <si>
    <t xml:space="preserve">Other cost of revenue (payment fees, podcasts, delivery)</t>
  </si>
  <si>
    <t xml:space="preserve">Added so FY25 ties to reported cost of revenue (IS 2025, €11,690M): the plug is payment processing (~3% of revenue), podcast content and production (~2%), streaming delivery, hosting and support (~2%). Held at the FY25 % of revenue. Delete this row for the pure royalty waterfall; FY25 gross margin then reads ~39% instead of 32%.</t>
  </si>
  <si>
    <t xml:space="preserve">COGS</t>
  </si>
  <si>
    <t xml:space="preserve">Royalties - DM royalties + DM netted royalties + audiobook licensing + other.</t>
  </si>
  <si>
    <t xml:space="preserve">Gross profit</t>
  </si>
  <si>
    <t xml:space="preserve">Gross margin %</t>
  </si>
  <si>
    <t xml:space="preserve">Memo</t>
  </si>
  <si>
    <t xml:space="preserve">Reported COGS (IS)</t>
  </si>
  <si>
    <t xml:space="preserve">FY25 20-F / IS. FY25 gross margin reproduces 32.0% by construction.</t>
  </si>
  <si>
    <t xml:space="preserve">Royalties after Discovery Mode, % of revenue</t>
  </si>
  <si>
    <t xml:space="preserve">Check against Loud &amp; Clear: €10.1bn paid to the music industry in 2025 = 58.8% of revenue.</t>
  </si>
  <si>
    <t xml:space="preserve">Discovery Mode saving</t>
  </si>
  <si>
    <t xml:space="preserve">DM royalties - DM netted royalties = the cost-of-revenue reduction.</t>
  </si>
  <si>
    <t xml:space="preserve">   as bp of gross margin</t>
  </si>
  <si>
    <t xml:space="preserve">Gross margin % with no Discovery Mode</t>
  </si>
  <si>
    <t xml:space="preserve">Blue = input; gold = held flat / case-driven / fade; black = formula. After pasting into the model, Find &amp; Replace "[SPOT_GM_Waterfall_Tab.xlsx]" with nothing so links point at the model's own tabs; the stub sheets in this file are not needed there.</t>
  </si>
  <si>
    <t xml:space="preserve">STUB</t>
  </si>
  <si>
    <t xml:space="preserve">Total Revenue</t>
  </si>
  <si>
    <t xml:space="preserve">C: Licensing cost paid to book publishers</t>
  </si>
  <si>
    <t xml:space="preserve">2025</t>
  </si>
  <si>
    <t xml:space="preserve">Cost of Revenue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</si>
</sst>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_);\(#,##0\)"/>
    <numFmt numFmtId="166" formatCode="0.0%"/>
    <numFmt numFmtId="167" formatCode="0%"/>
    <numFmt numFmtId="168" formatCode="0_);\(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  <font>
      <sz val="11"/>
      <color rgb="FF0070C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1"/>
    <col collapsed="false" customWidth="true" hidden="false" outlineLevel="0" max="8" min="8" style="0" width="80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2" t="s">
        <v>6</v>
      </c>
      <c r="B2" s="3" t="n">
        <f aca="false">RPM!Q58</f>
        <v>17186</v>
      </c>
      <c r="C2" s="3" t="n">
        <f aca="false">RPM!V58</f>
        <v>19410</v>
      </c>
      <c r="D2" s="3" t="n">
        <f aca="false">RPM!AA58</f>
        <v>21172</v>
      </c>
      <c r="E2" s="3" t="n">
        <f aca="false">RPM!AB58</f>
        <v>23166</v>
      </c>
      <c r="F2" s="3" t="n">
        <f aca="false">RPM!AC58</f>
        <v>25017</v>
      </c>
      <c r="G2" s="3" t="n">
        <f aca="false">RPM!AD58</f>
        <v>26482</v>
      </c>
      <c r="H2" s="4" t="s">
        <v>7</v>
      </c>
    </row>
    <row r="3" customFormat="false" ht="55.2" hidden="false" customHeight="false" outlineLevel="0" collapsed="false">
      <c r="A3" s="2" t="s">
        <v>8</v>
      </c>
      <c r="B3" s="5" t="n">
        <v>0.5</v>
      </c>
      <c r="C3" s="6" t="n">
        <f aca="false">B3</f>
        <v>0.5</v>
      </c>
      <c r="D3" s="6" t="n">
        <f aca="false">C3</f>
        <v>0.5</v>
      </c>
      <c r="E3" s="6" t="n">
        <f aca="false">D3</f>
        <v>0.5</v>
      </c>
      <c r="F3" s="6" t="n">
        <f aca="false">E3</f>
        <v>0.5</v>
      </c>
      <c r="G3" s="6" t="n">
        <f aca="false">F3</f>
        <v>0.5</v>
      </c>
      <c r="H3" s="4" t="s">
        <v>9</v>
      </c>
    </row>
    <row r="4" customFormat="false" ht="41.75" hidden="false" customHeight="false" outlineLevel="0" collapsed="false">
      <c r="A4" s="2" t="s">
        <v>10</v>
      </c>
      <c r="B4" s="5" t="n">
        <v>0.11</v>
      </c>
      <c r="C4" s="6" t="n">
        <f aca="false">B4</f>
        <v>0.11</v>
      </c>
      <c r="D4" s="6" t="n">
        <f aca="false">C4</f>
        <v>0.11</v>
      </c>
      <c r="E4" s="6" t="n">
        <f aca="false">D4</f>
        <v>0.11</v>
      </c>
      <c r="F4" s="6" t="n">
        <f aca="false">E4</f>
        <v>0.11</v>
      </c>
      <c r="G4" s="6" t="n">
        <f aca="false">F4</f>
        <v>0.11</v>
      </c>
      <c r="H4" s="4" t="s">
        <v>11</v>
      </c>
    </row>
    <row r="5" customFormat="false" ht="15" hidden="false" customHeight="false" outlineLevel="0" collapsed="false">
      <c r="A5" s="2" t="s">
        <v>12</v>
      </c>
      <c r="B5" s="3" t="n">
        <f aca="false">B2*(B3+B4)</f>
        <v>10483.46</v>
      </c>
      <c r="C5" s="3" t="n">
        <f aca="false">C2*(C3+C4)</f>
        <v>11840.1</v>
      </c>
      <c r="D5" s="3" t="n">
        <f aca="false">D2*(D3+D4)</f>
        <v>12914.92</v>
      </c>
      <c r="E5" s="3" t="n">
        <f aca="false">E2*(E3+E4)</f>
        <v>14131.26</v>
      </c>
      <c r="F5" s="3" t="n">
        <f aca="false">F2*(F3+F4)</f>
        <v>15260.37</v>
      </c>
      <c r="G5" s="3" t="n">
        <f aca="false">G2*(G3+G4)</f>
        <v>16154.02</v>
      </c>
      <c r="H5" s="4" t="s">
        <v>13</v>
      </c>
    </row>
    <row r="7" customFormat="false" ht="41.75" hidden="false" customHeight="false" outlineLevel="0" collapsed="false">
      <c r="A7" s="2" t="s">
        <v>14</v>
      </c>
      <c r="B7" s="7" t="n">
        <f aca="false">'DM Inputs'!D30</f>
        <v>0.512</v>
      </c>
      <c r="C7" s="7" t="n">
        <f aca="false">'DM Inputs'!E31</f>
        <v>0.52</v>
      </c>
      <c r="D7" s="7" t="n">
        <f aca="false">'DM Inputs'!F31</f>
        <v>0.525</v>
      </c>
      <c r="E7" s="6" t="n">
        <f aca="false">D7+(D7-C7)*2/3</f>
        <v>0.528333333333333</v>
      </c>
      <c r="F7" s="6" t="n">
        <f aca="false">E7+(D7-C7)*1/3</f>
        <v>0.53</v>
      </c>
      <c r="G7" s="6" t="n">
        <f aca="false">F7</f>
        <v>0.53</v>
      </c>
      <c r="H7" s="4" t="s">
        <v>15</v>
      </c>
    </row>
    <row r="8" customFormat="false" ht="28.35" hidden="false" customHeight="false" outlineLevel="0" collapsed="false">
      <c r="A8" s="2" t="s">
        <v>16</v>
      </c>
      <c r="B8" s="7" t="n">
        <f aca="false">'DM Inputs'!D35</f>
        <v>0.33</v>
      </c>
      <c r="C8" s="7" t="n">
        <f aca="false">'DM Inputs'!E36</f>
        <v>0.33</v>
      </c>
      <c r="D8" s="7" t="n">
        <f aca="false">'DM Inputs'!F36</f>
        <v>0.335</v>
      </c>
      <c r="E8" s="6" t="n">
        <f aca="false">D8+(D8-C8)*2/3</f>
        <v>0.338333333333333</v>
      </c>
      <c r="F8" s="6" t="n">
        <f aca="false">E8+(D8-C8)*1/3</f>
        <v>0.34</v>
      </c>
      <c r="G8" s="6" t="n">
        <f aca="false">F8</f>
        <v>0.34</v>
      </c>
      <c r="H8" s="4" t="s">
        <v>17</v>
      </c>
    </row>
    <row r="9" customFormat="false" ht="28.35" hidden="false" customHeight="false" outlineLevel="0" collapsed="false">
      <c r="A9" s="2" t="s">
        <v>18</v>
      </c>
      <c r="B9" s="8" t="n">
        <v>0.3</v>
      </c>
      <c r="C9" s="9" t="n">
        <f aca="false">B9</f>
        <v>0.3</v>
      </c>
      <c r="D9" s="9" t="n">
        <f aca="false">C9</f>
        <v>0.3</v>
      </c>
      <c r="E9" s="9" t="n">
        <f aca="false">D9</f>
        <v>0.3</v>
      </c>
      <c r="F9" s="9" t="n">
        <f aca="false">E9</f>
        <v>0.3</v>
      </c>
      <c r="G9" s="9" t="n">
        <f aca="false">F9</f>
        <v>0.3</v>
      </c>
      <c r="H9" s="4" t="s">
        <v>19</v>
      </c>
    </row>
    <row r="10" customFormat="false" ht="28.35" hidden="false" customHeight="false" outlineLevel="0" collapsed="false">
      <c r="A10" s="2" t="s">
        <v>20</v>
      </c>
      <c r="B10" s="3" t="n">
        <f aca="false">B2*B3*B7*B8</f>
        <v>1451.87328</v>
      </c>
      <c r="C10" s="3" t="n">
        <f aca="false">C2*C3*C7*C8</f>
        <v>1665.378</v>
      </c>
      <c r="D10" s="3" t="n">
        <f aca="false">D2*D3*D7*D8</f>
        <v>1861.81275</v>
      </c>
      <c r="E10" s="3" t="n">
        <f aca="false">E2*E3*E7*E8</f>
        <v>2070.493425</v>
      </c>
      <c r="F10" s="3" t="n">
        <f aca="false">F2*F3*F7*F8</f>
        <v>2254.0317</v>
      </c>
      <c r="G10" s="3" t="n">
        <f aca="false">G2*G3*G7*G8</f>
        <v>2386.0282</v>
      </c>
      <c r="H10" s="4" t="s">
        <v>21</v>
      </c>
    </row>
    <row r="11" customFormat="false" ht="15" hidden="false" customHeight="false" outlineLevel="0" collapsed="false">
      <c r="A11" s="2" t="s">
        <v>22</v>
      </c>
      <c r="B11" s="3" t="n">
        <f aca="false">B10*(1-B9)</f>
        <v>1016.311296</v>
      </c>
      <c r="C11" s="3" t="n">
        <f aca="false">C10*(1-C9)</f>
        <v>1165.7646</v>
      </c>
      <c r="D11" s="3" t="n">
        <f aca="false">D10*(1-D9)</f>
        <v>1303.268925</v>
      </c>
      <c r="E11" s="3" t="n">
        <f aca="false">E10*(1-E9)</f>
        <v>1449.3453975</v>
      </c>
      <c r="F11" s="3" t="n">
        <f aca="false">F10*(1-F9)</f>
        <v>1577.82219</v>
      </c>
      <c r="G11" s="3" t="n">
        <f aca="false">G10*(1-G9)</f>
        <v>1670.21974</v>
      </c>
      <c r="H11" s="4" t="s">
        <v>23</v>
      </c>
    </row>
    <row r="13" customFormat="false" ht="28.35" hidden="false" customHeight="false" outlineLevel="0" collapsed="false">
      <c r="A13" s="2" t="s">
        <v>24</v>
      </c>
      <c r="B13" s="3" t="n">
        <f aca="false">'Audiobook GM Bridge'!D41</f>
        <v>300.2</v>
      </c>
      <c r="C13" s="3" t="n">
        <f aca="false">'Audiobook GM Bridge'!E41</f>
        <v>429.286</v>
      </c>
      <c r="D13" s="3" t="n">
        <f aca="false">'Audiobook GM Bridge'!F41</f>
        <v>558.072</v>
      </c>
      <c r="E13" s="3" t="n">
        <f aca="false">D13*(1+E14)</f>
        <v>669.6864</v>
      </c>
      <c r="F13" s="3" t="n">
        <f aca="false">E13*(1+F14)</f>
        <v>770.13936</v>
      </c>
      <c r="G13" s="3" t="n">
        <f aca="false">F13*(1+G14)</f>
        <v>847.153296</v>
      </c>
      <c r="H13" s="4" t="s">
        <v>25</v>
      </c>
    </row>
    <row r="14" customFormat="false" ht="15" hidden="false" customHeight="false" outlineLevel="0" collapsed="false">
      <c r="A14" s="10" t="s">
        <v>26</v>
      </c>
      <c r="C14" s="11" t="n">
        <f aca="false">C13/B13-1</f>
        <v>0.43</v>
      </c>
      <c r="D14" s="11" t="n">
        <f aca="false">D13/C13-1</f>
        <v>0.300000465889873</v>
      </c>
      <c r="E14" s="8" t="n">
        <v>0.2</v>
      </c>
      <c r="F14" s="8" t="n">
        <v>0.15</v>
      </c>
      <c r="G14" s="8" t="n">
        <v>0.1</v>
      </c>
      <c r="H14" s="4" t="s">
        <v>27</v>
      </c>
    </row>
    <row r="16" customFormat="false" ht="55.2" hidden="false" customHeight="false" outlineLevel="0" collapsed="false">
      <c r="A16" s="2" t="s">
        <v>28</v>
      </c>
      <c r="B16" s="3" t="n">
        <f aca="false">-IS!AA12-(B5-B10+B11+B13)</f>
        <v>1341.901984</v>
      </c>
      <c r="C16" s="12" t="n">
        <f aca="false">C2*$B$16/$B$2</f>
        <v>1515.55437620389</v>
      </c>
      <c r="D16" s="12" t="n">
        <f aca="false">D2*$B$16/$B$2</f>
        <v>1653.13329484743</v>
      </c>
      <c r="E16" s="12" t="n">
        <f aca="false">E2*$B$16/$B$2</f>
        <v>1808.82703138275</v>
      </c>
      <c r="F16" s="12" t="n">
        <f aca="false">F2*$B$16/$B$2</f>
        <v>1953.35516895892</v>
      </c>
      <c r="G16" s="12" t="n">
        <f aca="false">G2*$B$16/$B$2</f>
        <v>2067.74399745653</v>
      </c>
      <c r="H16" s="4" t="s">
        <v>29</v>
      </c>
    </row>
    <row r="18" customFormat="false" ht="15" hidden="false" customHeight="false" outlineLevel="0" collapsed="false">
      <c r="A18" s="13" t="s">
        <v>30</v>
      </c>
      <c r="B18" s="14" t="n">
        <f aca="false">B5-B10+B11+B13+B16</f>
        <v>11690</v>
      </c>
      <c r="C18" s="14" t="n">
        <f aca="false">C5-C10+C11+C13+C16</f>
        <v>13285.3269762039</v>
      </c>
      <c r="D18" s="14" t="n">
        <f aca="false">D5-D10+D11+D13+D16</f>
        <v>14567.5814698474</v>
      </c>
      <c r="E18" s="14" t="n">
        <f aca="false">E5-E10+E11+E13+E16</f>
        <v>15988.6254038828</v>
      </c>
      <c r="F18" s="14" t="n">
        <f aca="false">F5-F10+F11+F13+F16</f>
        <v>17307.6550189589</v>
      </c>
      <c r="G18" s="14" t="n">
        <f aca="false">G5-G10+G11+G13+G16</f>
        <v>18353.1088334565</v>
      </c>
      <c r="H18" s="4" t="s">
        <v>31</v>
      </c>
    </row>
    <row r="19" customFormat="false" ht="15" hidden="false" customHeight="false" outlineLevel="0" collapsed="false">
      <c r="A19" s="2" t="s">
        <v>32</v>
      </c>
      <c r="B19" s="3" t="n">
        <f aca="false">B2-B18</f>
        <v>5496</v>
      </c>
      <c r="C19" s="3" t="n">
        <f aca="false">C2-C18</f>
        <v>6124.67302379611</v>
      </c>
      <c r="D19" s="3" t="n">
        <f aca="false">D2-D18</f>
        <v>6604.41853015257</v>
      </c>
      <c r="E19" s="3" t="n">
        <f aca="false">E2-E18</f>
        <v>7177.37459611725</v>
      </c>
      <c r="F19" s="3" t="n">
        <f aca="false">F2-F18</f>
        <v>7709.34498104108</v>
      </c>
      <c r="G19" s="3" t="n">
        <f aca="false">G2-G18</f>
        <v>8128.89116654346</v>
      </c>
    </row>
    <row r="20" customFormat="false" ht="15" hidden="false" customHeight="false" outlineLevel="0" collapsed="false">
      <c r="A20" s="15" t="s">
        <v>33</v>
      </c>
      <c r="B20" s="16" t="n">
        <f aca="false">B19/B2</f>
        <v>0.319795182124986</v>
      </c>
      <c r="C20" s="16" t="n">
        <f aca="false">C19/C2</f>
        <v>0.315542144451114</v>
      </c>
      <c r="D20" s="16" t="n">
        <f aca="false">D19/D2</f>
        <v>0.311941173727214</v>
      </c>
      <c r="E20" s="16" t="n">
        <f aca="false">E19/E2</f>
        <v>0.309823646556041</v>
      </c>
      <c r="F20" s="16" t="n">
        <f aca="false">F19/F2</f>
        <v>0.308164247553307</v>
      </c>
      <c r="G20" s="16" t="n">
        <f aca="false">G19/G2</f>
        <v>0.306959110586189</v>
      </c>
    </row>
    <row r="22" customFormat="false" ht="15" hidden="false" customHeight="false" outlineLevel="0" collapsed="false">
      <c r="A22" s="15" t="s">
        <v>34</v>
      </c>
    </row>
    <row r="23" customFormat="false" ht="15" hidden="false" customHeight="false" outlineLevel="0" collapsed="false">
      <c r="A23" s="2" t="s">
        <v>35</v>
      </c>
      <c r="B23" s="3" t="n">
        <f aca="false">-IS!AA12</f>
        <v>11690</v>
      </c>
      <c r="H23" s="4" t="s">
        <v>36</v>
      </c>
    </row>
    <row r="24" customFormat="false" ht="15" hidden="false" customHeight="false" outlineLevel="0" collapsed="false">
      <c r="A24" s="2" t="s">
        <v>37</v>
      </c>
      <c r="B24" s="7" t="n">
        <f aca="false">(B5-B10+B11)/B2</f>
        <v>0.584656</v>
      </c>
      <c r="C24" s="7" t="n">
        <f aca="false">(C5-C10+C11)/C2</f>
        <v>0.58426</v>
      </c>
      <c r="D24" s="7" t="n">
        <f aca="false">(D5-D10+D11)/D2</f>
        <v>0.58361875</v>
      </c>
      <c r="E24" s="7" t="n">
        <f aca="false">(E5-E10+E11)/E2</f>
        <v>0.583187083333333</v>
      </c>
      <c r="F24" s="7" t="n">
        <f aca="false">(F5-F10+F11)/F2</f>
        <v>0.58297</v>
      </c>
      <c r="G24" s="7" t="n">
        <f aca="false">(G5-G10+G11)/G2</f>
        <v>0.58297</v>
      </c>
      <c r="H24" s="4" t="s">
        <v>38</v>
      </c>
    </row>
    <row r="25" customFormat="false" ht="15" hidden="false" customHeight="false" outlineLevel="0" collapsed="false">
      <c r="A25" s="2" t="s">
        <v>39</v>
      </c>
      <c r="B25" s="3" t="n">
        <f aca="false">B10-B11</f>
        <v>435.561984</v>
      </c>
      <c r="C25" s="3" t="n">
        <f aca="false">C10-C11</f>
        <v>499.6134</v>
      </c>
      <c r="D25" s="3" t="n">
        <f aca="false">D10-D11</f>
        <v>558.543825</v>
      </c>
      <c r="E25" s="3" t="n">
        <f aca="false">E10-E11</f>
        <v>621.1480275</v>
      </c>
      <c r="F25" s="3" t="n">
        <f aca="false">F10-F11</f>
        <v>676.20951</v>
      </c>
      <c r="G25" s="3" t="n">
        <f aca="false">G10-G11</f>
        <v>715.80846</v>
      </c>
      <c r="H25" s="4" t="s">
        <v>40</v>
      </c>
    </row>
    <row r="26" customFormat="false" ht="15" hidden="false" customHeight="false" outlineLevel="0" collapsed="false">
      <c r="A26" s="2" t="s">
        <v>41</v>
      </c>
      <c r="B26" s="17" t="n">
        <f aca="false">(B10-B11)/B2*10000</f>
        <v>253.44</v>
      </c>
      <c r="C26" s="17" t="n">
        <f aca="false">(C10-C11)/C2*10000</f>
        <v>257.4</v>
      </c>
      <c r="D26" s="17" t="n">
        <f aca="false">(D10-D11)/D2*10000</f>
        <v>263.8125</v>
      </c>
      <c r="E26" s="17" t="n">
        <f aca="false">(E10-E11)/E2*10000</f>
        <v>268.129166666667</v>
      </c>
      <c r="F26" s="17" t="n">
        <f aca="false">(F10-F11)/F2*10000</f>
        <v>270.3</v>
      </c>
      <c r="G26" s="17" t="n">
        <f aca="false">(G10-G11)/G2*10000</f>
        <v>270.3</v>
      </c>
    </row>
    <row r="27" customFormat="false" ht="15" hidden="false" customHeight="false" outlineLevel="0" collapsed="false">
      <c r="A27" s="2" t="s">
        <v>42</v>
      </c>
      <c r="B27" s="7" t="n">
        <f aca="false">(B2-B18-(B10-B11))/B2</f>
        <v>0.294451182124985</v>
      </c>
      <c r="C27" s="7" t="n">
        <f aca="false">(C2-C18-(C10-C11))/C2</f>
        <v>0.289802144451113</v>
      </c>
      <c r="D27" s="7" t="n">
        <f aca="false">(D2-D18-(D10-D11))/D2</f>
        <v>0.285559923727214</v>
      </c>
      <c r="E27" s="7" t="n">
        <f aca="false">(E2-E18-(E10-E11))/E2</f>
        <v>0.283010729889374</v>
      </c>
      <c r="F27" s="7" t="n">
        <f aca="false">(F2-F18-(F10-F11))/F2</f>
        <v>0.281134247553307</v>
      </c>
      <c r="G27" s="7" t="n">
        <f aca="false">(G2-G18-(G10-G11))/G2</f>
        <v>0.279929110586189</v>
      </c>
    </row>
    <row r="28" customFormat="false" ht="15" hidden="false" customHeight="false" outlineLevel="0" collapsed="false">
      <c r="A28" s="1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0" t="s">
        <v>44</v>
      </c>
      <c r="Q2" s="10" t="s">
        <v>0</v>
      </c>
      <c r="V2" s="10" t="s">
        <v>1</v>
      </c>
      <c r="AA2" s="10" t="s">
        <v>2</v>
      </c>
      <c r="AB2" s="10" t="s">
        <v>3</v>
      </c>
      <c r="AC2" s="10" t="s">
        <v>4</v>
      </c>
      <c r="AD2" s="10" t="s">
        <v>5</v>
      </c>
    </row>
    <row r="58" customFormat="false" ht="15" hidden="false" customHeight="false" outlineLevel="0" collapsed="false">
      <c r="B58" s="10" t="s">
        <v>45</v>
      </c>
      <c r="Q58" s="18" t="n">
        <v>17186</v>
      </c>
      <c r="V58" s="18" t="n">
        <v>19410</v>
      </c>
      <c r="AA58" s="18" t="n">
        <v>21172</v>
      </c>
      <c r="AB58" s="18" t="n">
        <v>23166</v>
      </c>
      <c r="AC58" s="18" t="n">
        <v>25017</v>
      </c>
      <c r="AD58" s="18" t="n">
        <v>26482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0" t="s">
        <v>44</v>
      </c>
    </row>
    <row r="30" customFormat="false" ht="15" hidden="false" customHeight="false" outlineLevel="0" collapsed="false">
      <c r="D30" s="18" t="n">
        <v>0.512</v>
      </c>
    </row>
    <row r="31" customFormat="false" ht="15" hidden="false" customHeight="false" outlineLevel="0" collapsed="false">
      <c r="E31" s="18" t="n">
        <v>0.52</v>
      </c>
      <c r="F31" s="18" t="n">
        <v>0.525</v>
      </c>
    </row>
    <row r="35" customFormat="false" ht="15" hidden="false" customHeight="false" outlineLevel="0" collapsed="false">
      <c r="D35" s="18" t="n">
        <v>0.33</v>
      </c>
    </row>
    <row r="36" customFormat="false" ht="15" hidden="false" customHeight="false" outlineLevel="0" collapsed="false">
      <c r="E36" s="18" t="n">
        <v>0.33</v>
      </c>
      <c r="F36" s="18" t="n">
        <v>0.335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0" t="s">
        <v>44</v>
      </c>
    </row>
    <row r="41" customFormat="false" ht="15" hidden="false" customHeight="false" outlineLevel="0" collapsed="false">
      <c r="B41" s="10" t="s">
        <v>46</v>
      </c>
      <c r="D41" s="18" t="n">
        <v>300.2</v>
      </c>
      <c r="E41" s="18" t="n">
        <v>429.286</v>
      </c>
      <c r="F41" s="18" t="n">
        <v>558.072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0" t="s">
        <v>44</v>
      </c>
    </row>
    <row r="3" customFormat="false" ht="15" hidden="false" customHeight="false" outlineLevel="0" collapsed="false">
      <c r="AA3" s="10" t="s">
        <v>47</v>
      </c>
    </row>
    <row r="12" customFormat="false" ht="15" hidden="false" customHeight="false" outlineLevel="0" collapsed="false">
      <c r="B12" s="10" t="s">
        <v>48</v>
      </c>
      <c r="AA12" s="18" t="n">
        <v>-11690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2026-10-02T22:57:32Z</dcterms:created>
  <dc:creator>openpyxl</dc:creator>
  <dc:description/>
  <dc:language>en-US</dc:language>
  <cp:lastModifiedBy/>
  <dcterms:modified xsi:type="dcterms:W3CDTF">2026-10-02T22:57:32Z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